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21600" tabRatio="600" firstSheet="0" activeTab="4" autoFilterDateGrouping="1"/>
  </bookViews>
  <sheets>
    <sheet xmlns:r="http://schemas.openxmlformats.org/officeDocument/2006/relationships" name="Score Inputs" sheetId="1" state="visible" r:id="rId1"/>
    <sheet xmlns:r="http://schemas.openxmlformats.org/officeDocument/2006/relationships" name="Teacher Salary Data" sheetId="2" state="visible" r:id="rId2"/>
    <sheet xmlns:r="http://schemas.openxmlformats.org/officeDocument/2006/relationships" name="School District Profiles" sheetId="3" state="visible" r:id="rId3"/>
    <sheet xmlns:r="http://schemas.openxmlformats.org/officeDocument/2006/relationships" name="Median Home and Rent Prices" sheetId="4" state="visible" r:id="rId4"/>
    <sheet xmlns:r="http://schemas.openxmlformats.org/officeDocument/2006/relationships" name="District Value Scores" sheetId="5" state="visible" r:id="rId5"/>
    <sheet xmlns:r="http://schemas.openxmlformats.org/officeDocument/2006/relationships" name="Scoring Benchmarks" sheetId="6" state="visible" r:id="rId6"/>
    <sheet xmlns:r="http://schemas.openxmlformats.org/officeDocument/2006/relationships" name="Changed Formulas" sheetId="7" state="visible" r:id="rId7"/>
    <sheet xmlns:r="http://schemas.openxmlformats.org/officeDocument/2006/relationships" name="Score Methodology" sheetId="8" state="visible" r:id="rId8"/>
    <sheet xmlns:r="http://schemas.openxmlformats.org/officeDocument/2006/relationships" name="Phase 2B Formula Notes" sheetId="9" state="visible" r:id="rId9"/>
    <sheet xmlns:r="http://schemas.openxmlformats.org/officeDocument/2006/relationships" name="README" sheetId="10" state="visible" r:id="rId10"/>
    <sheet xmlns:r="http://schemas.openxmlformats.org/officeDocument/2006/relationships" name="LAUSD Sources" sheetId="11" state="visible" r:id="rId11"/>
    <sheet xmlns:r="http://schemas.openxmlformats.org/officeDocument/2006/relationships" name="CHCCS Sources" sheetId="12" state="visible" r:id="rId12"/>
    <sheet xmlns:r="http://schemas.openxmlformats.org/officeDocument/2006/relationships" name="Portland Sources" sheetId="13" state="visible" r:id="rId13"/>
    <sheet xmlns:r="http://schemas.openxmlformats.org/officeDocument/2006/relationships" name="Cherry Creek Sources" sheetId="14" state="visible" r:id="rId14"/>
    <sheet xmlns:r="http://schemas.openxmlformats.org/officeDocument/2006/relationships" name="LCUSD Sources" sheetId="15" state="visible" r:id="rId15"/>
    <sheet xmlns:r="http://schemas.openxmlformats.org/officeDocument/2006/relationships" name="PPSF Sources" sheetId="16" state="visible" r:id="rId16"/>
    <sheet xmlns:r="http://schemas.openxmlformats.org/officeDocument/2006/relationships" name="Eanes Sources" sheetId="17" state="visible" r:id="rId17"/>
    <sheet xmlns:r="http://schemas.openxmlformats.org/officeDocument/2006/relationships" name="Syosset Sources" sheetId="18" state="visible" r:id="rId18"/>
    <sheet xmlns:r="http://schemas.openxmlformats.org/officeDocument/2006/relationships" name="Glendale Union Sources" sheetId="19" state="visible" r:id="rId19"/>
    <sheet xmlns:r="http://schemas.openxmlformats.org/officeDocument/2006/relationships" name="San Antonio Sources" sheetId="20" state="visible" r:id="rId20"/>
    <sheet xmlns:r="http://schemas.openxmlformats.org/officeDocument/2006/relationships" name="Salt Lake Sources" sheetId="21" state="visible" r:id="rId21"/>
    <sheet xmlns:r="http://schemas.openxmlformats.org/officeDocument/2006/relationships" name="Austin Sources" sheetId="22" state="visible" r:id="rId22"/>
    <sheet xmlns:r="http://schemas.openxmlformats.org/officeDocument/2006/relationships" name="South Pasadena Sources" sheetId="23" state="visible" r:id="rId23"/>
    <sheet xmlns:r="http://schemas.openxmlformats.org/officeDocument/2006/relationships" name="Ocean Springs Sources" sheetId="24" state="visible" r:id="rId24"/>
    <sheet xmlns:r="http://schemas.openxmlformats.org/officeDocument/2006/relationships" name="Royal Sources" sheetId="25" state="visible" r:id="rId25"/>
    <sheet xmlns:r="http://schemas.openxmlformats.org/officeDocument/2006/relationships" name="Chicago Sources" sheetId="26" state="visible" r:id="rId26"/>
    <sheet xmlns:r="http://schemas.openxmlformats.org/officeDocument/2006/relationships" name="Metro Nashville Sources" sheetId="27" state="visible" r:id="rId27"/>
    <sheet xmlns:r="http://schemas.openxmlformats.org/officeDocument/2006/relationships" name="Placement Rules" sheetId="28" state="visible" r:id="rId28"/>
    <sheet xmlns:r="http://schemas.openxmlformats.org/officeDocument/2006/relationships" name="Arcadia Sources" sheetId="29" state="visible" r:id="rId29"/>
    <sheet xmlns:r="http://schemas.openxmlformats.org/officeDocument/2006/relationships" name="North Clackamas Sources" sheetId="30" state="visible" r:id="rId30"/>
    <sheet xmlns:r="http://schemas.openxmlformats.org/officeDocument/2006/relationships" name="Canyons Sources" sheetId="31" state="visible" r:id="rId31"/>
    <sheet xmlns:r="http://schemas.openxmlformats.org/officeDocument/2006/relationships" name="St Helena Sources" sheetId="32" state="visible" r:id="rId32"/>
    <sheet xmlns:r="http://schemas.openxmlformats.org/officeDocument/2006/relationships" name="Sub Staffing Notes" sheetId="33" state="visible" r:id="rId33"/>
    <sheet xmlns:r="http://schemas.openxmlformats.org/officeDocument/2006/relationships" name="Flagstaff Sources" sheetId="34" state="visible" r:id="rId34"/>
    <sheet xmlns:r="http://schemas.openxmlformats.org/officeDocument/2006/relationships" name="Chandler Sources" sheetId="35" state="visible" r:id="rId35"/>
    <sheet xmlns:r="http://schemas.openxmlformats.org/officeDocument/2006/relationships" name="Work Environment Notes" sheetId="36" state="visible" r:id="rId36"/>
    <sheet xmlns:r="http://schemas.openxmlformats.org/officeDocument/2006/relationships" name="Scarsdale Sources" sheetId="37" state="visible" r:id="rId37"/>
    <sheet xmlns:r="http://schemas.openxmlformats.org/officeDocument/2006/relationships" name="Barbers Hill Sources" sheetId="38" state="visible" r:id="rId38"/>
    <sheet xmlns:r="http://schemas.openxmlformats.org/officeDocument/2006/relationships" name="Cobb Sources" sheetId="39" state="visible" r:id="rId39"/>
    <sheet xmlns:r="http://schemas.openxmlformats.org/officeDocument/2006/relationships" name="Gwinnett Sources" sheetId="40" state="visible" r:id="rId40"/>
    <sheet xmlns:r="http://schemas.openxmlformats.org/officeDocument/2006/relationships" name="Loudoun Sources" sheetId="41" state="visible" r:id="rId41"/>
    <sheet xmlns:r="http://schemas.openxmlformats.org/officeDocument/2006/relationships" name="Lake Washington Sources" sheetId="42" state="visible" r:id="rId42"/>
    <sheet xmlns:r="http://schemas.openxmlformats.org/officeDocument/2006/relationships" name="Nassau Sources" sheetId="43" state="visible" r:id="rId43"/>
    <sheet xmlns:r="http://schemas.openxmlformats.org/officeDocument/2006/relationships" name="WDMCS Sources" sheetId="44" state="visible" r:id="rId44"/>
    <sheet xmlns:r="http://schemas.openxmlformats.org/officeDocument/2006/relationships" name="Added District Sources" sheetId="45" state="visible" r:id="rId45"/>
    <sheet xmlns:r="http://schemas.openxmlformats.org/officeDocument/2006/relationships" name="Added District Sources Round 2" sheetId="46" state="visible" r:id="rId46"/>
    <sheet xmlns:r="http://schemas.openxmlformats.org/officeDocument/2006/relationships" name="Added District Sources Round 3" sheetId="47" state="visible" r:id="rId47"/>
    <sheet xmlns:r="http://schemas.openxmlformats.org/officeDocument/2006/relationships" name="Tahoe Truckee Sources" sheetId="48" state="visible" r:id="rId48"/>
    <sheet xmlns:r="http://schemas.openxmlformats.org/officeDocument/2006/relationships" name="Added District Sources Round 4" sheetId="49" state="visible" r:id="rId49"/>
    <sheet xmlns:r="http://schemas.openxmlformats.org/officeDocument/2006/relationships" name="Prototype 343 Sources" sheetId="50" state="visible" r:id="rId50"/>
    <sheet xmlns:r="http://schemas.openxmlformats.org/officeDocument/2006/relationships" name="State Funding Lookup" sheetId="51" state="visible" r:id="rId5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\$#,##0"/>
    <numFmt numFmtId="165" formatCode="0.0"/>
    <numFmt numFmtId="166" formatCode="yyyy\-mm\-dd"/>
    <numFmt numFmtId="167" formatCode="0.0&quot;%&quot;"/>
    <numFmt numFmtId="168" formatCode="mmmm\ dd\,\ yyyy"/>
    <numFmt numFmtId="169" formatCode="0.0%"/>
    <numFmt numFmtId="170" formatCode="0%\ &quot;of Salary&quot;"/>
  </numFmts>
  <fonts count="14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color rgb="FF111827"/>
      <sz val="10"/>
    </font>
    <font>
      <name val="Carlito"/>
      <b val="1"/>
      <color rgb="FFFFFFFF"/>
      <sz val="10"/>
    </font>
    <font>
      <name val="Carlito"/>
      <b val="1"/>
      <color rgb="FF111827"/>
      <sz val="10"/>
    </font>
    <font>
      <name val="Carlito"/>
      <b val="1"/>
      <color rgb="FF1F2937"/>
      <sz val="10"/>
    </font>
    <font>
      <name val="Carlito"/>
      <b val="1"/>
      <color rgb="FF1F2937"/>
      <sz val="10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Source Sans Pro"/>
      <b val="1"/>
      <color rgb="FFFFFFFF"/>
      <sz val="14"/>
    </font>
    <font>
      <name val="Source Sans Pro"/>
      <b val="1"/>
      <color theme="0"/>
      <sz val="14"/>
    </font>
    <font>
      <name val="Source Sans Pro"/>
      <color rgb="FF111827"/>
      <sz val="14"/>
    </font>
    <font>
      <name val="Source Sans Pro"/>
      <sz val="14"/>
    </font>
  </fonts>
  <fills count="11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7030A0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2937"/>
      </patternFill>
    </fill>
    <fill>
      <patternFill patternType="solid">
        <fgColor rgb="FF0F766E"/>
      </patternFill>
    </fill>
    <fill>
      <patternFill patternType="solid">
        <fgColor rgb="FF1F4E79"/>
      </patternFill>
    </fill>
    <fill>
      <patternFill patternType="solid">
        <fgColor rgb="FF1F4E78"/>
      </patternFill>
    </fill>
    <fill>
      <patternFill patternType="solid">
        <fgColor rgb="FF5B9BD5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F766E"/>
      </bottom>
      <diagonal/>
    </border>
    <border>
      <left/>
      <right/>
      <top/>
      <bottom style="thin">
        <color rgb="FFE5E7EB"/>
      </bottom>
      <diagonal/>
    </border>
    <border>
      <left/>
      <right/>
      <top/>
      <bottom style="thin">
        <color rgb="FFD9EAF7"/>
      </bottom>
      <diagonal/>
    </border>
  </borders>
  <cellStyleXfs count="1">
    <xf numFmtId="0" fontId="0" fillId="0" borderId="1"/>
  </cellStyleXfs>
  <cellXfs count="123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164" fontId="0" fillId="0" borderId="3" applyAlignment="1" pivotButton="0" quotePrefix="0" xfId="0">
      <alignment vertical="top" wrapText="1"/>
    </xf>
    <xf numFmtId="165" fontId="0" fillId="0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164" fontId="3" fillId="0" borderId="3" applyAlignment="1" pivotButton="0" quotePrefix="0" xfId="0">
      <alignment vertical="top" wrapText="1"/>
    </xf>
    <xf numFmtId="0" fontId="3" fillId="0" borderId="3" applyAlignment="1" pivotButton="0" quotePrefix="0" xfId="0">
      <alignment vertical="center" wrapText="1"/>
    </xf>
    <xf numFmtId="1" fontId="3" fillId="0" borderId="3" applyAlignment="1" pivotButton="0" quotePrefix="0" xfId="0">
      <alignment vertical="center" wrapText="1"/>
    </xf>
    <xf numFmtId="164" fontId="3" fillId="0" borderId="3" applyAlignment="1" pivotButton="0" quotePrefix="0" xfId="0">
      <alignment vertical="center" wrapText="1"/>
    </xf>
    <xf numFmtId="166" fontId="3" fillId="0" borderId="3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165" fontId="3" fillId="0" borderId="3" applyAlignment="1" pivotButton="0" quotePrefix="0" xfId="0">
      <alignment vertical="top" wrapText="1"/>
    </xf>
    <xf numFmtId="167" fontId="3" fillId="0" borderId="3" applyAlignment="1" pivotButton="0" quotePrefix="0" xfId="0">
      <alignment vertical="center" wrapText="1"/>
    </xf>
    <xf numFmtId="165" fontId="3" fillId="0" borderId="3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6" fillId="4" borderId="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5" fillId="3" borderId="3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8" fontId="4" fillId="5" borderId="2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top" wrapText="1"/>
    </xf>
    <xf numFmtId="0" fontId="1" fillId="6" borderId="0" applyAlignment="1" pivotButton="0" quotePrefix="0" xfId="0">
      <alignment wrapText="1"/>
    </xf>
    <xf numFmtId="0" fontId="1" fillId="7" borderId="0" applyAlignment="1" pivotButton="0" quotePrefix="0" xfId="0">
      <alignment horizontal="center" wrapText="1"/>
    </xf>
    <xf numFmtId="0" fontId="0" fillId="0" borderId="3" pivotButton="0" quotePrefix="0" xfId="0"/>
    <xf numFmtId="164" fontId="0" fillId="0" borderId="3" pivotButton="0" quotePrefix="0" xfId="0"/>
    <xf numFmtId="166" fontId="3" fillId="0" borderId="0" applyAlignment="1" pivotButton="0" quotePrefix="0" xfId="0">
      <alignment vertical="center" wrapText="1"/>
    </xf>
    <xf numFmtId="0" fontId="4" fillId="8" borderId="2" applyAlignment="1" pivotButton="0" quotePrefix="0" xfId="0">
      <alignment horizontal="center" vertical="center" wrapText="1"/>
    </xf>
    <xf numFmtId="168" fontId="4" fillId="8" borderId="2" applyAlignment="1" pivotButton="0" quotePrefix="0" xfId="0">
      <alignment horizontal="center" vertical="center" wrapText="1"/>
    </xf>
    <xf numFmtId="0" fontId="1" fillId="8" borderId="0" applyAlignment="1" pivotButton="0" quotePrefix="0" xfId="0">
      <alignment wrapText="1"/>
    </xf>
    <xf numFmtId="0" fontId="9" fillId="10" borderId="0" applyAlignment="1" pivotButton="0" quotePrefix="0" xfId="0">
      <alignment horizontal="center"/>
    </xf>
    <xf numFmtId="0" fontId="0" fillId="0" borderId="4" applyAlignment="1" pivotButton="0" quotePrefix="0" xfId="0">
      <alignment vertical="top" wrapText="1"/>
    </xf>
    <xf numFmtId="10" fontId="0" fillId="0" borderId="4" applyAlignment="1" pivotButton="0" quotePrefix="0" xfId="0">
      <alignment vertical="top" wrapText="1"/>
    </xf>
    <xf numFmtId="9" fontId="0" fillId="0" borderId="4" applyAlignment="1" pivotButton="0" quotePrefix="0" xfId="0">
      <alignment vertical="top" wrapText="1"/>
    </xf>
    <xf numFmtId="164" fontId="0" fillId="0" borderId="4" applyAlignment="1" pivotButton="0" quotePrefix="0" xfId="0">
      <alignment vertical="top" wrapText="1"/>
    </xf>
    <xf numFmtId="0" fontId="9" fillId="10" borderId="4" applyAlignment="1" pivotButton="0" quotePrefix="0" xfId="0">
      <alignment vertical="top" wrapText="1"/>
    </xf>
    <xf numFmtId="0" fontId="9" fillId="9" borderId="0" applyAlignment="1" pivotButton="0" quotePrefix="0" xfId="0">
      <alignment horizontal="center" wrapText="1"/>
    </xf>
    <xf numFmtId="0" fontId="10" fillId="9" borderId="2" applyAlignment="1" pivotButton="0" quotePrefix="0" xfId="0">
      <alignment horizontal="center" vertical="center" wrapText="1"/>
    </xf>
    <xf numFmtId="164" fontId="10" fillId="9" borderId="2" applyAlignment="1" pivotButton="0" quotePrefix="0" xfId="0">
      <alignment horizontal="center" vertical="center" wrapText="1"/>
    </xf>
    <xf numFmtId="169" fontId="10" fillId="9" borderId="2" applyAlignment="1" pivotButton="0" quotePrefix="0" xfId="0">
      <alignment horizontal="center" vertical="center" wrapText="1"/>
    </xf>
    <xf numFmtId="2" fontId="10" fillId="9" borderId="2" applyAlignment="1" pivotButton="0" quotePrefix="0" xfId="0">
      <alignment horizontal="center" vertical="center" wrapText="1"/>
    </xf>
    <xf numFmtId="165" fontId="10" fillId="9" borderId="2" applyAlignment="1" pivotButton="0" quotePrefix="0" xfId="0">
      <alignment horizontal="center" vertical="center" wrapText="1"/>
    </xf>
    <xf numFmtId="1" fontId="10" fillId="9" borderId="2" applyAlignment="1" pivotButton="0" quotePrefix="0" xfId="0">
      <alignment horizontal="center" vertical="center" wrapText="1"/>
    </xf>
    <xf numFmtId="9" fontId="10" fillId="9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wrapText="1"/>
    </xf>
    <xf numFmtId="0" fontId="12" fillId="2" borderId="3" applyAlignment="1" pivotButton="0" quotePrefix="0" xfId="0">
      <alignment vertical="center"/>
    </xf>
    <xf numFmtId="164" fontId="12" fillId="2" borderId="3" applyAlignment="1" pivotButton="0" quotePrefix="0" xfId="0">
      <alignment vertical="center"/>
    </xf>
    <xf numFmtId="169" fontId="12" fillId="2" borderId="3" applyAlignment="1" pivotButton="0" quotePrefix="0" xfId="0">
      <alignment vertical="center"/>
    </xf>
    <xf numFmtId="165" fontId="12" fillId="2" borderId="3" applyAlignment="1" pivotButton="0" quotePrefix="0" xfId="0">
      <alignment vertical="center"/>
    </xf>
    <xf numFmtId="2" fontId="12" fillId="2" borderId="3" applyAlignment="1" pivotButton="0" quotePrefix="0" xfId="0">
      <alignment vertical="center"/>
    </xf>
    <xf numFmtId="165" fontId="12" fillId="0" borderId="3" applyAlignment="1" pivotButton="0" quotePrefix="0" xfId="0">
      <alignment vertical="center"/>
    </xf>
    <xf numFmtId="0" fontId="12" fillId="0" borderId="3" applyAlignment="1" pivotButton="0" quotePrefix="0" xfId="0">
      <alignment vertical="center"/>
    </xf>
    <xf numFmtId="164" fontId="12" fillId="0" borderId="3" applyAlignment="1" pivotButton="0" quotePrefix="0" xfId="0">
      <alignment vertical="center"/>
    </xf>
    <xf numFmtId="169" fontId="12" fillId="0" borderId="3" applyAlignment="1" pivotButton="0" quotePrefix="0" xfId="0">
      <alignment vertical="center"/>
    </xf>
    <xf numFmtId="170" fontId="12" fillId="0" borderId="3" applyAlignment="1" pivotButton="0" quotePrefix="0" xfId="0">
      <alignment vertical="center"/>
    </xf>
    <xf numFmtId="0" fontId="13" fillId="0" borderId="0" pivotButton="0" quotePrefix="0" xfId="0"/>
    <xf numFmtId="2" fontId="12" fillId="0" borderId="3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165" fontId="12" fillId="0" borderId="0" applyAlignment="1" pivotButton="0" quotePrefix="0" xfId="0">
      <alignment vertical="center"/>
    </xf>
    <xf numFmtId="2" fontId="12" fillId="0" borderId="0" applyAlignment="1" pivotButton="0" quotePrefix="0" xfId="0">
      <alignment vertical="center"/>
    </xf>
    <xf numFmtId="164" fontId="12" fillId="0" borderId="1" applyAlignment="1" pivotButton="0" quotePrefix="0" xfId="0">
      <alignment vertical="center"/>
    </xf>
    <xf numFmtId="169" fontId="12" fillId="0" borderId="1" applyAlignment="1" pivotButton="0" quotePrefix="0" xfId="0">
      <alignment vertical="center"/>
    </xf>
    <xf numFmtId="165" fontId="12" fillId="0" borderId="1" applyAlignment="1" pivotButton="0" quotePrefix="0" xfId="0">
      <alignment vertical="center"/>
    </xf>
    <xf numFmtId="17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169" fontId="13" fillId="0" borderId="0" applyAlignment="1" pivotButton="0" quotePrefix="0" xfId="0">
      <alignment vertical="center"/>
    </xf>
    <xf numFmtId="165" fontId="13" fillId="0" borderId="0" applyAlignment="1" pivotButton="0" quotePrefix="0" xfId="0">
      <alignment vertical="center"/>
    </xf>
    <xf numFmtId="2" fontId="13" fillId="0" borderId="0" applyAlignment="1" pivotButton="0" quotePrefix="0" xfId="0">
      <alignment vertical="center"/>
    </xf>
    <xf numFmtId="164" fontId="13" fillId="0" borderId="1" applyAlignment="1" pivotButton="0" quotePrefix="0" xfId="0">
      <alignment vertical="center"/>
    </xf>
    <xf numFmtId="169" fontId="13" fillId="0" borderId="1" applyAlignment="1" pivotButton="0" quotePrefix="0" xfId="0">
      <alignment vertical="center"/>
    </xf>
    <xf numFmtId="165" fontId="13" fillId="0" borderId="1" applyAlignment="1" pivotButton="0" quotePrefix="0" xfId="0">
      <alignment vertical="center"/>
    </xf>
    <xf numFmtId="170" fontId="13" fillId="0" borderId="0" applyAlignment="1" pivotButton="0" quotePrefix="0" xfId="0">
      <alignment vertical="center"/>
    </xf>
    <xf numFmtId="0" fontId="13" fillId="0" borderId="3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164" fontId="13" fillId="0" borderId="3" applyAlignment="1" pivotButton="0" quotePrefix="0" xfId="0">
      <alignment vertical="center"/>
    </xf>
    <xf numFmtId="164" fontId="12" fillId="2" borderId="0" applyAlignment="1" pivotButton="0" quotePrefix="0" xfId="0">
      <alignment vertical="center"/>
    </xf>
    <xf numFmtId="169" fontId="13" fillId="0" borderId="3" applyAlignment="1" pivotButton="0" quotePrefix="0" xfId="0">
      <alignment vertical="center"/>
    </xf>
    <xf numFmtId="169" fontId="12" fillId="2" borderId="0" applyAlignment="1" pivotButton="0" quotePrefix="0" xfId="0">
      <alignment vertical="center"/>
    </xf>
    <xf numFmtId="165" fontId="12" fillId="2" borderId="0" applyAlignment="1" pivotButton="0" quotePrefix="0" xfId="0">
      <alignment vertical="center"/>
    </xf>
    <xf numFmtId="165" fontId="13" fillId="0" borderId="3" applyAlignment="1" pivotButton="0" quotePrefix="0" xfId="0">
      <alignment vertical="center"/>
    </xf>
    <xf numFmtId="2" fontId="12" fillId="2" borderId="0" applyAlignment="1" pivotButton="0" quotePrefix="0" xfId="0">
      <alignment vertical="center"/>
    </xf>
    <xf numFmtId="2" fontId="13" fillId="0" borderId="3" applyAlignment="1" pivotButton="0" quotePrefix="0" xfId="0">
      <alignment vertical="center"/>
    </xf>
    <xf numFmtId="170" fontId="13" fillId="0" borderId="3" applyAlignment="1" pivotButton="0" quotePrefix="0" xfId="0">
      <alignment vertical="center"/>
    </xf>
    <xf numFmtId="0" fontId="8" fillId="9" borderId="1" pivotButton="0" quotePrefix="0" xfId="0"/>
    <xf numFmtId="0" fontId="0" fillId="0" borderId="1" pivotButton="0" quotePrefix="0" xfId="0"/>
    <xf numFmtId="0" fontId="8" fillId="9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9" fillId="9" borderId="4" applyAlignment="1" pivotButton="0" quotePrefix="0" xfId="0">
      <alignment vertical="top" wrapText="1"/>
    </xf>
    <xf numFmtId="0" fontId="0" fillId="0" borderId="0" pivotButton="0" quotePrefix="0" xfId="0"/>
    <xf numFmtId="164" fontId="12" fillId="0" borderId="1" applyAlignment="1" pivotButton="0" quotePrefix="0" xfId="0">
      <alignment vertical="center"/>
    </xf>
    <xf numFmtId="164" fontId="13" fillId="0" borderId="1" applyAlignment="1" pivotButton="0" quotePrefix="0" xfId="0">
      <alignment vertical="center"/>
    </xf>
    <xf numFmtId="169" fontId="12" fillId="0" borderId="1" applyAlignment="1" pivotButton="0" quotePrefix="0" xfId="0">
      <alignment vertical="center"/>
    </xf>
    <xf numFmtId="169" fontId="13" fillId="0" borderId="1" applyAlignment="1" pivotButton="0" quotePrefix="0" xfId="0">
      <alignment vertical="center"/>
    </xf>
    <xf numFmtId="165" fontId="12" fillId="0" borderId="1" applyAlignment="1" pivotButton="0" quotePrefix="0" xfId="0">
      <alignment vertical="center"/>
    </xf>
    <xf numFmtId="165" fontId="13" fillId="0" borderId="1" applyAlignment="1" pivotButton="0" quotePrefix="0" xfId="0">
      <alignment vertical="center"/>
    </xf>
    <xf numFmtId="168" fontId="4" fillId="8" borderId="2" applyAlignment="1" pivotButton="0" quotePrefix="0" xfId="0">
      <alignment horizontal="center" vertical="center" wrapText="1"/>
    </xf>
    <xf numFmtId="168" fontId="4" fillId="5" borderId="2" applyAlignment="1" pivotButton="0" quotePrefix="0" xfId="0">
      <alignment horizontal="center" vertical="center" wrapText="1"/>
    </xf>
    <xf numFmtId="169" fontId="10" fillId="9" borderId="2" applyAlignment="1" pivotButton="0" quotePrefix="0" xfId="0">
      <alignment horizontal="center" vertical="center" wrapText="1"/>
    </xf>
    <xf numFmtId="169" fontId="12" fillId="0" borderId="3" applyAlignment="1" pivotButton="0" quotePrefix="0" xfId="0">
      <alignment vertical="center"/>
    </xf>
    <xf numFmtId="169" fontId="13" fillId="0" borderId="3" applyAlignment="1" pivotButton="0" quotePrefix="0" xfId="0">
      <alignment vertical="center"/>
    </xf>
    <xf numFmtId="169" fontId="12" fillId="2" borderId="3" applyAlignment="1" pivotButton="0" quotePrefix="0" xfId="0">
      <alignment vertical="center"/>
    </xf>
    <xf numFmtId="169" fontId="13" fillId="0" borderId="0" applyAlignment="1" pivotButton="0" quotePrefix="0" xfId="0">
      <alignment vertical="center"/>
    </xf>
    <xf numFmtId="169" fontId="13" fillId="0" borderId="1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169" fontId="12" fillId="0" borderId="1" applyAlignment="1" pivotButton="0" quotePrefix="0" xfId="0">
      <alignment vertical="center"/>
    </xf>
    <xf numFmtId="169" fontId="12" fillId="2" borderId="0" applyAlignment="1" pivotButton="0" quotePrefix="0" xfId="0">
      <alignment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:D1"/>
    </sheetView>
  </sheetViews>
  <sheetFormatPr baseColWidth="10" defaultColWidth="8.83203125" defaultRowHeight="15"/>
  <cols>
    <col width="27" customWidth="1" style="104" min="1" max="1"/>
    <col width="18" customWidth="1" style="104" min="2" max="2"/>
    <col width="70" customWidth="1" style="104" min="3" max="3"/>
  </cols>
  <sheetData>
    <row r="1" ht="21" customHeight="1" s="104">
      <c r="A1" s="99" t="inlineStr">
        <is>
          <t>Teacher District Value — Score Inputs</t>
        </is>
      </c>
    </row>
    <row r="2">
      <c r="A2" s="43" t="inlineStr">
        <is>
          <t>Input</t>
        </is>
      </c>
      <c r="B2" s="43" t="inlineStr">
        <is>
          <t>Value</t>
        </is>
      </c>
      <c r="C2" s="43" t="inlineStr">
        <is>
          <t>Purpose</t>
        </is>
      </c>
      <c r="D2" s="43" t="n"/>
    </row>
    <row r="3" ht="16" customHeight="1" s="104">
      <c r="A3" s="102" t="inlineStr">
        <is>
          <t>Selected Education</t>
        </is>
      </c>
      <c r="B3" s="102" t="inlineStr">
        <is>
          <t>Bachelor's</t>
        </is>
      </c>
      <c r="C3" s="102" t="inlineStr">
        <is>
          <t>Used for selected salary and salary-share housing calculations.</t>
        </is>
      </c>
    </row>
    <row r="4" ht="16" customHeight="1" s="104">
      <c r="A4" s="102" t="inlineStr">
        <is>
          <t>Selected Experience Years</t>
        </is>
      </c>
      <c r="B4" s="102" t="n">
        <v>0</v>
      </c>
      <c r="C4" s="102" t="inlineStr">
        <is>
          <t>Allowed values: 0, 5, 10.</t>
        </is>
      </c>
    </row>
    <row r="5" ht="16" customHeight="1" s="104">
      <c r="A5" s="102" t="inlineStr">
        <is>
          <t>Mortgage Annual Interest</t>
        </is>
      </c>
      <c r="B5" s="45" t="n">
        <v>0.07000000000000001</v>
      </c>
      <c r="C5" s="102" t="inlineStr">
        <is>
          <t>Mortgage P&amp;I assumption.</t>
        </is>
      </c>
    </row>
    <row r="6" ht="16" customHeight="1" s="104">
      <c r="A6" s="102" t="inlineStr">
        <is>
          <t>Down Payment</t>
        </is>
      </c>
      <c r="B6" s="46" t="n">
        <v>0.2</v>
      </c>
      <c r="C6" s="102" t="inlineStr">
        <is>
          <t>Mortgage P&amp;I assumption.</t>
        </is>
      </c>
    </row>
    <row r="7" ht="16" customHeight="1" s="104">
      <c r="A7" s="102" t="inlineStr">
        <is>
          <t>Mortgage Term Years</t>
        </is>
      </c>
      <c r="B7" s="102" t="n">
        <v>30</v>
      </c>
      <c r="C7" s="102" t="inlineStr">
        <is>
          <t>Mortgage P&amp;I assumption.</t>
        </is>
      </c>
    </row>
    <row r="8" ht="16" customHeight="1" s="104">
      <c r="A8" s="102" t="inlineStr">
        <is>
          <t>Post-Rent Income Floor</t>
        </is>
      </c>
      <c r="B8" s="47" t="n">
        <v>2500</v>
      </c>
      <c r="C8" s="102" t="inlineStr">
        <is>
          <t>Post-rent monthly income at or below this scores 0.</t>
        </is>
      </c>
    </row>
    <row r="9" ht="16" customHeight="1" s="104">
      <c r="A9" s="102" t="inlineStr">
        <is>
          <t>Post-Rent Income Ceiling</t>
        </is>
      </c>
      <c r="B9" s="47" t="n">
        <v>4000</v>
      </c>
      <c r="C9" s="102" t="inlineStr">
        <is>
          <t>Post-rent monthly income at or above this scores 100. Updated so $4,000+ is Excellent/full.</t>
        </is>
      </c>
    </row>
  </sheetData>
  <mergeCells count="1">
    <mergeCell ref="A1:D1"/>
  </mergeCells>
  <dataValidations count="2">
    <dataValidation sqref="B3" showDropDown="0" showInputMessage="0" showErrorMessage="0" allowBlank="0" type="list">
      <formula1>"Bachelor's,Master's"</formula1>
    </dataValidation>
    <dataValidation sqref="B4" showDropDown="0" showInputMessage="0" showErrorMessage="0" allowBlank="0" type="list">
      <formula1>"0,5,10"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871"/>
  <sheetViews>
    <sheetView workbookViewId="0">
      <selection activeCell="A1" sqref="A1"/>
    </sheetView>
  </sheetViews>
  <sheetFormatPr baseColWidth="10" defaultColWidth="8.83203125" defaultRowHeight="15"/>
  <cols>
    <col width="30" customWidth="1" style="104" min="1" max="1"/>
    <col width="6.6640625" customWidth="1" style="104" min="2" max="2"/>
    <col width="18" customWidth="1" style="104" min="3" max="3"/>
    <col width="16" customWidth="1" style="104" min="4" max="4"/>
    <col width="14" customWidth="1" style="104" min="5" max="5"/>
    <col width="16" customWidth="1" style="104" min="6" max="6"/>
    <col width="10" customWidth="1" style="104" min="7" max="15"/>
    <col width="24" customWidth="1" style="104" min="16" max="16"/>
    <col width="10" customWidth="1" style="104" min="17" max="28"/>
  </cols>
  <sheetData>
    <row r="1" ht="26.75" customHeight="1" s="104">
      <c r="A1" s="40" t="inlineStr">
        <is>
          <t>District</t>
        </is>
      </c>
      <c r="B1" s="40" t="inlineStr">
        <is>
          <t>State</t>
        </is>
      </c>
      <c r="C1" s="40" t="inlineStr">
        <is>
          <t>Education Level</t>
        </is>
      </c>
      <c r="D1" s="40" t="inlineStr">
        <is>
          <t>Years Experience</t>
        </is>
      </c>
      <c r="E1" s="40" t="inlineStr">
        <is>
          <t>Salary</t>
        </is>
      </c>
      <c r="F1" s="111" t="inlineStr">
        <is>
          <t>Last Verified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</row>
    <row r="2" ht="26.75" customHeight="1" s="104">
      <c r="A2" s="10" t="inlineStr">
        <is>
          <t>Alief ISD</t>
        </is>
      </c>
      <c r="B2" s="10" t="inlineStr">
        <is>
          <t>TX</t>
        </is>
      </c>
      <c r="C2" s="10" t="inlineStr">
        <is>
          <t>Bachelor's</t>
        </is>
      </c>
      <c r="D2" s="11" t="n">
        <v>0</v>
      </c>
      <c r="E2" s="12" t="n">
        <v>66500</v>
      </c>
      <c r="F2" s="13" t="inlineStr">
        <is>
          <t>2026-06-17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 ht="26.75" customHeight="1" s="104">
      <c r="A3" s="10" t="inlineStr">
        <is>
          <t>Alief ISD</t>
        </is>
      </c>
      <c r="B3" s="10" t="inlineStr">
        <is>
          <t>TX</t>
        </is>
      </c>
      <c r="C3" s="10" t="inlineStr">
        <is>
          <t>Bachelor's</t>
        </is>
      </c>
      <c r="D3" s="11" t="n">
        <v>1</v>
      </c>
      <c r="E3" s="12" t="n">
        <v>66750</v>
      </c>
      <c r="F3" s="13" t="inlineStr">
        <is>
          <t>2026-06-17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</row>
    <row r="4" ht="26.75" customHeight="1" s="104">
      <c r="A4" s="10" t="inlineStr">
        <is>
          <t>Alief ISD</t>
        </is>
      </c>
      <c r="B4" s="10" t="inlineStr">
        <is>
          <t>TX</t>
        </is>
      </c>
      <c r="C4" s="10" t="inlineStr">
        <is>
          <t>Bachelor's</t>
        </is>
      </c>
      <c r="D4" s="11" t="n">
        <v>2</v>
      </c>
      <c r="E4" s="12" t="n">
        <v>67000</v>
      </c>
      <c r="F4" s="13" t="inlineStr">
        <is>
          <t>2026-06-17</t>
        </is>
      </c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</row>
    <row r="5" ht="26.75" customHeight="1" s="104">
      <c r="A5" s="10" t="inlineStr">
        <is>
          <t>Alief ISD</t>
        </is>
      </c>
      <c r="B5" s="10" t="inlineStr">
        <is>
          <t>TX</t>
        </is>
      </c>
      <c r="C5" s="10" t="inlineStr">
        <is>
          <t>Bachelor's</t>
        </is>
      </c>
      <c r="D5" s="11" t="n">
        <v>3</v>
      </c>
      <c r="E5" s="12" t="n">
        <v>67350</v>
      </c>
      <c r="F5" s="13" t="inlineStr">
        <is>
          <t>2026-06-17</t>
        </is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</row>
    <row r="6" ht="26.75" customHeight="1" s="104">
      <c r="A6" s="10" t="inlineStr">
        <is>
          <t>Alief ISD</t>
        </is>
      </c>
      <c r="B6" s="10" t="inlineStr">
        <is>
          <t>TX</t>
        </is>
      </c>
      <c r="C6" s="10" t="inlineStr">
        <is>
          <t>Bachelor's</t>
        </is>
      </c>
      <c r="D6" s="11" t="n">
        <v>4</v>
      </c>
      <c r="E6" s="12" t="n">
        <v>67600</v>
      </c>
      <c r="F6" s="13" t="inlineStr">
        <is>
          <t>2026-06-17</t>
        </is>
      </c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 ht="26.75" customHeight="1" s="104">
      <c r="A7" s="10" t="inlineStr">
        <is>
          <t>Alief ISD</t>
        </is>
      </c>
      <c r="B7" s="10" t="inlineStr">
        <is>
          <t>TX</t>
        </is>
      </c>
      <c r="C7" s="10" t="inlineStr">
        <is>
          <t>Bachelor's</t>
        </is>
      </c>
      <c r="D7" s="11" t="n">
        <v>5</v>
      </c>
      <c r="E7" s="12" t="n">
        <v>70350</v>
      </c>
      <c r="F7" s="13" t="inlineStr">
        <is>
          <t>2026-06-17</t>
        </is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</row>
    <row r="8" ht="26.75" customHeight="1" s="104">
      <c r="A8" s="10" t="inlineStr">
        <is>
          <t>Alief ISD</t>
        </is>
      </c>
      <c r="B8" s="10" t="inlineStr">
        <is>
          <t>TX</t>
        </is>
      </c>
      <c r="C8" s="10" t="inlineStr">
        <is>
          <t>Bachelor's</t>
        </is>
      </c>
      <c r="D8" s="11" t="n">
        <v>6</v>
      </c>
      <c r="E8" s="12" t="n">
        <v>70600</v>
      </c>
      <c r="F8" s="13" t="inlineStr">
        <is>
          <t>2026-06-17</t>
        </is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</row>
    <row r="9" ht="26.75" customHeight="1" s="104">
      <c r="A9" s="10" t="inlineStr">
        <is>
          <t>Alief ISD</t>
        </is>
      </c>
      <c r="B9" s="10" t="inlineStr">
        <is>
          <t>TX</t>
        </is>
      </c>
      <c r="C9" s="10" t="inlineStr">
        <is>
          <t>Bachelor's</t>
        </is>
      </c>
      <c r="D9" s="11" t="n">
        <v>7</v>
      </c>
      <c r="E9" s="12" t="n">
        <v>70850</v>
      </c>
      <c r="F9" s="13" t="inlineStr">
        <is>
          <t>2026-06-17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</row>
    <row r="10" ht="26.75" customHeight="1" s="104">
      <c r="A10" s="10" t="inlineStr">
        <is>
          <t>Alief ISD</t>
        </is>
      </c>
      <c r="B10" s="10" t="inlineStr">
        <is>
          <t>TX</t>
        </is>
      </c>
      <c r="C10" s="10" t="inlineStr">
        <is>
          <t>Bachelor's</t>
        </is>
      </c>
      <c r="D10" s="11" t="n">
        <v>8</v>
      </c>
      <c r="E10" s="12" t="n">
        <v>71100</v>
      </c>
      <c r="F10" s="13" t="inlineStr">
        <is>
          <t>2026-06-17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</row>
    <row r="11" ht="26.75" customHeight="1" s="104">
      <c r="A11" s="10" t="inlineStr">
        <is>
          <t>Alief ISD</t>
        </is>
      </c>
      <c r="B11" s="10" t="inlineStr">
        <is>
          <t>TX</t>
        </is>
      </c>
      <c r="C11" s="10" t="inlineStr">
        <is>
          <t>Bachelor's</t>
        </is>
      </c>
      <c r="D11" s="11" t="n">
        <v>9</v>
      </c>
      <c r="E11" s="12" t="n">
        <v>71350</v>
      </c>
      <c r="F11" s="13" t="inlineStr">
        <is>
          <t>2026-06-17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</row>
    <row r="12" ht="26.75" customHeight="1" s="104">
      <c r="A12" s="10" t="inlineStr">
        <is>
          <t>Alief ISD</t>
        </is>
      </c>
      <c r="B12" s="10" t="inlineStr">
        <is>
          <t>TX</t>
        </is>
      </c>
      <c r="C12" s="10" t="inlineStr">
        <is>
          <t>Bachelor's</t>
        </is>
      </c>
      <c r="D12" s="11" t="n">
        <v>10</v>
      </c>
      <c r="E12" s="12" t="n">
        <v>71600</v>
      </c>
      <c r="F12" s="13" t="inlineStr">
        <is>
          <t>2026-06-17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</row>
    <row r="13" ht="26.75" customHeight="1" s="104">
      <c r="A13" s="10" t="inlineStr">
        <is>
          <t>Alief ISD</t>
        </is>
      </c>
      <c r="B13" s="10" t="inlineStr">
        <is>
          <t>TX</t>
        </is>
      </c>
      <c r="C13" s="10" t="inlineStr">
        <is>
          <t>Master's</t>
        </is>
      </c>
      <c r="D13" s="11" t="n">
        <v>0</v>
      </c>
      <c r="E13" s="12" t="n">
        <v>67000</v>
      </c>
      <c r="F13" s="13" t="inlineStr">
        <is>
          <t>2026-06-17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</row>
    <row r="14" ht="26.75" customHeight="1" s="104">
      <c r="A14" s="10" t="inlineStr">
        <is>
          <t>Alief ISD</t>
        </is>
      </c>
      <c r="B14" s="10" t="inlineStr">
        <is>
          <t>TX</t>
        </is>
      </c>
      <c r="C14" s="10" t="inlineStr">
        <is>
          <t>Master's</t>
        </is>
      </c>
      <c r="D14" s="11" t="n">
        <v>1</v>
      </c>
      <c r="E14" s="12" t="n">
        <v>67250</v>
      </c>
      <c r="F14" s="13" t="inlineStr">
        <is>
          <t>2026-06-17</t>
        </is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</row>
    <row r="15" ht="26.75" customHeight="1" s="104">
      <c r="A15" s="10" t="inlineStr">
        <is>
          <t>Alief ISD</t>
        </is>
      </c>
      <c r="B15" s="10" t="inlineStr">
        <is>
          <t>TX</t>
        </is>
      </c>
      <c r="C15" s="10" t="inlineStr">
        <is>
          <t>Master's</t>
        </is>
      </c>
      <c r="D15" s="11" t="n">
        <v>2</v>
      </c>
      <c r="E15" s="12" t="n">
        <v>67500</v>
      </c>
      <c r="F15" s="13" t="inlineStr">
        <is>
          <t>2026-06-17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</row>
    <row r="16" ht="26.75" customHeight="1" s="104">
      <c r="A16" s="10" t="inlineStr">
        <is>
          <t>Alief ISD</t>
        </is>
      </c>
      <c r="B16" s="10" t="inlineStr">
        <is>
          <t>TX</t>
        </is>
      </c>
      <c r="C16" s="10" t="inlineStr">
        <is>
          <t>Master's</t>
        </is>
      </c>
      <c r="D16" s="11" t="n">
        <v>3</v>
      </c>
      <c r="E16" s="12" t="n">
        <v>67850</v>
      </c>
      <c r="F16" s="13" t="inlineStr">
        <is>
          <t>2026-06-17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</row>
    <row r="17" ht="26.75" customHeight="1" s="104">
      <c r="A17" s="10" t="inlineStr">
        <is>
          <t>Alief ISD</t>
        </is>
      </c>
      <c r="B17" s="10" t="inlineStr">
        <is>
          <t>TX</t>
        </is>
      </c>
      <c r="C17" s="10" t="inlineStr">
        <is>
          <t>Master's</t>
        </is>
      </c>
      <c r="D17" s="11" t="n">
        <v>4</v>
      </c>
      <c r="E17" s="12" t="n">
        <v>68100</v>
      </c>
      <c r="F17" s="13" t="inlineStr">
        <is>
          <t>2026-06-17</t>
        </is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</row>
    <row r="18" ht="26.75" customHeight="1" s="104">
      <c r="A18" s="10" t="inlineStr">
        <is>
          <t>Alief ISD</t>
        </is>
      </c>
      <c r="B18" s="10" t="inlineStr">
        <is>
          <t>TX</t>
        </is>
      </c>
      <c r="C18" s="10" t="inlineStr">
        <is>
          <t>Master's</t>
        </is>
      </c>
      <c r="D18" s="11" t="n">
        <v>5</v>
      </c>
      <c r="E18" s="12" t="n">
        <v>70850</v>
      </c>
      <c r="F18" s="13" t="inlineStr">
        <is>
          <t>2026-06-17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</row>
    <row r="19" ht="26.75" customHeight="1" s="104">
      <c r="A19" s="10" t="inlineStr">
        <is>
          <t>Alief ISD</t>
        </is>
      </c>
      <c r="B19" s="10" t="inlineStr">
        <is>
          <t>TX</t>
        </is>
      </c>
      <c r="C19" s="10" t="inlineStr">
        <is>
          <t>Master's</t>
        </is>
      </c>
      <c r="D19" s="11" t="n">
        <v>6</v>
      </c>
      <c r="E19" s="12" t="n">
        <v>71100</v>
      </c>
      <c r="F19" s="13" t="inlineStr">
        <is>
          <t>2026-06-17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</row>
    <row r="20" ht="26.75" customHeight="1" s="104">
      <c r="A20" s="10" t="inlineStr">
        <is>
          <t>Alief ISD</t>
        </is>
      </c>
      <c r="B20" s="10" t="inlineStr">
        <is>
          <t>TX</t>
        </is>
      </c>
      <c r="C20" s="10" t="inlineStr">
        <is>
          <t>Master's</t>
        </is>
      </c>
      <c r="D20" s="11" t="n">
        <v>7</v>
      </c>
      <c r="E20" s="12" t="n">
        <v>71350</v>
      </c>
      <c r="F20" s="13" t="inlineStr">
        <is>
          <t>2026-06-17</t>
        </is>
      </c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</row>
    <row r="21" ht="26.75" customHeight="1" s="104">
      <c r="A21" s="10" t="inlineStr">
        <is>
          <t>Alief ISD</t>
        </is>
      </c>
      <c r="B21" s="10" t="inlineStr">
        <is>
          <t>TX</t>
        </is>
      </c>
      <c r="C21" s="10" t="inlineStr">
        <is>
          <t>Master's</t>
        </is>
      </c>
      <c r="D21" s="11" t="n">
        <v>8</v>
      </c>
      <c r="E21" s="12" t="n">
        <v>71600</v>
      </c>
      <c r="F21" s="13" t="inlineStr">
        <is>
          <t>2026-06-17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</row>
    <row r="22" ht="26.75" customHeight="1" s="104">
      <c r="A22" s="10" t="inlineStr">
        <is>
          <t>Alief ISD</t>
        </is>
      </c>
      <c r="B22" s="10" t="inlineStr">
        <is>
          <t>TX</t>
        </is>
      </c>
      <c r="C22" s="10" t="inlineStr">
        <is>
          <t>Master's</t>
        </is>
      </c>
      <c r="D22" s="11" t="n">
        <v>9</v>
      </c>
      <c r="E22" s="12" t="n">
        <v>71850</v>
      </c>
      <c r="F22" s="13" t="inlineStr">
        <is>
          <t>2026-06-17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</row>
    <row r="23" ht="26.75" customHeight="1" s="104">
      <c r="A23" s="10" t="inlineStr">
        <is>
          <t>Alief ISD</t>
        </is>
      </c>
      <c r="B23" s="10" t="inlineStr">
        <is>
          <t>TX</t>
        </is>
      </c>
      <c r="C23" s="10" t="inlineStr">
        <is>
          <t>Master's</t>
        </is>
      </c>
      <c r="D23" s="11" t="n">
        <v>10</v>
      </c>
      <c r="E23" s="12" t="n">
        <v>72100</v>
      </c>
      <c r="F23" s="13" t="inlineStr">
        <is>
          <t>2026-06-17</t>
        </is>
      </c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</row>
    <row r="24" ht="26.75" customHeight="1" s="104">
      <c r="A24" s="10" t="inlineStr">
        <is>
          <t>Arcadia Unified School District</t>
        </is>
      </c>
      <c r="B24" s="10" t="inlineStr">
        <is>
          <t>CA</t>
        </is>
      </c>
      <c r="C24" s="10" t="inlineStr">
        <is>
          <t>Bachelor's</t>
        </is>
      </c>
      <c r="D24" s="11" t="n">
        <v>0</v>
      </c>
      <c r="E24" s="12" t="n">
        <v>78277</v>
      </c>
      <c r="F24" s="13" t="inlineStr">
        <is>
          <t>2026-06-11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</row>
    <row r="25" ht="26.75" customHeight="1" s="104">
      <c r="A25" s="10" t="inlineStr">
        <is>
          <t>Arcadia Unified School District</t>
        </is>
      </c>
      <c r="B25" s="10" t="inlineStr">
        <is>
          <t>CA</t>
        </is>
      </c>
      <c r="C25" s="10" t="inlineStr">
        <is>
          <t>Bachelor's</t>
        </is>
      </c>
      <c r="D25" s="11" t="n">
        <v>1</v>
      </c>
      <c r="E25" s="12" t="n">
        <v>78277</v>
      </c>
      <c r="F25" s="13" t="inlineStr">
        <is>
          <t>2026-06-11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</row>
    <row r="26" ht="26.75" customHeight="1" s="104">
      <c r="A26" s="10" t="inlineStr">
        <is>
          <t>Arcadia Unified School District</t>
        </is>
      </c>
      <c r="B26" s="10" t="inlineStr">
        <is>
          <t>CA</t>
        </is>
      </c>
      <c r="C26" s="10" t="inlineStr">
        <is>
          <t>Bachelor's</t>
        </is>
      </c>
      <c r="D26" s="11" t="n">
        <v>2</v>
      </c>
      <c r="E26" s="12" t="n">
        <v>78277</v>
      </c>
      <c r="F26" s="13" t="inlineStr">
        <is>
          <t>2026-06-11</t>
        </is>
      </c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</row>
    <row r="27" ht="26.75" customHeight="1" s="104">
      <c r="A27" s="10" t="inlineStr">
        <is>
          <t>Arcadia Unified School District</t>
        </is>
      </c>
      <c r="B27" s="10" t="inlineStr">
        <is>
          <t>CA</t>
        </is>
      </c>
      <c r="C27" s="10" t="inlineStr">
        <is>
          <t>Bachelor's</t>
        </is>
      </c>
      <c r="D27" s="11" t="n">
        <v>3</v>
      </c>
      <c r="E27" s="12" t="n">
        <v>79313</v>
      </c>
      <c r="F27" s="13" t="inlineStr">
        <is>
          <t>2026-06-11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</row>
    <row r="28" ht="26.75" customHeight="1" s="104">
      <c r="A28" s="10" t="inlineStr">
        <is>
          <t>Arcadia Unified School District</t>
        </is>
      </c>
      <c r="B28" s="10" t="inlineStr">
        <is>
          <t>CA</t>
        </is>
      </c>
      <c r="C28" s="10" t="inlineStr">
        <is>
          <t>Bachelor's</t>
        </is>
      </c>
      <c r="D28" s="11" t="n">
        <v>4</v>
      </c>
      <c r="E28" s="12" t="n">
        <v>83055</v>
      </c>
      <c r="F28" s="13" t="inlineStr">
        <is>
          <t>2026-06-11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</row>
    <row r="29" ht="26.75" customHeight="1" s="104">
      <c r="A29" s="10" t="inlineStr">
        <is>
          <t>Arcadia Unified School District</t>
        </is>
      </c>
      <c r="B29" s="10" t="inlineStr">
        <is>
          <t>CA</t>
        </is>
      </c>
      <c r="C29" s="10" t="inlineStr">
        <is>
          <t>Bachelor's</t>
        </is>
      </c>
      <c r="D29" s="11" t="n">
        <v>5</v>
      </c>
      <c r="E29" s="12" t="n">
        <v>86800</v>
      </c>
      <c r="F29" s="13" t="inlineStr">
        <is>
          <t>2026-06-11</t>
        </is>
      </c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</row>
    <row r="30" ht="26.75" customHeight="1" s="104">
      <c r="A30" s="10" t="inlineStr">
        <is>
          <t>Arcadia Unified School District</t>
        </is>
      </c>
      <c r="B30" s="10" t="inlineStr">
        <is>
          <t>CA</t>
        </is>
      </c>
      <c r="C30" s="10" t="inlineStr">
        <is>
          <t>Bachelor's</t>
        </is>
      </c>
      <c r="D30" s="11" t="n">
        <v>6</v>
      </c>
      <c r="E30" s="12" t="n">
        <v>90887</v>
      </c>
      <c r="F30" s="13" t="inlineStr">
        <is>
          <t>2026-06-11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</row>
    <row r="31" ht="26.75" customHeight="1" s="104">
      <c r="A31" s="10" t="inlineStr">
        <is>
          <t>Arcadia Unified School District</t>
        </is>
      </c>
      <c r="B31" s="10" t="inlineStr">
        <is>
          <t>CA</t>
        </is>
      </c>
      <c r="C31" s="10" t="inlineStr">
        <is>
          <t>Bachelor's</t>
        </is>
      </c>
      <c r="D31" s="11" t="n">
        <v>7</v>
      </c>
      <c r="E31" s="12" t="n">
        <v>94974</v>
      </c>
      <c r="F31" s="13" t="inlineStr">
        <is>
          <t>2026-06-11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</row>
    <row r="32" ht="26.75" customHeight="1" s="104">
      <c r="A32" s="10" t="inlineStr">
        <is>
          <t>Arcadia Unified School District</t>
        </is>
      </c>
      <c r="B32" s="10" t="inlineStr">
        <is>
          <t>CA</t>
        </is>
      </c>
      <c r="C32" s="10" t="inlineStr">
        <is>
          <t>Bachelor's</t>
        </is>
      </c>
      <c r="D32" s="11" t="n">
        <v>8</v>
      </c>
      <c r="E32" s="12" t="n">
        <v>99057</v>
      </c>
      <c r="F32" s="13" t="inlineStr">
        <is>
          <t>2026-06-11</t>
        </is>
      </c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</row>
    <row r="33" ht="26.75" customHeight="1" s="104">
      <c r="A33" s="10" t="inlineStr">
        <is>
          <t>Arcadia Unified School District</t>
        </is>
      </c>
      <c r="B33" s="10" t="inlineStr">
        <is>
          <t>CA</t>
        </is>
      </c>
      <c r="C33" s="10" t="inlineStr">
        <is>
          <t>Bachelor's</t>
        </is>
      </c>
      <c r="D33" s="11" t="n">
        <v>9</v>
      </c>
      <c r="E33" s="12" t="n">
        <v>99057</v>
      </c>
      <c r="F33" s="13" t="inlineStr">
        <is>
          <t>2026-06-11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</row>
    <row r="34" ht="26.75" customHeight="1" s="104">
      <c r="A34" s="10" t="inlineStr">
        <is>
          <t>Arcadia Unified School District</t>
        </is>
      </c>
      <c r="B34" s="10" t="inlineStr">
        <is>
          <t>CA</t>
        </is>
      </c>
      <c r="C34" s="10" t="inlineStr">
        <is>
          <t>Bachelor's</t>
        </is>
      </c>
      <c r="D34" s="11" t="n">
        <v>10</v>
      </c>
      <c r="E34" s="12" t="n">
        <v>99057</v>
      </c>
      <c r="F34" s="13" t="inlineStr">
        <is>
          <t>2026-06-11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</row>
    <row r="35" ht="26.75" customHeight="1" s="104">
      <c r="A35" s="10" t="inlineStr">
        <is>
          <t>Arcadia Unified School District</t>
        </is>
      </c>
      <c r="B35" s="10" t="inlineStr">
        <is>
          <t>CA</t>
        </is>
      </c>
      <c r="C35" s="10" t="inlineStr">
        <is>
          <t>Master's</t>
        </is>
      </c>
      <c r="D35" s="11" t="n">
        <v>0</v>
      </c>
      <c r="E35" s="12" t="n">
        <v>78277</v>
      </c>
      <c r="F35" s="13" t="inlineStr">
        <is>
          <t>2026-06-11</t>
        </is>
      </c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</row>
    <row r="36" ht="26.75" customHeight="1" s="104">
      <c r="A36" s="10" t="inlineStr">
        <is>
          <t>Arcadia Unified School District</t>
        </is>
      </c>
      <c r="B36" s="10" t="inlineStr">
        <is>
          <t>CA</t>
        </is>
      </c>
      <c r="C36" s="10" t="inlineStr">
        <is>
          <t>Master's</t>
        </is>
      </c>
      <c r="D36" s="11" t="n">
        <v>1</v>
      </c>
      <c r="E36" s="12" t="n">
        <v>78277</v>
      </c>
      <c r="F36" s="13" t="inlineStr">
        <is>
          <t>2026-06-11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</row>
    <row r="37" ht="26.75" customHeight="1" s="104">
      <c r="A37" s="10" t="inlineStr">
        <is>
          <t>Arcadia Unified School District</t>
        </is>
      </c>
      <c r="B37" s="10" t="inlineStr">
        <is>
          <t>CA</t>
        </is>
      </c>
      <c r="C37" s="10" t="inlineStr">
        <is>
          <t>Master's</t>
        </is>
      </c>
      <c r="D37" s="11" t="n">
        <v>2</v>
      </c>
      <c r="E37" s="12" t="n">
        <v>78277</v>
      </c>
      <c r="F37" s="13" t="inlineStr">
        <is>
          <t>2026-06-11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</row>
    <row r="38" ht="26.75" customHeight="1" s="104">
      <c r="A38" s="10" t="inlineStr">
        <is>
          <t>Arcadia Unified School District</t>
        </is>
      </c>
      <c r="B38" s="10" t="inlineStr">
        <is>
          <t>CA</t>
        </is>
      </c>
      <c r="C38" s="10" t="inlineStr">
        <is>
          <t>Master's</t>
        </is>
      </c>
      <c r="D38" s="11" t="n">
        <v>3</v>
      </c>
      <c r="E38" s="12" t="n">
        <v>79313</v>
      </c>
      <c r="F38" s="13" t="inlineStr">
        <is>
          <t>2026-06-11</t>
        </is>
      </c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</row>
    <row r="39" ht="26.75" customHeight="1" s="104">
      <c r="A39" s="10" t="inlineStr">
        <is>
          <t>Arcadia Unified School District</t>
        </is>
      </c>
      <c r="B39" s="10" t="inlineStr">
        <is>
          <t>CA</t>
        </is>
      </c>
      <c r="C39" s="10" t="inlineStr">
        <is>
          <t>Master's</t>
        </is>
      </c>
      <c r="D39" s="11" t="n">
        <v>4</v>
      </c>
      <c r="E39" s="12" t="n">
        <v>83055</v>
      </c>
      <c r="F39" s="13" t="inlineStr">
        <is>
          <t>2026-06-11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</row>
    <row r="40" ht="26.75" customHeight="1" s="104">
      <c r="A40" s="10" t="inlineStr">
        <is>
          <t>Arcadia Unified School District</t>
        </is>
      </c>
      <c r="B40" s="10" t="inlineStr">
        <is>
          <t>CA</t>
        </is>
      </c>
      <c r="C40" s="10" t="inlineStr">
        <is>
          <t>Master's</t>
        </is>
      </c>
      <c r="D40" s="11" t="n">
        <v>5</v>
      </c>
      <c r="E40" s="12" t="n">
        <v>86800</v>
      </c>
      <c r="F40" s="13" t="inlineStr">
        <is>
          <t>2026-06-11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</row>
    <row r="41" ht="26.75" customHeight="1" s="104">
      <c r="A41" s="10" t="inlineStr">
        <is>
          <t>Arcadia Unified School District</t>
        </is>
      </c>
      <c r="B41" s="10" t="inlineStr">
        <is>
          <t>CA</t>
        </is>
      </c>
      <c r="C41" s="10" t="inlineStr">
        <is>
          <t>Master's</t>
        </is>
      </c>
      <c r="D41" s="11" t="n">
        <v>6</v>
      </c>
      <c r="E41" s="12" t="n">
        <v>90887</v>
      </c>
      <c r="F41" s="13" t="inlineStr">
        <is>
          <t>2026-06-11</t>
        </is>
      </c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</row>
    <row r="42" ht="26.75" customHeight="1" s="104">
      <c r="A42" s="10" t="inlineStr">
        <is>
          <t>Arcadia Unified School District</t>
        </is>
      </c>
      <c r="B42" s="10" t="inlineStr">
        <is>
          <t>CA</t>
        </is>
      </c>
      <c r="C42" s="10" t="inlineStr">
        <is>
          <t>Master's</t>
        </is>
      </c>
      <c r="D42" s="11" t="n">
        <v>7</v>
      </c>
      <c r="E42" s="12" t="n">
        <v>94974</v>
      </c>
      <c r="F42" s="13" t="inlineStr">
        <is>
          <t>2026-06-11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</row>
    <row r="43" ht="26.75" customHeight="1" s="104">
      <c r="A43" s="10" t="inlineStr">
        <is>
          <t>Arcadia Unified School District</t>
        </is>
      </c>
      <c r="B43" s="10" t="inlineStr">
        <is>
          <t>CA</t>
        </is>
      </c>
      <c r="C43" s="10" t="inlineStr">
        <is>
          <t>Master's</t>
        </is>
      </c>
      <c r="D43" s="11" t="n">
        <v>8</v>
      </c>
      <c r="E43" s="12" t="n">
        <v>99057</v>
      </c>
      <c r="F43" s="13" t="inlineStr">
        <is>
          <t>2026-06-11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</row>
    <row r="44" ht="26.75" customHeight="1" s="104">
      <c r="A44" s="10" t="inlineStr">
        <is>
          <t>Arcadia Unified School District</t>
        </is>
      </c>
      <c r="B44" s="10" t="inlineStr">
        <is>
          <t>CA</t>
        </is>
      </c>
      <c r="C44" s="10" t="inlineStr">
        <is>
          <t>Master's</t>
        </is>
      </c>
      <c r="D44" s="11" t="n">
        <v>9</v>
      </c>
      <c r="E44" s="12" t="n">
        <v>99057</v>
      </c>
      <c r="F44" s="13" t="inlineStr">
        <is>
          <t>2026-06-11</t>
        </is>
      </c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</row>
    <row r="45" ht="26.75" customHeight="1" s="104">
      <c r="A45" s="10" t="inlineStr">
        <is>
          <t>Arcadia Unified School District</t>
        </is>
      </c>
      <c r="B45" s="10" t="inlineStr">
        <is>
          <t>CA</t>
        </is>
      </c>
      <c r="C45" s="10" t="inlineStr">
        <is>
          <t>Master's</t>
        </is>
      </c>
      <c r="D45" s="11" t="n">
        <v>10</v>
      </c>
      <c r="E45" s="12" t="n">
        <v>99057</v>
      </c>
      <c r="F45" s="13" t="inlineStr">
        <is>
          <t>2026-06-11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26.75" customHeight="1" s="104">
      <c r="A46" s="10" t="inlineStr">
        <is>
          <t>Austin ISD</t>
        </is>
      </c>
      <c r="B46" s="10" t="inlineStr">
        <is>
          <t>TX</t>
        </is>
      </c>
      <c r="C46" s="10" t="inlineStr">
        <is>
          <t>Bachelor's</t>
        </is>
      </c>
      <c r="D46" s="11" t="n">
        <v>0</v>
      </c>
      <c r="E46" s="12" t="n">
        <v>60600</v>
      </c>
      <c r="F46" s="13" t="inlineStr">
        <is>
          <t>2026-06-10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26.75" customHeight="1" s="104">
      <c r="A47" s="10" t="inlineStr">
        <is>
          <t>Austin ISD</t>
        </is>
      </c>
      <c r="B47" s="10" t="inlineStr">
        <is>
          <t>TX</t>
        </is>
      </c>
      <c r="C47" s="10" t="inlineStr">
        <is>
          <t>Bachelor's</t>
        </is>
      </c>
      <c r="D47" s="11" t="n">
        <v>1</v>
      </c>
      <c r="E47" s="12" t="n">
        <v>61420</v>
      </c>
      <c r="F47" s="13" t="inlineStr">
        <is>
          <t>2026-06-10</t>
        </is>
      </c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</row>
    <row r="48" ht="26.75" customHeight="1" s="104">
      <c r="A48" s="10" t="inlineStr">
        <is>
          <t>Austin ISD</t>
        </is>
      </c>
      <c r="B48" s="10" t="inlineStr">
        <is>
          <t>TX</t>
        </is>
      </c>
      <c r="C48" s="10" t="inlineStr">
        <is>
          <t>Bachelor's</t>
        </is>
      </c>
      <c r="D48" s="11" t="n">
        <v>2</v>
      </c>
      <c r="E48" s="12" t="n">
        <v>62240</v>
      </c>
      <c r="F48" s="13" t="inlineStr">
        <is>
          <t>2026-06-10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26.75" customHeight="1" s="104">
      <c r="A49" s="10" t="inlineStr">
        <is>
          <t>Austin ISD</t>
        </is>
      </c>
      <c r="B49" s="10" t="inlineStr">
        <is>
          <t>TX</t>
        </is>
      </c>
      <c r="C49" s="10" t="inlineStr">
        <is>
          <t>Bachelor's</t>
        </is>
      </c>
      <c r="D49" s="11" t="n">
        <v>3</v>
      </c>
      <c r="E49" s="12" t="n">
        <v>63060</v>
      </c>
      <c r="F49" s="13" t="inlineStr">
        <is>
          <t>2026-06-10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</row>
    <row r="50" ht="26.75" customHeight="1" s="104">
      <c r="A50" s="10" t="inlineStr">
        <is>
          <t>Austin ISD</t>
        </is>
      </c>
      <c r="B50" s="10" t="inlineStr">
        <is>
          <t>TX</t>
        </is>
      </c>
      <c r="C50" s="10" t="inlineStr">
        <is>
          <t>Bachelor's</t>
        </is>
      </c>
      <c r="D50" s="11" t="n">
        <v>4</v>
      </c>
      <c r="E50" s="12" t="n">
        <v>63880</v>
      </c>
      <c r="F50" s="13" t="inlineStr">
        <is>
          <t>2026-06-10</t>
        </is>
      </c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26.75" customHeight="1" s="104">
      <c r="A51" s="10" t="inlineStr">
        <is>
          <t>Austin ISD</t>
        </is>
      </c>
      <c r="B51" s="10" t="inlineStr">
        <is>
          <t>TX</t>
        </is>
      </c>
      <c r="C51" s="10" t="inlineStr">
        <is>
          <t>Bachelor's</t>
        </is>
      </c>
      <c r="D51" s="11" t="n">
        <v>5</v>
      </c>
      <c r="E51" s="12" t="n">
        <v>64700</v>
      </c>
      <c r="F51" s="13" t="inlineStr">
        <is>
          <t>2026-06-10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</row>
    <row r="52" ht="26.75" customHeight="1" s="104">
      <c r="A52" s="10" t="inlineStr">
        <is>
          <t>Austin ISD</t>
        </is>
      </c>
      <c r="B52" s="10" t="inlineStr">
        <is>
          <t>TX</t>
        </is>
      </c>
      <c r="C52" s="10" t="inlineStr">
        <is>
          <t>Bachelor's</t>
        </is>
      </c>
      <c r="D52" s="11" t="n">
        <v>6</v>
      </c>
      <c r="E52" s="12" t="n">
        <v>64760</v>
      </c>
      <c r="F52" s="13" t="inlineStr">
        <is>
          <t>2026-06-10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</row>
    <row r="53" ht="26.75" customHeight="1" s="104">
      <c r="A53" s="10" t="inlineStr">
        <is>
          <t>Austin ISD</t>
        </is>
      </c>
      <c r="B53" s="10" t="inlineStr">
        <is>
          <t>TX</t>
        </is>
      </c>
      <c r="C53" s="10" t="inlineStr">
        <is>
          <t>Bachelor's</t>
        </is>
      </c>
      <c r="D53" s="11" t="n">
        <v>7</v>
      </c>
      <c r="E53" s="12" t="n">
        <v>64820</v>
      </c>
      <c r="F53" s="13" t="inlineStr">
        <is>
          <t>2026-06-10</t>
        </is>
      </c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</row>
    <row r="54" ht="26.75" customHeight="1" s="104">
      <c r="A54" s="10" t="inlineStr">
        <is>
          <t>Austin ISD</t>
        </is>
      </c>
      <c r="B54" s="10" t="inlineStr">
        <is>
          <t>TX</t>
        </is>
      </c>
      <c r="C54" s="10" t="inlineStr">
        <is>
          <t>Bachelor's</t>
        </is>
      </c>
      <c r="D54" s="11" t="n">
        <v>8</v>
      </c>
      <c r="E54" s="12" t="n">
        <v>64880</v>
      </c>
      <c r="F54" s="13" t="inlineStr">
        <is>
          <t>2026-06-10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26.75" customHeight="1" s="104">
      <c r="A55" s="10" t="inlineStr">
        <is>
          <t>Austin ISD</t>
        </is>
      </c>
      <c r="B55" s="10" t="inlineStr">
        <is>
          <t>TX</t>
        </is>
      </c>
      <c r="C55" s="10" t="inlineStr">
        <is>
          <t>Bachelor's</t>
        </is>
      </c>
      <c r="D55" s="11" t="n">
        <v>9</v>
      </c>
      <c r="E55" s="12" t="n">
        <v>64940</v>
      </c>
      <c r="F55" s="13" t="inlineStr">
        <is>
          <t>2026-06-10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 ht="26.75" customHeight="1" s="104">
      <c r="A56" s="10" t="inlineStr">
        <is>
          <t>Austin ISD</t>
        </is>
      </c>
      <c r="B56" s="10" t="inlineStr">
        <is>
          <t>TX</t>
        </is>
      </c>
      <c r="C56" s="10" t="inlineStr">
        <is>
          <t>Bachelor's</t>
        </is>
      </c>
      <c r="D56" s="11" t="n">
        <v>10</v>
      </c>
      <c r="E56" s="12" t="n">
        <v>65000</v>
      </c>
      <c r="F56" s="13" t="inlineStr">
        <is>
          <t>2026-06-10</t>
        </is>
      </c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26.75" customHeight="1" s="104">
      <c r="A57" s="10" t="inlineStr">
        <is>
          <t>Austin ISD</t>
        </is>
      </c>
      <c r="B57" s="10" t="inlineStr">
        <is>
          <t>TX</t>
        </is>
      </c>
      <c r="C57" s="10" t="inlineStr">
        <is>
          <t>Master's</t>
        </is>
      </c>
      <c r="D57" s="11" t="n">
        <v>0</v>
      </c>
      <c r="E57" s="12" t="n">
        <v>60600</v>
      </c>
      <c r="F57" s="13" t="inlineStr">
        <is>
          <t>2026-06-10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 ht="26.75" customHeight="1" s="104">
      <c r="A58" s="10" t="inlineStr">
        <is>
          <t>Austin ISD</t>
        </is>
      </c>
      <c r="B58" s="10" t="inlineStr">
        <is>
          <t>TX</t>
        </is>
      </c>
      <c r="C58" s="10" t="inlineStr">
        <is>
          <t>Master's</t>
        </is>
      </c>
      <c r="D58" s="11" t="n">
        <v>1</v>
      </c>
      <c r="E58" s="12" t="n">
        <v>61420</v>
      </c>
      <c r="F58" s="13" t="inlineStr">
        <is>
          <t>2026-06-10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26.75" customHeight="1" s="104">
      <c r="A59" s="10" t="inlineStr">
        <is>
          <t>Austin ISD</t>
        </is>
      </c>
      <c r="B59" s="10" t="inlineStr">
        <is>
          <t>TX</t>
        </is>
      </c>
      <c r="C59" s="10" t="inlineStr">
        <is>
          <t>Master's</t>
        </is>
      </c>
      <c r="D59" s="11" t="n">
        <v>2</v>
      </c>
      <c r="E59" s="12" t="n">
        <v>62240</v>
      </c>
      <c r="F59" s="13" t="inlineStr">
        <is>
          <t>2026-06-10</t>
        </is>
      </c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</row>
    <row r="60" ht="26.75" customHeight="1" s="104">
      <c r="A60" s="10" t="inlineStr">
        <is>
          <t>Austin ISD</t>
        </is>
      </c>
      <c r="B60" s="10" t="inlineStr">
        <is>
          <t>TX</t>
        </is>
      </c>
      <c r="C60" s="10" t="inlineStr">
        <is>
          <t>Master's</t>
        </is>
      </c>
      <c r="D60" s="11" t="n">
        <v>3</v>
      </c>
      <c r="E60" s="12" t="n">
        <v>63060</v>
      </c>
      <c r="F60" s="13" t="inlineStr">
        <is>
          <t>2026-06-10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</row>
    <row r="61" ht="26.75" customHeight="1" s="104">
      <c r="A61" s="10" t="inlineStr">
        <is>
          <t>Austin ISD</t>
        </is>
      </c>
      <c r="B61" s="10" t="inlineStr">
        <is>
          <t>TX</t>
        </is>
      </c>
      <c r="C61" s="10" t="inlineStr">
        <is>
          <t>Master's</t>
        </is>
      </c>
      <c r="D61" s="11" t="n">
        <v>4</v>
      </c>
      <c r="E61" s="12" t="n">
        <v>63880</v>
      </c>
      <c r="F61" s="13" t="inlineStr">
        <is>
          <t>2026-06-10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</row>
    <row r="62" ht="26.75" customHeight="1" s="104">
      <c r="A62" s="10" t="inlineStr">
        <is>
          <t>Austin ISD</t>
        </is>
      </c>
      <c r="B62" s="10" t="inlineStr">
        <is>
          <t>TX</t>
        </is>
      </c>
      <c r="C62" s="10" t="inlineStr">
        <is>
          <t>Master's</t>
        </is>
      </c>
      <c r="D62" s="11" t="n">
        <v>5</v>
      </c>
      <c r="E62" s="12" t="n">
        <v>64700</v>
      </c>
      <c r="F62" s="13" t="inlineStr">
        <is>
          <t>2026-06-10</t>
        </is>
      </c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</row>
    <row r="63" ht="26.75" customHeight="1" s="104">
      <c r="A63" s="10" t="inlineStr">
        <is>
          <t>Austin ISD</t>
        </is>
      </c>
      <c r="B63" s="10" t="inlineStr">
        <is>
          <t>TX</t>
        </is>
      </c>
      <c r="C63" s="10" t="inlineStr">
        <is>
          <t>Master's</t>
        </is>
      </c>
      <c r="D63" s="11" t="n">
        <v>6</v>
      </c>
      <c r="E63" s="12" t="n">
        <v>64760</v>
      </c>
      <c r="F63" s="13" t="inlineStr">
        <is>
          <t>2026-06-10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</row>
    <row r="64" ht="26.75" customHeight="1" s="104">
      <c r="A64" s="10" t="inlineStr">
        <is>
          <t>Austin ISD</t>
        </is>
      </c>
      <c r="B64" s="10" t="inlineStr">
        <is>
          <t>TX</t>
        </is>
      </c>
      <c r="C64" s="10" t="inlineStr">
        <is>
          <t>Master's</t>
        </is>
      </c>
      <c r="D64" s="11" t="n">
        <v>7</v>
      </c>
      <c r="E64" s="12" t="n">
        <v>64820</v>
      </c>
      <c r="F64" s="13" t="inlineStr">
        <is>
          <t>2026-06-10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</row>
    <row r="65" ht="26.75" customHeight="1" s="104">
      <c r="A65" s="10" t="inlineStr">
        <is>
          <t>Austin ISD</t>
        </is>
      </c>
      <c r="B65" s="10" t="inlineStr">
        <is>
          <t>TX</t>
        </is>
      </c>
      <c r="C65" s="10" t="inlineStr">
        <is>
          <t>Master's</t>
        </is>
      </c>
      <c r="D65" s="11" t="n">
        <v>8</v>
      </c>
      <c r="E65" s="12" t="n">
        <v>64880</v>
      </c>
      <c r="F65" s="13" t="inlineStr">
        <is>
          <t>2026-06-10</t>
        </is>
      </c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</row>
    <row r="66" ht="26.75" customHeight="1" s="104">
      <c r="A66" s="10" t="inlineStr">
        <is>
          <t>Austin ISD</t>
        </is>
      </c>
      <c r="B66" s="10" t="inlineStr">
        <is>
          <t>TX</t>
        </is>
      </c>
      <c r="C66" s="10" t="inlineStr">
        <is>
          <t>Master's</t>
        </is>
      </c>
      <c r="D66" s="11" t="n">
        <v>9</v>
      </c>
      <c r="E66" s="12" t="n">
        <v>64940</v>
      </c>
      <c r="F66" s="13" t="inlineStr">
        <is>
          <t>2026-06-10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</row>
    <row r="67" ht="26.75" customHeight="1" s="104">
      <c r="A67" s="10" t="inlineStr">
        <is>
          <t>Austin ISD</t>
        </is>
      </c>
      <c r="B67" s="10" t="inlineStr">
        <is>
          <t>TX</t>
        </is>
      </c>
      <c r="C67" s="10" t="inlineStr">
        <is>
          <t>Master's</t>
        </is>
      </c>
      <c r="D67" s="11" t="n">
        <v>10</v>
      </c>
      <c r="E67" s="12" t="n">
        <v>65000</v>
      </c>
      <c r="F67" s="13" t="inlineStr">
        <is>
          <t>2026-06-10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</row>
    <row r="68" ht="26.75" customHeight="1" s="104">
      <c r="A68" s="10" t="inlineStr">
        <is>
          <t>Barbers Hill ISD</t>
        </is>
      </c>
      <c r="B68" s="10" t="inlineStr">
        <is>
          <t>TX</t>
        </is>
      </c>
      <c r="C68" s="10" t="inlineStr">
        <is>
          <t>Bachelor's</t>
        </is>
      </c>
      <c r="D68" s="11" t="n">
        <v>0</v>
      </c>
      <c r="E68" s="12" t="n">
        <v>66000</v>
      </c>
      <c r="F68" s="13" t="inlineStr">
        <is>
          <t>2026-06-11</t>
        </is>
      </c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</row>
    <row r="69" ht="26.75" customHeight="1" s="104">
      <c r="A69" s="10" t="inlineStr">
        <is>
          <t>Barbers Hill ISD</t>
        </is>
      </c>
      <c r="B69" s="10" t="inlineStr">
        <is>
          <t>TX</t>
        </is>
      </c>
      <c r="C69" s="10" t="inlineStr">
        <is>
          <t>Bachelor's</t>
        </is>
      </c>
      <c r="D69" s="11" t="n">
        <v>1</v>
      </c>
      <c r="E69" s="12" t="n">
        <v>67334</v>
      </c>
      <c r="F69" s="13" t="inlineStr">
        <is>
          <t>2026-06-11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</row>
    <row r="70" ht="26.75" customHeight="1" s="104">
      <c r="A70" s="10" t="inlineStr">
        <is>
          <t>Barbers Hill ISD</t>
        </is>
      </c>
      <c r="B70" s="10" t="inlineStr">
        <is>
          <t>TX</t>
        </is>
      </c>
      <c r="C70" s="10" t="inlineStr">
        <is>
          <t>Bachelor's</t>
        </is>
      </c>
      <c r="D70" s="11" t="n">
        <v>2</v>
      </c>
      <c r="E70" s="12" t="n">
        <v>68657</v>
      </c>
      <c r="F70" s="13" t="inlineStr">
        <is>
          <t>2026-06-11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</row>
    <row r="71" ht="26.75" customHeight="1" s="104">
      <c r="A71" s="10" t="inlineStr">
        <is>
          <t>Barbers Hill ISD</t>
        </is>
      </c>
      <c r="B71" s="10" t="inlineStr">
        <is>
          <t>TX</t>
        </is>
      </c>
      <c r="C71" s="10" t="inlineStr">
        <is>
          <t>Bachelor's</t>
        </is>
      </c>
      <c r="D71" s="11" t="n">
        <v>3</v>
      </c>
      <c r="E71" s="12" t="n">
        <v>70127</v>
      </c>
      <c r="F71" s="13" t="inlineStr">
        <is>
          <t>2026-06-11</t>
        </is>
      </c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</row>
    <row r="72" ht="26.75" customHeight="1" s="104">
      <c r="A72" s="10" t="inlineStr">
        <is>
          <t>Barbers Hill ISD</t>
        </is>
      </c>
      <c r="B72" s="10" t="inlineStr">
        <is>
          <t>TX</t>
        </is>
      </c>
      <c r="C72" s="10" t="inlineStr">
        <is>
          <t>Bachelor's</t>
        </is>
      </c>
      <c r="D72" s="11" t="n">
        <v>4</v>
      </c>
      <c r="E72" s="12" t="n">
        <v>70925</v>
      </c>
      <c r="F72" s="13" t="inlineStr">
        <is>
          <t>2026-06-11</t>
        </is>
      </c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</row>
    <row r="73" ht="26.75" customHeight="1" s="104">
      <c r="A73" s="10" t="inlineStr">
        <is>
          <t>Barbers Hill ISD</t>
        </is>
      </c>
      <c r="B73" s="10" t="inlineStr">
        <is>
          <t>TX</t>
        </is>
      </c>
      <c r="C73" s="10" t="inlineStr">
        <is>
          <t>Bachelor's</t>
        </is>
      </c>
      <c r="D73" s="11" t="n">
        <v>5</v>
      </c>
      <c r="E73" s="12" t="n">
        <v>75166</v>
      </c>
      <c r="F73" s="13" t="inlineStr">
        <is>
          <t>2026-06-11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</row>
    <row r="74" ht="26.75" customHeight="1" s="104">
      <c r="A74" s="10" t="inlineStr">
        <is>
          <t>Barbers Hill ISD</t>
        </is>
      </c>
      <c r="B74" s="10" t="inlineStr">
        <is>
          <t>TX</t>
        </is>
      </c>
      <c r="C74" s="10" t="inlineStr">
        <is>
          <t>Bachelor's</t>
        </is>
      </c>
      <c r="D74" s="11" t="n">
        <v>6</v>
      </c>
      <c r="E74" s="12" t="n">
        <v>75338</v>
      </c>
      <c r="F74" s="13" t="inlineStr">
        <is>
          <t>2026-06-11</t>
        </is>
      </c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</row>
    <row r="75" ht="26.75" customHeight="1" s="104">
      <c r="A75" s="10" t="inlineStr">
        <is>
          <t>Barbers Hill ISD</t>
        </is>
      </c>
      <c r="B75" s="10" t="inlineStr">
        <is>
          <t>TX</t>
        </is>
      </c>
      <c r="C75" s="10" t="inlineStr">
        <is>
          <t>Bachelor's</t>
        </is>
      </c>
      <c r="D75" s="11" t="n">
        <v>7</v>
      </c>
      <c r="E75" s="12" t="n">
        <v>75439</v>
      </c>
      <c r="F75" s="13" t="inlineStr">
        <is>
          <t>2026-06-11</t>
        </is>
      </c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</row>
    <row r="76" ht="26.75" customHeight="1" s="104">
      <c r="A76" s="10" t="inlineStr">
        <is>
          <t>Barbers Hill ISD</t>
        </is>
      </c>
      <c r="B76" s="10" t="inlineStr">
        <is>
          <t>TX</t>
        </is>
      </c>
      <c r="C76" s="10" t="inlineStr">
        <is>
          <t>Bachelor's</t>
        </is>
      </c>
      <c r="D76" s="11" t="n">
        <v>8</v>
      </c>
      <c r="E76" s="12" t="n">
        <v>76440</v>
      </c>
      <c r="F76" s="13" t="inlineStr">
        <is>
          <t>2026-06-11</t>
        </is>
      </c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</row>
    <row r="77" ht="26.75" customHeight="1" s="104">
      <c r="A77" s="10" t="inlineStr">
        <is>
          <t>Barbers Hill ISD</t>
        </is>
      </c>
      <c r="B77" s="10" t="inlineStr">
        <is>
          <t>TX</t>
        </is>
      </c>
      <c r="C77" s="10" t="inlineStr">
        <is>
          <t>Bachelor's</t>
        </is>
      </c>
      <c r="D77" s="11" t="n">
        <v>9</v>
      </c>
      <c r="E77" s="12" t="n">
        <v>76765</v>
      </c>
      <c r="F77" s="13" t="inlineStr">
        <is>
          <t>2026-06-11</t>
        </is>
      </c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</row>
    <row r="78" ht="26.75" customHeight="1" s="104">
      <c r="A78" s="10" t="inlineStr">
        <is>
          <t>Barbers Hill ISD</t>
        </is>
      </c>
      <c r="B78" s="10" t="inlineStr">
        <is>
          <t>TX</t>
        </is>
      </c>
      <c r="C78" s="10" t="inlineStr">
        <is>
          <t>Bachelor's</t>
        </is>
      </c>
      <c r="D78" s="11" t="n">
        <v>10</v>
      </c>
      <c r="E78" s="12" t="n">
        <v>77498</v>
      </c>
      <c r="F78" s="13" t="inlineStr">
        <is>
          <t>2026-06-11</t>
        </is>
      </c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</row>
    <row r="79" ht="26.75" customHeight="1" s="104">
      <c r="A79" s="10" t="inlineStr">
        <is>
          <t>Barbers Hill ISD</t>
        </is>
      </c>
      <c r="B79" s="10" t="inlineStr">
        <is>
          <t>TX</t>
        </is>
      </c>
      <c r="C79" s="10" t="inlineStr">
        <is>
          <t>Master's</t>
        </is>
      </c>
      <c r="D79" s="11" t="n">
        <v>0</v>
      </c>
      <c r="E79" s="12" t="n">
        <v>66000</v>
      </c>
      <c r="F79" s="13" t="inlineStr">
        <is>
          <t>2026-06-11</t>
        </is>
      </c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</row>
    <row r="80" ht="26.75" customHeight="1" s="104">
      <c r="A80" s="10" t="inlineStr">
        <is>
          <t>Barbers Hill ISD</t>
        </is>
      </c>
      <c r="B80" s="10" t="inlineStr">
        <is>
          <t>TX</t>
        </is>
      </c>
      <c r="C80" s="10" t="inlineStr">
        <is>
          <t>Master's</t>
        </is>
      </c>
      <c r="D80" s="11" t="n">
        <v>1</v>
      </c>
      <c r="E80" s="12" t="n">
        <v>67334</v>
      </c>
      <c r="F80" s="13" t="inlineStr">
        <is>
          <t>2026-06-11</t>
        </is>
      </c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</row>
    <row r="81" ht="26.75" customHeight="1" s="104">
      <c r="A81" s="10" t="inlineStr">
        <is>
          <t>Barbers Hill ISD</t>
        </is>
      </c>
      <c r="B81" s="10" t="inlineStr">
        <is>
          <t>TX</t>
        </is>
      </c>
      <c r="C81" s="10" t="inlineStr">
        <is>
          <t>Master's</t>
        </is>
      </c>
      <c r="D81" s="11" t="n">
        <v>2</v>
      </c>
      <c r="E81" s="12" t="n">
        <v>68657</v>
      </c>
      <c r="F81" s="13" t="inlineStr">
        <is>
          <t>2026-06-11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</row>
    <row r="82" ht="26.75" customHeight="1" s="104">
      <c r="A82" s="10" t="inlineStr">
        <is>
          <t>Barbers Hill ISD</t>
        </is>
      </c>
      <c r="B82" s="10" t="inlineStr">
        <is>
          <t>TX</t>
        </is>
      </c>
      <c r="C82" s="10" t="inlineStr">
        <is>
          <t>Master's</t>
        </is>
      </c>
      <c r="D82" s="11" t="n">
        <v>3</v>
      </c>
      <c r="E82" s="12" t="n">
        <v>70127</v>
      </c>
      <c r="F82" s="13" t="inlineStr">
        <is>
          <t>2026-06-11</t>
        </is>
      </c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</row>
    <row r="83" ht="26.75" customHeight="1" s="104">
      <c r="A83" s="10" t="inlineStr">
        <is>
          <t>Barbers Hill ISD</t>
        </is>
      </c>
      <c r="B83" s="10" t="inlineStr">
        <is>
          <t>TX</t>
        </is>
      </c>
      <c r="C83" s="10" t="inlineStr">
        <is>
          <t>Master's</t>
        </is>
      </c>
      <c r="D83" s="11" t="n">
        <v>4</v>
      </c>
      <c r="E83" s="12" t="n">
        <v>70925</v>
      </c>
      <c r="F83" s="13" t="inlineStr">
        <is>
          <t>2026-06-11</t>
        </is>
      </c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</row>
    <row r="84" ht="26.75" customHeight="1" s="104">
      <c r="A84" s="10" t="inlineStr">
        <is>
          <t>Barbers Hill ISD</t>
        </is>
      </c>
      <c r="B84" s="10" t="inlineStr">
        <is>
          <t>TX</t>
        </is>
      </c>
      <c r="C84" s="10" t="inlineStr">
        <is>
          <t>Master's</t>
        </is>
      </c>
      <c r="D84" s="11" t="n">
        <v>5</v>
      </c>
      <c r="E84" s="12" t="n">
        <v>75166</v>
      </c>
      <c r="F84" s="13" t="inlineStr">
        <is>
          <t>2026-06-11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</row>
    <row r="85" ht="26.75" customHeight="1" s="104">
      <c r="A85" s="10" t="inlineStr">
        <is>
          <t>Barbers Hill ISD</t>
        </is>
      </c>
      <c r="B85" s="10" t="inlineStr">
        <is>
          <t>TX</t>
        </is>
      </c>
      <c r="C85" s="10" t="inlineStr">
        <is>
          <t>Master's</t>
        </is>
      </c>
      <c r="D85" s="11" t="n">
        <v>6</v>
      </c>
      <c r="E85" s="12" t="n">
        <v>75338</v>
      </c>
      <c r="F85" s="13" t="inlineStr">
        <is>
          <t>2026-06-11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</row>
    <row r="86" ht="26.75" customHeight="1" s="104">
      <c r="A86" s="10" t="inlineStr">
        <is>
          <t>Barbers Hill ISD</t>
        </is>
      </c>
      <c r="B86" s="10" t="inlineStr">
        <is>
          <t>TX</t>
        </is>
      </c>
      <c r="C86" s="10" t="inlineStr">
        <is>
          <t>Master's</t>
        </is>
      </c>
      <c r="D86" s="11" t="n">
        <v>7</v>
      </c>
      <c r="E86" s="12" t="n">
        <v>75439</v>
      </c>
      <c r="F86" s="13" t="inlineStr">
        <is>
          <t>2026-06-11</t>
        </is>
      </c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</row>
    <row r="87" ht="26.75" customHeight="1" s="104">
      <c r="A87" s="10" t="inlineStr">
        <is>
          <t>Barbers Hill ISD</t>
        </is>
      </c>
      <c r="B87" s="10" t="inlineStr">
        <is>
          <t>TX</t>
        </is>
      </c>
      <c r="C87" s="10" t="inlineStr">
        <is>
          <t>Master's</t>
        </is>
      </c>
      <c r="D87" s="11" t="n">
        <v>8</v>
      </c>
      <c r="E87" s="12" t="n">
        <v>76440</v>
      </c>
      <c r="F87" s="13" t="inlineStr">
        <is>
          <t>2026-06-11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</row>
    <row r="88" ht="26.75" customHeight="1" s="104">
      <c r="A88" s="10" t="inlineStr">
        <is>
          <t>Barbers Hill ISD</t>
        </is>
      </c>
      <c r="B88" s="10" t="inlineStr">
        <is>
          <t>TX</t>
        </is>
      </c>
      <c r="C88" s="10" t="inlineStr">
        <is>
          <t>Master's</t>
        </is>
      </c>
      <c r="D88" s="11" t="n">
        <v>9</v>
      </c>
      <c r="E88" s="12" t="n">
        <v>76765</v>
      </c>
      <c r="F88" s="13" t="inlineStr">
        <is>
          <t>2026-06-11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</row>
    <row r="89" ht="26.75" customHeight="1" s="104">
      <c r="A89" s="10" t="inlineStr">
        <is>
          <t>Barbers Hill ISD</t>
        </is>
      </c>
      <c r="B89" s="10" t="inlineStr">
        <is>
          <t>TX</t>
        </is>
      </c>
      <c r="C89" s="10" t="inlineStr">
        <is>
          <t>Master's</t>
        </is>
      </c>
      <c r="D89" s="11" t="n">
        <v>10</v>
      </c>
      <c r="E89" s="12" t="n">
        <v>77498</v>
      </c>
      <c r="F89" s="13" t="inlineStr">
        <is>
          <t>2026-06-11</t>
        </is>
      </c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</row>
    <row r="90" ht="26.75" customHeight="1" s="104">
      <c r="A90" s="10" t="inlineStr">
        <is>
          <t>Beaverton School District</t>
        </is>
      </c>
      <c r="B90" s="10" t="inlineStr">
        <is>
          <t>OR</t>
        </is>
      </c>
      <c r="C90" s="10" t="inlineStr">
        <is>
          <t>Bachelor's</t>
        </is>
      </c>
      <c r="D90" s="11" t="n">
        <v>0</v>
      </c>
      <c r="E90" s="12" t="n">
        <v>55872</v>
      </c>
      <c r="F90" s="10" t="inlineStr">
        <is>
          <t>2026-06-15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</row>
    <row r="91" ht="26.75" customHeight="1" s="104">
      <c r="A91" s="10" t="inlineStr">
        <is>
          <t>Beaverton School District</t>
        </is>
      </c>
      <c r="B91" s="10" t="inlineStr">
        <is>
          <t>OR</t>
        </is>
      </c>
      <c r="C91" s="10" t="inlineStr">
        <is>
          <t>Bachelor's</t>
        </is>
      </c>
      <c r="D91" s="11" t="n">
        <v>1</v>
      </c>
      <c r="E91" s="12" t="n">
        <v>58345</v>
      </c>
      <c r="F91" s="10" t="inlineStr">
        <is>
          <t>2026-06-15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</row>
    <row r="92" ht="26.75" customHeight="1" s="104">
      <c r="A92" s="10" t="inlineStr">
        <is>
          <t>Beaverton School District</t>
        </is>
      </c>
      <c r="B92" s="10" t="inlineStr">
        <is>
          <t>OR</t>
        </is>
      </c>
      <c r="C92" s="10" t="inlineStr">
        <is>
          <t>Bachelor's</t>
        </is>
      </c>
      <c r="D92" s="11" t="n">
        <v>2</v>
      </c>
      <c r="E92" s="12" t="n">
        <v>60818</v>
      </c>
      <c r="F92" s="10" t="inlineStr">
        <is>
          <t>2026-06-15</t>
        </is>
      </c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</row>
    <row r="93" ht="26.75" customHeight="1" s="104">
      <c r="A93" s="10" t="inlineStr">
        <is>
          <t>Beaverton School District</t>
        </is>
      </c>
      <c r="B93" s="10" t="inlineStr">
        <is>
          <t>OR</t>
        </is>
      </c>
      <c r="C93" s="10" t="inlineStr">
        <is>
          <t>Bachelor's</t>
        </is>
      </c>
      <c r="D93" s="11" t="n">
        <v>3</v>
      </c>
      <c r="E93" s="12" t="n">
        <v>63290</v>
      </c>
      <c r="F93" s="10" t="inlineStr">
        <is>
          <t>2026-06-15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</row>
    <row r="94" ht="26.75" customHeight="1" s="104">
      <c r="A94" s="10" t="inlineStr">
        <is>
          <t>Beaverton School District</t>
        </is>
      </c>
      <c r="B94" s="10" t="inlineStr">
        <is>
          <t>OR</t>
        </is>
      </c>
      <c r="C94" s="10" t="inlineStr">
        <is>
          <t>Bachelor's</t>
        </is>
      </c>
      <c r="D94" s="11" t="n">
        <v>4</v>
      </c>
      <c r="E94" s="12" t="n">
        <v>65763</v>
      </c>
      <c r="F94" s="10" t="inlineStr">
        <is>
          <t>2026-06-15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</row>
    <row r="95" ht="26.75" customHeight="1" s="104">
      <c r="A95" s="10" t="inlineStr">
        <is>
          <t>Beaverton School District</t>
        </is>
      </c>
      <c r="B95" s="10" t="inlineStr">
        <is>
          <t>OR</t>
        </is>
      </c>
      <c r="C95" s="10" t="inlineStr">
        <is>
          <t>Bachelor's</t>
        </is>
      </c>
      <c r="D95" s="11" t="n">
        <v>5</v>
      </c>
      <c r="E95" s="12" t="n">
        <v>68235</v>
      </c>
      <c r="F95" s="10" t="inlineStr">
        <is>
          <t>2026-06-15</t>
        </is>
      </c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</row>
    <row r="96" ht="26.75" customHeight="1" s="104">
      <c r="A96" s="10" t="inlineStr">
        <is>
          <t>Beaverton School District</t>
        </is>
      </c>
      <c r="B96" s="10" t="inlineStr">
        <is>
          <t>OR</t>
        </is>
      </c>
      <c r="C96" s="10" t="inlineStr">
        <is>
          <t>Bachelor's</t>
        </is>
      </c>
      <c r="D96" s="11" t="n">
        <v>6</v>
      </c>
      <c r="E96" s="12" t="n">
        <v>70708</v>
      </c>
      <c r="F96" s="10" t="inlineStr">
        <is>
          <t>2026-06-15</t>
        </is>
      </c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</row>
    <row r="97" ht="26.75" customHeight="1" s="104">
      <c r="A97" s="10" t="inlineStr">
        <is>
          <t>Beaverton School District</t>
        </is>
      </c>
      <c r="B97" s="10" t="inlineStr">
        <is>
          <t>OR</t>
        </is>
      </c>
      <c r="C97" s="10" t="inlineStr">
        <is>
          <t>Bachelor's</t>
        </is>
      </c>
      <c r="D97" s="11" t="n">
        <v>7</v>
      </c>
      <c r="E97" s="12" t="n">
        <v>73180</v>
      </c>
      <c r="F97" s="10" t="inlineStr">
        <is>
          <t>2026-06-15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</row>
    <row r="98" ht="26.75" customHeight="1" s="104">
      <c r="A98" s="10" t="inlineStr">
        <is>
          <t>Beaverton School District</t>
        </is>
      </c>
      <c r="B98" s="10" t="inlineStr">
        <is>
          <t>OR</t>
        </is>
      </c>
      <c r="C98" s="10" t="inlineStr">
        <is>
          <t>Bachelor's</t>
        </is>
      </c>
      <c r="D98" s="11" t="n">
        <v>8</v>
      </c>
      <c r="E98" s="12" t="n">
        <v>75653</v>
      </c>
      <c r="F98" s="10" t="inlineStr">
        <is>
          <t>2026-06-15</t>
        </is>
      </c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</row>
    <row r="99" ht="26.75" customHeight="1" s="104">
      <c r="A99" s="10" t="inlineStr">
        <is>
          <t>Beaverton School District</t>
        </is>
      </c>
      <c r="B99" s="10" t="inlineStr">
        <is>
          <t>OR</t>
        </is>
      </c>
      <c r="C99" s="10" t="inlineStr">
        <is>
          <t>Bachelor's</t>
        </is>
      </c>
      <c r="D99" s="11" t="n">
        <v>9</v>
      </c>
      <c r="E99" s="12" t="n">
        <v>78125</v>
      </c>
      <c r="F99" s="10" t="inlineStr">
        <is>
          <t>2026-06-15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</row>
    <row r="100" ht="26.75" customHeight="1" s="104">
      <c r="A100" s="10" t="inlineStr">
        <is>
          <t>Beaverton School District</t>
        </is>
      </c>
      <c r="B100" s="10" t="inlineStr">
        <is>
          <t>OR</t>
        </is>
      </c>
      <c r="C100" s="10" t="inlineStr">
        <is>
          <t>Bachelor's</t>
        </is>
      </c>
      <c r="D100" s="11" t="n">
        <v>10</v>
      </c>
      <c r="E100" s="12" t="n">
        <v>80598</v>
      </c>
      <c r="F100" s="10" t="inlineStr">
        <is>
          <t>2026-06-15</t>
        </is>
      </c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</row>
    <row r="101" ht="26.75" customHeight="1" s="104">
      <c r="A101" s="10" t="inlineStr">
        <is>
          <t>Beaverton School District</t>
        </is>
      </c>
      <c r="B101" s="10" t="inlineStr">
        <is>
          <t>OR</t>
        </is>
      </c>
      <c r="C101" s="10" t="inlineStr">
        <is>
          <t>Master's</t>
        </is>
      </c>
      <c r="D101" s="11" t="n">
        <v>0</v>
      </c>
      <c r="E101" s="12" t="n">
        <v>61373</v>
      </c>
      <c r="F101" s="10" t="inlineStr">
        <is>
          <t>2026-06-15</t>
        </is>
      </c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</row>
    <row r="102" ht="26.75" customHeight="1" s="104">
      <c r="A102" s="10" t="inlineStr">
        <is>
          <t>Beaverton School District</t>
        </is>
      </c>
      <c r="B102" s="10" t="inlineStr">
        <is>
          <t>OR</t>
        </is>
      </c>
      <c r="C102" s="10" t="inlineStr">
        <is>
          <t>Master's</t>
        </is>
      </c>
      <c r="D102" s="11" t="n">
        <v>1</v>
      </c>
      <c r="E102" s="12" t="n">
        <v>63984</v>
      </c>
      <c r="F102" s="10" t="inlineStr">
        <is>
          <t>2026-06-15</t>
        </is>
      </c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</row>
    <row r="103" ht="26.75" customHeight="1" s="104">
      <c r="A103" s="10" t="inlineStr">
        <is>
          <t>Beaverton School District</t>
        </is>
      </c>
      <c r="B103" s="10" t="inlineStr">
        <is>
          <t>OR</t>
        </is>
      </c>
      <c r="C103" s="10" t="inlineStr">
        <is>
          <t>Master's</t>
        </is>
      </c>
      <c r="D103" s="11" t="n">
        <v>2</v>
      </c>
      <c r="E103" s="12" t="n">
        <v>66595</v>
      </c>
      <c r="F103" s="10" t="inlineStr">
        <is>
          <t>2026-06-15</t>
        </is>
      </c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</row>
    <row r="104" ht="26.75" customHeight="1" s="104">
      <c r="A104" s="10" t="inlineStr">
        <is>
          <t>Beaverton School District</t>
        </is>
      </c>
      <c r="B104" s="10" t="inlineStr">
        <is>
          <t>OR</t>
        </is>
      </c>
      <c r="C104" s="10" t="inlineStr">
        <is>
          <t>Master's</t>
        </is>
      </c>
      <c r="D104" s="11" t="n">
        <v>3</v>
      </c>
      <c r="E104" s="12" t="n">
        <v>69206</v>
      </c>
      <c r="F104" s="10" t="inlineStr">
        <is>
          <t>2026-06-15</t>
        </is>
      </c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</row>
    <row r="105" ht="26.75" customHeight="1" s="104">
      <c r="A105" s="10" t="inlineStr">
        <is>
          <t>Beaverton School District</t>
        </is>
      </c>
      <c r="B105" s="10" t="inlineStr">
        <is>
          <t>OR</t>
        </is>
      </c>
      <c r="C105" s="10" t="inlineStr">
        <is>
          <t>Master's</t>
        </is>
      </c>
      <c r="D105" s="11" t="n">
        <v>4</v>
      </c>
      <c r="E105" s="12" t="n">
        <v>71816</v>
      </c>
      <c r="F105" s="10" t="inlineStr">
        <is>
          <t>2026-06-15</t>
        </is>
      </c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</row>
    <row r="106" ht="26.75" customHeight="1" s="104">
      <c r="A106" s="10" t="inlineStr">
        <is>
          <t>Beaverton School District</t>
        </is>
      </c>
      <c r="B106" s="10" t="inlineStr">
        <is>
          <t>OR</t>
        </is>
      </c>
      <c r="C106" s="10" t="inlineStr">
        <is>
          <t>Master's</t>
        </is>
      </c>
      <c r="D106" s="11" t="n">
        <v>5</v>
      </c>
      <c r="E106" s="12" t="n">
        <v>74426</v>
      </c>
      <c r="F106" s="10" t="inlineStr">
        <is>
          <t>2026-06-15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</row>
    <row r="107" ht="26.75" customHeight="1" s="104">
      <c r="A107" s="10" t="inlineStr">
        <is>
          <t>Beaverton School District</t>
        </is>
      </c>
      <c r="B107" s="10" t="inlineStr">
        <is>
          <t>OR</t>
        </is>
      </c>
      <c r="C107" s="10" t="inlineStr">
        <is>
          <t>Master's</t>
        </is>
      </c>
      <c r="D107" s="11" t="n">
        <v>6</v>
      </c>
      <c r="E107" s="12" t="n">
        <v>77037</v>
      </c>
      <c r="F107" s="10" t="inlineStr">
        <is>
          <t>2026-06-15</t>
        </is>
      </c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</row>
    <row r="108" ht="26.75" customHeight="1" s="104">
      <c r="A108" s="10" t="inlineStr">
        <is>
          <t>Beaverton School District</t>
        </is>
      </c>
      <c r="B108" s="10" t="inlineStr">
        <is>
          <t>OR</t>
        </is>
      </c>
      <c r="C108" s="10" t="inlineStr">
        <is>
          <t>Master's</t>
        </is>
      </c>
      <c r="D108" s="11" t="n">
        <v>7</v>
      </c>
      <c r="E108" s="12" t="n">
        <v>79648</v>
      </c>
      <c r="F108" s="10" t="inlineStr">
        <is>
          <t>2026-06-15</t>
        </is>
      </c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</row>
    <row r="109" ht="26.75" customHeight="1" s="104">
      <c r="A109" s="10" t="inlineStr">
        <is>
          <t>Beaverton School District</t>
        </is>
      </c>
      <c r="B109" s="10" t="inlineStr">
        <is>
          <t>OR</t>
        </is>
      </c>
      <c r="C109" s="10" t="inlineStr">
        <is>
          <t>Master's</t>
        </is>
      </c>
      <c r="D109" s="11" t="n">
        <v>8</v>
      </c>
      <c r="E109" s="12" t="n">
        <v>82259</v>
      </c>
      <c r="F109" s="10" t="inlineStr">
        <is>
          <t>2026-06-15</t>
        </is>
      </c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</row>
    <row r="110" ht="26.75" customHeight="1" s="104">
      <c r="A110" s="10" t="inlineStr">
        <is>
          <t>Beaverton School District</t>
        </is>
      </c>
      <c r="B110" s="10" t="inlineStr">
        <is>
          <t>OR</t>
        </is>
      </c>
      <c r="C110" s="10" t="inlineStr">
        <is>
          <t>Master's</t>
        </is>
      </c>
      <c r="D110" s="11" t="n">
        <v>9</v>
      </c>
      <c r="E110" s="12" t="n">
        <v>84870</v>
      </c>
      <c r="F110" s="10" t="inlineStr">
        <is>
          <t>2026-06-15</t>
        </is>
      </c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</row>
    <row r="111" ht="26.75" customHeight="1" s="104">
      <c r="A111" s="10" t="inlineStr">
        <is>
          <t>Beaverton School District</t>
        </is>
      </c>
      <c r="B111" s="10" t="inlineStr">
        <is>
          <t>OR</t>
        </is>
      </c>
      <c r="C111" s="10" t="inlineStr">
        <is>
          <t>Master's</t>
        </is>
      </c>
      <c r="D111" s="11" t="n">
        <v>10</v>
      </c>
      <c r="E111" s="12" t="n">
        <v>87480</v>
      </c>
      <c r="F111" s="10" t="inlineStr">
        <is>
          <t>2026-06-15</t>
        </is>
      </c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</row>
    <row r="112" ht="26.75" customHeight="1" s="104">
      <c r="A112" s="10" t="inlineStr">
        <is>
          <t>Canyons School District</t>
        </is>
      </c>
      <c r="B112" s="10" t="inlineStr">
        <is>
          <t>UT</t>
        </is>
      </c>
      <c r="C112" s="10" t="inlineStr">
        <is>
          <t>Bachelor's</t>
        </is>
      </c>
      <c r="D112" s="11" t="n">
        <v>0</v>
      </c>
      <c r="E112" s="12" t="n">
        <v>64200</v>
      </c>
      <c r="F112" s="13" t="inlineStr">
        <is>
          <t>2026-06-11</t>
        </is>
      </c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</row>
    <row r="113" ht="26.75" customHeight="1" s="104">
      <c r="A113" s="10" t="inlineStr">
        <is>
          <t>Canyons School District</t>
        </is>
      </c>
      <c r="B113" s="10" t="inlineStr">
        <is>
          <t>UT</t>
        </is>
      </c>
      <c r="C113" s="10" t="inlineStr">
        <is>
          <t>Bachelor's</t>
        </is>
      </c>
      <c r="D113" s="11" t="n">
        <v>1</v>
      </c>
      <c r="E113" s="12" t="n">
        <v>65150</v>
      </c>
      <c r="F113" s="13" t="inlineStr">
        <is>
          <t>2026-06-11</t>
        </is>
      </c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</row>
    <row r="114" ht="26.75" customHeight="1" s="104">
      <c r="A114" s="10" t="inlineStr">
        <is>
          <t>Canyons School District</t>
        </is>
      </c>
      <c r="B114" s="10" t="inlineStr">
        <is>
          <t>UT</t>
        </is>
      </c>
      <c r="C114" s="10" t="inlineStr">
        <is>
          <t>Bachelor's</t>
        </is>
      </c>
      <c r="D114" s="11" t="n">
        <v>2</v>
      </c>
      <c r="E114" s="12" t="n">
        <v>66100</v>
      </c>
      <c r="F114" s="13" t="inlineStr">
        <is>
          <t>2026-06-11</t>
        </is>
      </c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</row>
    <row r="115" ht="26.75" customHeight="1" s="104">
      <c r="A115" s="10" t="inlineStr">
        <is>
          <t>Canyons School District</t>
        </is>
      </c>
      <c r="B115" s="10" t="inlineStr">
        <is>
          <t>UT</t>
        </is>
      </c>
      <c r="C115" s="10" t="inlineStr">
        <is>
          <t>Bachelor's</t>
        </is>
      </c>
      <c r="D115" s="11" t="n">
        <v>3</v>
      </c>
      <c r="E115" s="12" t="n">
        <v>67050</v>
      </c>
      <c r="F115" s="13" t="inlineStr">
        <is>
          <t>2026-06-11</t>
        </is>
      </c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</row>
    <row r="116" ht="26.75" customHeight="1" s="104">
      <c r="A116" s="10" t="inlineStr">
        <is>
          <t>Canyons School District</t>
        </is>
      </c>
      <c r="B116" s="10" t="inlineStr">
        <is>
          <t>UT</t>
        </is>
      </c>
      <c r="C116" s="10" t="inlineStr">
        <is>
          <t>Bachelor's</t>
        </is>
      </c>
      <c r="D116" s="11" t="n">
        <v>4</v>
      </c>
      <c r="E116" s="12" t="n">
        <v>68000</v>
      </c>
      <c r="F116" s="13" t="inlineStr">
        <is>
          <t>2026-06-11</t>
        </is>
      </c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</row>
    <row r="117" ht="26.75" customHeight="1" s="104">
      <c r="A117" s="10" t="inlineStr">
        <is>
          <t>Canyons School District</t>
        </is>
      </c>
      <c r="B117" s="10" t="inlineStr">
        <is>
          <t>UT</t>
        </is>
      </c>
      <c r="C117" s="10" t="inlineStr">
        <is>
          <t>Bachelor's</t>
        </is>
      </c>
      <c r="D117" s="11" t="n">
        <v>5</v>
      </c>
      <c r="E117" s="12" t="n">
        <v>68950</v>
      </c>
      <c r="F117" s="13" t="inlineStr">
        <is>
          <t>2026-06-11</t>
        </is>
      </c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</row>
    <row r="118" ht="26.75" customHeight="1" s="104">
      <c r="A118" s="10" t="inlineStr">
        <is>
          <t>Canyons School District</t>
        </is>
      </c>
      <c r="B118" s="10" t="inlineStr">
        <is>
          <t>UT</t>
        </is>
      </c>
      <c r="C118" s="10" t="inlineStr">
        <is>
          <t>Bachelor's</t>
        </is>
      </c>
      <c r="D118" s="11" t="n">
        <v>6</v>
      </c>
      <c r="E118" s="12" t="n">
        <v>69900</v>
      </c>
      <c r="F118" s="13" t="inlineStr">
        <is>
          <t>2026-06-11</t>
        </is>
      </c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</row>
    <row r="119" ht="26.75" customHeight="1" s="104">
      <c r="A119" s="10" t="inlineStr">
        <is>
          <t>Canyons School District</t>
        </is>
      </c>
      <c r="B119" s="10" t="inlineStr">
        <is>
          <t>UT</t>
        </is>
      </c>
      <c r="C119" s="10" t="inlineStr">
        <is>
          <t>Bachelor's</t>
        </is>
      </c>
      <c r="D119" s="11" t="n">
        <v>7</v>
      </c>
      <c r="E119" s="12" t="n">
        <v>70850</v>
      </c>
      <c r="F119" s="13" t="inlineStr">
        <is>
          <t>2026-06-11</t>
        </is>
      </c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</row>
    <row r="120" ht="26.75" customHeight="1" s="104">
      <c r="A120" s="10" t="inlineStr">
        <is>
          <t>Canyons School District</t>
        </is>
      </c>
      <c r="B120" s="10" t="inlineStr">
        <is>
          <t>UT</t>
        </is>
      </c>
      <c r="C120" s="10" t="inlineStr">
        <is>
          <t>Bachelor's</t>
        </is>
      </c>
      <c r="D120" s="11" t="n">
        <v>8</v>
      </c>
      <c r="E120" s="12" t="n">
        <v>71800</v>
      </c>
      <c r="F120" s="13" t="inlineStr">
        <is>
          <t>2026-06-11</t>
        </is>
      </c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</row>
    <row r="121" ht="26.75" customHeight="1" s="104">
      <c r="A121" s="10" t="inlineStr">
        <is>
          <t>Canyons School District</t>
        </is>
      </c>
      <c r="B121" s="10" t="inlineStr">
        <is>
          <t>UT</t>
        </is>
      </c>
      <c r="C121" s="10" t="inlineStr">
        <is>
          <t>Bachelor's</t>
        </is>
      </c>
      <c r="D121" s="11" t="n">
        <v>9</v>
      </c>
      <c r="E121" s="12" t="n">
        <v>72750</v>
      </c>
      <c r="F121" s="13" t="inlineStr">
        <is>
          <t>2026-06-11</t>
        </is>
      </c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</row>
    <row r="122" ht="26.75" customHeight="1" s="104">
      <c r="A122" s="10" t="inlineStr">
        <is>
          <t>Canyons School District</t>
        </is>
      </c>
      <c r="B122" s="10" t="inlineStr">
        <is>
          <t>UT</t>
        </is>
      </c>
      <c r="C122" s="10" t="inlineStr">
        <is>
          <t>Bachelor's</t>
        </is>
      </c>
      <c r="D122" s="11" t="n">
        <v>10</v>
      </c>
      <c r="E122" s="12" t="n">
        <v>73700</v>
      </c>
      <c r="F122" s="13" t="inlineStr">
        <is>
          <t>2026-06-11</t>
        </is>
      </c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</row>
    <row r="123" ht="26.75" customHeight="1" s="104">
      <c r="A123" s="10" t="inlineStr">
        <is>
          <t>Canyons School District</t>
        </is>
      </c>
      <c r="B123" s="10" t="inlineStr">
        <is>
          <t>UT</t>
        </is>
      </c>
      <c r="C123" s="10" t="inlineStr">
        <is>
          <t>Master's</t>
        </is>
      </c>
      <c r="D123" s="11" t="n">
        <v>0</v>
      </c>
      <c r="E123" s="12" t="n">
        <v>69900</v>
      </c>
      <c r="F123" s="13" t="inlineStr">
        <is>
          <t>2026-06-11</t>
        </is>
      </c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</row>
    <row r="124" ht="26.75" customHeight="1" s="104">
      <c r="A124" s="10" t="inlineStr">
        <is>
          <t>Canyons School District</t>
        </is>
      </c>
      <c r="B124" s="10" t="inlineStr">
        <is>
          <t>UT</t>
        </is>
      </c>
      <c r="C124" s="10" t="inlineStr">
        <is>
          <t>Master's</t>
        </is>
      </c>
      <c r="D124" s="11" t="n">
        <v>1</v>
      </c>
      <c r="E124" s="12" t="n">
        <v>70850</v>
      </c>
      <c r="F124" s="13" t="inlineStr">
        <is>
          <t>2026-06-11</t>
        </is>
      </c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</row>
    <row r="125" ht="26.75" customHeight="1" s="104">
      <c r="A125" s="10" t="inlineStr">
        <is>
          <t>Canyons School District</t>
        </is>
      </c>
      <c r="B125" s="10" t="inlineStr">
        <is>
          <t>UT</t>
        </is>
      </c>
      <c r="C125" s="10" t="inlineStr">
        <is>
          <t>Master's</t>
        </is>
      </c>
      <c r="D125" s="11" t="n">
        <v>2</v>
      </c>
      <c r="E125" s="12" t="n">
        <v>71800</v>
      </c>
      <c r="F125" s="13" t="inlineStr">
        <is>
          <t>2026-06-11</t>
        </is>
      </c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</row>
    <row r="126" ht="26.75" customHeight="1" s="104">
      <c r="A126" s="10" t="inlineStr">
        <is>
          <t>Canyons School District</t>
        </is>
      </c>
      <c r="B126" s="10" t="inlineStr">
        <is>
          <t>UT</t>
        </is>
      </c>
      <c r="C126" s="10" t="inlineStr">
        <is>
          <t>Master's</t>
        </is>
      </c>
      <c r="D126" s="11" t="n">
        <v>3</v>
      </c>
      <c r="E126" s="12" t="n">
        <v>72750</v>
      </c>
      <c r="F126" s="13" t="inlineStr">
        <is>
          <t>2026-06-11</t>
        </is>
      </c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</row>
    <row r="127" ht="26.75" customHeight="1" s="104">
      <c r="A127" s="10" t="inlineStr">
        <is>
          <t>Canyons School District</t>
        </is>
      </c>
      <c r="B127" s="10" t="inlineStr">
        <is>
          <t>UT</t>
        </is>
      </c>
      <c r="C127" s="10" t="inlineStr">
        <is>
          <t>Master's</t>
        </is>
      </c>
      <c r="D127" s="11" t="n">
        <v>4</v>
      </c>
      <c r="E127" s="12" t="n">
        <v>73700</v>
      </c>
      <c r="F127" s="13" t="inlineStr">
        <is>
          <t>2026-06-11</t>
        </is>
      </c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</row>
    <row r="128" ht="26.75" customHeight="1" s="104">
      <c r="A128" s="10" t="inlineStr">
        <is>
          <t>Canyons School District</t>
        </is>
      </c>
      <c r="B128" s="10" t="inlineStr">
        <is>
          <t>UT</t>
        </is>
      </c>
      <c r="C128" s="10" t="inlineStr">
        <is>
          <t>Master's</t>
        </is>
      </c>
      <c r="D128" s="11" t="n">
        <v>5</v>
      </c>
      <c r="E128" s="12" t="n">
        <v>74650</v>
      </c>
      <c r="F128" s="13" t="inlineStr">
        <is>
          <t>2026-06-11</t>
        </is>
      </c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</row>
    <row r="129" ht="26.75" customHeight="1" s="104">
      <c r="A129" s="10" t="inlineStr">
        <is>
          <t>Canyons School District</t>
        </is>
      </c>
      <c r="B129" s="10" t="inlineStr">
        <is>
          <t>UT</t>
        </is>
      </c>
      <c r="C129" s="10" t="inlineStr">
        <is>
          <t>Master's</t>
        </is>
      </c>
      <c r="D129" s="11" t="n">
        <v>6</v>
      </c>
      <c r="E129" s="12" t="n">
        <v>75600</v>
      </c>
      <c r="F129" s="13" t="inlineStr">
        <is>
          <t>2026-06-11</t>
        </is>
      </c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</row>
    <row r="130" ht="26.75" customHeight="1" s="104">
      <c r="A130" s="10" t="inlineStr">
        <is>
          <t>Canyons School District</t>
        </is>
      </c>
      <c r="B130" s="10" t="inlineStr">
        <is>
          <t>UT</t>
        </is>
      </c>
      <c r="C130" s="10" t="inlineStr">
        <is>
          <t>Master's</t>
        </is>
      </c>
      <c r="D130" s="11" t="n">
        <v>7</v>
      </c>
      <c r="E130" s="12" t="n">
        <v>76550</v>
      </c>
      <c r="F130" s="13" t="inlineStr">
        <is>
          <t>2026-06-11</t>
        </is>
      </c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</row>
    <row r="131" ht="26.75" customHeight="1" s="104">
      <c r="A131" s="10" t="inlineStr">
        <is>
          <t>Canyons School District</t>
        </is>
      </c>
      <c r="B131" s="10" t="inlineStr">
        <is>
          <t>UT</t>
        </is>
      </c>
      <c r="C131" s="10" t="inlineStr">
        <is>
          <t>Master's</t>
        </is>
      </c>
      <c r="D131" s="11" t="n">
        <v>8</v>
      </c>
      <c r="E131" s="12" t="n">
        <v>77500</v>
      </c>
      <c r="F131" s="13" t="inlineStr">
        <is>
          <t>2026-06-11</t>
        </is>
      </c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</row>
    <row r="132" ht="26.75" customHeight="1" s="104">
      <c r="A132" s="10" t="inlineStr">
        <is>
          <t>Canyons School District</t>
        </is>
      </c>
      <c r="B132" s="10" t="inlineStr">
        <is>
          <t>UT</t>
        </is>
      </c>
      <c r="C132" s="10" t="inlineStr">
        <is>
          <t>Master's</t>
        </is>
      </c>
      <c r="D132" s="11" t="n">
        <v>9</v>
      </c>
      <c r="E132" s="12" t="n">
        <v>78450</v>
      </c>
      <c r="F132" s="13" t="inlineStr">
        <is>
          <t>2026-06-11</t>
        </is>
      </c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</row>
    <row r="133" ht="26.75" customHeight="1" s="104">
      <c r="A133" s="10" t="inlineStr">
        <is>
          <t>Canyons School District</t>
        </is>
      </c>
      <c r="B133" s="10" t="inlineStr">
        <is>
          <t>UT</t>
        </is>
      </c>
      <c r="C133" s="10" t="inlineStr">
        <is>
          <t>Master's</t>
        </is>
      </c>
      <c r="D133" s="11" t="n">
        <v>10</v>
      </c>
      <c r="E133" s="12" t="n">
        <v>79400</v>
      </c>
      <c r="F133" s="13" t="inlineStr">
        <is>
          <t>2026-06-11</t>
        </is>
      </c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</row>
    <row r="134" ht="26.75" customHeight="1" s="104">
      <c r="A134" s="10" t="inlineStr">
        <is>
          <t>Chandler Unified School District</t>
        </is>
      </c>
      <c r="B134" s="10" t="inlineStr">
        <is>
          <t>AZ</t>
        </is>
      </c>
      <c r="C134" s="10" t="inlineStr">
        <is>
          <t>Bachelor's</t>
        </is>
      </c>
      <c r="D134" s="11" t="n">
        <v>0</v>
      </c>
      <c r="E134" s="12" t="n">
        <v>55249</v>
      </c>
      <c r="F134" s="13" t="inlineStr">
        <is>
          <t>2026-06-11</t>
        </is>
      </c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</row>
    <row r="135" ht="26.75" customHeight="1" s="104">
      <c r="A135" s="10" t="inlineStr">
        <is>
          <t>Chandler Unified School District</t>
        </is>
      </c>
      <c r="B135" s="10" t="inlineStr">
        <is>
          <t>AZ</t>
        </is>
      </c>
      <c r="C135" s="10" t="inlineStr">
        <is>
          <t>Bachelor's</t>
        </is>
      </c>
      <c r="D135" s="11" t="n">
        <v>1</v>
      </c>
      <c r="E135" s="12" t="n">
        <v>55249</v>
      </c>
      <c r="F135" s="13" t="inlineStr">
        <is>
          <t>2026-06-11</t>
        </is>
      </c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</row>
    <row r="136" ht="26.75" customHeight="1" s="104">
      <c r="A136" s="10" t="inlineStr">
        <is>
          <t>Chandler Unified School District</t>
        </is>
      </c>
      <c r="B136" s="10" t="inlineStr">
        <is>
          <t>AZ</t>
        </is>
      </c>
      <c r="C136" s="10" t="inlineStr">
        <is>
          <t>Bachelor's</t>
        </is>
      </c>
      <c r="D136" s="11" t="n">
        <v>2</v>
      </c>
      <c r="E136" s="12" t="n">
        <v>55656</v>
      </c>
      <c r="F136" s="13" t="inlineStr">
        <is>
          <t>2026-06-11</t>
        </is>
      </c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</row>
    <row r="137" ht="26.75" customHeight="1" s="104">
      <c r="A137" s="10" t="inlineStr">
        <is>
          <t>Chandler Unified School District</t>
        </is>
      </c>
      <c r="B137" s="10" t="inlineStr">
        <is>
          <t>AZ</t>
        </is>
      </c>
      <c r="C137" s="10" t="inlineStr">
        <is>
          <t>Bachelor's</t>
        </is>
      </c>
      <c r="D137" s="11" t="n">
        <v>3</v>
      </c>
      <c r="E137" s="12" t="n">
        <v>56063</v>
      </c>
      <c r="F137" s="13" t="inlineStr">
        <is>
          <t>2026-06-11</t>
        </is>
      </c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</row>
    <row r="138" ht="26.75" customHeight="1" s="104">
      <c r="A138" s="10" t="inlineStr">
        <is>
          <t>Chandler Unified School District</t>
        </is>
      </c>
      <c r="B138" s="10" t="inlineStr">
        <is>
          <t>AZ</t>
        </is>
      </c>
      <c r="C138" s="10" t="inlineStr">
        <is>
          <t>Bachelor's</t>
        </is>
      </c>
      <c r="D138" s="11" t="n">
        <v>4</v>
      </c>
      <c r="E138" s="12" t="n">
        <v>56470</v>
      </c>
      <c r="F138" s="13" t="inlineStr">
        <is>
          <t>2026-06-11</t>
        </is>
      </c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</row>
    <row r="139" ht="26.75" customHeight="1" s="104">
      <c r="A139" s="10" t="inlineStr">
        <is>
          <t>Chandler Unified School District</t>
        </is>
      </c>
      <c r="B139" s="10" t="inlineStr">
        <is>
          <t>AZ</t>
        </is>
      </c>
      <c r="C139" s="10" t="inlineStr">
        <is>
          <t>Bachelor's</t>
        </is>
      </c>
      <c r="D139" s="11" t="n">
        <v>5</v>
      </c>
      <c r="E139" s="12" t="n">
        <v>56877</v>
      </c>
      <c r="F139" s="13" t="inlineStr">
        <is>
          <t>2026-06-11</t>
        </is>
      </c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</row>
    <row r="140" ht="26.75" customHeight="1" s="104">
      <c r="A140" s="10" t="inlineStr">
        <is>
          <t>Chandler Unified School District</t>
        </is>
      </c>
      <c r="B140" s="10" t="inlineStr">
        <is>
          <t>AZ</t>
        </is>
      </c>
      <c r="C140" s="10" t="inlineStr">
        <is>
          <t>Bachelor's</t>
        </is>
      </c>
      <c r="D140" s="11" t="n">
        <v>6</v>
      </c>
      <c r="E140" s="12" t="n">
        <v>57284</v>
      </c>
      <c r="F140" s="13" t="inlineStr">
        <is>
          <t>2026-06-11</t>
        </is>
      </c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</row>
    <row r="141" ht="26.75" customHeight="1" s="104">
      <c r="A141" s="10" t="inlineStr">
        <is>
          <t>Chandler Unified School District</t>
        </is>
      </c>
      <c r="B141" s="10" t="inlineStr">
        <is>
          <t>AZ</t>
        </is>
      </c>
      <c r="C141" s="10" t="inlineStr">
        <is>
          <t>Bachelor's</t>
        </is>
      </c>
      <c r="D141" s="11" t="n">
        <v>7</v>
      </c>
      <c r="E141" s="12" t="n">
        <v>57691</v>
      </c>
      <c r="F141" s="13" t="inlineStr">
        <is>
          <t>2026-06-11</t>
        </is>
      </c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</row>
    <row r="142" ht="26.75" customHeight="1" s="104">
      <c r="A142" s="10" t="inlineStr">
        <is>
          <t>Chandler Unified School District</t>
        </is>
      </c>
      <c r="B142" s="10" t="inlineStr">
        <is>
          <t>AZ</t>
        </is>
      </c>
      <c r="C142" s="10" t="inlineStr">
        <is>
          <t>Bachelor's</t>
        </is>
      </c>
      <c r="D142" s="11" t="n">
        <v>8</v>
      </c>
      <c r="E142" s="12" t="n">
        <v>58098</v>
      </c>
      <c r="F142" s="13" t="inlineStr">
        <is>
          <t>2026-06-11</t>
        </is>
      </c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</row>
    <row r="143" ht="26.75" customHeight="1" s="104">
      <c r="A143" s="10" t="inlineStr">
        <is>
          <t>Chandler Unified School District</t>
        </is>
      </c>
      <c r="B143" s="10" t="inlineStr">
        <is>
          <t>AZ</t>
        </is>
      </c>
      <c r="C143" s="10" t="inlineStr">
        <is>
          <t>Bachelor's</t>
        </is>
      </c>
      <c r="D143" s="11" t="n">
        <v>9</v>
      </c>
      <c r="E143" s="12" t="n">
        <v>58098</v>
      </c>
      <c r="F143" s="13" t="inlineStr">
        <is>
          <t>2026-06-11</t>
        </is>
      </c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</row>
    <row r="144" ht="26.75" customHeight="1" s="104">
      <c r="A144" s="10" t="inlineStr">
        <is>
          <t>Chandler Unified School District</t>
        </is>
      </c>
      <c r="B144" s="10" t="inlineStr">
        <is>
          <t>AZ</t>
        </is>
      </c>
      <c r="C144" s="10" t="inlineStr">
        <is>
          <t>Bachelor's</t>
        </is>
      </c>
      <c r="D144" s="11" t="n">
        <v>10</v>
      </c>
      <c r="E144" s="12" t="n">
        <v>58098</v>
      </c>
      <c r="F144" s="13" t="inlineStr">
        <is>
          <t>2026-06-11</t>
        </is>
      </c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</row>
    <row r="145" ht="26.75" customHeight="1" s="104">
      <c r="A145" s="10" t="inlineStr">
        <is>
          <t>Chandler Unified School District</t>
        </is>
      </c>
      <c r="B145" s="10" t="inlineStr">
        <is>
          <t>AZ</t>
        </is>
      </c>
      <c r="C145" s="10" t="inlineStr">
        <is>
          <t>Master's</t>
        </is>
      </c>
      <c r="D145" s="11" t="n">
        <v>0</v>
      </c>
      <c r="E145" s="12" t="n">
        <v>56499</v>
      </c>
      <c r="F145" s="13" t="inlineStr">
        <is>
          <t>2026-06-11</t>
        </is>
      </c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</row>
    <row r="146" ht="26.75" customHeight="1" s="104">
      <c r="A146" s="10" t="inlineStr">
        <is>
          <t>Chandler Unified School District</t>
        </is>
      </c>
      <c r="B146" s="10" t="inlineStr">
        <is>
          <t>AZ</t>
        </is>
      </c>
      <c r="C146" s="10" t="inlineStr">
        <is>
          <t>Master's</t>
        </is>
      </c>
      <c r="D146" s="11" t="n">
        <v>1</v>
      </c>
      <c r="E146" s="12" t="n">
        <v>56499</v>
      </c>
      <c r="F146" s="13" t="inlineStr">
        <is>
          <t>2026-06-11</t>
        </is>
      </c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</row>
    <row r="147" ht="26.75" customHeight="1" s="104">
      <c r="A147" s="10" t="inlineStr">
        <is>
          <t>Chandler Unified School District</t>
        </is>
      </c>
      <c r="B147" s="10" t="inlineStr">
        <is>
          <t>AZ</t>
        </is>
      </c>
      <c r="C147" s="10" t="inlineStr">
        <is>
          <t>Master's</t>
        </is>
      </c>
      <c r="D147" s="11" t="n">
        <v>2</v>
      </c>
      <c r="E147" s="12" t="n">
        <v>56906</v>
      </c>
      <c r="F147" s="13" t="inlineStr">
        <is>
          <t>2026-06-11</t>
        </is>
      </c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</row>
    <row r="148" ht="26.75" customHeight="1" s="104">
      <c r="A148" s="10" t="inlineStr">
        <is>
          <t>Chandler Unified School District</t>
        </is>
      </c>
      <c r="B148" s="10" t="inlineStr">
        <is>
          <t>AZ</t>
        </is>
      </c>
      <c r="C148" s="10" t="inlineStr">
        <is>
          <t>Master's</t>
        </is>
      </c>
      <c r="D148" s="11" t="n">
        <v>3</v>
      </c>
      <c r="E148" s="12" t="n">
        <v>57313</v>
      </c>
      <c r="F148" s="13" t="inlineStr">
        <is>
          <t>2026-06-11</t>
        </is>
      </c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</row>
    <row r="149" ht="26.75" customHeight="1" s="104">
      <c r="A149" s="10" t="inlineStr">
        <is>
          <t>Chandler Unified School District</t>
        </is>
      </c>
      <c r="B149" s="10" t="inlineStr">
        <is>
          <t>AZ</t>
        </is>
      </c>
      <c r="C149" s="10" t="inlineStr">
        <is>
          <t>Master's</t>
        </is>
      </c>
      <c r="D149" s="11" t="n">
        <v>4</v>
      </c>
      <c r="E149" s="12" t="n">
        <v>57720</v>
      </c>
      <c r="F149" s="13" t="inlineStr">
        <is>
          <t>2026-06-11</t>
        </is>
      </c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</row>
    <row r="150" ht="26.75" customHeight="1" s="104">
      <c r="A150" s="10" t="inlineStr">
        <is>
          <t>Chandler Unified School District</t>
        </is>
      </c>
      <c r="B150" s="10" t="inlineStr">
        <is>
          <t>AZ</t>
        </is>
      </c>
      <c r="C150" s="10" t="inlineStr">
        <is>
          <t>Master's</t>
        </is>
      </c>
      <c r="D150" s="11" t="n">
        <v>5</v>
      </c>
      <c r="E150" s="12" t="n">
        <v>58127</v>
      </c>
      <c r="F150" s="13" t="inlineStr">
        <is>
          <t>2026-06-11</t>
        </is>
      </c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</row>
    <row r="151" ht="26.75" customHeight="1" s="104">
      <c r="A151" s="10" t="inlineStr">
        <is>
          <t>Chandler Unified School District</t>
        </is>
      </c>
      <c r="B151" s="10" t="inlineStr">
        <is>
          <t>AZ</t>
        </is>
      </c>
      <c r="C151" s="10" t="inlineStr">
        <is>
          <t>Master's</t>
        </is>
      </c>
      <c r="D151" s="11" t="n">
        <v>6</v>
      </c>
      <c r="E151" s="12" t="n">
        <v>58534</v>
      </c>
      <c r="F151" s="13" t="inlineStr">
        <is>
          <t>2026-06-11</t>
        </is>
      </c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</row>
    <row r="152" ht="26.75" customHeight="1" s="104">
      <c r="A152" s="10" t="inlineStr">
        <is>
          <t>Chandler Unified School District</t>
        </is>
      </c>
      <c r="B152" s="10" t="inlineStr">
        <is>
          <t>AZ</t>
        </is>
      </c>
      <c r="C152" s="10" t="inlineStr">
        <is>
          <t>Master's</t>
        </is>
      </c>
      <c r="D152" s="11" t="n">
        <v>7</v>
      </c>
      <c r="E152" s="12" t="n">
        <v>58941</v>
      </c>
      <c r="F152" s="13" t="inlineStr">
        <is>
          <t>2026-06-11</t>
        </is>
      </c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</row>
    <row r="153" ht="26.75" customHeight="1" s="104">
      <c r="A153" s="10" t="inlineStr">
        <is>
          <t>Chandler Unified School District</t>
        </is>
      </c>
      <c r="B153" s="10" t="inlineStr">
        <is>
          <t>AZ</t>
        </is>
      </c>
      <c r="C153" s="10" t="inlineStr">
        <is>
          <t>Master's</t>
        </is>
      </c>
      <c r="D153" s="11" t="n">
        <v>8</v>
      </c>
      <c r="E153" s="12" t="n">
        <v>59348</v>
      </c>
      <c r="F153" s="13" t="inlineStr">
        <is>
          <t>2026-06-11</t>
        </is>
      </c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</row>
    <row r="154" ht="26.75" customHeight="1" s="104">
      <c r="A154" s="10" t="inlineStr">
        <is>
          <t>Chandler Unified School District</t>
        </is>
      </c>
      <c r="B154" s="10" t="inlineStr">
        <is>
          <t>AZ</t>
        </is>
      </c>
      <c r="C154" s="10" t="inlineStr">
        <is>
          <t>Master's</t>
        </is>
      </c>
      <c r="D154" s="11" t="n">
        <v>9</v>
      </c>
      <c r="E154" s="12" t="n">
        <v>59348</v>
      </c>
      <c r="F154" s="13" t="inlineStr">
        <is>
          <t>2026-06-11</t>
        </is>
      </c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</row>
    <row r="155" ht="26.75" customHeight="1" s="104">
      <c r="A155" s="10" t="inlineStr">
        <is>
          <t>Chandler Unified School District</t>
        </is>
      </c>
      <c r="B155" s="10" t="inlineStr">
        <is>
          <t>AZ</t>
        </is>
      </c>
      <c r="C155" s="10" t="inlineStr">
        <is>
          <t>Master's</t>
        </is>
      </c>
      <c r="D155" s="11" t="n">
        <v>10</v>
      </c>
      <c r="E155" s="12" t="n">
        <v>59348</v>
      </c>
      <c r="F155" s="13" t="inlineStr">
        <is>
          <t>2026-06-11</t>
        </is>
      </c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</row>
    <row r="156" ht="26.75" customHeight="1" s="104">
      <c r="A156" s="37" t="inlineStr">
        <is>
          <t>Channelview ISD</t>
        </is>
      </c>
      <c r="B156" s="37" t="inlineStr">
        <is>
          <t>TX</t>
        </is>
      </c>
      <c r="C156" s="37" t="inlineStr">
        <is>
          <t>Bachelor's</t>
        </is>
      </c>
      <c r="D156" s="37" t="n">
        <v>0</v>
      </c>
      <c r="E156" s="37" t="n">
        <v>68500</v>
      </c>
      <c r="F156" s="37" t="inlineStr">
        <is>
          <t>2026-06-16</t>
        </is>
      </c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</row>
    <row r="157" ht="26.75" customHeight="1" s="104">
      <c r="A157" s="37" t="inlineStr">
        <is>
          <t>Channelview ISD</t>
        </is>
      </c>
      <c r="B157" s="37" t="inlineStr">
        <is>
          <t>TX</t>
        </is>
      </c>
      <c r="C157" s="37" t="inlineStr">
        <is>
          <t>Bachelor's</t>
        </is>
      </c>
      <c r="D157" s="37" t="n">
        <v>1</v>
      </c>
      <c r="E157" s="37" t="n">
        <v>68800</v>
      </c>
      <c r="F157" s="37" t="inlineStr">
        <is>
          <t>2026-06-16</t>
        </is>
      </c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</row>
    <row r="158" ht="26.75" customHeight="1" s="104">
      <c r="A158" s="37" t="inlineStr">
        <is>
          <t>Channelview ISD</t>
        </is>
      </c>
      <c r="B158" s="37" t="inlineStr">
        <is>
          <t>TX</t>
        </is>
      </c>
      <c r="C158" s="37" t="inlineStr">
        <is>
          <t>Bachelor's</t>
        </is>
      </c>
      <c r="D158" s="37" t="n">
        <v>2</v>
      </c>
      <c r="E158" s="37" t="n">
        <v>69100</v>
      </c>
      <c r="F158" s="37" t="inlineStr">
        <is>
          <t>2026-06-16</t>
        </is>
      </c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</row>
    <row r="159" ht="26.75" customHeight="1" s="104">
      <c r="A159" s="37" t="inlineStr">
        <is>
          <t>Channelview ISD</t>
        </is>
      </c>
      <c r="B159" s="37" t="inlineStr">
        <is>
          <t>TX</t>
        </is>
      </c>
      <c r="C159" s="37" t="inlineStr">
        <is>
          <t>Bachelor's</t>
        </is>
      </c>
      <c r="D159" s="37" t="n">
        <v>3</v>
      </c>
      <c r="E159" s="37" t="n">
        <v>69400</v>
      </c>
      <c r="F159" s="37" t="inlineStr">
        <is>
          <t>2026-06-16</t>
        </is>
      </c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</row>
    <row r="160" ht="26.75" customHeight="1" s="104">
      <c r="A160" s="37" t="inlineStr">
        <is>
          <t>Channelview ISD</t>
        </is>
      </c>
      <c r="B160" s="37" t="inlineStr">
        <is>
          <t>TX</t>
        </is>
      </c>
      <c r="C160" s="37" t="inlineStr">
        <is>
          <t>Bachelor's</t>
        </is>
      </c>
      <c r="D160" s="37" t="n">
        <v>4</v>
      </c>
      <c r="E160" s="37" t="n">
        <v>69700</v>
      </c>
      <c r="F160" s="37" t="inlineStr">
        <is>
          <t>2026-06-16</t>
        </is>
      </c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</row>
    <row r="161" ht="26.75" customHeight="1" s="104">
      <c r="A161" s="37" t="inlineStr">
        <is>
          <t>Channelview ISD</t>
        </is>
      </c>
      <c r="B161" s="37" t="inlineStr">
        <is>
          <t>TX</t>
        </is>
      </c>
      <c r="C161" s="37" t="inlineStr">
        <is>
          <t>Bachelor's</t>
        </is>
      </c>
      <c r="D161" s="37" t="n">
        <v>5</v>
      </c>
      <c r="E161" s="37" t="n">
        <v>70000</v>
      </c>
      <c r="F161" s="37" t="inlineStr">
        <is>
          <t>2026-06-16</t>
        </is>
      </c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</row>
    <row r="162" ht="26.75" customHeight="1" s="104">
      <c r="A162" s="37" t="inlineStr">
        <is>
          <t>Channelview ISD</t>
        </is>
      </c>
      <c r="B162" s="37" t="inlineStr">
        <is>
          <t>TX</t>
        </is>
      </c>
      <c r="C162" s="37" t="inlineStr">
        <is>
          <t>Bachelor's</t>
        </is>
      </c>
      <c r="D162" s="37" t="n">
        <v>6</v>
      </c>
      <c r="E162" s="37" t="n">
        <v>70300</v>
      </c>
      <c r="F162" s="37" t="inlineStr">
        <is>
          <t>2026-06-16</t>
        </is>
      </c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</row>
    <row r="163" ht="26.75" customHeight="1" s="104">
      <c r="A163" s="37" t="inlineStr">
        <is>
          <t>Channelview ISD</t>
        </is>
      </c>
      <c r="B163" s="37" t="inlineStr">
        <is>
          <t>TX</t>
        </is>
      </c>
      <c r="C163" s="37" t="inlineStr">
        <is>
          <t>Bachelor's</t>
        </is>
      </c>
      <c r="D163" s="37" t="n">
        <v>7</v>
      </c>
      <c r="E163" s="37" t="n">
        <v>70600</v>
      </c>
      <c r="F163" s="37" t="inlineStr">
        <is>
          <t>2026-06-16</t>
        </is>
      </c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</row>
    <row r="164" ht="26.75" customHeight="1" s="104">
      <c r="A164" s="37" t="inlineStr">
        <is>
          <t>Channelview ISD</t>
        </is>
      </c>
      <c r="B164" s="37" t="inlineStr">
        <is>
          <t>TX</t>
        </is>
      </c>
      <c r="C164" s="37" t="inlineStr">
        <is>
          <t>Bachelor's</t>
        </is>
      </c>
      <c r="D164" s="37" t="n">
        <v>8</v>
      </c>
      <c r="E164" s="37" t="n">
        <v>70900</v>
      </c>
      <c r="F164" s="37" t="inlineStr">
        <is>
          <t>2026-06-16</t>
        </is>
      </c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</row>
    <row r="165" ht="26.75" customHeight="1" s="104">
      <c r="A165" s="37" t="inlineStr">
        <is>
          <t>Channelview ISD</t>
        </is>
      </c>
      <c r="B165" s="37" t="inlineStr">
        <is>
          <t>TX</t>
        </is>
      </c>
      <c r="C165" s="37" t="inlineStr">
        <is>
          <t>Bachelor's</t>
        </is>
      </c>
      <c r="D165" s="37" t="n">
        <v>9</v>
      </c>
      <c r="E165" s="37" t="n">
        <v>71200</v>
      </c>
      <c r="F165" s="37" t="inlineStr">
        <is>
          <t>2026-06-16</t>
        </is>
      </c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</row>
    <row r="166" ht="26.75" customHeight="1" s="104">
      <c r="A166" s="37" t="inlineStr">
        <is>
          <t>Channelview ISD</t>
        </is>
      </c>
      <c r="B166" s="37" t="inlineStr">
        <is>
          <t>TX</t>
        </is>
      </c>
      <c r="C166" s="37" t="inlineStr">
        <is>
          <t>Bachelor's</t>
        </is>
      </c>
      <c r="D166" s="37" t="n">
        <v>10</v>
      </c>
      <c r="E166" s="37" t="n">
        <v>71500</v>
      </c>
      <c r="F166" s="37" t="inlineStr">
        <is>
          <t>2026-06-16</t>
        </is>
      </c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</row>
    <row r="167" ht="26.75" customHeight="1" s="104">
      <c r="A167" s="37" t="inlineStr">
        <is>
          <t>Channelview ISD</t>
        </is>
      </c>
      <c r="B167" s="37" t="inlineStr">
        <is>
          <t>TX</t>
        </is>
      </c>
      <c r="C167" s="37" t="inlineStr">
        <is>
          <t>Master's</t>
        </is>
      </c>
      <c r="D167" s="37" t="n">
        <v>0</v>
      </c>
      <c r="E167" s="37" t="n">
        <v>70000</v>
      </c>
      <c r="F167" s="37" t="inlineStr">
        <is>
          <t>2026-06-16</t>
        </is>
      </c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</row>
    <row r="168" ht="26.75" customHeight="1" s="104">
      <c r="A168" s="37" t="inlineStr">
        <is>
          <t>Channelview ISD</t>
        </is>
      </c>
      <c r="B168" s="37" t="inlineStr">
        <is>
          <t>TX</t>
        </is>
      </c>
      <c r="C168" s="37" t="inlineStr">
        <is>
          <t>Master's</t>
        </is>
      </c>
      <c r="D168" s="37" t="n">
        <v>1</v>
      </c>
      <c r="E168" s="37" t="n">
        <v>70300</v>
      </c>
      <c r="F168" s="37" t="inlineStr">
        <is>
          <t>2026-06-16</t>
        </is>
      </c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</row>
    <row r="169" ht="26.75" customHeight="1" s="104">
      <c r="A169" s="37" t="inlineStr">
        <is>
          <t>Channelview ISD</t>
        </is>
      </c>
      <c r="B169" s="37" t="inlineStr">
        <is>
          <t>TX</t>
        </is>
      </c>
      <c r="C169" s="37" t="inlineStr">
        <is>
          <t>Master's</t>
        </is>
      </c>
      <c r="D169" s="37" t="n">
        <v>2</v>
      </c>
      <c r="E169" s="37" t="n">
        <v>70600</v>
      </c>
      <c r="F169" s="37" t="inlineStr">
        <is>
          <t>2026-06-16</t>
        </is>
      </c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</row>
    <row r="170" ht="26.75" customHeight="1" s="104">
      <c r="A170" s="37" t="inlineStr">
        <is>
          <t>Channelview ISD</t>
        </is>
      </c>
      <c r="B170" s="37" t="inlineStr">
        <is>
          <t>TX</t>
        </is>
      </c>
      <c r="C170" s="37" t="inlineStr">
        <is>
          <t>Master's</t>
        </is>
      </c>
      <c r="D170" s="37" t="n">
        <v>3</v>
      </c>
      <c r="E170" s="37" t="n">
        <v>70900</v>
      </c>
      <c r="F170" s="37" t="inlineStr">
        <is>
          <t>2026-06-16</t>
        </is>
      </c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</row>
    <row r="171" ht="26.75" customHeight="1" s="104">
      <c r="A171" s="37" t="inlineStr">
        <is>
          <t>Channelview ISD</t>
        </is>
      </c>
      <c r="B171" s="37" t="inlineStr">
        <is>
          <t>TX</t>
        </is>
      </c>
      <c r="C171" s="37" t="inlineStr">
        <is>
          <t>Master's</t>
        </is>
      </c>
      <c r="D171" s="37" t="n">
        <v>4</v>
      </c>
      <c r="E171" s="37" t="n">
        <v>71200</v>
      </c>
      <c r="F171" s="37" t="inlineStr">
        <is>
          <t>2026-06-16</t>
        </is>
      </c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</row>
    <row r="172" ht="26.75" customHeight="1" s="104">
      <c r="A172" s="37" t="inlineStr">
        <is>
          <t>Channelview ISD</t>
        </is>
      </c>
      <c r="B172" s="37" t="inlineStr">
        <is>
          <t>TX</t>
        </is>
      </c>
      <c r="C172" s="37" t="inlineStr">
        <is>
          <t>Master's</t>
        </is>
      </c>
      <c r="D172" s="37" t="n">
        <v>5</v>
      </c>
      <c r="E172" s="37" t="n">
        <v>71500</v>
      </c>
      <c r="F172" s="37" t="inlineStr">
        <is>
          <t>2026-06-16</t>
        </is>
      </c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</row>
    <row r="173" ht="26.75" customHeight="1" s="104">
      <c r="A173" s="37" t="inlineStr">
        <is>
          <t>Channelview ISD</t>
        </is>
      </c>
      <c r="B173" s="37" t="inlineStr">
        <is>
          <t>TX</t>
        </is>
      </c>
      <c r="C173" s="37" t="inlineStr">
        <is>
          <t>Master's</t>
        </is>
      </c>
      <c r="D173" s="37" t="n">
        <v>6</v>
      </c>
      <c r="E173" s="37" t="n">
        <v>71800</v>
      </c>
      <c r="F173" s="37" t="inlineStr">
        <is>
          <t>2026-06-16</t>
        </is>
      </c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</row>
    <row r="174" ht="26.75" customHeight="1" s="104">
      <c r="A174" s="37" t="inlineStr">
        <is>
          <t>Channelview ISD</t>
        </is>
      </c>
      <c r="B174" s="37" t="inlineStr">
        <is>
          <t>TX</t>
        </is>
      </c>
      <c r="C174" s="37" t="inlineStr">
        <is>
          <t>Master's</t>
        </is>
      </c>
      <c r="D174" s="37" t="n">
        <v>7</v>
      </c>
      <c r="E174" s="37" t="n">
        <v>72100</v>
      </c>
      <c r="F174" s="37" t="inlineStr">
        <is>
          <t>2026-06-16</t>
        </is>
      </c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</row>
    <row r="175" ht="26.75" customHeight="1" s="104">
      <c r="A175" s="37" t="inlineStr">
        <is>
          <t>Channelview ISD</t>
        </is>
      </c>
      <c r="B175" s="37" t="inlineStr">
        <is>
          <t>TX</t>
        </is>
      </c>
      <c r="C175" s="37" t="inlineStr">
        <is>
          <t>Master's</t>
        </is>
      </c>
      <c r="D175" s="37" t="n">
        <v>8</v>
      </c>
      <c r="E175" s="37" t="n">
        <v>72400</v>
      </c>
      <c r="F175" s="37" t="inlineStr">
        <is>
          <t>2026-06-16</t>
        </is>
      </c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</row>
    <row r="176" ht="26.75" customHeight="1" s="104">
      <c r="A176" s="37" t="inlineStr">
        <is>
          <t>Channelview ISD</t>
        </is>
      </c>
      <c r="B176" s="37" t="inlineStr">
        <is>
          <t>TX</t>
        </is>
      </c>
      <c r="C176" s="37" t="inlineStr">
        <is>
          <t>Master's</t>
        </is>
      </c>
      <c r="D176" s="37" t="n">
        <v>9</v>
      </c>
      <c r="E176" s="37" t="n">
        <v>72700</v>
      </c>
      <c r="F176" s="37" t="inlineStr">
        <is>
          <t>2026-06-16</t>
        </is>
      </c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</row>
    <row r="177" ht="26.75" customHeight="1" s="104">
      <c r="A177" s="37" t="inlineStr">
        <is>
          <t>Channelview ISD</t>
        </is>
      </c>
      <c r="B177" s="37" t="inlineStr">
        <is>
          <t>TX</t>
        </is>
      </c>
      <c r="C177" s="37" t="inlineStr">
        <is>
          <t>Master's</t>
        </is>
      </c>
      <c r="D177" s="37" t="n">
        <v>10</v>
      </c>
      <c r="E177" s="37" t="n">
        <v>73000</v>
      </c>
      <c r="F177" s="37" t="inlineStr">
        <is>
          <t>2026-06-16</t>
        </is>
      </c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</row>
    <row r="178" ht="26.75" customHeight="1" s="104">
      <c r="A178" s="10" t="inlineStr">
        <is>
          <t>Chapel Hill-Carrboro City Schools</t>
        </is>
      </c>
      <c r="B178" s="10" t="inlineStr">
        <is>
          <t>NC</t>
        </is>
      </c>
      <c r="C178" s="10" t="inlineStr">
        <is>
          <t>Bachelor's</t>
        </is>
      </c>
      <c r="D178" s="11" t="n">
        <v>0</v>
      </c>
      <c r="E178" s="12" t="n">
        <v>48380</v>
      </c>
      <c r="F178" s="13" t="inlineStr">
        <is>
          <t>2026-06-10</t>
        </is>
      </c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</row>
    <row r="179" ht="26.75" customHeight="1" s="104">
      <c r="A179" s="10" t="inlineStr">
        <is>
          <t>Chapel Hill-Carrboro City Schools</t>
        </is>
      </c>
      <c r="B179" s="10" t="inlineStr">
        <is>
          <t>NC</t>
        </is>
      </c>
      <c r="C179" s="10" t="inlineStr">
        <is>
          <t>Bachelor's</t>
        </is>
      </c>
      <c r="D179" s="11" t="n">
        <v>1</v>
      </c>
      <c r="E179" s="12" t="n">
        <v>49265</v>
      </c>
      <c r="F179" s="13" t="inlineStr">
        <is>
          <t>2026-06-10</t>
        </is>
      </c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</row>
    <row r="180" ht="26.75" customHeight="1" s="104">
      <c r="A180" s="10" t="inlineStr">
        <is>
          <t>Chapel Hill-Carrboro City Schools</t>
        </is>
      </c>
      <c r="B180" s="10" t="inlineStr">
        <is>
          <t>NC</t>
        </is>
      </c>
      <c r="C180" s="10" t="inlineStr">
        <is>
          <t>Bachelor's</t>
        </is>
      </c>
      <c r="D180" s="11" t="n">
        <v>2</v>
      </c>
      <c r="E180" s="12" t="n">
        <v>50150</v>
      </c>
      <c r="F180" s="13" t="inlineStr">
        <is>
          <t>2026-06-10</t>
        </is>
      </c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</row>
    <row r="181" ht="26.75" customHeight="1" s="104">
      <c r="A181" s="10" t="inlineStr">
        <is>
          <t>Chapel Hill-Carrboro City Schools</t>
        </is>
      </c>
      <c r="B181" s="10" t="inlineStr">
        <is>
          <t>NC</t>
        </is>
      </c>
      <c r="C181" s="10" t="inlineStr">
        <is>
          <t>Bachelor's</t>
        </is>
      </c>
      <c r="D181" s="11" t="n">
        <v>3</v>
      </c>
      <c r="E181" s="12" t="n">
        <v>51035</v>
      </c>
      <c r="F181" s="13" t="inlineStr">
        <is>
          <t>2026-06-10</t>
        </is>
      </c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</row>
    <row r="182" ht="26.75" customHeight="1" s="104">
      <c r="A182" s="10" t="inlineStr">
        <is>
          <t>Chapel Hill-Carrboro City Schools</t>
        </is>
      </c>
      <c r="B182" s="10" t="inlineStr">
        <is>
          <t>NC</t>
        </is>
      </c>
      <c r="C182" s="10" t="inlineStr">
        <is>
          <t>Bachelor's</t>
        </is>
      </c>
      <c r="D182" s="11" t="n">
        <v>4</v>
      </c>
      <c r="E182" s="12" t="n">
        <v>51920</v>
      </c>
      <c r="F182" s="13" t="inlineStr">
        <is>
          <t>2026-06-10</t>
        </is>
      </c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</row>
    <row r="183" ht="26.75" customHeight="1" s="104">
      <c r="A183" s="10" t="inlineStr">
        <is>
          <t>Chapel Hill-Carrboro City Schools</t>
        </is>
      </c>
      <c r="B183" s="10" t="inlineStr">
        <is>
          <t>NC</t>
        </is>
      </c>
      <c r="C183" s="10" t="inlineStr">
        <is>
          <t>Bachelor's</t>
        </is>
      </c>
      <c r="D183" s="11" t="n">
        <v>5</v>
      </c>
      <c r="E183" s="12" t="n">
        <v>52805</v>
      </c>
      <c r="F183" s="13" t="inlineStr">
        <is>
          <t>2026-06-10</t>
        </is>
      </c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</row>
    <row r="184" ht="26.75" customHeight="1" s="104">
      <c r="A184" s="10" t="inlineStr">
        <is>
          <t>Chapel Hill-Carrboro City Schools</t>
        </is>
      </c>
      <c r="B184" s="10" t="inlineStr">
        <is>
          <t>NC</t>
        </is>
      </c>
      <c r="C184" s="10" t="inlineStr">
        <is>
          <t>Bachelor's</t>
        </is>
      </c>
      <c r="D184" s="11" t="n">
        <v>6</v>
      </c>
      <c r="E184" s="12" t="n">
        <v>53949.6</v>
      </c>
      <c r="F184" s="13" t="inlineStr">
        <is>
          <t>2026-06-10</t>
        </is>
      </c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</row>
    <row r="185" ht="26.75" customHeight="1" s="104">
      <c r="A185" s="10" t="inlineStr">
        <is>
          <t>Chapel Hill-Carrboro City Schools</t>
        </is>
      </c>
      <c r="B185" s="10" t="inlineStr">
        <is>
          <t>NC</t>
        </is>
      </c>
      <c r="C185" s="10" t="inlineStr">
        <is>
          <t>Bachelor's</t>
        </is>
      </c>
      <c r="D185" s="11" t="n">
        <v>7</v>
      </c>
      <c r="E185" s="12" t="n">
        <v>55023.4</v>
      </c>
      <c r="F185" s="13" t="inlineStr">
        <is>
          <t>2026-06-10</t>
        </is>
      </c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</row>
    <row r="186" ht="26.75" customHeight="1" s="104">
      <c r="A186" s="10" t="inlineStr">
        <is>
          <t>Chapel Hill-Carrboro City Schools</t>
        </is>
      </c>
      <c r="B186" s="10" t="inlineStr">
        <is>
          <t>NC</t>
        </is>
      </c>
      <c r="C186" s="10" t="inlineStr">
        <is>
          <t>Bachelor's</t>
        </is>
      </c>
      <c r="D186" s="11" t="n">
        <v>8</v>
      </c>
      <c r="E186" s="12" t="n">
        <v>56085.4</v>
      </c>
      <c r="F186" s="13" t="inlineStr">
        <is>
          <t>2026-06-10</t>
        </is>
      </c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</row>
    <row r="187" ht="26.75" customHeight="1" s="104">
      <c r="A187" s="10" t="inlineStr">
        <is>
          <t>Chapel Hill-Carrboro City Schools</t>
        </is>
      </c>
      <c r="B187" s="10" t="inlineStr">
        <is>
          <t>NC</t>
        </is>
      </c>
      <c r="C187" s="10" t="inlineStr">
        <is>
          <t>Bachelor's</t>
        </is>
      </c>
      <c r="D187" s="11" t="n">
        <v>9</v>
      </c>
      <c r="E187" s="12" t="n">
        <v>57159.2</v>
      </c>
      <c r="F187" s="13" t="inlineStr">
        <is>
          <t>2026-06-10</t>
        </is>
      </c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</row>
    <row r="188" ht="26.75" customHeight="1" s="104">
      <c r="A188" s="10" t="inlineStr">
        <is>
          <t>Chapel Hill-Carrboro City Schools</t>
        </is>
      </c>
      <c r="B188" s="10" t="inlineStr">
        <is>
          <t>NC</t>
        </is>
      </c>
      <c r="C188" s="10" t="inlineStr">
        <is>
          <t>Bachelor's</t>
        </is>
      </c>
      <c r="D188" s="11" t="n">
        <v>10</v>
      </c>
      <c r="E188" s="12" t="n">
        <v>58233</v>
      </c>
      <c r="F188" s="13" t="inlineStr">
        <is>
          <t>2026-06-10</t>
        </is>
      </c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</row>
    <row r="189" ht="26.75" customHeight="1" s="104">
      <c r="A189" s="10" t="inlineStr">
        <is>
          <t>Chapel Hill-Carrboro City Schools</t>
        </is>
      </c>
      <c r="B189" s="10" t="inlineStr">
        <is>
          <t>NC</t>
        </is>
      </c>
      <c r="C189" s="10" t="inlineStr">
        <is>
          <t>Master's</t>
        </is>
      </c>
      <c r="D189" s="11" t="n">
        <v>0</v>
      </c>
      <c r="E189" s="12" t="n">
        <v>53218</v>
      </c>
      <c r="F189" s="13" t="inlineStr">
        <is>
          <t>2026-06-10</t>
        </is>
      </c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</row>
    <row r="190" ht="26.75" customHeight="1" s="104">
      <c r="A190" s="10" t="inlineStr">
        <is>
          <t>Chapel Hill-Carrboro City Schools</t>
        </is>
      </c>
      <c r="B190" s="10" t="inlineStr">
        <is>
          <t>NC</t>
        </is>
      </c>
      <c r="C190" s="10" t="inlineStr">
        <is>
          <t>Master's</t>
        </is>
      </c>
      <c r="D190" s="11" t="n">
        <v>1</v>
      </c>
      <c r="E190" s="12" t="n">
        <v>54197.4</v>
      </c>
      <c r="F190" s="13" t="inlineStr">
        <is>
          <t>2026-06-10</t>
        </is>
      </c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</row>
    <row r="191" ht="26.75" customHeight="1" s="104">
      <c r="A191" s="10" t="inlineStr">
        <is>
          <t>Chapel Hill-Carrboro City Schools</t>
        </is>
      </c>
      <c r="B191" s="10" t="inlineStr">
        <is>
          <t>NC</t>
        </is>
      </c>
      <c r="C191" s="10" t="inlineStr">
        <is>
          <t>Master's</t>
        </is>
      </c>
      <c r="D191" s="11" t="n">
        <v>2</v>
      </c>
      <c r="E191" s="12" t="n">
        <v>55165</v>
      </c>
      <c r="F191" s="13" t="inlineStr">
        <is>
          <t>2026-06-10</t>
        </is>
      </c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</row>
    <row r="192" ht="26.75" customHeight="1" s="104">
      <c r="A192" s="10" t="inlineStr">
        <is>
          <t>Chapel Hill-Carrboro City Schools</t>
        </is>
      </c>
      <c r="B192" s="10" t="inlineStr">
        <is>
          <t>NC</t>
        </is>
      </c>
      <c r="C192" s="10" t="inlineStr">
        <is>
          <t>Master's</t>
        </is>
      </c>
      <c r="D192" s="11" t="n">
        <v>3</v>
      </c>
      <c r="E192" s="12" t="n">
        <v>56144.4</v>
      </c>
      <c r="F192" s="13" t="inlineStr">
        <is>
          <t>2026-06-10</t>
        </is>
      </c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</row>
    <row r="193" ht="26.75" customHeight="1" s="104">
      <c r="A193" s="10" t="inlineStr">
        <is>
          <t>Chapel Hill-Carrboro City Schools</t>
        </is>
      </c>
      <c r="B193" s="10" t="inlineStr">
        <is>
          <t>NC</t>
        </is>
      </c>
      <c r="C193" s="10" t="inlineStr">
        <is>
          <t>Master's</t>
        </is>
      </c>
      <c r="D193" s="11" t="n">
        <v>4</v>
      </c>
      <c r="E193" s="12" t="n">
        <v>57112</v>
      </c>
      <c r="F193" s="13" t="inlineStr">
        <is>
          <t>2026-06-10</t>
        </is>
      </c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</row>
    <row r="194" ht="26.75" customHeight="1" s="104">
      <c r="A194" s="10" t="inlineStr">
        <is>
          <t>Chapel Hill-Carrboro City Schools</t>
        </is>
      </c>
      <c r="B194" s="10" t="inlineStr">
        <is>
          <t>NC</t>
        </is>
      </c>
      <c r="C194" s="10" t="inlineStr">
        <is>
          <t>Master's</t>
        </is>
      </c>
      <c r="D194" s="11" t="n">
        <v>5</v>
      </c>
      <c r="E194" s="12" t="n">
        <v>58091.4</v>
      </c>
      <c r="F194" s="13" t="inlineStr">
        <is>
          <t>2026-06-10</t>
        </is>
      </c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</row>
    <row r="195" ht="26.75" customHeight="1" s="104">
      <c r="A195" s="10" t="inlineStr">
        <is>
          <t>Chapel Hill-Carrboro City Schools</t>
        </is>
      </c>
      <c r="B195" s="10" t="inlineStr">
        <is>
          <t>NC</t>
        </is>
      </c>
      <c r="C195" s="10" t="inlineStr">
        <is>
          <t>Master's</t>
        </is>
      </c>
      <c r="D195" s="11" t="n">
        <v>6</v>
      </c>
      <c r="E195" s="12" t="n">
        <v>59342.2</v>
      </c>
      <c r="F195" s="13" t="inlineStr">
        <is>
          <t>2026-06-10</t>
        </is>
      </c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</row>
    <row r="196" ht="26.75" customHeight="1" s="104">
      <c r="A196" s="10" t="inlineStr">
        <is>
          <t>Chapel Hill-Carrboro City Schools</t>
        </is>
      </c>
      <c r="B196" s="10" t="inlineStr">
        <is>
          <t>NC</t>
        </is>
      </c>
      <c r="C196" s="10" t="inlineStr">
        <is>
          <t>Master's</t>
        </is>
      </c>
      <c r="D196" s="11" t="n">
        <v>7</v>
      </c>
      <c r="E196" s="12" t="n">
        <v>60522.2</v>
      </c>
      <c r="F196" s="13" t="inlineStr">
        <is>
          <t>2026-06-10</t>
        </is>
      </c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</row>
    <row r="197" ht="26.75" customHeight="1" s="104">
      <c r="A197" s="10" t="inlineStr">
        <is>
          <t>Chapel Hill-Carrboro City Schools</t>
        </is>
      </c>
      <c r="B197" s="10" t="inlineStr">
        <is>
          <t>NC</t>
        </is>
      </c>
      <c r="C197" s="10" t="inlineStr">
        <is>
          <t>Master's</t>
        </is>
      </c>
      <c r="D197" s="11" t="n">
        <v>8</v>
      </c>
      <c r="E197" s="12" t="n">
        <v>61690.4</v>
      </c>
      <c r="F197" s="13" t="inlineStr">
        <is>
          <t>2026-06-10</t>
        </is>
      </c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</row>
    <row r="198" ht="26.75" customHeight="1" s="104">
      <c r="A198" s="10" t="inlineStr">
        <is>
          <t>Chapel Hill-Carrboro City Schools</t>
        </is>
      </c>
      <c r="B198" s="10" t="inlineStr">
        <is>
          <t>NC</t>
        </is>
      </c>
      <c r="C198" s="10" t="inlineStr">
        <is>
          <t>Master's</t>
        </is>
      </c>
      <c r="D198" s="11" t="n">
        <v>9</v>
      </c>
      <c r="E198" s="12" t="n">
        <v>62870.4</v>
      </c>
      <c r="F198" s="13" t="inlineStr">
        <is>
          <t>2026-06-10</t>
        </is>
      </c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</row>
    <row r="199" ht="26.75" customHeight="1" s="104">
      <c r="A199" s="10" t="inlineStr">
        <is>
          <t>Chapel Hill-Carrboro City Schools</t>
        </is>
      </c>
      <c r="B199" s="10" t="inlineStr">
        <is>
          <t>NC</t>
        </is>
      </c>
      <c r="C199" s="10" t="inlineStr">
        <is>
          <t>Master's</t>
        </is>
      </c>
      <c r="D199" s="11" t="n">
        <v>10</v>
      </c>
      <c r="E199" s="12" t="n">
        <v>64062.2</v>
      </c>
      <c r="F199" s="13" t="inlineStr">
        <is>
          <t>2026-06-10</t>
        </is>
      </c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</row>
    <row r="200" ht="26.75" customHeight="1" s="104">
      <c r="A200" s="10" t="inlineStr">
        <is>
          <t>Cherry Creek School District</t>
        </is>
      </c>
      <c r="B200" s="10" t="inlineStr">
        <is>
          <t>CO</t>
        </is>
      </c>
      <c r="C200" s="10" t="inlineStr">
        <is>
          <t>Bachelor's</t>
        </is>
      </c>
      <c r="D200" s="11" t="n">
        <v>0</v>
      </c>
      <c r="E200" s="12" t="n">
        <v>62000</v>
      </c>
      <c r="F200" s="13" t="inlineStr">
        <is>
          <t>2026-06-10</t>
        </is>
      </c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</row>
    <row r="201" ht="26.75" customHeight="1" s="104">
      <c r="A201" s="10" t="inlineStr">
        <is>
          <t>Cherry Creek School District</t>
        </is>
      </c>
      <c r="B201" s="10" t="inlineStr">
        <is>
          <t>CO</t>
        </is>
      </c>
      <c r="C201" s="10" t="inlineStr">
        <is>
          <t>Bachelor's</t>
        </is>
      </c>
      <c r="D201" s="11" t="n">
        <v>1</v>
      </c>
      <c r="E201" s="12" t="n">
        <v>62753</v>
      </c>
      <c r="F201" s="13" t="inlineStr">
        <is>
          <t>2026-06-10</t>
        </is>
      </c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</row>
    <row r="202" ht="26.75" customHeight="1" s="104">
      <c r="A202" s="10" t="inlineStr">
        <is>
          <t>Cherry Creek School District</t>
        </is>
      </c>
      <c r="B202" s="10" t="inlineStr">
        <is>
          <t>CO</t>
        </is>
      </c>
      <c r="C202" s="10" t="inlineStr">
        <is>
          <t>Bachelor's</t>
        </is>
      </c>
      <c r="D202" s="11" t="n">
        <v>2</v>
      </c>
      <c r="E202" s="12" t="n">
        <v>63835</v>
      </c>
      <c r="F202" s="13" t="inlineStr">
        <is>
          <t>2026-06-10</t>
        </is>
      </c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</row>
    <row r="203" ht="26.75" customHeight="1" s="104">
      <c r="A203" s="10" t="inlineStr">
        <is>
          <t>Cherry Creek School District</t>
        </is>
      </c>
      <c r="B203" s="10" t="inlineStr">
        <is>
          <t>CO</t>
        </is>
      </c>
      <c r="C203" s="10" t="inlineStr">
        <is>
          <t>Bachelor's</t>
        </is>
      </c>
      <c r="D203" s="11" t="n">
        <v>3</v>
      </c>
      <c r="E203" s="12" t="n">
        <v>64916</v>
      </c>
      <c r="F203" s="13" t="inlineStr">
        <is>
          <t>2026-06-10</t>
        </is>
      </c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</row>
    <row r="204" ht="26.75" customHeight="1" s="104">
      <c r="A204" s="10" t="inlineStr">
        <is>
          <t>Cherry Creek School District</t>
        </is>
      </c>
      <c r="B204" s="10" t="inlineStr">
        <is>
          <t>CO</t>
        </is>
      </c>
      <c r="C204" s="10" t="inlineStr">
        <is>
          <t>Bachelor's</t>
        </is>
      </c>
      <c r="D204" s="11" t="n">
        <v>4</v>
      </c>
      <c r="E204" s="12" t="n">
        <v>65998</v>
      </c>
      <c r="F204" s="13" t="inlineStr">
        <is>
          <t>2026-06-10</t>
        </is>
      </c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</row>
    <row r="205" ht="26.75" customHeight="1" s="104">
      <c r="A205" s="10" t="inlineStr">
        <is>
          <t>Cherry Creek School District</t>
        </is>
      </c>
      <c r="B205" s="10" t="inlineStr">
        <is>
          <t>CO</t>
        </is>
      </c>
      <c r="C205" s="10" t="inlineStr">
        <is>
          <t>Bachelor's</t>
        </is>
      </c>
      <c r="D205" s="11" t="n">
        <v>5</v>
      </c>
      <c r="E205" s="12" t="n">
        <v>67080</v>
      </c>
      <c r="F205" s="13" t="inlineStr">
        <is>
          <t>2026-06-10</t>
        </is>
      </c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</row>
    <row r="206" ht="26.75" customHeight="1" s="104">
      <c r="A206" s="10" t="inlineStr">
        <is>
          <t>Cherry Creek School District</t>
        </is>
      </c>
      <c r="B206" s="10" t="inlineStr">
        <is>
          <t>CO</t>
        </is>
      </c>
      <c r="C206" s="10" t="inlineStr">
        <is>
          <t>Bachelor's</t>
        </is>
      </c>
      <c r="D206" s="11" t="n">
        <v>6</v>
      </c>
      <c r="E206" s="12" t="n">
        <v>69437</v>
      </c>
      <c r="F206" s="13" t="inlineStr">
        <is>
          <t>2026-06-10</t>
        </is>
      </c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</row>
    <row r="207" ht="26.75" customHeight="1" s="104">
      <c r="A207" s="10" t="inlineStr">
        <is>
          <t>Cherry Creek School District</t>
        </is>
      </c>
      <c r="B207" s="10" t="inlineStr">
        <is>
          <t>CO</t>
        </is>
      </c>
      <c r="C207" s="10" t="inlineStr">
        <is>
          <t>Bachelor's</t>
        </is>
      </c>
      <c r="D207" s="11" t="n">
        <v>7</v>
      </c>
      <c r="E207" s="12" t="n">
        <v>72129</v>
      </c>
      <c r="F207" s="13" t="inlineStr">
        <is>
          <t>2026-06-10</t>
        </is>
      </c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</row>
    <row r="208" ht="26.75" customHeight="1" s="104">
      <c r="A208" s="10" t="inlineStr">
        <is>
          <t>Cherry Creek School District</t>
        </is>
      </c>
      <c r="B208" s="10" t="inlineStr">
        <is>
          <t>CO</t>
        </is>
      </c>
      <c r="C208" s="10" t="inlineStr">
        <is>
          <t>Bachelor's</t>
        </is>
      </c>
      <c r="D208" s="11" t="n">
        <v>8</v>
      </c>
      <c r="E208" s="12" t="n">
        <v>74820</v>
      </c>
      <c r="F208" s="13" t="inlineStr">
        <is>
          <t>2026-06-10</t>
        </is>
      </c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</row>
    <row r="209" ht="26.75" customHeight="1" s="104">
      <c r="A209" s="10" t="inlineStr">
        <is>
          <t>Cherry Creek School District</t>
        </is>
      </c>
      <c r="B209" s="10" t="inlineStr">
        <is>
          <t>CO</t>
        </is>
      </c>
      <c r="C209" s="10" t="inlineStr">
        <is>
          <t>Bachelor's</t>
        </is>
      </c>
      <c r="D209" s="11" t="n">
        <v>9</v>
      </c>
      <c r="E209" s="12" t="n">
        <v>77512</v>
      </c>
      <c r="F209" s="13" t="inlineStr">
        <is>
          <t>2026-06-10</t>
        </is>
      </c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</row>
    <row r="210" ht="26.75" customHeight="1" s="104">
      <c r="A210" s="10" t="inlineStr">
        <is>
          <t>Cherry Creek School District</t>
        </is>
      </c>
      <c r="B210" s="10" t="inlineStr">
        <is>
          <t>CO</t>
        </is>
      </c>
      <c r="C210" s="10" t="inlineStr">
        <is>
          <t>Bachelor's</t>
        </is>
      </c>
      <c r="D210" s="11" t="n">
        <v>10</v>
      </c>
      <c r="E210" s="12" t="n">
        <v>80203</v>
      </c>
      <c r="F210" s="13" t="inlineStr">
        <is>
          <t>2026-06-10</t>
        </is>
      </c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</row>
    <row r="211" ht="26.75" customHeight="1" s="104">
      <c r="A211" s="10" t="inlineStr">
        <is>
          <t>Cherry Creek School District</t>
        </is>
      </c>
      <c r="B211" s="10" t="inlineStr">
        <is>
          <t>CO</t>
        </is>
      </c>
      <c r="C211" s="10" t="inlineStr">
        <is>
          <t>Master's</t>
        </is>
      </c>
      <c r="D211" s="11" t="n">
        <v>0</v>
      </c>
      <c r="E211" s="12" t="n">
        <v>69677</v>
      </c>
      <c r="F211" s="13" t="inlineStr">
        <is>
          <t>2026-06-10</t>
        </is>
      </c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</row>
    <row r="212" ht="26.75" customHeight="1" s="104">
      <c r="A212" s="10" t="inlineStr">
        <is>
          <t>Cherry Creek School District</t>
        </is>
      </c>
      <c r="B212" s="10" t="inlineStr">
        <is>
          <t>CO</t>
        </is>
      </c>
      <c r="C212" s="10" t="inlineStr">
        <is>
          <t>Master's</t>
        </is>
      </c>
      <c r="D212" s="11" t="n">
        <v>1</v>
      </c>
      <c r="E212" s="12" t="n">
        <v>70758</v>
      </c>
      <c r="F212" s="13" t="inlineStr">
        <is>
          <t>2026-06-10</t>
        </is>
      </c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</row>
    <row r="213" ht="26.75" customHeight="1" s="104">
      <c r="A213" s="10" t="inlineStr">
        <is>
          <t>Cherry Creek School District</t>
        </is>
      </c>
      <c r="B213" s="10" t="inlineStr">
        <is>
          <t>CO</t>
        </is>
      </c>
      <c r="C213" s="10" t="inlineStr">
        <is>
          <t>Master's</t>
        </is>
      </c>
      <c r="D213" s="11" t="n">
        <v>2</v>
      </c>
      <c r="E213" s="12" t="n">
        <v>71841</v>
      </c>
      <c r="F213" s="13" t="inlineStr">
        <is>
          <t>2026-06-10</t>
        </is>
      </c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</row>
    <row r="214" ht="26.75" customHeight="1" s="104">
      <c r="A214" s="10" t="inlineStr">
        <is>
          <t>Cherry Creek School District</t>
        </is>
      </c>
      <c r="B214" s="10" t="inlineStr">
        <is>
          <t>CO</t>
        </is>
      </c>
      <c r="C214" s="10" t="inlineStr">
        <is>
          <t>Master's</t>
        </is>
      </c>
      <c r="D214" s="11" t="n">
        <v>3</v>
      </c>
      <c r="E214" s="12" t="n">
        <v>72923</v>
      </c>
      <c r="F214" s="13" t="inlineStr">
        <is>
          <t>2026-06-10</t>
        </is>
      </c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</row>
    <row r="215" ht="26.75" customHeight="1" s="104">
      <c r="A215" s="10" t="inlineStr">
        <is>
          <t>Cherry Creek School District</t>
        </is>
      </c>
      <c r="B215" s="10" t="inlineStr">
        <is>
          <t>CO</t>
        </is>
      </c>
      <c r="C215" s="10" t="inlineStr">
        <is>
          <t>Master's</t>
        </is>
      </c>
      <c r="D215" s="11" t="n">
        <v>4</v>
      </c>
      <c r="E215" s="12" t="n">
        <v>74005</v>
      </c>
      <c r="F215" s="13" t="inlineStr">
        <is>
          <t>2026-06-10</t>
        </is>
      </c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</row>
    <row r="216" ht="26.75" customHeight="1" s="104">
      <c r="A216" s="10" t="inlineStr">
        <is>
          <t>Cherry Creek School District</t>
        </is>
      </c>
      <c r="B216" s="10" t="inlineStr">
        <is>
          <t>CO</t>
        </is>
      </c>
      <c r="C216" s="10" t="inlineStr">
        <is>
          <t>Master's</t>
        </is>
      </c>
      <c r="D216" s="11" t="n">
        <v>5</v>
      </c>
      <c r="E216" s="12" t="n">
        <v>75086</v>
      </c>
      <c r="F216" s="13" t="inlineStr">
        <is>
          <t>2026-06-10</t>
        </is>
      </c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</row>
    <row r="217" ht="26.75" customHeight="1" s="104">
      <c r="A217" s="10" t="inlineStr">
        <is>
          <t>Cherry Creek School District</t>
        </is>
      </c>
      <c r="B217" s="10" t="inlineStr">
        <is>
          <t>CO</t>
        </is>
      </c>
      <c r="C217" s="10" t="inlineStr">
        <is>
          <t>Master's</t>
        </is>
      </c>
      <c r="D217" s="11" t="n">
        <v>6</v>
      </c>
      <c r="E217" s="12" t="n">
        <v>77404</v>
      </c>
      <c r="F217" s="13" t="inlineStr">
        <is>
          <t>2026-06-10</t>
        </is>
      </c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</row>
    <row r="218" ht="26.75" customHeight="1" s="104">
      <c r="A218" s="10" t="inlineStr">
        <is>
          <t>Cherry Creek School District</t>
        </is>
      </c>
      <c r="B218" s="10" t="inlineStr">
        <is>
          <t>CO</t>
        </is>
      </c>
      <c r="C218" s="10" t="inlineStr">
        <is>
          <t>Master's</t>
        </is>
      </c>
      <c r="D218" s="11" t="n">
        <v>7</v>
      </c>
      <c r="E218" s="12" t="n">
        <v>80095</v>
      </c>
      <c r="F218" s="13" t="inlineStr">
        <is>
          <t>2026-06-10</t>
        </is>
      </c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</row>
    <row r="219" ht="26.75" customHeight="1" s="104">
      <c r="A219" s="10" t="inlineStr">
        <is>
          <t>Cherry Creek School District</t>
        </is>
      </c>
      <c r="B219" s="10" t="inlineStr">
        <is>
          <t>CO</t>
        </is>
      </c>
      <c r="C219" s="10" t="inlineStr">
        <is>
          <t>Master's</t>
        </is>
      </c>
      <c r="D219" s="11" t="n">
        <v>8</v>
      </c>
      <c r="E219" s="12" t="n">
        <v>82787</v>
      </c>
      <c r="F219" s="13" t="inlineStr">
        <is>
          <t>2026-06-10</t>
        </is>
      </c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</row>
    <row r="220" ht="26.75" customHeight="1" s="104">
      <c r="A220" s="10" t="inlineStr">
        <is>
          <t>Cherry Creek School District</t>
        </is>
      </c>
      <c r="B220" s="10" t="inlineStr">
        <is>
          <t>CO</t>
        </is>
      </c>
      <c r="C220" s="10" t="inlineStr">
        <is>
          <t>Master's</t>
        </is>
      </c>
      <c r="D220" s="11" t="n">
        <v>9</v>
      </c>
      <c r="E220" s="12" t="n">
        <v>85478</v>
      </c>
      <c r="F220" s="13" t="inlineStr">
        <is>
          <t>2026-06-10</t>
        </is>
      </c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</row>
    <row r="221" ht="26.75" customHeight="1" s="104">
      <c r="A221" s="10" t="inlineStr">
        <is>
          <t>Cherry Creek School District</t>
        </is>
      </c>
      <c r="B221" s="10" t="inlineStr">
        <is>
          <t>CO</t>
        </is>
      </c>
      <c r="C221" s="10" t="inlineStr">
        <is>
          <t>Master's</t>
        </is>
      </c>
      <c r="D221" s="11" t="n">
        <v>10</v>
      </c>
      <c r="E221" s="12" t="n">
        <v>88170</v>
      </c>
      <c r="F221" s="13" t="inlineStr">
        <is>
          <t>2026-06-10</t>
        </is>
      </c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</row>
    <row r="222" ht="26.75" customHeight="1" s="104">
      <c r="A222" s="10" t="inlineStr">
        <is>
          <t>Chicago Public Schools</t>
        </is>
      </c>
      <c r="B222" s="10" t="inlineStr">
        <is>
          <t>IL</t>
        </is>
      </c>
      <c r="C222" s="10" t="inlineStr">
        <is>
          <t>Bachelor's</t>
        </is>
      </c>
      <c r="D222" s="11" t="n">
        <v>0</v>
      </c>
      <c r="E222" s="12" t="n">
        <v>72519.92</v>
      </c>
      <c r="F222" s="13" t="inlineStr">
        <is>
          <t>2026-06-11</t>
        </is>
      </c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</row>
    <row r="223" ht="26.75" customHeight="1" s="104">
      <c r="A223" s="10" t="inlineStr">
        <is>
          <t>Chicago Public Schools</t>
        </is>
      </c>
      <c r="B223" s="10" t="inlineStr">
        <is>
          <t>IL</t>
        </is>
      </c>
      <c r="C223" s="10" t="inlineStr">
        <is>
          <t>Bachelor's</t>
        </is>
      </c>
      <c r="D223" s="11" t="n">
        <v>1</v>
      </c>
      <c r="E223" s="12" t="n">
        <v>73454.92</v>
      </c>
      <c r="F223" s="13" t="inlineStr">
        <is>
          <t>2026-06-11</t>
        </is>
      </c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</row>
    <row r="224" ht="26.75" customHeight="1" s="104">
      <c r="A224" s="10" t="inlineStr">
        <is>
          <t>Chicago Public Schools</t>
        </is>
      </c>
      <c r="B224" s="10" t="inlineStr">
        <is>
          <t>IL</t>
        </is>
      </c>
      <c r="C224" s="10" t="inlineStr">
        <is>
          <t>Bachelor's</t>
        </is>
      </c>
      <c r="D224" s="11" t="n">
        <v>2</v>
      </c>
      <c r="E224" s="12" t="n">
        <v>74614.32000000001</v>
      </c>
      <c r="F224" s="13" t="inlineStr">
        <is>
          <t>2026-06-11</t>
        </is>
      </c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</row>
    <row r="225" ht="26.75" customHeight="1" s="104">
      <c r="A225" s="10" t="inlineStr">
        <is>
          <t>Chicago Public Schools</t>
        </is>
      </c>
      <c r="B225" s="10" t="inlineStr">
        <is>
          <t>IL</t>
        </is>
      </c>
      <c r="C225" s="10" t="inlineStr">
        <is>
          <t>Bachelor's</t>
        </is>
      </c>
      <c r="D225" s="11" t="n">
        <v>3</v>
      </c>
      <c r="E225" s="12" t="n">
        <v>75913.09</v>
      </c>
      <c r="F225" s="13" t="inlineStr">
        <is>
          <t>2026-06-11</t>
        </is>
      </c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</row>
    <row r="226" ht="26.75" customHeight="1" s="104">
      <c r="A226" s="10" t="inlineStr">
        <is>
          <t>Chicago Public Schools</t>
        </is>
      </c>
      <c r="B226" s="10" t="inlineStr">
        <is>
          <t>IL</t>
        </is>
      </c>
      <c r="C226" s="10" t="inlineStr">
        <is>
          <t>Bachelor's</t>
        </is>
      </c>
      <c r="D226" s="11" t="n">
        <v>4</v>
      </c>
      <c r="E226" s="12" t="n">
        <v>78011.82000000001</v>
      </c>
      <c r="F226" s="13" t="inlineStr">
        <is>
          <t>2026-06-11</t>
        </is>
      </c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</row>
    <row r="227" ht="26.75" customHeight="1" s="104">
      <c r="A227" s="10" t="inlineStr">
        <is>
          <t>Chicago Public Schools</t>
        </is>
      </c>
      <c r="B227" s="10" t="inlineStr">
        <is>
          <t>IL</t>
        </is>
      </c>
      <c r="C227" s="10" t="inlineStr">
        <is>
          <t>Bachelor's</t>
        </is>
      </c>
      <c r="D227" s="11" t="n">
        <v>5</v>
      </c>
      <c r="E227" s="12" t="n">
        <v>80661.5</v>
      </c>
      <c r="F227" s="13" t="inlineStr">
        <is>
          <t>2026-06-11</t>
        </is>
      </c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</row>
    <row r="228" ht="26.75" customHeight="1" s="104">
      <c r="A228" s="10" t="inlineStr">
        <is>
          <t>Chicago Public Schools</t>
        </is>
      </c>
      <c r="B228" s="10" t="inlineStr">
        <is>
          <t>IL</t>
        </is>
      </c>
      <c r="C228" s="10" t="inlineStr">
        <is>
          <t>Bachelor's</t>
        </is>
      </c>
      <c r="D228" s="11" t="n">
        <v>6</v>
      </c>
      <c r="E228" s="12" t="n">
        <v>83551.69</v>
      </c>
      <c r="F228" s="13" t="inlineStr">
        <is>
          <t>2026-06-11</t>
        </is>
      </c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</row>
    <row r="229" ht="26.75" customHeight="1" s="104">
      <c r="A229" s="10" t="inlineStr">
        <is>
          <t>Chicago Public Schools</t>
        </is>
      </c>
      <c r="B229" s="10" t="inlineStr">
        <is>
          <t>IL</t>
        </is>
      </c>
      <c r="C229" s="10" t="inlineStr">
        <is>
          <t>Bachelor's</t>
        </is>
      </c>
      <c r="D229" s="11" t="n">
        <v>7</v>
      </c>
      <c r="E229" s="12" t="n">
        <v>86550.74000000001</v>
      </c>
      <c r="F229" s="13" t="inlineStr">
        <is>
          <t>2026-06-11</t>
        </is>
      </c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</row>
    <row r="230" ht="26.75" customHeight="1" s="104">
      <c r="A230" s="10" t="inlineStr">
        <is>
          <t>Chicago Public Schools</t>
        </is>
      </c>
      <c r="B230" s="10" t="inlineStr">
        <is>
          <t>IL</t>
        </is>
      </c>
      <c r="C230" s="10" t="inlineStr">
        <is>
          <t>Bachelor's</t>
        </is>
      </c>
      <c r="D230" s="11" t="n">
        <v>8</v>
      </c>
      <c r="E230" s="12" t="n">
        <v>89656.36</v>
      </c>
      <c r="F230" s="13" t="inlineStr">
        <is>
          <t>2026-06-11</t>
        </is>
      </c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</row>
    <row r="231" ht="26.75" customHeight="1" s="104">
      <c r="A231" s="10" t="inlineStr">
        <is>
          <t>Chicago Public Schools</t>
        </is>
      </c>
      <c r="B231" s="10" t="inlineStr">
        <is>
          <t>IL</t>
        </is>
      </c>
      <c r="C231" s="10" t="inlineStr">
        <is>
          <t>Bachelor's</t>
        </is>
      </c>
      <c r="D231" s="11" t="n">
        <v>9</v>
      </c>
      <c r="E231" s="12" t="n">
        <v>92726.85000000001</v>
      </c>
      <c r="F231" s="13" t="inlineStr">
        <is>
          <t>2026-06-11</t>
        </is>
      </c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</row>
    <row r="232" ht="26.75" customHeight="1" s="104">
      <c r="A232" s="10" t="inlineStr">
        <is>
          <t>Chicago Public Schools</t>
        </is>
      </c>
      <c r="B232" s="10" t="inlineStr">
        <is>
          <t>IL</t>
        </is>
      </c>
      <c r="C232" s="10" t="inlineStr">
        <is>
          <t>Bachelor's</t>
        </is>
      </c>
      <c r="D232" s="11" t="n">
        <v>10</v>
      </c>
      <c r="E232" s="12" t="n">
        <v>95709.41</v>
      </c>
      <c r="F232" s="13" t="inlineStr">
        <is>
          <t>2026-06-11</t>
        </is>
      </c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</row>
    <row r="233" ht="26.75" customHeight="1" s="104">
      <c r="A233" s="10" t="inlineStr">
        <is>
          <t>Chicago Public Schools</t>
        </is>
      </c>
      <c r="B233" s="10" t="inlineStr">
        <is>
          <t>IL</t>
        </is>
      </c>
      <c r="C233" s="10" t="inlineStr">
        <is>
          <t>Master's</t>
        </is>
      </c>
      <c r="D233" s="11" t="n">
        <v>0</v>
      </c>
      <c r="E233" s="12" t="n">
        <v>74014.67999999999</v>
      </c>
      <c r="F233" s="13" t="inlineStr">
        <is>
          <t>2026-06-11</t>
        </is>
      </c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</row>
    <row r="234" ht="26.75" customHeight="1" s="104">
      <c r="A234" s="10" t="inlineStr">
        <is>
          <t>Chicago Public Schools</t>
        </is>
      </c>
      <c r="B234" s="10" t="inlineStr">
        <is>
          <t>IL</t>
        </is>
      </c>
      <c r="C234" s="10" t="inlineStr">
        <is>
          <t>Master's</t>
        </is>
      </c>
      <c r="D234" s="11" t="n">
        <v>1</v>
      </c>
      <c r="E234" s="12" t="n">
        <v>74949.67999999999</v>
      </c>
      <c r="F234" s="13" t="inlineStr">
        <is>
          <t>2026-06-11</t>
        </is>
      </c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</row>
    <row r="235" ht="26.75" customHeight="1" s="104">
      <c r="A235" s="10" t="inlineStr">
        <is>
          <t>Chicago Public Schools</t>
        </is>
      </c>
      <c r="B235" s="10" t="inlineStr">
        <is>
          <t>IL</t>
        </is>
      </c>
      <c r="C235" s="10" t="inlineStr">
        <is>
          <t>Master's</t>
        </is>
      </c>
      <c r="D235" s="11" t="n">
        <v>2</v>
      </c>
      <c r="E235" s="12" t="n">
        <v>76109.08</v>
      </c>
      <c r="F235" s="13" t="inlineStr">
        <is>
          <t>2026-06-11</t>
        </is>
      </c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</row>
    <row r="236" ht="26.75" customHeight="1" s="104">
      <c r="A236" s="10" t="inlineStr">
        <is>
          <t>Chicago Public Schools</t>
        </is>
      </c>
      <c r="B236" s="10" t="inlineStr">
        <is>
          <t>IL</t>
        </is>
      </c>
      <c r="C236" s="10" t="inlineStr">
        <is>
          <t>Master's</t>
        </is>
      </c>
      <c r="D236" s="11" t="n">
        <v>3</v>
      </c>
      <c r="E236" s="12" t="n">
        <v>77407.86</v>
      </c>
      <c r="F236" s="13" t="inlineStr">
        <is>
          <t>2026-06-11</t>
        </is>
      </c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</row>
    <row r="237" ht="26.75" customHeight="1" s="104">
      <c r="A237" s="10" t="inlineStr">
        <is>
          <t>Chicago Public Schools</t>
        </is>
      </c>
      <c r="B237" s="10" t="inlineStr">
        <is>
          <t>IL</t>
        </is>
      </c>
      <c r="C237" s="10" t="inlineStr">
        <is>
          <t>Master's</t>
        </is>
      </c>
      <c r="D237" s="11" t="n">
        <v>4</v>
      </c>
      <c r="E237" s="12" t="n">
        <v>79501.53</v>
      </c>
      <c r="F237" s="13" t="inlineStr">
        <is>
          <t>2026-06-11</t>
        </is>
      </c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</row>
    <row r="238" ht="26.75" customHeight="1" s="104">
      <c r="A238" s="10" t="inlineStr">
        <is>
          <t>Chicago Public Schools</t>
        </is>
      </c>
      <c r="B238" s="10" t="inlineStr">
        <is>
          <t>IL</t>
        </is>
      </c>
      <c r="C238" s="10" t="inlineStr">
        <is>
          <t>Master's</t>
        </is>
      </c>
      <c r="D238" s="11" t="n">
        <v>5</v>
      </c>
      <c r="E238" s="12" t="n">
        <v>82139.7</v>
      </c>
      <c r="F238" s="13" t="inlineStr">
        <is>
          <t>2026-06-11</t>
        </is>
      </c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</row>
    <row r="239" ht="26.75" customHeight="1" s="104">
      <c r="A239" s="10" t="inlineStr">
        <is>
          <t>Chicago Public Schools</t>
        </is>
      </c>
      <c r="B239" s="10" t="inlineStr">
        <is>
          <t>IL</t>
        </is>
      </c>
      <c r="C239" s="10" t="inlineStr">
        <is>
          <t>Master's</t>
        </is>
      </c>
      <c r="D239" s="11" t="n">
        <v>6</v>
      </c>
      <c r="E239" s="12" t="n">
        <v>85011.02</v>
      </c>
      <c r="F239" s="13" t="inlineStr">
        <is>
          <t>2026-06-11</t>
        </is>
      </c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</row>
    <row r="240" ht="26.75" customHeight="1" s="104">
      <c r="A240" s="10" t="inlineStr">
        <is>
          <t>Chicago Public Schools</t>
        </is>
      </c>
      <c r="B240" s="10" t="inlineStr">
        <is>
          <t>IL</t>
        </is>
      </c>
      <c r="C240" s="10" t="inlineStr">
        <is>
          <t>Master's</t>
        </is>
      </c>
      <c r="D240" s="11" t="n">
        <v>7</v>
      </c>
      <c r="E240" s="12" t="n">
        <v>87979.28999999999</v>
      </c>
      <c r="F240" s="13" t="inlineStr">
        <is>
          <t>2026-06-11</t>
        </is>
      </c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</row>
    <row r="241" ht="26.75" customHeight="1" s="104">
      <c r="A241" s="10" t="inlineStr">
        <is>
          <t>Chicago Public Schools</t>
        </is>
      </c>
      <c r="B241" s="10" t="inlineStr">
        <is>
          <t>IL</t>
        </is>
      </c>
      <c r="C241" s="10" t="inlineStr">
        <is>
          <t>Master's</t>
        </is>
      </c>
      <c r="D241" s="11" t="n">
        <v>8</v>
      </c>
      <c r="E241" s="12" t="n">
        <v>91044.60000000001</v>
      </c>
      <c r="F241" s="13" t="inlineStr">
        <is>
          <t>2026-06-11</t>
        </is>
      </c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</row>
    <row r="242" ht="26.75" customHeight="1" s="104">
      <c r="A242" s="10" t="inlineStr">
        <is>
          <t>Chicago Public Schools</t>
        </is>
      </c>
      <c r="B242" s="10" t="inlineStr">
        <is>
          <t>IL</t>
        </is>
      </c>
      <c r="C242" s="10" t="inlineStr">
        <is>
          <t>Master's</t>
        </is>
      </c>
      <c r="D242" s="11" t="n">
        <v>9</v>
      </c>
      <c r="E242" s="12" t="n">
        <v>94059.50999999999</v>
      </c>
      <c r="F242" s="13" t="inlineStr">
        <is>
          <t>2026-06-11</t>
        </is>
      </c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</row>
    <row r="243" ht="26.75" customHeight="1" s="104">
      <c r="A243" s="10" t="inlineStr">
        <is>
          <t>Chicago Public Schools</t>
        </is>
      </c>
      <c r="B243" s="10" t="inlineStr">
        <is>
          <t>IL</t>
        </is>
      </c>
      <c r="C243" s="10" t="inlineStr">
        <is>
          <t>Master's</t>
        </is>
      </c>
      <c r="D243" s="11" t="n">
        <v>10</v>
      </c>
      <c r="E243" s="12" t="n">
        <v>96963.03</v>
      </c>
      <c r="F243" s="13" t="inlineStr">
        <is>
          <t>2026-06-11</t>
        </is>
      </c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</row>
    <row r="244" ht="26.75" customHeight="1" s="104">
      <c r="A244" s="10" t="inlineStr">
        <is>
          <t>Cobb County School District</t>
        </is>
      </c>
      <c r="B244" s="10" t="inlineStr">
        <is>
          <t>GA</t>
        </is>
      </c>
      <c r="C244" s="10" t="inlineStr">
        <is>
          <t>Bachelor's</t>
        </is>
      </c>
      <c r="D244" s="11" t="n">
        <v>0</v>
      </c>
      <c r="E244" s="12" t="n">
        <v>60604</v>
      </c>
      <c r="F244" s="13" t="inlineStr">
        <is>
          <t>2026-06-13</t>
        </is>
      </c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</row>
    <row r="245" ht="26.75" customHeight="1" s="104">
      <c r="A245" s="10" t="inlineStr">
        <is>
          <t>Cobb County School District</t>
        </is>
      </c>
      <c r="B245" s="10" t="inlineStr">
        <is>
          <t>GA</t>
        </is>
      </c>
      <c r="C245" s="10" t="inlineStr">
        <is>
          <t>Bachelor's</t>
        </is>
      </c>
      <c r="D245" s="11" t="n">
        <v>1</v>
      </c>
      <c r="E245" s="12" t="n">
        <v>60604</v>
      </c>
      <c r="F245" s="13" t="inlineStr">
        <is>
          <t>2026-06-13</t>
        </is>
      </c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</row>
    <row r="246" ht="26.75" customHeight="1" s="104">
      <c r="A246" s="10" t="inlineStr">
        <is>
          <t>Cobb County School District</t>
        </is>
      </c>
      <c r="B246" s="10" t="inlineStr">
        <is>
          <t>GA</t>
        </is>
      </c>
      <c r="C246" s="10" t="inlineStr">
        <is>
          <t>Bachelor's</t>
        </is>
      </c>
      <c r="D246" s="11" t="n">
        <v>2</v>
      </c>
      <c r="E246" s="12" t="n">
        <v>60604</v>
      </c>
      <c r="F246" s="13" t="inlineStr">
        <is>
          <t>2026-06-13</t>
        </is>
      </c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</row>
    <row r="247" ht="26.75" customHeight="1" s="104">
      <c r="A247" s="10" t="inlineStr">
        <is>
          <t>Cobb County School District</t>
        </is>
      </c>
      <c r="B247" s="10" t="inlineStr">
        <is>
          <t>GA</t>
        </is>
      </c>
      <c r="C247" s="10" t="inlineStr">
        <is>
          <t>Bachelor's</t>
        </is>
      </c>
      <c r="D247" s="11" t="n">
        <v>3</v>
      </c>
      <c r="E247" s="12" t="n">
        <v>60604</v>
      </c>
      <c r="F247" s="13" t="inlineStr">
        <is>
          <t>2026-06-13</t>
        </is>
      </c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</row>
    <row r="248" ht="26.75" customHeight="1" s="104">
      <c r="A248" s="10" t="inlineStr">
        <is>
          <t>Cobb County School District</t>
        </is>
      </c>
      <c r="B248" s="10" t="inlineStr">
        <is>
          <t>GA</t>
        </is>
      </c>
      <c r="C248" s="10" t="inlineStr">
        <is>
          <t>Bachelor's</t>
        </is>
      </c>
      <c r="D248" s="11" t="n">
        <v>4</v>
      </c>
      <c r="E248" s="12" t="n">
        <v>61463</v>
      </c>
      <c r="F248" s="13" t="inlineStr">
        <is>
          <t>2026-06-13</t>
        </is>
      </c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</row>
    <row r="249" ht="26.75" customHeight="1" s="104">
      <c r="A249" s="10" t="inlineStr">
        <is>
          <t>Cobb County School District</t>
        </is>
      </c>
      <c r="B249" s="10" t="inlineStr">
        <is>
          <t>GA</t>
        </is>
      </c>
      <c r="C249" s="10" t="inlineStr">
        <is>
          <t>Bachelor's</t>
        </is>
      </c>
      <c r="D249" s="11" t="n">
        <v>5</v>
      </c>
      <c r="E249" s="12" t="n">
        <v>62222</v>
      </c>
      <c r="F249" s="13" t="inlineStr">
        <is>
          <t>2026-06-13</t>
        </is>
      </c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</row>
    <row r="250" ht="26.75" customHeight="1" s="104">
      <c r="A250" s="10" t="inlineStr">
        <is>
          <t>Cobb County School District</t>
        </is>
      </c>
      <c r="B250" s="10" t="inlineStr">
        <is>
          <t>GA</t>
        </is>
      </c>
      <c r="C250" s="10" t="inlineStr">
        <is>
          <t>Bachelor's</t>
        </is>
      </c>
      <c r="D250" s="11" t="n">
        <v>6</v>
      </c>
      <c r="E250" s="12" t="n">
        <v>63275</v>
      </c>
      <c r="F250" s="13" t="inlineStr">
        <is>
          <t>2026-06-13</t>
        </is>
      </c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</row>
    <row r="251" ht="26.75" customHeight="1" s="104">
      <c r="A251" s="10" t="inlineStr">
        <is>
          <t>Cobb County School District</t>
        </is>
      </c>
      <c r="B251" s="10" t="inlineStr">
        <is>
          <t>GA</t>
        </is>
      </c>
      <c r="C251" s="10" t="inlineStr">
        <is>
          <t>Bachelor's</t>
        </is>
      </c>
      <c r="D251" s="11" t="n">
        <v>7</v>
      </c>
      <c r="E251" s="12" t="n">
        <v>65803</v>
      </c>
      <c r="F251" s="13" t="inlineStr">
        <is>
          <t>2026-06-13</t>
        </is>
      </c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</row>
    <row r="252" ht="26.75" customHeight="1" s="104">
      <c r="A252" s="10" t="inlineStr">
        <is>
          <t>Cobb County School District</t>
        </is>
      </c>
      <c r="B252" s="10" t="inlineStr">
        <is>
          <t>GA</t>
        </is>
      </c>
      <c r="C252" s="10" t="inlineStr">
        <is>
          <t>Bachelor's</t>
        </is>
      </c>
      <c r="D252" s="11" t="n">
        <v>8</v>
      </c>
      <c r="E252" s="12" t="n">
        <v>67780</v>
      </c>
      <c r="F252" s="13" t="inlineStr">
        <is>
          <t>2026-06-13</t>
        </is>
      </c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</row>
    <row r="253" ht="26.75" customHeight="1" s="104">
      <c r="A253" s="10" t="inlineStr">
        <is>
          <t>Cobb County School District</t>
        </is>
      </c>
      <c r="B253" s="10" t="inlineStr">
        <is>
          <t>GA</t>
        </is>
      </c>
      <c r="C253" s="10" t="inlineStr">
        <is>
          <t>Bachelor's</t>
        </is>
      </c>
      <c r="D253" s="11" t="n">
        <v>9</v>
      </c>
      <c r="E253" s="12" t="n">
        <v>70830</v>
      </c>
      <c r="F253" s="13" t="inlineStr">
        <is>
          <t>2026-06-13</t>
        </is>
      </c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</row>
    <row r="254" ht="26.75" customHeight="1" s="104">
      <c r="A254" s="10" t="inlineStr">
        <is>
          <t>Cobb County School District</t>
        </is>
      </c>
      <c r="B254" s="10" t="inlineStr">
        <is>
          <t>GA</t>
        </is>
      </c>
      <c r="C254" s="10" t="inlineStr">
        <is>
          <t>Bachelor's</t>
        </is>
      </c>
      <c r="D254" s="11" t="n">
        <v>10</v>
      </c>
      <c r="E254" s="12" t="n">
        <v>72953</v>
      </c>
      <c r="F254" s="13" t="inlineStr">
        <is>
          <t>2026-06-13</t>
        </is>
      </c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</row>
    <row r="255" ht="26.75" customHeight="1" s="104">
      <c r="A255" s="10" t="inlineStr">
        <is>
          <t>Cobb County School District</t>
        </is>
      </c>
      <c r="B255" s="10" t="inlineStr">
        <is>
          <t>GA</t>
        </is>
      </c>
      <c r="C255" s="10" t="inlineStr">
        <is>
          <t>Master's</t>
        </is>
      </c>
      <c r="D255" s="11" t="n">
        <v>0</v>
      </c>
      <c r="E255" s="12" t="n">
        <v>65731</v>
      </c>
      <c r="F255" s="13" t="inlineStr">
        <is>
          <t>2026-06-13</t>
        </is>
      </c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</row>
    <row r="256" ht="26.75" customHeight="1" s="104">
      <c r="A256" s="10" t="inlineStr">
        <is>
          <t>Cobb County School District</t>
        </is>
      </c>
      <c r="B256" s="10" t="inlineStr">
        <is>
          <t>GA</t>
        </is>
      </c>
      <c r="C256" s="10" t="inlineStr">
        <is>
          <t>Master's</t>
        </is>
      </c>
      <c r="D256" s="11" t="n">
        <v>1</v>
      </c>
      <c r="E256" s="12" t="n">
        <v>65731</v>
      </c>
      <c r="F256" s="13" t="inlineStr">
        <is>
          <t>2026-06-13</t>
        </is>
      </c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</row>
    <row r="257" ht="26.75" customHeight="1" s="104">
      <c r="A257" s="10" t="inlineStr">
        <is>
          <t>Cobb County School District</t>
        </is>
      </c>
      <c r="B257" s="10" t="inlineStr">
        <is>
          <t>GA</t>
        </is>
      </c>
      <c r="C257" s="10" t="inlineStr">
        <is>
          <t>Master's</t>
        </is>
      </c>
      <c r="D257" s="11" t="n">
        <v>2</v>
      </c>
      <c r="E257" s="12" t="n">
        <v>65731</v>
      </c>
      <c r="F257" s="13" t="inlineStr">
        <is>
          <t>2026-06-13</t>
        </is>
      </c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</row>
    <row r="258" ht="26.75" customHeight="1" s="104">
      <c r="A258" s="10" t="inlineStr">
        <is>
          <t>Cobb County School District</t>
        </is>
      </c>
      <c r="B258" s="10" t="inlineStr">
        <is>
          <t>GA</t>
        </is>
      </c>
      <c r="C258" s="10" t="inlineStr">
        <is>
          <t>Master's</t>
        </is>
      </c>
      <c r="D258" s="11" t="n">
        <v>3</v>
      </c>
      <c r="E258" s="12" t="n">
        <v>65731</v>
      </c>
      <c r="F258" s="13" t="inlineStr">
        <is>
          <t>2026-06-13</t>
        </is>
      </c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</row>
    <row r="259" ht="26.75" customHeight="1" s="104">
      <c r="A259" s="10" t="inlineStr">
        <is>
          <t>Cobb County School District</t>
        </is>
      </c>
      <c r="B259" s="10" t="inlineStr">
        <is>
          <t>GA</t>
        </is>
      </c>
      <c r="C259" s="10" t="inlineStr">
        <is>
          <t>Master's</t>
        </is>
      </c>
      <c r="D259" s="11" t="n">
        <v>4</v>
      </c>
      <c r="E259" s="12" t="n">
        <v>67705</v>
      </c>
      <c r="F259" s="13" t="inlineStr">
        <is>
          <t>2026-06-13</t>
        </is>
      </c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</row>
    <row r="260" ht="26.75" customHeight="1" s="104">
      <c r="A260" s="10" t="inlineStr">
        <is>
          <t>Cobb County School District</t>
        </is>
      </c>
      <c r="B260" s="10" t="inlineStr">
        <is>
          <t>GA</t>
        </is>
      </c>
      <c r="C260" s="10" t="inlineStr">
        <is>
          <t>Master's</t>
        </is>
      </c>
      <c r="D260" s="11" t="n">
        <v>5</v>
      </c>
      <c r="E260" s="12" t="n">
        <v>69938</v>
      </c>
      <c r="F260" s="13" t="inlineStr">
        <is>
          <t>2026-06-13</t>
        </is>
      </c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</row>
    <row r="261" ht="26.75" customHeight="1" s="104">
      <c r="A261" s="10" t="inlineStr">
        <is>
          <t>Cobb County School District</t>
        </is>
      </c>
      <c r="B261" s="10" t="inlineStr">
        <is>
          <t>GA</t>
        </is>
      </c>
      <c r="C261" s="10" t="inlineStr">
        <is>
          <t>Master's</t>
        </is>
      </c>
      <c r="D261" s="11" t="n">
        <v>6</v>
      </c>
      <c r="E261" s="12" t="n">
        <v>72034</v>
      </c>
      <c r="F261" s="13" t="inlineStr">
        <is>
          <t>2026-06-13</t>
        </is>
      </c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</row>
    <row r="262" ht="26.75" customHeight="1" s="104">
      <c r="A262" s="10" t="inlineStr">
        <is>
          <t>Cobb County School District</t>
        </is>
      </c>
      <c r="B262" s="10" t="inlineStr">
        <is>
          <t>GA</t>
        </is>
      </c>
      <c r="C262" s="10" t="inlineStr">
        <is>
          <t>Master's</t>
        </is>
      </c>
      <c r="D262" s="11" t="n">
        <v>7</v>
      </c>
      <c r="E262" s="12" t="n">
        <v>74695</v>
      </c>
      <c r="F262" s="13" t="inlineStr">
        <is>
          <t>2026-06-13</t>
        </is>
      </c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</row>
    <row r="263" ht="26.75" customHeight="1" s="104">
      <c r="A263" s="10" t="inlineStr">
        <is>
          <t>Cobb County School District</t>
        </is>
      </c>
      <c r="B263" s="10" t="inlineStr">
        <is>
          <t>GA</t>
        </is>
      </c>
      <c r="C263" s="10" t="inlineStr">
        <is>
          <t>Master's</t>
        </is>
      </c>
      <c r="D263" s="11" t="n">
        <v>8</v>
      </c>
      <c r="E263" s="12" t="n">
        <v>76936</v>
      </c>
      <c r="F263" s="13" t="inlineStr">
        <is>
          <t>2026-06-13</t>
        </is>
      </c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</row>
    <row r="264" ht="26.75" customHeight="1" s="104">
      <c r="A264" s="10" t="inlineStr">
        <is>
          <t>Cobb County School District</t>
        </is>
      </c>
      <c r="B264" s="10" t="inlineStr">
        <is>
          <t>GA</t>
        </is>
      </c>
      <c r="C264" s="10" t="inlineStr">
        <is>
          <t>Master's</t>
        </is>
      </c>
      <c r="D264" s="11" t="n">
        <v>9</v>
      </c>
      <c r="E264" s="12" t="n">
        <v>80401</v>
      </c>
      <c r="F264" s="13" t="inlineStr">
        <is>
          <t>2026-06-13</t>
        </is>
      </c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</row>
    <row r="265" ht="26.75" customHeight="1" s="104">
      <c r="A265" s="10" t="inlineStr">
        <is>
          <t>Cobb County School District</t>
        </is>
      </c>
      <c r="B265" s="10" t="inlineStr">
        <is>
          <t>GA</t>
        </is>
      </c>
      <c r="C265" s="10" t="inlineStr">
        <is>
          <t>Master's</t>
        </is>
      </c>
      <c r="D265" s="11" t="n">
        <v>10</v>
      </c>
      <c r="E265" s="12" t="n">
        <v>82813</v>
      </c>
      <c r="F265" s="13" t="inlineStr">
        <is>
          <t>2026-06-13</t>
        </is>
      </c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</row>
    <row r="266" ht="26.75" customHeight="1" s="104">
      <c r="A266" s="37" t="inlineStr">
        <is>
          <t>Deer Park ISD</t>
        </is>
      </c>
      <c r="B266" s="37" t="inlineStr">
        <is>
          <t>TX</t>
        </is>
      </c>
      <c r="C266" s="37" t="inlineStr">
        <is>
          <t>Bachelor's</t>
        </is>
      </c>
      <c r="D266" s="37" t="n">
        <v>0</v>
      </c>
      <c r="E266" s="37" t="n">
        <v>63000</v>
      </c>
      <c r="F266" s="37" t="inlineStr">
        <is>
          <t>2026-06-16</t>
        </is>
      </c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</row>
    <row r="267" ht="26.75" customHeight="1" s="104">
      <c r="A267" s="37" t="inlineStr">
        <is>
          <t>Deer Park ISD</t>
        </is>
      </c>
      <c r="B267" s="37" t="inlineStr">
        <is>
          <t>TX</t>
        </is>
      </c>
      <c r="C267" s="37" t="inlineStr">
        <is>
          <t>Bachelor's</t>
        </is>
      </c>
      <c r="D267" s="37" t="n">
        <v>1</v>
      </c>
      <c r="E267" s="37" t="n">
        <v>64500</v>
      </c>
      <c r="F267" s="37" t="inlineStr">
        <is>
          <t>2026-06-16</t>
        </is>
      </c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</row>
    <row r="268" ht="26.75" customHeight="1" s="104">
      <c r="A268" s="37" t="inlineStr">
        <is>
          <t>Deer Park ISD</t>
        </is>
      </c>
      <c r="B268" s="37" t="inlineStr">
        <is>
          <t>TX</t>
        </is>
      </c>
      <c r="C268" s="37" t="inlineStr">
        <is>
          <t>Bachelor's</t>
        </is>
      </c>
      <c r="D268" s="37" t="n">
        <v>2</v>
      </c>
      <c r="E268" s="37" t="n">
        <v>66000</v>
      </c>
      <c r="F268" s="37" t="inlineStr">
        <is>
          <t>2026-06-16</t>
        </is>
      </c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</row>
    <row r="269" ht="26.75" customHeight="1" s="104">
      <c r="A269" s="37" t="inlineStr">
        <is>
          <t>Deer Park ISD</t>
        </is>
      </c>
      <c r="B269" s="37" t="inlineStr">
        <is>
          <t>TX</t>
        </is>
      </c>
      <c r="C269" s="37" t="inlineStr">
        <is>
          <t>Bachelor's</t>
        </is>
      </c>
      <c r="D269" s="37" t="n">
        <v>3</v>
      </c>
      <c r="E269" s="37" t="n">
        <v>67500</v>
      </c>
      <c r="F269" s="37" t="inlineStr">
        <is>
          <t>2026-06-16</t>
        </is>
      </c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</row>
    <row r="270" ht="26.75" customHeight="1" s="104">
      <c r="A270" s="37" t="inlineStr">
        <is>
          <t>Deer Park ISD</t>
        </is>
      </c>
      <c r="B270" s="37" t="inlineStr">
        <is>
          <t>TX</t>
        </is>
      </c>
      <c r="C270" s="37" t="inlineStr">
        <is>
          <t>Bachelor's</t>
        </is>
      </c>
      <c r="D270" s="37" t="n">
        <v>4</v>
      </c>
      <c r="E270" s="37" t="n">
        <v>69000</v>
      </c>
      <c r="F270" s="37" t="inlineStr">
        <is>
          <t>2026-06-16</t>
        </is>
      </c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</row>
    <row r="271" ht="26.75" customHeight="1" s="104">
      <c r="A271" s="37" t="inlineStr">
        <is>
          <t>Deer Park ISD</t>
        </is>
      </c>
      <c r="B271" s="37" t="inlineStr">
        <is>
          <t>TX</t>
        </is>
      </c>
      <c r="C271" s="37" t="inlineStr">
        <is>
          <t>Bachelor's</t>
        </is>
      </c>
      <c r="D271" s="37" t="n">
        <v>5</v>
      </c>
      <c r="E271" s="37" t="n">
        <v>70500</v>
      </c>
      <c r="F271" s="37" t="inlineStr">
        <is>
          <t>2026-06-16</t>
        </is>
      </c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</row>
    <row r="272" ht="26.75" customHeight="1" s="104">
      <c r="A272" s="37" t="inlineStr">
        <is>
          <t>Deer Park ISD</t>
        </is>
      </c>
      <c r="B272" s="37" t="inlineStr">
        <is>
          <t>TX</t>
        </is>
      </c>
      <c r="C272" s="37" t="inlineStr">
        <is>
          <t>Bachelor's</t>
        </is>
      </c>
      <c r="D272" s="37" t="n">
        <v>6</v>
      </c>
      <c r="E272" s="37" t="n">
        <v>72000</v>
      </c>
      <c r="F272" s="37" t="inlineStr">
        <is>
          <t>2026-06-16</t>
        </is>
      </c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</row>
    <row r="273" ht="26.75" customHeight="1" s="104">
      <c r="A273" s="37" t="inlineStr">
        <is>
          <t>Deer Park ISD</t>
        </is>
      </c>
      <c r="B273" s="37" t="inlineStr">
        <is>
          <t>TX</t>
        </is>
      </c>
      <c r="C273" s="37" t="inlineStr">
        <is>
          <t>Bachelor's</t>
        </is>
      </c>
      <c r="D273" s="37" t="n">
        <v>7</v>
      </c>
      <c r="E273" s="37" t="n">
        <v>73500</v>
      </c>
      <c r="F273" s="37" t="inlineStr">
        <is>
          <t>2026-06-16</t>
        </is>
      </c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</row>
    <row r="274" ht="26.75" customHeight="1" s="104">
      <c r="A274" s="37" t="inlineStr">
        <is>
          <t>Deer Park ISD</t>
        </is>
      </c>
      <c r="B274" s="37" t="inlineStr">
        <is>
          <t>TX</t>
        </is>
      </c>
      <c r="C274" s="37" t="inlineStr">
        <is>
          <t>Bachelor's</t>
        </is>
      </c>
      <c r="D274" s="37" t="n">
        <v>8</v>
      </c>
      <c r="E274" s="37" t="n">
        <v>75000</v>
      </c>
      <c r="F274" s="37" t="inlineStr">
        <is>
          <t>2026-06-16</t>
        </is>
      </c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</row>
    <row r="275" ht="26.75" customHeight="1" s="104">
      <c r="A275" s="37" t="inlineStr">
        <is>
          <t>Deer Park ISD</t>
        </is>
      </c>
      <c r="B275" s="37" t="inlineStr">
        <is>
          <t>TX</t>
        </is>
      </c>
      <c r="C275" s="37" t="inlineStr">
        <is>
          <t>Bachelor's</t>
        </is>
      </c>
      <c r="D275" s="37" t="n">
        <v>9</v>
      </c>
      <c r="E275" s="37" t="n">
        <v>76500</v>
      </c>
      <c r="F275" s="37" t="inlineStr">
        <is>
          <t>2026-06-16</t>
        </is>
      </c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</row>
    <row r="276" ht="26.75" customHeight="1" s="104">
      <c r="A276" s="37" t="inlineStr">
        <is>
          <t>Deer Park ISD</t>
        </is>
      </c>
      <c r="B276" s="37" t="inlineStr">
        <is>
          <t>TX</t>
        </is>
      </c>
      <c r="C276" s="37" t="inlineStr">
        <is>
          <t>Bachelor's</t>
        </is>
      </c>
      <c r="D276" s="37" t="n">
        <v>10</v>
      </c>
      <c r="E276" s="37" t="n">
        <v>78000</v>
      </c>
      <c r="F276" s="37" t="inlineStr">
        <is>
          <t>2026-06-16</t>
        </is>
      </c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</row>
    <row r="277" ht="26.75" customHeight="1" s="104">
      <c r="A277" s="37" t="inlineStr">
        <is>
          <t>Deer Park ISD</t>
        </is>
      </c>
      <c r="B277" s="37" t="inlineStr">
        <is>
          <t>TX</t>
        </is>
      </c>
      <c r="C277" s="37" t="inlineStr">
        <is>
          <t>Master's</t>
        </is>
      </c>
      <c r="D277" s="37" t="n">
        <v>0</v>
      </c>
      <c r="E277" s="37" t="n">
        <v>63000</v>
      </c>
      <c r="F277" s="37" t="inlineStr">
        <is>
          <t>2026-06-16</t>
        </is>
      </c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</row>
    <row r="278" ht="26.75" customHeight="1" s="104">
      <c r="A278" s="37" t="inlineStr">
        <is>
          <t>Deer Park ISD</t>
        </is>
      </c>
      <c r="B278" s="37" t="inlineStr">
        <is>
          <t>TX</t>
        </is>
      </c>
      <c r="C278" s="37" t="inlineStr">
        <is>
          <t>Master's</t>
        </is>
      </c>
      <c r="D278" s="37" t="n">
        <v>1</v>
      </c>
      <c r="E278" s="37" t="n">
        <v>64500</v>
      </c>
      <c r="F278" s="37" t="inlineStr">
        <is>
          <t>2026-06-16</t>
        </is>
      </c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</row>
    <row r="279" ht="26.75" customHeight="1" s="104">
      <c r="A279" s="37" t="inlineStr">
        <is>
          <t>Deer Park ISD</t>
        </is>
      </c>
      <c r="B279" s="37" t="inlineStr">
        <is>
          <t>TX</t>
        </is>
      </c>
      <c r="C279" s="37" t="inlineStr">
        <is>
          <t>Master's</t>
        </is>
      </c>
      <c r="D279" s="37" t="n">
        <v>2</v>
      </c>
      <c r="E279" s="37" t="n">
        <v>66000</v>
      </c>
      <c r="F279" s="37" t="inlineStr">
        <is>
          <t>2026-06-16</t>
        </is>
      </c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</row>
    <row r="280" ht="26.75" customHeight="1" s="104">
      <c r="A280" s="37" t="inlineStr">
        <is>
          <t>Deer Park ISD</t>
        </is>
      </c>
      <c r="B280" s="37" t="inlineStr">
        <is>
          <t>TX</t>
        </is>
      </c>
      <c r="C280" s="37" t="inlineStr">
        <is>
          <t>Master's</t>
        </is>
      </c>
      <c r="D280" s="37" t="n">
        <v>3</v>
      </c>
      <c r="E280" s="37" t="n">
        <v>67500</v>
      </c>
      <c r="F280" s="37" t="inlineStr">
        <is>
          <t>2026-06-16</t>
        </is>
      </c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</row>
    <row r="281" ht="26.75" customHeight="1" s="104">
      <c r="A281" s="37" t="inlineStr">
        <is>
          <t>Deer Park ISD</t>
        </is>
      </c>
      <c r="B281" s="37" t="inlineStr">
        <is>
          <t>TX</t>
        </is>
      </c>
      <c r="C281" s="37" t="inlineStr">
        <is>
          <t>Master's</t>
        </is>
      </c>
      <c r="D281" s="37" t="n">
        <v>4</v>
      </c>
      <c r="E281" s="37" t="n">
        <v>69000</v>
      </c>
      <c r="F281" s="37" t="inlineStr">
        <is>
          <t>2026-06-16</t>
        </is>
      </c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</row>
    <row r="282" ht="26.75" customHeight="1" s="104">
      <c r="A282" s="37" t="inlineStr">
        <is>
          <t>Deer Park ISD</t>
        </is>
      </c>
      <c r="B282" s="37" t="inlineStr">
        <is>
          <t>TX</t>
        </is>
      </c>
      <c r="C282" s="37" t="inlineStr">
        <is>
          <t>Master's</t>
        </is>
      </c>
      <c r="D282" s="37" t="n">
        <v>5</v>
      </c>
      <c r="E282" s="37" t="n">
        <v>70500</v>
      </c>
      <c r="F282" s="37" t="inlineStr">
        <is>
          <t>2026-06-16</t>
        </is>
      </c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</row>
    <row r="283" ht="26.75" customHeight="1" s="104">
      <c r="A283" s="37" t="inlineStr">
        <is>
          <t>Deer Park ISD</t>
        </is>
      </c>
      <c r="B283" s="37" t="inlineStr">
        <is>
          <t>TX</t>
        </is>
      </c>
      <c r="C283" s="37" t="inlineStr">
        <is>
          <t>Master's</t>
        </is>
      </c>
      <c r="D283" s="37" t="n">
        <v>6</v>
      </c>
      <c r="E283" s="37" t="n">
        <v>72000</v>
      </c>
      <c r="F283" s="37" t="inlineStr">
        <is>
          <t>2026-06-16</t>
        </is>
      </c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</row>
    <row r="284" ht="26.75" customHeight="1" s="104">
      <c r="A284" s="37" t="inlineStr">
        <is>
          <t>Deer Park ISD</t>
        </is>
      </c>
      <c r="B284" s="37" t="inlineStr">
        <is>
          <t>TX</t>
        </is>
      </c>
      <c r="C284" s="37" t="inlineStr">
        <is>
          <t>Master's</t>
        </is>
      </c>
      <c r="D284" s="37" t="n">
        <v>7</v>
      </c>
      <c r="E284" s="37" t="n">
        <v>73500</v>
      </c>
      <c r="F284" s="37" t="inlineStr">
        <is>
          <t>2026-06-16</t>
        </is>
      </c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</row>
    <row r="285" ht="26.75" customHeight="1" s="104">
      <c r="A285" s="37" t="inlineStr">
        <is>
          <t>Deer Park ISD</t>
        </is>
      </c>
      <c r="B285" s="37" t="inlineStr">
        <is>
          <t>TX</t>
        </is>
      </c>
      <c r="C285" s="37" t="inlineStr">
        <is>
          <t>Master's</t>
        </is>
      </c>
      <c r="D285" s="37" t="n">
        <v>8</v>
      </c>
      <c r="E285" s="37" t="n">
        <v>75000</v>
      </c>
      <c r="F285" s="37" t="inlineStr">
        <is>
          <t>2026-06-16</t>
        </is>
      </c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</row>
    <row r="286" ht="26.75" customHeight="1" s="104">
      <c r="A286" s="37" t="inlineStr">
        <is>
          <t>Deer Park ISD</t>
        </is>
      </c>
      <c r="B286" s="37" t="inlineStr">
        <is>
          <t>TX</t>
        </is>
      </c>
      <c r="C286" s="37" t="inlineStr">
        <is>
          <t>Master's</t>
        </is>
      </c>
      <c r="D286" s="37" t="n">
        <v>9</v>
      </c>
      <c r="E286" s="37" t="n">
        <v>76500</v>
      </c>
      <c r="F286" s="37" t="inlineStr">
        <is>
          <t>2026-06-16</t>
        </is>
      </c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</row>
    <row r="287" ht="26.75" customHeight="1" s="104">
      <c r="A287" s="37" t="inlineStr">
        <is>
          <t>Deer Park ISD</t>
        </is>
      </c>
      <c r="B287" s="37" t="inlineStr">
        <is>
          <t>TX</t>
        </is>
      </c>
      <c r="C287" s="37" t="inlineStr">
        <is>
          <t>Master's</t>
        </is>
      </c>
      <c r="D287" s="37" t="n">
        <v>10</v>
      </c>
      <c r="E287" s="37" t="n">
        <v>78000</v>
      </c>
      <c r="F287" s="37" t="inlineStr">
        <is>
          <t>2026-06-16</t>
        </is>
      </c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</row>
    <row r="288" ht="26.75" customHeight="1" s="104">
      <c r="A288" s="10" t="inlineStr">
        <is>
          <t>Denver Public Schools</t>
        </is>
      </c>
      <c r="B288" s="10" t="inlineStr">
        <is>
          <t>CO</t>
        </is>
      </c>
      <c r="C288" s="10" t="inlineStr">
        <is>
          <t>Bachelor's</t>
        </is>
      </c>
      <c r="D288" s="11" t="n">
        <v>0</v>
      </c>
      <c r="E288" s="12" t="n">
        <v>57666</v>
      </c>
      <c r="F288" s="13" t="inlineStr">
        <is>
          <t>2026-06-10</t>
        </is>
      </c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</row>
    <row r="289" ht="26.75" customHeight="1" s="104">
      <c r="A289" s="10" t="inlineStr">
        <is>
          <t>Denver Public Schools</t>
        </is>
      </c>
      <c r="B289" s="10" t="inlineStr">
        <is>
          <t>CO</t>
        </is>
      </c>
      <c r="C289" s="10" t="inlineStr">
        <is>
          <t>Bachelor's</t>
        </is>
      </c>
      <c r="D289" s="11" t="n">
        <v>1</v>
      </c>
      <c r="E289" s="12" t="n">
        <v>57666</v>
      </c>
      <c r="F289" s="13" t="inlineStr">
        <is>
          <t>2026-06-10</t>
        </is>
      </c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</row>
    <row r="290" ht="26.75" customHeight="1" s="104">
      <c r="A290" s="10" t="inlineStr">
        <is>
          <t>Denver Public Schools</t>
        </is>
      </c>
      <c r="B290" s="10" t="inlineStr">
        <is>
          <t>CO</t>
        </is>
      </c>
      <c r="C290" s="10" t="inlineStr">
        <is>
          <t>Bachelor's</t>
        </is>
      </c>
      <c r="D290" s="11" t="n">
        <v>2</v>
      </c>
      <c r="E290" s="12" t="n">
        <v>58979</v>
      </c>
      <c r="F290" s="13" t="inlineStr">
        <is>
          <t>2026-06-10</t>
        </is>
      </c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</row>
    <row r="291" ht="26.75" customHeight="1" s="104">
      <c r="A291" s="10" t="inlineStr">
        <is>
          <t>Denver Public Schools</t>
        </is>
      </c>
      <c r="B291" s="10" t="inlineStr">
        <is>
          <t>CO</t>
        </is>
      </c>
      <c r="C291" s="10" t="inlineStr">
        <is>
          <t>Bachelor's</t>
        </is>
      </c>
      <c r="D291" s="11" t="n">
        <v>3</v>
      </c>
      <c r="E291" s="12" t="n">
        <v>60897</v>
      </c>
      <c r="F291" s="13" t="inlineStr">
        <is>
          <t>2026-06-10</t>
        </is>
      </c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</row>
    <row r="292" ht="26.75" customHeight="1" s="104">
      <c r="A292" s="10" t="inlineStr">
        <is>
          <t>Denver Public Schools</t>
        </is>
      </c>
      <c r="B292" s="10" t="inlineStr">
        <is>
          <t>CO</t>
        </is>
      </c>
      <c r="C292" s="10" t="inlineStr">
        <is>
          <t>Bachelor's</t>
        </is>
      </c>
      <c r="D292" s="11" t="n">
        <v>4</v>
      </c>
      <c r="E292" s="12" t="n">
        <v>62820</v>
      </c>
      <c r="F292" s="13" t="inlineStr">
        <is>
          <t>2026-06-10</t>
        </is>
      </c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</row>
    <row r="293" ht="26.75" customHeight="1" s="104">
      <c r="A293" s="10" t="inlineStr">
        <is>
          <t>Denver Public Schools</t>
        </is>
      </c>
      <c r="B293" s="10" t="inlineStr">
        <is>
          <t>CO</t>
        </is>
      </c>
      <c r="C293" s="10" t="inlineStr">
        <is>
          <t>Bachelor's</t>
        </is>
      </c>
      <c r="D293" s="11" t="n">
        <v>5</v>
      </c>
      <c r="E293" s="12" t="n">
        <v>64743</v>
      </c>
      <c r="F293" s="13" t="inlineStr">
        <is>
          <t>2026-06-10</t>
        </is>
      </c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</row>
    <row r="294" ht="26.75" customHeight="1" s="104">
      <c r="A294" s="10" t="inlineStr">
        <is>
          <t>Denver Public Schools</t>
        </is>
      </c>
      <c r="B294" s="10" t="inlineStr">
        <is>
          <t>CO</t>
        </is>
      </c>
      <c r="C294" s="10" t="inlineStr">
        <is>
          <t>Bachelor's</t>
        </is>
      </c>
      <c r="D294" s="11" t="n">
        <v>6</v>
      </c>
      <c r="E294" s="12" t="n">
        <v>66663</v>
      </c>
      <c r="F294" s="13" t="inlineStr">
        <is>
          <t>2026-06-10</t>
        </is>
      </c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</row>
    <row r="295" ht="26.75" customHeight="1" s="104">
      <c r="A295" s="10" t="inlineStr">
        <is>
          <t>Denver Public Schools</t>
        </is>
      </c>
      <c r="B295" s="10" t="inlineStr">
        <is>
          <t>CO</t>
        </is>
      </c>
      <c r="C295" s="10" t="inlineStr">
        <is>
          <t>Bachelor's</t>
        </is>
      </c>
      <c r="D295" s="11" t="n">
        <v>7</v>
      </c>
      <c r="E295" s="12" t="n">
        <v>68586</v>
      </c>
      <c r="F295" s="13" t="inlineStr">
        <is>
          <t>2026-06-10</t>
        </is>
      </c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</row>
    <row r="296" ht="26.75" customHeight="1" s="104">
      <c r="A296" s="10" t="inlineStr">
        <is>
          <t>Denver Public Schools</t>
        </is>
      </c>
      <c r="B296" s="10" t="inlineStr">
        <is>
          <t>CO</t>
        </is>
      </c>
      <c r="C296" s="10" t="inlineStr">
        <is>
          <t>Bachelor's</t>
        </is>
      </c>
      <c r="D296" s="11" t="n">
        <v>8</v>
      </c>
      <c r="E296" s="12" t="n">
        <v>70505</v>
      </c>
      <c r="F296" s="13" t="inlineStr">
        <is>
          <t>2026-06-10</t>
        </is>
      </c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</row>
    <row r="297" ht="26.75" customHeight="1" s="104">
      <c r="A297" s="10" t="inlineStr">
        <is>
          <t>Denver Public Schools</t>
        </is>
      </c>
      <c r="B297" s="10" t="inlineStr">
        <is>
          <t>CO</t>
        </is>
      </c>
      <c r="C297" s="10" t="inlineStr">
        <is>
          <t>Bachelor's</t>
        </is>
      </c>
      <c r="D297" s="11" t="n">
        <v>9</v>
      </c>
      <c r="E297" s="12" t="n">
        <v>72428</v>
      </c>
      <c r="F297" s="13" t="inlineStr">
        <is>
          <t>2026-06-10</t>
        </is>
      </c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</row>
    <row r="298" ht="26.75" customHeight="1" s="104">
      <c r="A298" s="10" t="inlineStr">
        <is>
          <t>Denver Public Schools</t>
        </is>
      </c>
      <c r="B298" s="10" t="inlineStr">
        <is>
          <t>CO</t>
        </is>
      </c>
      <c r="C298" s="10" t="inlineStr">
        <is>
          <t>Bachelor's</t>
        </is>
      </c>
      <c r="D298" s="11" t="n">
        <v>10</v>
      </c>
      <c r="E298" s="12" t="n">
        <v>74349</v>
      </c>
      <c r="F298" s="13" t="inlineStr">
        <is>
          <t>2026-06-10</t>
        </is>
      </c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</row>
    <row r="299" ht="26.75" customHeight="1" s="104">
      <c r="A299" s="10" t="inlineStr">
        <is>
          <t>Denver Public Schools</t>
        </is>
      </c>
      <c r="B299" s="10" t="inlineStr">
        <is>
          <t>CO</t>
        </is>
      </c>
      <c r="C299" s="10" t="inlineStr">
        <is>
          <t>Master's</t>
        </is>
      </c>
      <c r="D299" s="11" t="n">
        <v>0</v>
      </c>
      <c r="E299" s="12" t="n">
        <v>63245</v>
      </c>
      <c r="F299" s="13" t="inlineStr">
        <is>
          <t>2026-06-10</t>
        </is>
      </c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</row>
    <row r="300" ht="26.75" customHeight="1" s="104">
      <c r="A300" s="10" t="inlineStr">
        <is>
          <t>Denver Public Schools</t>
        </is>
      </c>
      <c r="B300" s="10" t="inlineStr">
        <is>
          <t>CO</t>
        </is>
      </c>
      <c r="C300" s="10" t="inlineStr">
        <is>
          <t>Master's</t>
        </is>
      </c>
      <c r="D300" s="11" t="n">
        <v>1</v>
      </c>
      <c r="E300" s="12" t="n">
        <v>63245</v>
      </c>
      <c r="F300" s="13" t="inlineStr">
        <is>
          <t>2026-06-10</t>
        </is>
      </c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</row>
    <row r="301" ht="26.75" customHeight="1" s="104">
      <c r="A301" s="10" t="inlineStr">
        <is>
          <t>Denver Public Schools</t>
        </is>
      </c>
      <c r="B301" s="10" t="inlineStr">
        <is>
          <t>CO</t>
        </is>
      </c>
      <c r="C301" s="10" t="inlineStr">
        <is>
          <t>Master's</t>
        </is>
      </c>
      <c r="D301" s="11" t="n">
        <v>2</v>
      </c>
      <c r="E301" s="12" t="n">
        <v>65302</v>
      </c>
      <c r="F301" s="13" t="inlineStr">
        <is>
          <t>2026-06-10</t>
        </is>
      </c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</row>
    <row r="302" ht="26.75" customHeight="1" s="104">
      <c r="A302" s="10" t="inlineStr">
        <is>
          <t>Denver Public Schools</t>
        </is>
      </c>
      <c r="B302" s="10" t="inlineStr">
        <is>
          <t>CO</t>
        </is>
      </c>
      <c r="C302" s="10" t="inlineStr">
        <is>
          <t>Master's</t>
        </is>
      </c>
      <c r="D302" s="11" t="n">
        <v>3</v>
      </c>
      <c r="E302" s="12" t="n">
        <v>67359</v>
      </c>
      <c r="F302" s="13" t="inlineStr">
        <is>
          <t>2026-06-10</t>
        </is>
      </c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</row>
    <row r="303" ht="26.75" customHeight="1" s="104">
      <c r="A303" s="10" t="inlineStr">
        <is>
          <t>Denver Public Schools</t>
        </is>
      </c>
      <c r="B303" s="10" t="inlineStr">
        <is>
          <t>CO</t>
        </is>
      </c>
      <c r="C303" s="10" t="inlineStr">
        <is>
          <t>Master's</t>
        </is>
      </c>
      <c r="D303" s="11" t="n">
        <v>4</v>
      </c>
      <c r="E303" s="12" t="n">
        <v>69417</v>
      </c>
      <c r="F303" s="13" t="inlineStr">
        <is>
          <t>2026-06-10</t>
        </is>
      </c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</row>
    <row r="304" ht="26.75" customHeight="1" s="104">
      <c r="A304" s="10" t="inlineStr">
        <is>
          <t>Denver Public Schools</t>
        </is>
      </c>
      <c r="B304" s="10" t="inlineStr">
        <is>
          <t>CO</t>
        </is>
      </c>
      <c r="C304" s="10" t="inlineStr">
        <is>
          <t>Master's</t>
        </is>
      </c>
      <c r="D304" s="11" t="n">
        <v>5</v>
      </c>
      <c r="E304" s="12" t="n">
        <v>71474</v>
      </c>
      <c r="F304" s="13" t="inlineStr">
        <is>
          <t>2026-06-10</t>
        </is>
      </c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</row>
    <row r="305" ht="26.75" customHeight="1" s="104">
      <c r="A305" s="10" t="inlineStr">
        <is>
          <t>Denver Public Schools</t>
        </is>
      </c>
      <c r="B305" s="10" t="inlineStr">
        <is>
          <t>CO</t>
        </is>
      </c>
      <c r="C305" s="10" t="inlineStr">
        <is>
          <t>Master's</t>
        </is>
      </c>
      <c r="D305" s="11" t="n">
        <v>6</v>
      </c>
      <c r="E305" s="12" t="n">
        <v>73532</v>
      </c>
      <c r="F305" s="13" t="inlineStr">
        <is>
          <t>2026-06-10</t>
        </is>
      </c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</row>
    <row r="306" ht="26.75" customHeight="1" s="104">
      <c r="A306" s="10" t="inlineStr">
        <is>
          <t>Denver Public Schools</t>
        </is>
      </c>
      <c r="B306" s="10" t="inlineStr">
        <is>
          <t>CO</t>
        </is>
      </c>
      <c r="C306" s="10" t="inlineStr">
        <is>
          <t>Master's</t>
        </is>
      </c>
      <c r="D306" s="11" t="n">
        <v>7</v>
      </c>
      <c r="E306" s="12" t="n">
        <v>75591</v>
      </c>
      <c r="F306" s="13" t="inlineStr">
        <is>
          <t>2026-06-10</t>
        </is>
      </c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</row>
    <row r="307" ht="26.75" customHeight="1" s="104">
      <c r="A307" s="10" t="inlineStr">
        <is>
          <t>Denver Public Schools</t>
        </is>
      </c>
      <c r="B307" s="10" t="inlineStr">
        <is>
          <t>CO</t>
        </is>
      </c>
      <c r="C307" s="10" t="inlineStr">
        <is>
          <t>Master's</t>
        </is>
      </c>
      <c r="D307" s="11" t="n">
        <v>8</v>
      </c>
      <c r="E307" s="12" t="n">
        <v>77648</v>
      </c>
      <c r="F307" s="13" t="inlineStr">
        <is>
          <t>2026-06-10</t>
        </is>
      </c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</row>
    <row r="308" ht="26.75" customHeight="1" s="104">
      <c r="A308" s="10" t="inlineStr">
        <is>
          <t>Denver Public Schools</t>
        </is>
      </c>
      <c r="B308" s="10" t="inlineStr">
        <is>
          <t>CO</t>
        </is>
      </c>
      <c r="C308" s="10" t="inlineStr">
        <is>
          <t>Master's</t>
        </is>
      </c>
      <c r="D308" s="11" t="n">
        <v>9</v>
      </c>
      <c r="E308" s="12" t="n">
        <v>79707</v>
      </c>
      <c r="F308" s="13" t="inlineStr">
        <is>
          <t>2026-06-10</t>
        </is>
      </c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</row>
    <row r="309" ht="26.75" customHeight="1" s="104">
      <c r="A309" s="10" t="inlineStr">
        <is>
          <t>Denver Public Schools</t>
        </is>
      </c>
      <c r="B309" s="10" t="inlineStr">
        <is>
          <t>CO</t>
        </is>
      </c>
      <c r="C309" s="10" t="inlineStr">
        <is>
          <t>Master's</t>
        </is>
      </c>
      <c r="D309" s="11" t="n">
        <v>10</v>
      </c>
      <c r="E309" s="12" t="n">
        <v>81762</v>
      </c>
      <c r="F309" s="13" t="inlineStr">
        <is>
          <t>2026-06-10</t>
        </is>
      </c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</row>
    <row r="310" ht="26.75" customHeight="1" s="104">
      <c r="A310" s="10" t="inlineStr">
        <is>
          <t>Eanes ISD</t>
        </is>
      </c>
      <c r="B310" s="10" t="inlineStr">
        <is>
          <t>TX</t>
        </is>
      </c>
      <c r="C310" s="10" t="inlineStr">
        <is>
          <t>Bachelor's</t>
        </is>
      </c>
      <c r="D310" s="11" t="n">
        <v>0</v>
      </c>
      <c r="E310" s="12" t="n">
        <v>57000</v>
      </c>
      <c r="F310" s="13" t="inlineStr">
        <is>
          <t>2026-06-10</t>
        </is>
      </c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</row>
    <row r="311" ht="26.75" customHeight="1" s="104">
      <c r="A311" s="10" t="inlineStr">
        <is>
          <t>Eanes ISD</t>
        </is>
      </c>
      <c r="B311" s="10" t="inlineStr">
        <is>
          <t>TX</t>
        </is>
      </c>
      <c r="C311" s="10" t="inlineStr">
        <is>
          <t>Bachelor's</t>
        </is>
      </c>
      <c r="D311" s="11" t="n">
        <v>1</v>
      </c>
      <c r="E311" s="12" t="n">
        <v>57122</v>
      </c>
      <c r="F311" s="13" t="inlineStr">
        <is>
          <t>2026-06-10</t>
        </is>
      </c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</row>
    <row r="312" ht="26.75" customHeight="1" s="104">
      <c r="A312" s="10" t="inlineStr">
        <is>
          <t>Eanes ISD</t>
        </is>
      </c>
      <c r="B312" s="10" t="inlineStr">
        <is>
          <t>TX</t>
        </is>
      </c>
      <c r="C312" s="10" t="inlineStr">
        <is>
          <t>Bachelor's</t>
        </is>
      </c>
      <c r="D312" s="11" t="n">
        <v>2</v>
      </c>
      <c r="E312" s="12" t="n">
        <v>57232</v>
      </c>
      <c r="F312" s="13" t="inlineStr">
        <is>
          <t>2026-06-10</t>
        </is>
      </c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</row>
    <row r="313" ht="26.75" customHeight="1" s="104">
      <c r="A313" s="10" t="inlineStr">
        <is>
          <t>Eanes ISD</t>
        </is>
      </c>
      <c r="B313" s="10" t="inlineStr">
        <is>
          <t>TX</t>
        </is>
      </c>
      <c r="C313" s="10" t="inlineStr">
        <is>
          <t>Bachelor's</t>
        </is>
      </c>
      <c r="D313" s="11" t="n">
        <v>3</v>
      </c>
      <c r="E313" s="12" t="n">
        <v>59209</v>
      </c>
      <c r="F313" s="13" t="inlineStr">
        <is>
          <t>2026-06-10</t>
        </is>
      </c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</row>
    <row r="314" ht="26.75" customHeight="1" s="104">
      <c r="A314" s="10" t="inlineStr">
        <is>
          <t>Eanes ISD</t>
        </is>
      </c>
      <c r="B314" s="10" t="inlineStr">
        <is>
          <t>TX</t>
        </is>
      </c>
      <c r="C314" s="10" t="inlineStr">
        <is>
          <t>Bachelor's</t>
        </is>
      </c>
      <c r="D314" s="11" t="n">
        <v>4</v>
      </c>
      <c r="E314" s="12" t="n">
        <v>59319</v>
      </c>
      <c r="F314" s="13" t="inlineStr">
        <is>
          <t>2026-06-10</t>
        </is>
      </c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</row>
    <row r="315" ht="26.75" customHeight="1" s="104">
      <c r="A315" s="10" t="inlineStr">
        <is>
          <t>Eanes ISD</t>
        </is>
      </c>
      <c r="B315" s="10" t="inlineStr">
        <is>
          <t>TX</t>
        </is>
      </c>
      <c r="C315" s="10" t="inlineStr">
        <is>
          <t>Bachelor's</t>
        </is>
      </c>
      <c r="D315" s="11" t="n">
        <v>5</v>
      </c>
      <c r="E315" s="12" t="n">
        <v>61926</v>
      </c>
      <c r="F315" s="13" t="inlineStr">
        <is>
          <t>2026-06-10</t>
        </is>
      </c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</row>
    <row r="316" ht="26.75" customHeight="1" s="104">
      <c r="A316" s="10" t="inlineStr">
        <is>
          <t>Eanes ISD</t>
        </is>
      </c>
      <c r="B316" s="10" t="inlineStr">
        <is>
          <t>TX</t>
        </is>
      </c>
      <c r="C316" s="10" t="inlineStr">
        <is>
          <t>Bachelor's</t>
        </is>
      </c>
      <c r="D316" s="11" t="n">
        <v>6</v>
      </c>
      <c r="E316" s="12" t="n">
        <v>62033</v>
      </c>
      <c r="F316" s="13" t="inlineStr">
        <is>
          <t>2026-06-10</t>
        </is>
      </c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</row>
    <row r="317" ht="26.75" customHeight="1" s="104">
      <c r="A317" s="10" t="inlineStr">
        <is>
          <t>Eanes ISD</t>
        </is>
      </c>
      <c r="B317" s="10" t="inlineStr">
        <is>
          <t>TX</t>
        </is>
      </c>
      <c r="C317" s="10" t="inlineStr">
        <is>
          <t>Bachelor's</t>
        </is>
      </c>
      <c r="D317" s="11" t="n">
        <v>7</v>
      </c>
      <c r="E317" s="12" t="n">
        <v>62752</v>
      </c>
      <c r="F317" s="13" t="inlineStr">
        <is>
          <t>2026-06-10</t>
        </is>
      </c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</row>
    <row r="318" ht="26.75" customHeight="1" s="104">
      <c r="A318" s="10" t="inlineStr">
        <is>
          <t>Eanes ISD</t>
        </is>
      </c>
      <c r="B318" s="10" t="inlineStr">
        <is>
          <t>TX</t>
        </is>
      </c>
      <c r="C318" s="10" t="inlineStr">
        <is>
          <t>Bachelor's</t>
        </is>
      </c>
      <c r="D318" s="11" t="n">
        <v>8</v>
      </c>
      <c r="E318" s="12" t="n">
        <v>62931</v>
      </c>
      <c r="F318" s="13" t="inlineStr">
        <is>
          <t>2026-06-10</t>
        </is>
      </c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</row>
    <row r="319" ht="26.75" customHeight="1" s="104">
      <c r="A319" s="10" t="inlineStr">
        <is>
          <t>Eanes ISD</t>
        </is>
      </c>
      <c r="B319" s="10" t="inlineStr">
        <is>
          <t>TX</t>
        </is>
      </c>
      <c r="C319" s="10" t="inlineStr">
        <is>
          <t>Bachelor's</t>
        </is>
      </c>
      <c r="D319" s="11" t="n">
        <v>9</v>
      </c>
      <c r="E319" s="12" t="n">
        <v>63089</v>
      </c>
      <c r="F319" s="13" t="inlineStr">
        <is>
          <t>2026-06-10</t>
        </is>
      </c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</row>
    <row r="320" ht="26.75" customHeight="1" s="104">
      <c r="A320" s="10" t="inlineStr">
        <is>
          <t>Eanes ISD</t>
        </is>
      </c>
      <c r="B320" s="10" t="inlineStr">
        <is>
          <t>TX</t>
        </is>
      </c>
      <c r="C320" s="10" t="inlineStr">
        <is>
          <t>Bachelor's</t>
        </is>
      </c>
      <c r="D320" s="11" t="n">
        <v>10</v>
      </c>
      <c r="E320" s="12" t="n">
        <v>63247</v>
      </c>
      <c r="F320" s="13" t="inlineStr">
        <is>
          <t>2026-06-10</t>
        </is>
      </c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</row>
    <row r="321" ht="26.75" customHeight="1" s="104">
      <c r="A321" s="10" t="inlineStr">
        <is>
          <t>Eanes ISD</t>
        </is>
      </c>
      <c r="B321" s="10" t="inlineStr">
        <is>
          <t>TX</t>
        </is>
      </c>
      <c r="C321" s="10" t="inlineStr">
        <is>
          <t>Master's</t>
        </is>
      </c>
      <c r="D321" s="11" t="n">
        <v>0</v>
      </c>
      <c r="E321" s="12" t="n">
        <v>59600</v>
      </c>
      <c r="F321" s="13" t="inlineStr">
        <is>
          <t>2026-06-10</t>
        </is>
      </c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</row>
    <row r="322" ht="26.75" customHeight="1" s="104">
      <c r="A322" s="10" t="inlineStr">
        <is>
          <t>Eanes ISD</t>
        </is>
      </c>
      <c r="B322" s="10" t="inlineStr">
        <is>
          <t>TX</t>
        </is>
      </c>
      <c r="C322" s="10" t="inlineStr">
        <is>
          <t>Master's</t>
        </is>
      </c>
      <c r="D322" s="11" t="n">
        <v>1</v>
      </c>
      <c r="E322" s="12" t="n">
        <v>59722</v>
      </c>
      <c r="F322" s="13" t="inlineStr">
        <is>
          <t>2026-06-10</t>
        </is>
      </c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</row>
    <row r="323" ht="26.75" customHeight="1" s="104">
      <c r="A323" s="10" t="inlineStr">
        <is>
          <t>Eanes ISD</t>
        </is>
      </c>
      <c r="B323" s="10" t="inlineStr">
        <is>
          <t>TX</t>
        </is>
      </c>
      <c r="C323" s="10" t="inlineStr">
        <is>
          <t>Master's</t>
        </is>
      </c>
      <c r="D323" s="11" t="n">
        <v>2</v>
      </c>
      <c r="E323" s="12" t="n">
        <v>59832</v>
      </c>
      <c r="F323" s="13" t="inlineStr">
        <is>
          <t>2026-06-10</t>
        </is>
      </c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</row>
    <row r="324" ht="26.75" customHeight="1" s="104">
      <c r="A324" s="10" t="inlineStr">
        <is>
          <t>Eanes ISD</t>
        </is>
      </c>
      <c r="B324" s="10" t="inlineStr">
        <is>
          <t>TX</t>
        </is>
      </c>
      <c r="C324" s="10" t="inlineStr">
        <is>
          <t>Master's</t>
        </is>
      </c>
      <c r="D324" s="11" t="n">
        <v>3</v>
      </c>
      <c r="E324" s="12" t="n">
        <v>61809</v>
      </c>
      <c r="F324" s="13" t="inlineStr">
        <is>
          <t>2026-06-10</t>
        </is>
      </c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</row>
    <row r="325" ht="26.75" customHeight="1" s="104">
      <c r="A325" s="10" t="inlineStr">
        <is>
          <t>Eanes ISD</t>
        </is>
      </c>
      <c r="B325" s="10" t="inlineStr">
        <is>
          <t>TX</t>
        </is>
      </c>
      <c r="C325" s="10" t="inlineStr">
        <is>
          <t>Master's</t>
        </is>
      </c>
      <c r="D325" s="11" t="n">
        <v>4</v>
      </c>
      <c r="E325" s="12" t="n">
        <v>61919</v>
      </c>
      <c r="F325" s="13" t="inlineStr">
        <is>
          <t>2026-06-10</t>
        </is>
      </c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</row>
    <row r="326" ht="26.75" customHeight="1" s="104">
      <c r="A326" s="10" t="inlineStr">
        <is>
          <t>Eanes ISD</t>
        </is>
      </c>
      <c r="B326" s="10" t="inlineStr">
        <is>
          <t>TX</t>
        </is>
      </c>
      <c r="C326" s="10" t="inlineStr">
        <is>
          <t>Master's</t>
        </is>
      </c>
      <c r="D326" s="11" t="n">
        <v>5</v>
      </c>
      <c r="E326" s="12" t="n">
        <v>64526</v>
      </c>
      <c r="F326" s="13" t="inlineStr">
        <is>
          <t>2026-06-10</t>
        </is>
      </c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</row>
    <row r="327" ht="26.75" customHeight="1" s="104">
      <c r="A327" s="10" t="inlineStr">
        <is>
          <t>Eanes ISD</t>
        </is>
      </c>
      <c r="B327" s="10" t="inlineStr">
        <is>
          <t>TX</t>
        </is>
      </c>
      <c r="C327" s="10" t="inlineStr">
        <is>
          <t>Master's</t>
        </is>
      </c>
      <c r="D327" s="11" t="n">
        <v>6</v>
      </c>
      <c r="E327" s="12" t="n">
        <v>64633</v>
      </c>
      <c r="F327" s="13" t="inlineStr">
        <is>
          <t>2026-06-10</t>
        </is>
      </c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</row>
    <row r="328" ht="26.75" customHeight="1" s="104">
      <c r="A328" s="10" t="inlineStr">
        <is>
          <t>Eanes ISD</t>
        </is>
      </c>
      <c r="B328" s="10" t="inlineStr">
        <is>
          <t>TX</t>
        </is>
      </c>
      <c r="C328" s="10" t="inlineStr">
        <is>
          <t>Master's</t>
        </is>
      </c>
      <c r="D328" s="11" t="n">
        <v>7</v>
      </c>
      <c r="E328" s="12" t="n">
        <v>65352</v>
      </c>
      <c r="F328" s="13" t="inlineStr">
        <is>
          <t>2026-06-10</t>
        </is>
      </c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</row>
    <row r="329" ht="26.75" customHeight="1" s="104">
      <c r="A329" s="10" t="inlineStr">
        <is>
          <t>Eanes ISD</t>
        </is>
      </c>
      <c r="B329" s="10" t="inlineStr">
        <is>
          <t>TX</t>
        </is>
      </c>
      <c r="C329" s="10" t="inlineStr">
        <is>
          <t>Master's</t>
        </is>
      </c>
      <c r="D329" s="11" t="n">
        <v>8</v>
      </c>
      <c r="E329" s="12" t="n">
        <v>65531</v>
      </c>
      <c r="F329" s="13" t="inlineStr">
        <is>
          <t>2026-06-10</t>
        </is>
      </c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</row>
    <row r="330" ht="26.75" customHeight="1" s="104">
      <c r="A330" s="10" t="inlineStr">
        <is>
          <t>Eanes ISD</t>
        </is>
      </c>
      <c r="B330" s="10" t="inlineStr">
        <is>
          <t>TX</t>
        </is>
      </c>
      <c r="C330" s="10" t="inlineStr">
        <is>
          <t>Master's</t>
        </is>
      </c>
      <c r="D330" s="11" t="n">
        <v>9</v>
      </c>
      <c r="E330" s="12" t="n">
        <v>65689</v>
      </c>
      <c r="F330" s="13" t="inlineStr">
        <is>
          <t>2026-06-10</t>
        </is>
      </c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</row>
    <row r="331" ht="26.75" customHeight="1" s="104">
      <c r="A331" s="10" t="inlineStr">
        <is>
          <t>Eanes ISD</t>
        </is>
      </c>
      <c r="B331" s="10" t="inlineStr">
        <is>
          <t>TX</t>
        </is>
      </c>
      <c r="C331" s="10" t="inlineStr">
        <is>
          <t>Master's</t>
        </is>
      </c>
      <c r="D331" s="11" t="n">
        <v>10</v>
      </c>
      <c r="E331" s="12" t="n">
        <v>65847</v>
      </c>
      <c r="F331" s="13" t="inlineStr">
        <is>
          <t>2026-06-10</t>
        </is>
      </c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</row>
    <row r="332" ht="26.75" customHeight="1" s="104">
      <c r="A332" s="10" t="inlineStr">
        <is>
          <t>Eden Prairie Schools</t>
        </is>
      </c>
      <c r="B332" s="10" t="inlineStr">
        <is>
          <t>MN</t>
        </is>
      </c>
      <c r="C332" s="10" t="inlineStr">
        <is>
          <t>Bachelor's</t>
        </is>
      </c>
      <c r="D332" s="11" t="n">
        <v>0</v>
      </c>
      <c r="E332" s="12" t="n">
        <v>51831</v>
      </c>
      <c r="F332" s="10" t="inlineStr">
        <is>
          <t>2026-06-15</t>
        </is>
      </c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</row>
    <row r="333" ht="26.75" customHeight="1" s="104">
      <c r="A333" s="10" t="inlineStr">
        <is>
          <t>Eden Prairie Schools</t>
        </is>
      </c>
      <c r="B333" s="10" t="inlineStr">
        <is>
          <t>MN</t>
        </is>
      </c>
      <c r="C333" s="10" t="inlineStr">
        <is>
          <t>Bachelor's</t>
        </is>
      </c>
      <c r="D333" s="11" t="n">
        <v>1</v>
      </c>
      <c r="E333" s="12" t="n">
        <v>52538</v>
      </c>
      <c r="F333" s="10" t="inlineStr">
        <is>
          <t>2026-06-15</t>
        </is>
      </c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</row>
    <row r="334" ht="26.75" customHeight="1" s="104">
      <c r="A334" s="10" t="inlineStr">
        <is>
          <t>Eden Prairie Schools</t>
        </is>
      </c>
      <c r="B334" s="10" t="inlineStr">
        <is>
          <t>MN</t>
        </is>
      </c>
      <c r="C334" s="10" t="inlineStr">
        <is>
          <t>Bachelor's</t>
        </is>
      </c>
      <c r="D334" s="11" t="n">
        <v>2</v>
      </c>
      <c r="E334" s="12" t="n">
        <v>54665</v>
      </c>
      <c r="F334" s="10" t="inlineStr">
        <is>
          <t>2026-06-15</t>
        </is>
      </c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</row>
    <row r="335" ht="26.75" customHeight="1" s="104">
      <c r="A335" s="10" t="inlineStr">
        <is>
          <t>Eden Prairie Schools</t>
        </is>
      </c>
      <c r="B335" s="10" t="inlineStr">
        <is>
          <t>MN</t>
        </is>
      </c>
      <c r="C335" s="10" t="inlineStr">
        <is>
          <t>Bachelor's</t>
        </is>
      </c>
      <c r="D335" s="11" t="n">
        <v>3</v>
      </c>
      <c r="E335" s="12" t="n">
        <v>56789</v>
      </c>
      <c r="F335" s="10" t="inlineStr">
        <is>
          <t>2026-06-15</t>
        </is>
      </c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</row>
    <row r="336" ht="26.75" customHeight="1" s="104">
      <c r="A336" s="10" t="inlineStr">
        <is>
          <t>Eden Prairie Schools</t>
        </is>
      </c>
      <c r="B336" s="10" t="inlineStr">
        <is>
          <t>MN</t>
        </is>
      </c>
      <c r="C336" s="10" t="inlineStr">
        <is>
          <t>Bachelor's</t>
        </is>
      </c>
      <c r="D336" s="11" t="n">
        <v>4</v>
      </c>
      <c r="E336" s="12" t="n">
        <v>58915</v>
      </c>
      <c r="F336" s="10" t="inlineStr">
        <is>
          <t>2026-06-15</t>
        </is>
      </c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</row>
    <row r="337" ht="26.75" customHeight="1" s="104">
      <c r="A337" s="10" t="inlineStr">
        <is>
          <t>Eden Prairie Schools</t>
        </is>
      </c>
      <c r="B337" s="10" t="inlineStr">
        <is>
          <t>MN</t>
        </is>
      </c>
      <c r="C337" s="10" t="inlineStr">
        <is>
          <t>Bachelor's</t>
        </is>
      </c>
      <c r="D337" s="11" t="n">
        <v>5</v>
      </c>
      <c r="E337" s="12" t="n">
        <v>61041</v>
      </c>
      <c r="F337" s="10" t="inlineStr">
        <is>
          <t>2026-06-15</t>
        </is>
      </c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</row>
    <row r="338" ht="26.75" customHeight="1" s="104">
      <c r="A338" s="10" t="inlineStr">
        <is>
          <t>Eden Prairie Schools</t>
        </is>
      </c>
      <c r="B338" s="10" t="inlineStr">
        <is>
          <t>MN</t>
        </is>
      </c>
      <c r="C338" s="10" t="inlineStr">
        <is>
          <t>Bachelor's</t>
        </is>
      </c>
      <c r="D338" s="11" t="n">
        <v>6</v>
      </c>
      <c r="E338" s="12" t="n">
        <v>63166</v>
      </c>
      <c r="F338" s="10" t="inlineStr">
        <is>
          <t>2026-06-15</t>
        </is>
      </c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</row>
    <row r="339" ht="26.75" customHeight="1" s="104">
      <c r="A339" s="10" t="inlineStr">
        <is>
          <t>Eden Prairie Schools</t>
        </is>
      </c>
      <c r="B339" s="10" t="inlineStr">
        <is>
          <t>MN</t>
        </is>
      </c>
      <c r="C339" s="10" t="inlineStr">
        <is>
          <t>Bachelor's</t>
        </is>
      </c>
      <c r="D339" s="11" t="n">
        <v>7</v>
      </c>
      <c r="E339" s="12" t="n">
        <v>65293</v>
      </c>
      <c r="F339" s="10" t="inlineStr">
        <is>
          <t>2026-06-15</t>
        </is>
      </c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</row>
    <row r="340" ht="26.75" customHeight="1" s="104">
      <c r="A340" s="10" t="inlineStr">
        <is>
          <t>Eden Prairie Schools</t>
        </is>
      </c>
      <c r="B340" s="10" t="inlineStr">
        <is>
          <t>MN</t>
        </is>
      </c>
      <c r="C340" s="10" t="inlineStr">
        <is>
          <t>Bachelor's</t>
        </is>
      </c>
      <c r="D340" s="11" t="n">
        <v>8</v>
      </c>
      <c r="E340" s="12" t="n">
        <v>67418</v>
      </c>
      <c r="F340" s="10" t="inlineStr">
        <is>
          <t>2026-06-15</t>
        </is>
      </c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</row>
    <row r="341" ht="26.75" customHeight="1" s="104">
      <c r="A341" s="10" t="inlineStr">
        <is>
          <t>Eden Prairie Schools</t>
        </is>
      </c>
      <c r="B341" s="10" t="inlineStr">
        <is>
          <t>MN</t>
        </is>
      </c>
      <c r="C341" s="10" t="inlineStr">
        <is>
          <t>Bachelor's</t>
        </is>
      </c>
      <c r="D341" s="11" t="n">
        <v>9</v>
      </c>
      <c r="E341" s="12" t="n">
        <v>70817</v>
      </c>
      <c r="F341" s="10" t="inlineStr">
        <is>
          <t>2026-06-15</t>
        </is>
      </c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</row>
    <row r="342" ht="26.75" customHeight="1" s="104">
      <c r="A342" s="10" t="inlineStr">
        <is>
          <t>Eden Prairie Schools</t>
        </is>
      </c>
      <c r="B342" s="10" t="inlineStr">
        <is>
          <t>MN</t>
        </is>
      </c>
      <c r="C342" s="10" t="inlineStr">
        <is>
          <t>Bachelor's</t>
        </is>
      </c>
      <c r="D342" s="11" t="n">
        <v>10</v>
      </c>
      <c r="E342" s="12" t="n">
        <v>70817</v>
      </c>
      <c r="F342" s="10" t="inlineStr">
        <is>
          <t>2026-06-15</t>
        </is>
      </c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</row>
    <row r="343" ht="26.75" customHeight="1" s="104">
      <c r="A343" s="10" t="inlineStr">
        <is>
          <t>Eden Prairie Schools</t>
        </is>
      </c>
      <c r="B343" s="10" t="inlineStr">
        <is>
          <t>MN</t>
        </is>
      </c>
      <c r="C343" s="10" t="inlineStr">
        <is>
          <t>Master's</t>
        </is>
      </c>
      <c r="D343" s="11" t="n">
        <v>0</v>
      </c>
      <c r="E343" s="12" t="n">
        <v>66354</v>
      </c>
      <c r="F343" s="10" t="inlineStr">
        <is>
          <t>2026-06-15</t>
        </is>
      </c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</row>
    <row r="344" ht="26.75" customHeight="1" s="104">
      <c r="A344" s="10" t="inlineStr">
        <is>
          <t>Eden Prairie Schools</t>
        </is>
      </c>
      <c r="B344" s="10" t="inlineStr">
        <is>
          <t>MN</t>
        </is>
      </c>
      <c r="C344" s="10" t="inlineStr">
        <is>
          <t>Master's</t>
        </is>
      </c>
      <c r="D344" s="11" t="n">
        <v>1</v>
      </c>
      <c r="E344" s="12" t="n">
        <v>67064</v>
      </c>
      <c r="F344" s="10" t="inlineStr">
        <is>
          <t>2026-06-15</t>
        </is>
      </c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</row>
    <row r="345" ht="26.75" customHeight="1" s="104">
      <c r="A345" s="10" t="inlineStr">
        <is>
          <t>Eden Prairie Schools</t>
        </is>
      </c>
      <c r="B345" s="10" t="inlineStr">
        <is>
          <t>MN</t>
        </is>
      </c>
      <c r="C345" s="10" t="inlineStr">
        <is>
          <t>Master's</t>
        </is>
      </c>
      <c r="D345" s="11" t="n">
        <v>2</v>
      </c>
      <c r="E345" s="12" t="n">
        <v>69189</v>
      </c>
      <c r="F345" s="10" t="inlineStr">
        <is>
          <t>2026-06-15</t>
        </is>
      </c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</row>
    <row r="346" ht="26.75" customHeight="1" s="104">
      <c r="A346" s="10" t="inlineStr">
        <is>
          <t>Eden Prairie Schools</t>
        </is>
      </c>
      <c r="B346" s="10" t="inlineStr">
        <is>
          <t>MN</t>
        </is>
      </c>
      <c r="C346" s="10" t="inlineStr">
        <is>
          <t>Master's</t>
        </is>
      </c>
      <c r="D346" s="11" t="n">
        <v>3</v>
      </c>
      <c r="E346" s="12" t="n">
        <v>71314</v>
      </c>
      <c r="F346" s="10" t="inlineStr">
        <is>
          <t>2026-06-15</t>
        </is>
      </c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</row>
    <row r="347" ht="26.75" customHeight="1" s="104">
      <c r="A347" s="10" t="inlineStr">
        <is>
          <t>Eden Prairie Schools</t>
        </is>
      </c>
      <c r="B347" s="10" t="inlineStr">
        <is>
          <t>MN</t>
        </is>
      </c>
      <c r="C347" s="10" t="inlineStr">
        <is>
          <t>Master's</t>
        </is>
      </c>
      <c r="D347" s="11" t="n">
        <v>4</v>
      </c>
      <c r="E347" s="12" t="n">
        <v>73439</v>
      </c>
      <c r="F347" s="10" t="inlineStr">
        <is>
          <t>2026-06-15</t>
        </is>
      </c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</row>
    <row r="348" ht="26.75" customHeight="1" s="104">
      <c r="A348" s="10" t="inlineStr">
        <is>
          <t>Eden Prairie Schools</t>
        </is>
      </c>
      <c r="B348" s="10" t="inlineStr">
        <is>
          <t>MN</t>
        </is>
      </c>
      <c r="C348" s="10" t="inlineStr">
        <is>
          <t>Master's</t>
        </is>
      </c>
      <c r="D348" s="11" t="n">
        <v>5</v>
      </c>
      <c r="E348" s="12" t="n">
        <v>75565</v>
      </c>
      <c r="F348" s="10" t="inlineStr">
        <is>
          <t>2026-06-15</t>
        </is>
      </c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</row>
    <row r="349" ht="26.75" customHeight="1" s="104">
      <c r="A349" s="10" t="inlineStr">
        <is>
          <t>Eden Prairie Schools</t>
        </is>
      </c>
      <c r="B349" s="10" t="inlineStr">
        <is>
          <t>MN</t>
        </is>
      </c>
      <c r="C349" s="10" t="inlineStr">
        <is>
          <t>Master's</t>
        </is>
      </c>
      <c r="D349" s="11" t="n">
        <v>6</v>
      </c>
      <c r="E349" s="12" t="n">
        <v>77690</v>
      </c>
      <c r="F349" s="10" t="inlineStr">
        <is>
          <t>2026-06-15</t>
        </is>
      </c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</row>
    <row r="350" ht="26.75" customHeight="1" s="104">
      <c r="A350" s="10" t="inlineStr">
        <is>
          <t>Eden Prairie Schools</t>
        </is>
      </c>
      <c r="B350" s="10" t="inlineStr">
        <is>
          <t>MN</t>
        </is>
      </c>
      <c r="C350" s="10" t="inlineStr">
        <is>
          <t>Master's</t>
        </is>
      </c>
      <c r="D350" s="11" t="n">
        <v>7</v>
      </c>
      <c r="E350" s="12" t="n">
        <v>79816</v>
      </c>
      <c r="F350" s="10" t="inlineStr">
        <is>
          <t>2026-06-15</t>
        </is>
      </c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</row>
    <row r="351" ht="26.75" customHeight="1" s="104">
      <c r="A351" s="10" t="inlineStr">
        <is>
          <t>Eden Prairie Schools</t>
        </is>
      </c>
      <c r="B351" s="10" t="inlineStr">
        <is>
          <t>MN</t>
        </is>
      </c>
      <c r="C351" s="10" t="inlineStr">
        <is>
          <t>Master's</t>
        </is>
      </c>
      <c r="D351" s="11" t="n">
        <v>8</v>
      </c>
      <c r="E351" s="12" t="n">
        <v>81942</v>
      </c>
      <c r="F351" s="10" t="inlineStr">
        <is>
          <t>2026-06-15</t>
        </is>
      </c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</row>
    <row r="352" ht="26.75" customHeight="1" s="104">
      <c r="A352" s="10" t="inlineStr">
        <is>
          <t>Eden Prairie Schools</t>
        </is>
      </c>
      <c r="B352" s="10" t="inlineStr">
        <is>
          <t>MN</t>
        </is>
      </c>
      <c r="C352" s="10" t="inlineStr">
        <is>
          <t>Master's</t>
        </is>
      </c>
      <c r="D352" s="11" t="n">
        <v>9</v>
      </c>
      <c r="E352" s="12" t="n">
        <v>94481</v>
      </c>
      <c r="F352" s="10" t="inlineStr">
        <is>
          <t>2026-06-15</t>
        </is>
      </c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</row>
    <row r="353" ht="26.75" customHeight="1" s="104">
      <c r="A353" s="10" t="inlineStr">
        <is>
          <t>Eden Prairie Schools</t>
        </is>
      </c>
      <c r="B353" s="10" t="inlineStr">
        <is>
          <t>MN</t>
        </is>
      </c>
      <c r="C353" s="10" t="inlineStr">
        <is>
          <t>Master's</t>
        </is>
      </c>
      <c r="D353" s="11" t="n">
        <v>10</v>
      </c>
      <c r="E353" s="12" t="n">
        <v>94481</v>
      </c>
      <c r="F353" s="10" t="inlineStr">
        <is>
          <t>2026-06-15</t>
        </is>
      </c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</row>
    <row r="354" ht="26.75" customHeight="1" s="104">
      <c r="A354" s="37" t="inlineStr">
        <is>
          <t>Edina Public Schools</t>
        </is>
      </c>
      <c r="B354" s="37" t="inlineStr">
        <is>
          <t>MN</t>
        </is>
      </c>
      <c r="C354" s="37" t="inlineStr">
        <is>
          <t>Bachelor's</t>
        </is>
      </c>
      <c r="D354" s="37" t="n">
        <v>0</v>
      </c>
      <c r="E354" s="38" t="n">
        <v>51384</v>
      </c>
      <c r="F354" s="37" t="inlineStr">
        <is>
          <t>2026-06-16</t>
        </is>
      </c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</row>
    <row r="355" ht="26.75" customHeight="1" s="104">
      <c r="A355" s="37" t="inlineStr">
        <is>
          <t>Edina Public Schools</t>
        </is>
      </c>
      <c r="B355" s="37" t="inlineStr">
        <is>
          <t>MN</t>
        </is>
      </c>
      <c r="C355" s="37" t="inlineStr">
        <is>
          <t>Bachelor's</t>
        </is>
      </c>
      <c r="D355" s="37" t="n">
        <v>1</v>
      </c>
      <c r="E355" s="38" t="n">
        <v>51384</v>
      </c>
      <c r="F355" s="37" t="inlineStr">
        <is>
          <t>2026-06-16</t>
        </is>
      </c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</row>
    <row r="356" ht="26.75" customHeight="1" s="104">
      <c r="A356" s="37" t="inlineStr">
        <is>
          <t>Edina Public Schools</t>
        </is>
      </c>
      <c r="B356" s="37" t="inlineStr">
        <is>
          <t>MN</t>
        </is>
      </c>
      <c r="C356" s="37" t="inlineStr">
        <is>
          <t>Bachelor's</t>
        </is>
      </c>
      <c r="D356" s="37" t="n">
        <v>2</v>
      </c>
      <c r="E356" s="38" t="n">
        <v>53141</v>
      </c>
      <c r="F356" s="37" t="inlineStr">
        <is>
          <t>2026-06-16</t>
        </is>
      </c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</row>
    <row r="357" ht="26.75" customHeight="1" s="104">
      <c r="A357" s="37" t="inlineStr">
        <is>
          <t>Edina Public Schools</t>
        </is>
      </c>
      <c r="B357" s="37" t="inlineStr">
        <is>
          <t>MN</t>
        </is>
      </c>
      <c r="C357" s="37" t="inlineStr">
        <is>
          <t>Bachelor's</t>
        </is>
      </c>
      <c r="D357" s="37" t="n">
        <v>3</v>
      </c>
      <c r="E357" s="38" t="n">
        <v>54476</v>
      </c>
      <c r="F357" s="37" t="inlineStr">
        <is>
          <t>2026-06-16</t>
        </is>
      </c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</row>
    <row r="358" ht="26.75" customHeight="1" s="104">
      <c r="A358" s="37" t="inlineStr">
        <is>
          <t>Edina Public Schools</t>
        </is>
      </c>
      <c r="B358" s="37" t="inlineStr">
        <is>
          <t>MN</t>
        </is>
      </c>
      <c r="C358" s="37" t="inlineStr">
        <is>
          <t>Bachelor's</t>
        </is>
      </c>
      <c r="D358" s="37" t="n">
        <v>4</v>
      </c>
      <c r="E358" s="38" t="n">
        <v>55777</v>
      </c>
      <c r="F358" s="37" t="inlineStr">
        <is>
          <t>2026-06-16</t>
        </is>
      </c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</row>
    <row r="359" ht="26.75" customHeight="1" s="104">
      <c r="A359" s="37" t="inlineStr">
        <is>
          <t>Edina Public Schools</t>
        </is>
      </c>
      <c r="B359" s="37" t="inlineStr">
        <is>
          <t>MN</t>
        </is>
      </c>
      <c r="C359" s="37" t="inlineStr">
        <is>
          <t>Bachelor's</t>
        </is>
      </c>
      <c r="D359" s="37" t="n">
        <v>5</v>
      </c>
      <c r="E359" s="38" t="n">
        <v>57050</v>
      </c>
      <c r="F359" s="37" t="inlineStr">
        <is>
          <t>2026-06-16</t>
        </is>
      </c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</row>
    <row r="360" ht="26.75" customHeight="1" s="104">
      <c r="A360" s="37" t="inlineStr">
        <is>
          <t>Edina Public Schools</t>
        </is>
      </c>
      <c r="B360" s="37" t="inlineStr">
        <is>
          <t>MN</t>
        </is>
      </c>
      <c r="C360" s="37" t="inlineStr">
        <is>
          <t>Bachelor's</t>
        </is>
      </c>
      <c r="D360" s="37" t="n">
        <v>6</v>
      </c>
      <c r="E360" s="38" t="n">
        <v>58292</v>
      </c>
      <c r="F360" s="37" t="inlineStr">
        <is>
          <t>2026-06-16</t>
        </is>
      </c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</row>
    <row r="361" ht="26.75" customHeight="1" s="104">
      <c r="A361" s="37" t="inlineStr">
        <is>
          <t>Edina Public Schools</t>
        </is>
      </c>
      <c r="B361" s="37" t="inlineStr">
        <is>
          <t>MN</t>
        </is>
      </c>
      <c r="C361" s="37" t="inlineStr">
        <is>
          <t>Bachelor's</t>
        </is>
      </c>
      <c r="D361" s="37" t="n">
        <v>7</v>
      </c>
      <c r="E361" s="38" t="n">
        <v>59503</v>
      </c>
      <c r="F361" s="37" t="inlineStr">
        <is>
          <t>2026-06-16</t>
        </is>
      </c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</row>
    <row r="362" ht="26.75" customHeight="1" s="104">
      <c r="A362" s="37" t="inlineStr">
        <is>
          <t>Edina Public Schools</t>
        </is>
      </c>
      <c r="B362" s="37" t="inlineStr">
        <is>
          <t>MN</t>
        </is>
      </c>
      <c r="C362" s="37" t="inlineStr">
        <is>
          <t>Bachelor's</t>
        </is>
      </c>
      <c r="D362" s="37" t="n">
        <v>8</v>
      </c>
      <c r="E362" s="38" t="n">
        <v>60683</v>
      </c>
      <c r="F362" s="37" t="inlineStr">
        <is>
          <t>2026-06-16</t>
        </is>
      </c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</row>
    <row r="363" ht="26.75" customHeight="1" s="104">
      <c r="A363" s="37" t="inlineStr">
        <is>
          <t>Edina Public Schools</t>
        </is>
      </c>
      <c r="B363" s="37" t="inlineStr">
        <is>
          <t>MN</t>
        </is>
      </c>
      <c r="C363" s="37" t="inlineStr">
        <is>
          <t>Bachelor's</t>
        </is>
      </c>
      <c r="D363" s="37" t="n">
        <v>9</v>
      </c>
      <c r="E363" s="38" t="n">
        <v>61837</v>
      </c>
      <c r="F363" s="37" t="inlineStr">
        <is>
          <t>2026-06-16</t>
        </is>
      </c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</row>
    <row r="364" ht="26.75" customHeight="1" s="104">
      <c r="A364" s="37" t="inlineStr">
        <is>
          <t>Edina Public Schools</t>
        </is>
      </c>
      <c r="B364" s="37" t="inlineStr">
        <is>
          <t>MN</t>
        </is>
      </c>
      <c r="C364" s="37" t="inlineStr">
        <is>
          <t>Bachelor's</t>
        </is>
      </c>
      <c r="D364" s="37" t="n">
        <v>10</v>
      </c>
      <c r="E364" s="38" t="n">
        <v>62962</v>
      </c>
      <c r="F364" s="37" t="inlineStr">
        <is>
          <t>2026-06-16</t>
        </is>
      </c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</row>
    <row r="365" ht="26.75" customHeight="1" s="104">
      <c r="A365" s="37" t="inlineStr">
        <is>
          <t>Edina Public Schools</t>
        </is>
      </c>
      <c r="B365" s="37" t="inlineStr">
        <is>
          <t>MN</t>
        </is>
      </c>
      <c r="C365" s="37" t="inlineStr">
        <is>
          <t>Master's</t>
        </is>
      </c>
      <c r="D365" s="37" t="n">
        <v>0</v>
      </c>
      <c r="E365" s="38" t="n">
        <v>59903</v>
      </c>
      <c r="F365" s="37" t="inlineStr">
        <is>
          <t>2026-06-16</t>
        </is>
      </c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</row>
    <row r="366" ht="26.75" customHeight="1" s="104">
      <c r="A366" s="37" t="inlineStr">
        <is>
          <t>Edina Public Schools</t>
        </is>
      </c>
      <c r="B366" s="37" t="inlineStr">
        <is>
          <t>MN</t>
        </is>
      </c>
      <c r="C366" s="37" t="inlineStr">
        <is>
          <t>Master's</t>
        </is>
      </c>
      <c r="D366" s="37" t="n">
        <v>1</v>
      </c>
      <c r="E366" s="38" t="n">
        <v>59903</v>
      </c>
      <c r="F366" s="37" t="inlineStr">
        <is>
          <t>2026-06-16</t>
        </is>
      </c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</row>
    <row r="367" ht="26.75" customHeight="1" s="104">
      <c r="A367" s="37" t="inlineStr">
        <is>
          <t>Edina Public Schools</t>
        </is>
      </c>
      <c r="B367" s="37" t="inlineStr">
        <is>
          <t>MN</t>
        </is>
      </c>
      <c r="C367" s="37" t="inlineStr">
        <is>
          <t>Master's</t>
        </is>
      </c>
      <c r="D367" s="37" t="n">
        <v>2</v>
      </c>
      <c r="E367" s="38" t="n">
        <v>63195</v>
      </c>
      <c r="F367" s="37" t="inlineStr">
        <is>
          <t>2026-06-16</t>
        </is>
      </c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</row>
    <row r="368" ht="26.75" customHeight="1" s="104">
      <c r="A368" s="37" t="inlineStr">
        <is>
          <t>Edina Public Schools</t>
        </is>
      </c>
      <c r="B368" s="37" t="inlineStr">
        <is>
          <t>MN</t>
        </is>
      </c>
      <c r="C368" s="37" t="inlineStr">
        <is>
          <t>Master's</t>
        </is>
      </c>
      <c r="D368" s="37" t="n">
        <v>3</v>
      </c>
      <c r="E368" s="38" t="n">
        <v>65354</v>
      </c>
      <c r="F368" s="37" t="inlineStr">
        <is>
          <t>2026-06-16</t>
        </is>
      </c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</row>
    <row r="369" ht="26.75" customHeight="1" s="104">
      <c r="A369" s="37" t="inlineStr">
        <is>
          <t>Edina Public Schools</t>
        </is>
      </c>
      <c r="B369" s="37" t="inlineStr">
        <is>
          <t>MN</t>
        </is>
      </c>
      <c r="C369" s="37" t="inlineStr">
        <is>
          <t>Master's</t>
        </is>
      </c>
      <c r="D369" s="37" t="n">
        <v>4</v>
      </c>
      <c r="E369" s="38" t="n">
        <v>67462</v>
      </c>
      <c r="F369" s="37" t="inlineStr">
        <is>
          <t>2026-06-16</t>
        </is>
      </c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</row>
    <row r="370" ht="26.75" customHeight="1" s="104">
      <c r="A370" s="37" t="inlineStr">
        <is>
          <t>Edina Public Schools</t>
        </is>
      </c>
      <c r="B370" s="37" t="inlineStr">
        <is>
          <t>MN</t>
        </is>
      </c>
      <c r="C370" s="37" t="inlineStr">
        <is>
          <t>Master's</t>
        </is>
      </c>
      <c r="D370" s="37" t="n">
        <v>5</v>
      </c>
      <c r="E370" s="38" t="n">
        <v>69525</v>
      </c>
      <c r="F370" s="37" t="inlineStr">
        <is>
          <t>2026-06-16</t>
        </is>
      </c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</row>
    <row r="371" ht="26.75" customHeight="1" s="104">
      <c r="A371" s="37" t="inlineStr">
        <is>
          <t>Edina Public Schools</t>
        </is>
      </c>
      <c r="B371" s="37" t="inlineStr">
        <is>
          <t>MN</t>
        </is>
      </c>
      <c r="C371" s="37" t="inlineStr">
        <is>
          <t>Master's</t>
        </is>
      </c>
      <c r="D371" s="37" t="n">
        <v>6</v>
      </c>
      <c r="E371" s="38" t="n">
        <v>71541</v>
      </c>
      <c r="F371" s="37" t="inlineStr">
        <is>
          <t>2026-06-16</t>
        </is>
      </c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</row>
    <row r="372" ht="26.75" customHeight="1" s="104">
      <c r="A372" s="37" t="inlineStr">
        <is>
          <t>Edina Public Schools</t>
        </is>
      </c>
      <c r="B372" s="37" t="inlineStr">
        <is>
          <t>MN</t>
        </is>
      </c>
      <c r="C372" s="37" t="inlineStr">
        <is>
          <t>Master's</t>
        </is>
      </c>
      <c r="D372" s="37" t="n">
        <v>7</v>
      </c>
      <c r="E372" s="38" t="n">
        <v>73510</v>
      </c>
      <c r="F372" s="37" t="inlineStr">
        <is>
          <t>2026-06-16</t>
        </is>
      </c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</row>
    <row r="373" ht="26.75" customHeight="1" s="104">
      <c r="A373" s="37" t="inlineStr">
        <is>
          <t>Edina Public Schools</t>
        </is>
      </c>
      <c r="B373" s="37" t="inlineStr">
        <is>
          <t>MN</t>
        </is>
      </c>
      <c r="C373" s="37" t="inlineStr">
        <is>
          <t>Master's</t>
        </is>
      </c>
      <c r="D373" s="37" t="n">
        <v>8</v>
      </c>
      <c r="E373" s="38" t="n">
        <v>75432</v>
      </c>
      <c r="F373" s="37" t="inlineStr">
        <is>
          <t>2026-06-16</t>
        </is>
      </c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</row>
    <row r="374" ht="26.75" customHeight="1" s="104">
      <c r="A374" s="37" t="inlineStr">
        <is>
          <t>Edina Public Schools</t>
        </is>
      </c>
      <c r="B374" s="37" t="inlineStr">
        <is>
          <t>MN</t>
        </is>
      </c>
      <c r="C374" s="37" t="inlineStr">
        <is>
          <t>Master's</t>
        </is>
      </c>
      <c r="D374" s="37" t="n">
        <v>9</v>
      </c>
      <c r="E374" s="38" t="n">
        <v>77312</v>
      </c>
      <c r="F374" s="37" t="inlineStr">
        <is>
          <t>2026-06-16</t>
        </is>
      </c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</row>
    <row r="375" ht="26.75" customHeight="1" s="104">
      <c r="A375" s="37" t="inlineStr">
        <is>
          <t>Edina Public Schools</t>
        </is>
      </c>
      <c r="B375" s="37" t="inlineStr">
        <is>
          <t>MN</t>
        </is>
      </c>
      <c r="C375" s="37" t="inlineStr">
        <is>
          <t>Master's</t>
        </is>
      </c>
      <c r="D375" s="37" t="n">
        <v>10</v>
      </c>
      <c r="E375" s="38" t="n">
        <v>79146</v>
      </c>
      <c r="F375" s="37" t="inlineStr">
        <is>
          <t>2026-06-16</t>
        </is>
      </c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</row>
    <row r="376" ht="26.75" customHeight="1" s="104">
      <c r="A376" s="10" t="inlineStr">
        <is>
          <t>Flagstaff Unified School District</t>
        </is>
      </c>
      <c r="B376" s="10" t="inlineStr">
        <is>
          <t>AZ</t>
        </is>
      </c>
      <c r="C376" s="10" t="inlineStr">
        <is>
          <t>Bachelor's</t>
        </is>
      </c>
      <c r="D376" s="11" t="n">
        <v>0</v>
      </c>
      <c r="E376" s="12" t="n">
        <v>50910</v>
      </c>
      <c r="F376" s="13" t="inlineStr">
        <is>
          <t>2026-06-11</t>
        </is>
      </c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</row>
    <row r="377" ht="26.75" customHeight="1" s="104">
      <c r="A377" s="10" t="inlineStr">
        <is>
          <t>Flagstaff Unified School District</t>
        </is>
      </c>
      <c r="B377" s="10" t="inlineStr">
        <is>
          <t>AZ</t>
        </is>
      </c>
      <c r="C377" s="10" t="inlineStr">
        <is>
          <t>Bachelor's</t>
        </is>
      </c>
      <c r="D377" s="11" t="n">
        <v>1</v>
      </c>
      <c r="E377" s="12" t="n">
        <v>51548</v>
      </c>
      <c r="F377" s="13" t="inlineStr">
        <is>
          <t>2026-06-11</t>
        </is>
      </c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</row>
    <row r="378" ht="26.75" customHeight="1" s="104">
      <c r="A378" s="10" t="inlineStr">
        <is>
          <t>Flagstaff Unified School District</t>
        </is>
      </c>
      <c r="B378" s="10" t="inlineStr">
        <is>
          <t>AZ</t>
        </is>
      </c>
      <c r="C378" s="10" t="inlineStr">
        <is>
          <t>Bachelor's</t>
        </is>
      </c>
      <c r="D378" s="11" t="n">
        <v>2</v>
      </c>
      <c r="E378" s="12" t="n">
        <v>52185</v>
      </c>
      <c r="F378" s="13" t="inlineStr">
        <is>
          <t>2026-06-11</t>
        </is>
      </c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</row>
    <row r="379" ht="26.75" customHeight="1" s="104">
      <c r="A379" s="10" t="inlineStr">
        <is>
          <t>Flagstaff Unified School District</t>
        </is>
      </c>
      <c r="B379" s="10" t="inlineStr">
        <is>
          <t>AZ</t>
        </is>
      </c>
      <c r="C379" s="10" t="inlineStr">
        <is>
          <t>Bachelor's</t>
        </is>
      </c>
      <c r="D379" s="11" t="n">
        <v>3</v>
      </c>
      <c r="E379" s="12" t="n">
        <v>52823</v>
      </c>
      <c r="F379" s="13" t="inlineStr">
        <is>
          <t>2026-06-11</t>
        </is>
      </c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</row>
    <row r="380" ht="26.75" customHeight="1" s="104">
      <c r="A380" s="10" t="inlineStr">
        <is>
          <t>Flagstaff Unified School District</t>
        </is>
      </c>
      <c r="B380" s="10" t="inlineStr">
        <is>
          <t>AZ</t>
        </is>
      </c>
      <c r="C380" s="10" t="inlineStr">
        <is>
          <t>Bachelor's</t>
        </is>
      </c>
      <c r="D380" s="11" t="n">
        <v>4</v>
      </c>
      <c r="E380" s="12" t="n">
        <v>53460</v>
      </c>
      <c r="F380" s="13" t="inlineStr">
        <is>
          <t>2026-06-11</t>
        </is>
      </c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</row>
    <row r="381" ht="26.75" customHeight="1" s="104">
      <c r="A381" s="10" t="inlineStr">
        <is>
          <t>Flagstaff Unified School District</t>
        </is>
      </c>
      <c r="B381" s="10" t="inlineStr">
        <is>
          <t>AZ</t>
        </is>
      </c>
      <c r="C381" s="10" t="inlineStr">
        <is>
          <t>Bachelor's</t>
        </is>
      </c>
      <c r="D381" s="11" t="n">
        <v>5</v>
      </c>
      <c r="E381" s="12" t="n">
        <v>54098</v>
      </c>
      <c r="F381" s="13" t="inlineStr">
        <is>
          <t>2026-06-11</t>
        </is>
      </c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</row>
    <row r="382" ht="26.75" customHeight="1" s="104">
      <c r="A382" s="10" t="inlineStr">
        <is>
          <t>Flagstaff Unified School District</t>
        </is>
      </c>
      <c r="B382" s="10" t="inlineStr">
        <is>
          <t>AZ</t>
        </is>
      </c>
      <c r="C382" s="10" t="inlineStr">
        <is>
          <t>Bachelor's</t>
        </is>
      </c>
      <c r="D382" s="11" t="n">
        <v>6</v>
      </c>
      <c r="E382" s="12" t="n">
        <v>54735</v>
      </c>
      <c r="F382" s="13" t="inlineStr">
        <is>
          <t>2026-06-11</t>
        </is>
      </c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</row>
    <row r="383" ht="26.75" customHeight="1" s="104">
      <c r="A383" s="10" t="inlineStr">
        <is>
          <t>Flagstaff Unified School District</t>
        </is>
      </c>
      <c r="B383" s="10" t="inlineStr">
        <is>
          <t>AZ</t>
        </is>
      </c>
      <c r="C383" s="10" t="inlineStr">
        <is>
          <t>Bachelor's</t>
        </is>
      </c>
      <c r="D383" s="11" t="n">
        <v>7</v>
      </c>
      <c r="E383" s="12" t="n">
        <v>55373</v>
      </c>
      <c r="F383" s="13" t="inlineStr">
        <is>
          <t>2026-06-11</t>
        </is>
      </c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</row>
    <row r="384" ht="26.75" customHeight="1" s="104">
      <c r="A384" s="10" t="inlineStr">
        <is>
          <t>Flagstaff Unified School District</t>
        </is>
      </c>
      <c r="B384" s="10" t="inlineStr">
        <is>
          <t>AZ</t>
        </is>
      </c>
      <c r="C384" s="10" t="inlineStr">
        <is>
          <t>Bachelor's</t>
        </is>
      </c>
      <c r="D384" s="11" t="n">
        <v>8</v>
      </c>
      <c r="E384" s="12" t="n">
        <v>56010</v>
      </c>
      <c r="F384" s="13" t="inlineStr">
        <is>
          <t>2026-06-11</t>
        </is>
      </c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</row>
    <row r="385" ht="26.75" customHeight="1" s="104">
      <c r="A385" s="10" t="inlineStr">
        <is>
          <t>Flagstaff Unified School District</t>
        </is>
      </c>
      <c r="B385" s="10" t="inlineStr">
        <is>
          <t>AZ</t>
        </is>
      </c>
      <c r="C385" s="10" t="inlineStr">
        <is>
          <t>Bachelor's</t>
        </is>
      </c>
      <c r="D385" s="11" t="n">
        <v>9</v>
      </c>
      <c r="E385" s="12" t="n">
        <v>56648</v>
      </c>
      <c r="F385" s="13" t="inlineStr">
        <is>
          <t>2026-06-11</t>
        </is>
      </c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</row>
    <row r="386" ht="26.75" customHeight="1" s="104">
      <c r="A386" s="10" t="inlineStr">
        <is>
          <t>Flagstaff Unified School District</t>
        </is>
      </c>
      <c r="B386" s="10" t="inlineStr">
        <is>
          <t>AZ</t>
        </is>
      </c>
      <c r="C386" s="10" t="inlineStr">
        <is>
          <t>Bachelor's</t>
        </is>
      </c>
      <c r="D386" s="11" t="n">
        <v>10</v>
      </c>
      <c r="E386" s="12" t="n">
        <v>57285</v>
      </c>
      <c r="F386" s="13" t="inlineStr">
        <is>
          <t>2026-06-11</t>
        </is>
      </c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</row>
    <row r="387" ht="26.75" customHeight="1" s="104">
      <c r="A387" s="10" t="inlineStr">
        <is>
          <t>Flagstaff Unified School District</t>
        </is>
      </c>
      <c r="B387" s="10" t="inlineStr">
        <is>
          <t>AZ</t>
        </is>
      </c>
      <c r="C387" s="10" t="inlineStr">
        <is>
          <t>Master's</t>
        </is>
      </c>
      <c r="D387" s="11" t="n">
        <v>0</v>
      </c>
      <c r="E387" s="12" t="n">
        <v>50910</v>
      </c>
      <c r="F387" s="13" t="inlineStr">
        <is>
          <t>2026-06-11</t>
        </is>
      </c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</row>
    <row r="388" ht="26.75" customHeight="1" s="104">
      <c r="A388" s="10" t="inlineStr">
        <is>
          <t>Flagstaff Unified School District</t>
        </is>
      </c>
      <c r="B388" s="10" t="inlineStr">
        <is>
          <t>AZ</t>
        </is>
      </c>
      <c r="C388" s="10" t="inlineStr">
        <is>
          <t>Master's</t>
        </is>
      </c>
      <c r="D388" s="11" t="n">
        <v>1</v>
      </c>
      <c r="E388" s="12" t="n">
        <v>51548</v>
      </c>
      <c r="F388" s="13" t="inlineStr">
        <is>
          <t>2026-06-11</t>
        </is>
      </c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</row>
    <row r="389" ht="26.75" customHeight="1" s="104">
      <c r="A389" s="10" t="inlineStr">
        <is>
          <t>Flagstaff Unified School District</t>
        </is>
      </c>
      <c r="B389" s="10" t="inlineStr">
        <is>
          <t>AZ</t>
        </is>
      </c>
      <c r="C389" s="10" t="inlineStr">
        <is>
          <t>Master's</t>
        </is>
      </c>
      <c r="D389" s="11" t="n">
        <v>2</v>
      </c>
      <c r="E389" s="12" t="n">
        <v>52185</v>
      </c>
      <c r="F389" s="13" t="inlineStr">
        <is>
          <t>2026-06-11</t>
        </is>
      </c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</row>
    <row r="390" ht="26.75" customHeight="1" s="104">
      <c r="A390" s="10" t="inlineStr">
        <is>
          <t>Flagstaff Unified School District</t>
        </is>
      </c>
      <c r="B390" s="10" t="inlineStr">
        <is>
          <t>AZ</t>
        </is>
      </c>
      <c r="C390" s="10" t="inlineStr">
        <is>
          <t>Master's</t>
        </is>
      </c>
      <c r="D390" s="11" t="n">
        <v>3</v>
      </c>
      <c r="E390" s="12" t="n">
        <v>52823</v>
      </c>
      <c r="F390" s="13" t="inlineStr">
        <is>
          <t>2026-06-11</t>
        </is>
      </c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</row>
    <row r="391" ht="26.75" customHeight="1" s="104">
      <c r="A391" s="10" t="inlineStr">
        <is>
          <t>Flagstaff Unified School District</t>
        </is>
      </c>
      <c r="B391" s="10" t="inlineStr">
        <is>
          <t>AZ</t>
        </is>
      </c>
      <c r="C391" s="10" t="inlineStr">
        <is>
          <t>Master's</t>
        </is>
      </c>
      <c r="D391" s="11" t="n">
        <v>4</v>
      </c>
      <c r="E391" s="12" t="n">
        <v>53460</v>
      </c>
      <c r="F391" s="13" t="inlineStr">
        <is>
          <t>2026-06-11</t>
        </is>
      </c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</row>
    <row r="392" ht="26.75" customHeight="1" s="104">
      <c r="A392" s="10" t="inlineStr">
        <is>
          <t>Flagstaff Unified School District</t>
        </is>
      </c>
      <c r="B392" s="10" t="inlineStr">
        <is>
          <t>AZ</t>
        </is>
      </c>
      <c r="C392" s="10" t="inlineStr">
        <is>
          <t>Master's</t>
        </is>
      </c>
      <c r="D392" s="11" t="n">
        <v>5</v>
      </c>
      <c r="E392" s="12" t="n">
        <v>54098</v>
      </c>
      <c r="F392" s="13" t="inlineStr">
        <is>
          <t>2026-06-11</t>
        </is>
      </c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</row>
    <row r="393" ht="26.75" customHeight="1" s="104">
      <c r="A393" s="10" t="inlineStr">
        <is>
          <t>Flagstaff Unified School District</t>
        </is>
      </c>
      <c r="B393" s="10" t="inlineStr">
        <is>
          <t>AZ</t>
        </is>
      </c>
      <c r="C393" s="10" t="inlineStr">
        <is>
          <t>Master's</t>
        </is>
      </c>
      <c r="D393" s="11" t="n">
        <v>6</v>
      </c>
      <c r="E393" s="12" t="n">
        <v>54735</v>
      </c>
      <c r="F393" s="13" t="inlineStr">
        <is>
          <t>2026-06-11</t>
        </is>
      </c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</row>
    <row r="394" ht="26.75" customHeight="1" s="104">
      <c r="A394" s="10" t="inlineStr">
        <is>
          <t>Flagstaff Unified School District</t>
        </is>
      </c>
      <c r="B394" s="10" t="inlineStr">
        <is>
          <t>AZ</t>
        </is>
      </c>
      <c r="C394" s="10" t="inlineStr">
        <is>
          <t>Master's</t>
        </is>
      </c>
      <c r="D394" s="11" t="n">
        <v>7</v>
      </c>
      <c r="E394" s="12" t="n">
        <v>55373</v>
      </c>
      <c r="F394" s="13" t="inlineStr">
        <is>
          <t>2026-06-11</t>
        </is>
      </c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</row>
    <row r="395" ht="26.75" customHeight="1" s="104">
      <c r="A395" s="10" t="inlineStr">
        <is>
          <t>Flagstaff Unified School District</t>
        </is>
      </c>
      <c r="B395" s="10" t="inlineStr">
        <is>
          <t>AZ</t>
        </is>
      </c>
      <c r="C395" s="10" t="inlineStr">
        <is>
          <t>Master's</t>
        </is>
      </c>
      <c r="D395" s="11" t="n">
        <v>8</v>
      </c>
      <c r="E395" s="12" t="n">
        <v>56010</v>
      </c>
      <c r="F395" s="13" t="inlineStr">
        <is>
          <t>2026-06-11</t>
        </is>
      </c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</row>
    <row r="396" ht="26.75" customHeight="1" s="104">
      <c r="A396" s="10" t="inlineStr">
        <is>
          <t>Flagstaff Unified School District</t>
        </is>
      </c>
      <c r="B396" s="10" t="inlineStr">
        <is>
          <t>AZ</t>
        </is>
      </c>
      <c r="C396" s="10" t="inlineStr">
        <is>
          <t>Master's</t>
        </is>
      </c>
      <c r="D396" s="11" t="n">
        <v>9</v>
      </c>
      <c r="E396" s="12" t="n">
        <v>56648</v>
      </c>
      <c r="F396" s="13" t="inlineStr">
        <is>
          <t>2026-06-11</t>
        </is>
      </c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</row>
    <row r="397" ht="26.75" customHeight="1" s="104">
      <c r="A397" s="10" t="inlineStr">
        <is>
          <t>Flagstaff Unified School District</t>
        </is>
      </c>
      <c r="B397" s="10" t="inlineStr">
        <is>
          <t>AZ</t>
        </is>
      </c>
      <c r="C397" s="10" t="inlineStr">
        <is>
          <t>Master's</t>
        </is>
      </c>
      <c r="D397" s="11" t="n">
        <v>10</v>
      </c>
      <c r="E397" s="12" t="n">
        <v>57285</v>
      </c>
      <c r="F397" s="13" t="inlineStr">
        <is>
          <t>2026-06-11</t>
        </is>
      </c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</row>
    <row r="398" ht="26.75" customHeight="1" s="104">
      <c r="A398" s="37" t="inlineStr">
        <is>
          <t>Galena Park ISD</t>
        </is>
      </c>
      <c r="B398" s="37" t="inlineStr">
        <is>
          <t>TX</t>
        </is>
      </c>
      <c r="C398" s="37" t="inlineStr">
        <is>
          <t>Bachelor's</t>
        </is>
      </c>
      <c r="D398" s="37" t="n">
        <v>0</v>
      </c>
      <c r="E398" s="37" t="n">
        <v>66575</v>
      </c>
      <c r="F398" s="37" t="inlineStr">
        <is>
          <t>2026-06-16</t>
        </is>
      </c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</row>
    <row r="399" ht="26.75" customHeight="1" s="104">
      <c r="A399" s="37" t="inlineStr">
        <is>
          <t>Galena Park ISD</t>
        </is>
      </c>
      <c r="B399" s="37" t="inlineStr">
        <is>
          <t>TX</t>
        </is>
      </c>
      <c r="C399" s="37" t="inlineStr">
        <is>
          <t>Bachelor's</t>
        </is>
      </c>
      <c r="D399" s="37" t="n">
        <v>1</v>
      </c>
      <c r="E399" s="37" t="n">
        <v>67600</v>
      </c>
      <c r="F399" s="37" t="inlineStr">
        <is>
          <t>2026-06-16</t>
        </is>
      </c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</row>
    <row r="400" ht="26.75" customHeight="1" s="104">
      <c r="A400" s="37" t="inlineStr">
        <is>
          <t>Galena Park ISD</t>
        </is>
      </c>
      <c r="B400" s="37" t="inlineStr">
        <is>
          <t>TX</t>
        </is>
      </c>
      <c r="C400" s="37" t="inlineStr">
        <is>
          <t>Bachelor's</t>
        </is>
      </c>
      <c r="D400" s="37" t="n">
        <v>2</v>
      </c>
      <c r="E400" s="37" t="n">
        <v>68625</v>
      </c>
      <c r="F400" s="37" t="inlineStr">
        <is>
          <t>2026-06-16</t>
        </is>
      </c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</row>
    <row r="401" ht="26.75" customHeight="1" s="104">
      <c r="A401" s="37" t="inlineStr">
        <is>
          <t>Galena Park ISD</t>
        </is>
      </c>
      <c r="B401" s="37" t="inlineStr">
        <is>
          <t>TX</t>
        </is>
      </c>
      <c r="C401" s="37" t="inlineStr">
        <is>
          <t>Bachelor's</t>
        </is>
      </c>
      <c r="D401" s="37" t="n">
        <v>3</v>
      </c>
      <c r="E401" s="37" t="n">
        <v>69650</v>
      </c>
      <c r="F401" s="37" t="inlineStr">
        <is>
          <t>2026-06-16</t>
        </is>
      </c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</row>
    <row r="402" ht="26.75" customHeight="1" s="104">
      <c r="A402" s="37" t="inlineStr">
        <is>
          <t>Galena Park ISD</t>
        </is>
      </c>
      <c r="B402" s="37" t="inlineStr">
        <is>
          <t>TX</t>
        </is>
      </c>
      <c r="C402" s="37" t="inlineStr">
        <is>
          <t>Bachelor's</t>
        </is>
      </c>
      <c r="D402" s="37" t="n">
        <v>4</v>
      </c>
      <c r="E402" s="37" t="n">
        <v>70675</v>
      </c>
      <c r="F402" s="37" t="inlineStr">
        <is>
          <t>2026-06-16</t>
        </is>
      </c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</row>
    <row r="403" ht="26.75" customHeight="1" s="104">
      <c r="A403" s="37" t="inlineStr">
        <is>
          <t>Galena Park ISD</t>
        </is>
      </c>
      <c r="B403" s="37" t="inlineStr">
        <is>
          <t>TX</t>
        </is>
      </c>
      <c r="C403" s="37" t="inlineStr">
        <is>
          <t>Bachelor's</t>
        </is>
      </c>
      <c r="D403" s="37" t="n">
        <v>5</v>
      </c>
      <c r="E403" s="37" t="n">
        <v>71700</v>
      </c>
      <c r="F403" s="37" t="inlineStr">
        <is>
          <t>2026-06-16</t>
        </is>
      </c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</row>
    <row r="404" ht="26.75" customHeight="1" s="104">
      <c r="A404" s="37" t="inlineStr">
        <is>
          <t>Galena Park ISD</t>
        </is>
      </c>
      <c r="B404" s="37" t="inlineStr">
        <is>
          <t>TX</t>
        </is>
      </c>
      <c r="C404" s="37" t="inlineStr">
        <is>
          <t>Bachelor's</t>
        </is>
      </c>
      <c r="D404" s="37" t="n">
        <v>6</v>
      </c>
      <c r="E404" s="37" t="n">
        <v>72000</v>
      </c>
      <c r="F404" s="37" t="inlineStr">
        <is>
          <t>2026-06-16</t>
        </is>
      </c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</row>
    <row r="405" ht="26.75" customHeight="1" s="104">
      <c r="A405" s="37" t="inlineStr">
        <is>
          <t>Galena Park ISD</t>
        </is>
      </c>
      <c r="B405" s="37" t="inlineStr">
        <is>
          <t>TX</t>
        </is>
      </c>
      <c r="C405" s="37" t="inlineStr">
        <is>
          <t>Bachelor's</t>
        </is>
      </c>
      <c r="D405" s="37" t="n">
        <v>7</v>
      </c>
      <c r="E405" s="37" t="n">
        <v>72300</v>
      </c>
      <c r="F405" s="37" t="inlineStr">
        <is>
          <t>2026-06-16</t>
        </is>
      </c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</row>
    <row r="406" ht="26.75" customHeight="1" s="104">
      <c r="A406" s="37" t="inlineStr">
        <is>
          <t>Galena Park ISD</t>
        </is>
      </c>
      <c r="B406" s="37" t="inlineStr">
        <is>
          <t>TX</t>
        </is>
      </c>
      <c r="C406" s="37" t="inlineStr">
        <is>
          <t>Bachelor's</t>
        </is>
      </c>
      <c r="D406" s="37" t="n">
        <v>8</v>
      </c>
      <c r="E406" s="37" t="n">
        <v>72600</v>
      </c>
      <c r="F406" s="37" t="inlineStr">
        <is>
          <t>2026-06-16</t>
        </is>
      </c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</row>
    <row r="407" ht="26.75" customHeight="1" s="104">
      <c r="A407" s="37" t="inlineStr">
        <is>
          <t>Galena Park ISD</t>
        </is>
      </c>
      <c r="B407" s="37" t="inlineStr">
        <is>
          <t>TX</t>
        </is>
      </c>
      <c r="C407" s="37" t="inlineStr">
        <is>
          <t>Bachelor's</t>
        </is>
      </c>
      <c r="D407" s="37" t="n">
        <v>9</v>
      </c>
      <c r="E407" s="37" t="n">
        <v>72900</v>
      </c>
      <c r="F407" s="37" t="inlineStr">
        <is>
          <t>2026-06-16</t>
        </is>
      </c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</row>
    <row r="408" ht="26.75" customHeight="1" s="104">
      <c r="A408" s="37" t="inlineStr">
        <is>
          <t>Galena Park ISD</t>
        </is>
      </c>
      <c r="B408" s="37" t="inlineStr">
        <is>
          <t>TX</t>
        </is>
      </c>
      <c r="C408" s="37" t="inlineStr">
        <is>
          <t>Bachelor's</t>
        </is>
      </c>
      <c r="D408" s="37" t="n">
        <v>10</v>
      </c>
      <c r="E408" s="37" t="n">
        <v>73200</v>
      </c>
      <c r="F408" s="37" t="inlineStr">
        <is>
          <t>2026-06-16</t>
        </is>
      </c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</row>
    <row r="409" ht="26.75" customHeight="1" s="104">
      <c r="A409" s="37" t="inlineStr">
        <is>
          <t>Galena Park ISD</t>
        </is>
      </c>
      <c r="B409" s="37" t="inlineStr">
        <is>
          <t>TX</t>
        </is>
      </c>
      <c r="C409" s="37" t="inlineStr">
        <is>
          <t>Master's</t>
        </is>
      </c>
      <c r="D409" s="37" t="n">
        <v>0</v>
      </c>
      <c r="E409" s="37" t="n">
        <v>68575</v>
      </c>
      <c r="F409" s="37" t="inlineStr">
        <is>
          <t>2026-06-16</t>
        </is>
      </c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</row>
    <row r="410" ht="26.75" customHeight="1" s="104">
      <c r="A410" s="37" t="inlineStr">
        <is>
          <t>Galena Park ISD</t>
        </is>
      </c>
      <c r="B410" s="37" t="inlineStr">
        <is>
          <t>TX</t>
        </is>
      </c>
      <c r="C410" s="37" t="inlineStr">
        <is>
          <t>Master's</t>
        </is>
      </c>
      <c r="D410" s="37" t="n">
        <v>1</v>
      </c>
      <c r="E410" s="37" t="n">
        <v>69600</v>
      </c>
      <c r="F410" s="37" t="inlineStr">
        <is>
          <t>2026-06-16</t>
        </is>
      </c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</row>
    <row r="411" ht="26.75" customHeight="1" s="104">
      <c r="A411" s="37" t="inlineStr">
        <is>
          <t>Galena Park ISD</t>
        </is>
      </c>
      <c r="B411" s="37" t="inlineStr">
        <is>
          <t>TX</t>
        </is>
      </c>
      <c r="C411" s="37" t="inlineStr">
        <is>
          <t>Master's</t>
        </is>
      </c>
      <c r="D411" s="37" t="n">
        <v>2</v>
      </c>
      <c r="E411" s="37" t="n">
        <v>70625</v>
      </c>
      <c r="F411" s="37" t="inlineStr">
        <is>
          <t>2026-06-16</t>
        </is>
      </c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</row>
    <row r="412" ht="26.75" customHeight="1" s="104">
      <c r="A412" s="37" t="inlineStr">
        <is>
          <t>Galena Park ISD</t>
        </is>
      </c>
      <c r="B412" s="37" t="inlineStr">
        <is>
          <t>TX</t>
        </is>
      </c>
      <c r="C412" s="37" t="inlineStr">
        <is>
          <t>Master's</t>
        </is>
      </c>
      <c r="D412" s="37" t="n">
        <v>3</v>
      </c>
      <c r="E412" s="37" t="n">
        <v>71650</v>
      </c>
      <c r="F412" s="37" t="inlineStr">
        <is>
          <t>2026-06-16</t>
        </is>
      </c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</row>
    <row r="413" ht="26.75" customHeight="1" s="104">
      <c r="A413" s="37" t="inlineStr">
        <is>
          <t>Galena Park ISD</t>
        </is>
      </c>
      <c r="B413" s="37" t="inlineStr">
        <is>
          <t>TX</t>
        </is>
      </c>
      <c r="C413" s="37" t="inlineStr">
        <is>
          <t>Master's</t>
        </is>
      </c>
      <c r="D413" s="37" t="n">
        <v>4</v>
      </c>
      <c r="E413" s="37" t="n">
        <v>72675</v>
      </c>
      <c r="F413" s="37" t="inlineStr">
        <is>
          <t>2026-06-16</t>
        </is>
      </c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</row>
    <row r="414" ht="26.75" customHeight="1" s="104">
      <c r="A414" s="37" t="inlineStr">
        <is>
          <t>Galena Park ISD</t>
        </is>
      </c>
      <c r="B414" s="37" t="inlineStr">
        <is>
          <t>TX</t>
        </is>
      </c>
      <c r="C414" s="37" t="inlineStr">
        <is>
          <t>Master's</t>
        </is>
      </c>
      <c r="D414" s="37" t="n">
        <v>5</v>
      </c>
      <c r="E414" s="37" t="n">
        <v>73700</v>
      </c>
      <c r="F414" s="37" t="inlineStr">
        <is>
          <t>2026-06-16</t>
        </is>
      </c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</row>
    <row r="415" ht="26.75" customHeight="1" s="104">
      <c r="A415" s="37" t="inlineStr">
        <is>
          <t>Galena Park ISD</t>
        </is>
      </c>
      <c r="B415" s="37" t="inlineStr">
        <is>
          <t>TX</t>
        </is>
      </c>
      <c r="C415" s="37" t="inlineStr">
        <is>
          <t>Master's</t>
        </is>
      </c>
      <c r="D415" s="37" t="n">
        <v>6</v>
      </c>
      <c r="E415" s="37" t="n">
        <v>74000</v>
      </c>
      <c r="F415" s="37" t="inlineStr">
        <is>
          <t>2026-06-16</t>
        </is>
      </c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</row>
    <row r="416" ht="26.75" customHeight="1" s="104">
      <c r="A416" s="37" t="inlineStr">
        <is>
          <t>Galena Park ISD</t>
        </is>
      </c>
      <c r="B416" s="37" t="inlineStr">
        <is>
          <t>TX</t>
        </is>
      </c>
      <c r="C416" s="37" t="inlineStr">
        <is>
          <t>Master's</t>
        </is>
      </c>
      <c r="D416" s="37" t="n">
        <v>7</v>
      </c>
      <c r="E416" s="37" t="n">
        <v>74300</v>
      </c>
      <c r="F416" s="37" t="inlineStr">
        <is>
          <t>2026-06-16</t>
        </is>
      </c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</row>
    <row r="417" ht="26.75" customHeight="1" s="104">
      <c r="A417" s="37" t="inlineStr">
        <is>
          <t>Galena Park ISD</t>
        </is>
      </c>
      <c r="B417" s="37" t="inlineStr">
        <is>
          <t>TX</t>
        </is>
      </c>
      <c r="C417" s="37" t="inlineStr">
        <is>
          <t>Master's</t>
        </is>
      </c>
      <c r="D417" s="37" t="n">
        <v>8</v>
      </c>
      <c r="E417" s="37" t="n">
        <v>74600</v>
      </c>
      <c r="F417" s="37" t="inlineStr">
        <is>
          <t>2026-06-16</t>
        </is>
      </c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</row>
    <row r="418" ht="26.75" customHeight="1" s="104">
      <c r="A418" s="37" t="inlineStr">
        <is>
          <t>Galena Park ISD</t>
        </is>
      </c>
      <c r="B418" s="37" t="inlineStr">
        <is>
          <t>TX</t>
        </is>
      </c>
      <c r="C418" s="37" t="inlineStr">
        <is>
          <t>Master's</t>
        </is>
      </c>
      <c r="D418" s="37" t="n">
        <v>9</v>
      </c>
      <c r="E418" s="37" t="n">
        <v>74900</v>
      </c>
      <c r="F418" s="37" t="inlineStr">
        <is>
          <t>2026-06-16</t>
        </is>
      </c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</row>
    <row r="419" ht="26.75" customHeight="1" s="104">
      <c r="A419" s="37" t="inlineStr">
        <is>
          <t>Galena Park ISD</t>
        </is>
      </c>
      <c r="B419" s="37" t="inlineStr">
        <is>
          <t>TX</t>
        </is>
      </c>
      <c r="C419" s="37" t="inlineStr">
        <is>
          <t>Master's</t>
        </is>
      </c>
      <c r="D419" s="37" t="n">
        <v>10</v>
      </c>
      <c r="E419" s="37" t="n">
        <v>75200</v>
      </c>
      <c r="F419" s="37" t="inlineStr">
        <is>
          <t>2026-06-16</t>
        </is>
      </c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</row>
    <row r="420" ht="26.75" customHeight="1" s="104">
      <c r="A420" s="10" t="inlineStr">
        <is>
          <t>Glenbrook High School District 225</t>
        </is>
      </c>
      <c r="B420" s="10" t="inlineStr">
        <is>
          <t>IL</t>
        </is>
      </c>
      <c r="C420" s="10" t="inlineStr">
        <is>
          <t>Bachelor's</t>
        </is>
      </c>
      <c r="D420" s="11" t="n">
        <v>0</v>
      </c>
      <c r="E420" s="12" t="n">
        <v>69929</v>
      </c>
      <c r="F420" s="10" t="inlineStr">
        <is>
          <t>2026-06-15</t>
        </is>
      </c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</row>
    <row r="421" ht="26.75" customHeight="1" s="104">
      <c r="A421" s="10" t="inlineStr">
        <is>
          <t>Glenbrook High School District 225</t>
        </is>
      </c>
      <c r="B421" s="10" t="inlineStr">
        <is>
          <t>IL</t>
        </is>
      </c>
      <c r="C421" s="10" t="inlineStr">
        <is>
          <t>Bachelor's</t>
        </is>
      </c>
      <c r="D421" s="11" t="n">
        <v>1</v>
      </c>
      <c r="E421" s="12" t="n">
        <v>71327</v>
      </c>
      <c r="F421" s="10" t="inlineStr">
        <is>
          <t>2026-06-15</t>
        </is>
      </c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</row>
    <row r="422" ht="26.75" customHeight="1" s="104">
      <c r="A422" s="10" t="inlineStr">
        <is>
          <t>Glenbrook High School District 225</t>
        </is>
      </c>
      <c r="B422" s="10" t="inlineStr">
        <is>
          <t>IL</t>
        </is>
      </c>
      <c r="C422" s="10" t="inlineStr">
        <is>
          <t>Bachelor's</t>
        </is>
      </c>
      <c r="D422" s="11" t="n">
        <v>2</v>
      </c>
      <c r="E422" s="12" t="n">
        <v>72754</v>
      </c>
      <c r="F422" s="10" t="inlineStr">
        <is>
          <t>2026-06-15</t>
        </is>
      </c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</row>
    <row r="423" ht="26.75" customHeight="1" s="104">
      <c r="A423" s="10" t="inlineStr">
        <is>
          <t>Glenbrook High School District 225</t>
        </is>
      </c>
      <c r="B423" s="10" t="inlineStr">
        <is>
          <t>IL</t>
        </is>
      </c>
      <c r="C423" s="10" t="inlineStr">
        <is>
          <t>Bachelor's</t>
        </is>
      </c>
      <c r="D423" s="11" t="n">
        <v>3</v>
      </c>
      <c r="E423" s="12" t="n">
        <v>74209</v>
      </c>
      <c r="F423" s="10" t="inlineStr">
        <is>
          <t>2026-06-15</t>
        </is>
      </c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</row>
    <row r="424" ht="26.75" customHeight="1" s="104">
      <c r="A424" s="10" t="inlineStr">
        <is>
          <t>Glenbrook High School District 225</t>
        </is>
      </c>
      <c r="B424" s="10" t="inlineStr">
        <is>
          <t>IL</t>
        </is>
      </c>
      <c r="C424" s="10" t="inlineStr">
        <is>
          <t>Bachelor's</t>
        </is>
      </c>
      <c r="D424" s="11" t="n">
        <v>4</v>
      </c>
      <c r="E424" s="12" t="n">
        <v>75693</v>
      </c>
      <c r="F424" s="10" t="inlineStr">
        <is>
          <t>2026-06-15</t>
        </is>
      </c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</row>
    <row r="425" ht="26.75" customHeight="1" s="104">
      <c r="A425" s="10" t="inlineStr">
        <is>
          <t>Glenbrook High School District 225</t>
        </is>
      </c>
      <c r="B425" s="10" t="inlineStr">
        <is>
          <t>IL</t>
        </is>
      </c>
      <c r="C425" s="10" t="inlineStr">
        <is>
          <t>Bachelor's</t>
        </is>
      </c>
      <c r="D425" s="11" t="n">
        <v>5</v>
      </c>
      <c r="E425" s="12" t="n">
        <v>77208</v>
      </c>
      <c r="F425" s="10" t="inlineStr">
        <is>
          <t>2026-06-15</t>
        </is>
      </c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</row>
    <row r="426" ht="26.75" customHeight="1" s="104">
      <c r="A426" s="10" t="inlineStr">
        <is>
          <t>Glenbrook High School District 225</t>
        </is>
      </c>
      <c r="B426" s="10" t="inlineStr">
        <is>
          <t>IL</t>
        </is>
      </c>
      <c r="C426" s="10" t="inlineStr">
        <is>
          <t>Bachelor's</t>
        </is>
      </c>
      <c r="D426" s="11" t="n">
        <v>6</v>
      </c>
      <c r="E426" s="12" t="n">
        <v>78751</v>
      </c>
      <c r="F426" s="10" t="inlineStr">
        <is>
          <t>2026-06-15</t>
        </is>
      </c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</row>
    <row r="427" ht="26.75" customHeight="1" s="104">
      <c r="A427" s="10" t="inlineStr">
        <is>
          <t>Glenbrook High School District 225</t>
        </is>
      </c>
      <c r="B427" s="10" t="inlineStr">
        <is>
          <t>IL</t>
        </is>
      </c>
      <c r="C427" s="10" t="inlineStr">
        <is>
          <t>Bachelor's</t>
        </is>
      </c>
      <c r="D427" s="11" t="n">
        <v>7</v>
      </c>
      <c r="E427" s="12" t="n">
        <v>80327</v>
      </c>
      <c r="F427" s="10" t="inlineStr">
        <is>
          <t>2026-06-15</t>
        </is>
      </c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</row>
    <row r="428" ht="26.75" customHeight="1" s="104">
      <c r="A428" s="10" t="inlineStr">
        <is>
          <t>Glenbrook High School District 225</t>
        </is>
      </c>
      <c r="B428" s="10" t="inlineStr">
        <is>
          <t>IL</t>
        </is>
      </c>
      <c r="C428" s="10" t="inlineStr">
        <is>
          <t>Bachelor's</t>
        </is>
      </c>
      <c r="D428" s="11" t="n">
        <v>8</v>
      </c>
      <c r="E428" s="12" t="n">
        <v>81933</v>
      </c>
      <c r="F428" s="10" t="inlineStr">
        <is>
          <t>2026-06-15</t>
        </is>
      </c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</row>
    <row r="429" ht="26.75" customHeight="1" s="104">
      <c r="A429" s="10" t="inlineStr">
        <is>
          <t>Glenbrook High School District 225</t>
        </is>
      </c>
      <c r="B429" s="10" t="inlineStr">
        <is>
          <t>IL</t>
        </is>
      </c>
      <c r="C429" s="10" t="inlineStr">
        <is>
          <t>Bachelor's</t>
        </is>
      </c>
      <c r="D429" s="11" t="n">
        <v>9</v>
      </c>
      <c r="E429" s="12" t="n">
        <v>83571</v>
      </c>
      <c r="F429" s="10" t="inlineStr">
        <is>
          <t>2026-06-15</t>
        </is>
      </c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</row>
    <row r="430" ht="26.75" customHeight="1" s="104">
      <c r="A430" s="10" t="inlineStr">
        <is>
          <t>Glenbrook High School District 225</t>
        </is>
      </c>
      <c r="B430" s="10" t="inlineStr">
        <is>
          <t>IL</t>
        </is>
      </c>
      <c r="C430" s="10" t="inlineStr">
        <is>
          <t>Bachelor's</t>
        </is>
      </c>
      <c r="D430" s="11" t="n">
        <v>10</v>
      </c>
      <c r="E430" s="12" t="n">
        <v>85244</v>
      </c>
      <c r="F430" s="10" t="inlineStr">
        <is>
          <t>2026-06-15</t>
        </is>
      </c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</row>
    <row r="431" ht="26.75" customHeight="1" s="104">
      <c r="A431" s="10" t="inlineStr">
        <is>
          <t>Glenbrook High School District 225</t>
        </is>
      </c>
      <c r="B431" s="10" t="inlineStr">
        <is>
          <t>IL</t>
        </is>
      </c>
      <c r="C431" s="10" t="inlineStr">
        <is>
          <t>Master's</t>
        </is>
      </c>
      <c r="D431" s="11" t="n">
        <v>0</v>
      </c>
      <c r="E431" s="12" t="n">
        <v>81169</v>
      </c>
      <c r="F431" s="10" t="inlineStr">
        <is>
          <t>2026-06-15</t>
        </is>
      </c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</row>
    <row r="432" ht="26.75" customHeight="1" s="104">
      <c r="A432" s="10" t="inlineStr">
        <is>
          <t>Glenbrook High School District 225</t>
        </is>
      </c>
      <c r="B432" s="10" t="inlineStr">
        <is>
          <t>IL</t>
        </is>
      </c>
      <c r="C432" s="10" t="inlineStr">
        <is>
          <t>Master's</t>
        </is>
      </c>
      <c r="D432" s="11" t="n">
        <v>1</v>
      </c>
      <c r="E432" s="12" t="n">
        <v>82792</v>
      </c>
      <c r="F432" s="10" t="inlineStr">
        <is>
          <t>2026-06-15</t>
        </is>
      </c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</row>
    <row r="433" ht="26.75" customHeight="1" s="104">
      <c r="A433" s="10" t="inlineStr">
        <is>
          <t>Glenbrook High School District 225</t>
        </is>
      </c>
      <c r="B433" s="10" t="inlineStr">
        <is>
          <t>IL</t>
        </is>
      </c>
      <c r="C433" s="10" t="inlineStr">
        <is>
          <t>Master's</t>
        </is>
      </c>
      <c r="D433" s="11" t="n">
        <v>2</v>
      </c>
      <c r="E433" s="12" t="n">
        <v>84448</v>
      </c>
      <c r="F433" s="10" t="inlineStr">
        <is>
          <t>2026-06-15</t>
        </is>
      </c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</row>
    <row r="434" ht="26.75" customHeight="1" s="104">
      <c r="A434" s="10" t="inlineStr">
        <is>
          <t>Glenbrook High School District 225</t>
        </is>
      </c>
      <c r="B434" s="10" t="inlineStr">
        <is>
          <t>IL</t>
        </is>
      </c>
      <c r="C434" s="10" t="inlineStr">
        <is>
          <t>Master's</t>
        </is>
      </c>
      <c r="D434" s="11" t="n">
        <v>3</v>
      </c>
      <c r="E434" s="12" t="n">
        <v>86137</v>
      </c>
      <c r="F434" s="10" t="inlineStr">
        <is>
          <t>2026-06-15</t>
        </is>
      </c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</row>
    <row r="435" ht="26.75" customHeight="1" s="104">
      <c r="A435" s="10" t="inlineStr">
        <is>
          <t>Glenbrook High School District 225</t>
        </is>
      </c>
      <c r="B435" s="10" t="inlineStr">
        <is>
          <t>IL</t>
        </is>
      </c>
      <c r="C435" s="10" t="inlineStr">
        <is>
          <t>Master's</t>
        </is>
      </c>
      <c r="D435" s="11" t="n">
        <v>4</v>
      </c>
      <c r="E435" s="12" t="n">
        <v>87859</v>
      </c>
      <c r="F435" s="10" t="inlineStr">
        <is>
          <t>2026-06-15</t>
        </is>
      </c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</row>
    <row r="436" ht="26.75" customHeight="1" s="104">
      <c r="A436" s="10" t="inlineStr">
        <is>
          <t>Glenbrook High School District 225</t>
        </is>
      </c>
      <c r="B436" s="10" t="inlineStr">
        <is>
          <t>IL</t>
        </is>
      </c>
      <c r="C436" s="10" t="inlineStr">
        <is>
          <t>Master's</t>
        </is>
      </c>
      <c r="D436" s="11" t="n">
        <v>5</v>
      </c>
      <c r="E436" s="12" t="n">
        <v>89616</v>
      </c>
      <c r="F436" s="10" t="inlineStr">
        <is>
          <t>2026-06-15</t>
        </is>
      </c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</row>
    <row r="437" ht="26.75" customHeight="1" s="104">
      <c r="A437" s="10" t="inlineStr">
        <is>
          <t>Glenbrook High School District 225</t>
        </is>
      </c>
      <c r="B437" s="10" t="inlineStr">
        <is>
          <t>IL</t>
        </is>
      </c>
      <c r="C437" s="10" t="inlineStr">
        <is>
          <t>Master's</t>
        </is>
      </c>
      <c r="D437" s="11" t="n">
        <v>6</v>
      </c>
      <c r="E437" s="12" t="n">
        <v>91410</v>
      </c>
      <c r="F437" s="10" t="inlineStr">
        <is>
          <t>2026-06-15</t>
        </is>
      </c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</row>
    <row r="438" ht="26.75" customHeight="1" s="104">
      <c r="A438" s="10" t="inlineStr">
        <is>
          <t>Glenbrook High School District 225</t>
        </is>
      </c>
      <c r="B438" s="10" t="inlineStr">
        <is>
          <t>IL</t>
        </is>
      </c>
      <c r="C438" s="10" t="inlineStr">
        <is>
          <t>Master's</t>
        </is>
      </c>
      <c r="D438" s="11" t="n">
        <v>7</v>
      </c>
      <c r="E438" s="12" t="n">
        <v>93237</v>
      </c>
      <c r="F438" s="10" t="inlineStr">
        <is>
          <t>2026-06-15</t>
        </is>
      </c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</row>
    <row r="439" ht="26.75" customHeight="1" s="104">
      <c r="A439" s="10" t="inlineStr">
        <is>
          <t>Glenbrook High School District 225</t>
        </is>
      </c>
      <c r="B439" s="10" t="inlineStr">
        <is>
          <t>IL</t>
        </is>
      </c>
      <c r="C439" s="10" t="inlineStr">
        <is>
          <t>Master's</t>
        </is>
      </c>
      <c r="D439" s="11" t="n">
        <v>8</v>
      </c>
      <c r="E439" s="12" t="n">
        <v>95103</v>
      </c>
      <c r="F439" s="10" t="inlineStr">
        <is>
          <t>2026-06-15</t>
        </is>
      </c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</row>
    <row r="440" ht="26.75" customHeight="1" s="104">
      <c r="A440" s="10" t="inlineStr">
        <is>
          <t>Glenbrook High School District 225</t>
        </is>
      </c>
      <c r="B440" s="10" t="inlineStr">
        <is>
          <t>IL</t>
        </is>
      </c>
      <c r="C440" s="10" t="inlineStr">
        <is>
          <t>Master's</t>
        </is>
      </c>
      <c r="D440" s="11" t="n">
        <v>9</v>
      </c>
      <c r="E440" s="12" t="n">
        <v>97004</v>
      </c>
      <c r="F440" s="10" t="inlineStr">
        <is>
          <t>2026-06-15</t>
        </is>
      </c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</row>
    <row r="441" ht="26.75" customHeight="1" s="104">
      <c r="A441" s="10" t="inlineStr">
        <is>
          <t>Glenbrook High School District 225</t>
        </is>
      </c>
      <c r="B441" s="10" t="inlineStr">
        <is>
          <t>IL</t>
        </is>
      </c>
      <c r="C441" s="10" t="inlineStr">
        <is>
          <t>Master's</t>
        </is>
      </c>
      <c r="D441" s="11" t="n">
        <v>10</v>
      </c>
      <c r="E441" s="12" t="n">
        <v>98944</v>
      </c>
      <c r="F441" s="10" t="inlineStr">
        <is>
          <t>2026-06-15</t>
        </is>
      </c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</row>
    <row r="442" ht="26.75" customHeight="1" s="104">
      <c r="A442" s="10" t="inlineStr">
        <is>
          <t>Glendale Union High School District</t>
        </is>
      </c>
      <c r="B442" s="10" t="inlineStr">
        <is>
          <t>AZ</t>
        </is>
      </c>
      <c r="C442" s="10" t="inlineStr">
        <is>
          <t>Bachelor's</t>
        </is>
      </c>
      <c r="D442" s="11" t="n">
        <v>0</v>
      </c>
      <c r="E442" s="12" t="n">
        <v>51326</v>
      </c>
      <c r="F442" s="13" t="inlineStr">
        <is>
          <t>2026-06-17</t>
        </is>
      </c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</row>
    <row r="443" ht="26.75" customHeight="1" s="104">
      <c r="A443" s="10" t="inlineStr">
        <is>
          <t>Glendale Union High School District</t>
        </is>
      </c>
      <c r="B443" s="10" t="inlineStr">
        <is>
          <t>AZ</t>
        </is>
      </c>
      <c r="C443" s="10" t="inlineStr">
        <is>
          <t>Bachelor's</t>
        </is>
      </c>
      <c r="D443" s="11" t="n">
        <v>1</v>
      </c>
      <c r="E443" s="12" t="n">
        <v>51664</v>
      </c>
      <c r="F443" s="13" t="inlineStr">
        <is>
          <t>2026-06-17</t>
        </is>
      </c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</row>
    <row r="444" ht="26.75" customHeight="1" s="104">
      <c r="A444" s="10" t="inlineStr">
        <is>
          <t>Glendale Union High School District</t>
        </is>
      </c>
      <c r="B444" s="10" t="inlineStr">
        <is>
          <t>AZ</t>
        </is>
      </c>
      <c r="C444" s="10" t="inlineStr">
        <is>
          <t>Bachelor's</t>
        </is>
      </c>
      <c r="D444" s="11" t="n">
        <v>2</v>
      </c>
      <c r="E444" s="12" t="n">
        <v>52342</v>
      </c>
      <c r="F444" s="13" t="inlineStr">
        <is>
          <t>2026-06-17</t>
        </is>
      </c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</row>
    <row r="445" ht="26.75" customHeight="1" s="104">
      <c r="A445" s="10" t="inlineStr">
        <is>
          <t>Glendale Union High School District</t>
        </is>
      </c>
      <c r="B445" s="10" t="inlineStr">
        <is>
          <t>AZ</t>
        </is>
      </c>
      <c r="C445" s="10" t="inlineStr">
        <is>
          <t>Bachelor's</t>
        </is>
      </c>
      <c r="D445" s="11" t="n">
        <v>3</v>
      </c>
      <c r="E445" s="12" t="n">
        <v>53020</v>
      </c>
      <c r="F445" s="13" t="inlineStr">
        <is>
          <t>2026-06-17</t>
        </is>
      </c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</row>
    <row r="446" ht="26.75" customHeight="1" s="104">
      <c r="A446" s="10" t="inlineStr">
        <is>
          <t>Glendale Union High School District</t>
        </is>
      </c>
      <c r="B446" s="10" t="inlineStr">
        <is>
          <t>AZ</t>
        </is>
      </c>
      <c r="C446" s="10" t="inlineStr">
        <is>
          <t>Bachelor's</t>
        </is>
      </c>
      <c r="D446" s="11" t="n">
        <v>4</v>
      </c>
      <c r="E446" s="12" t="n">
        <v>53698</v>
      </c>
      <c r="F446" s="13" t="inlineStr">
        <is>
          <t>2026-06-17</t>
        </is>
      </c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</row>
    <row r="447" ht="26.75" customHeight="1" s="104">
      <c r="A447" s="10" t="inlineStr">
        <is>
          <t>Glendale Union High School District</t>
        </is>
      </c>
      <c r="B447" s="10" t="inlineStr">
        <is>
          <t>AZ</t>
        </is>
      </c>
      <c r="C447" s="10" t="inlineStr">
        <is>
          <t>Bachelor's</t>
        </is>
      </c>
      <c r="D447" s="11" t="n">
        <v>5</v>
      </c>
      <c r="E447" s="12" t="n">
        <v>54376</v>
      </c>
      <c r="F447" s="13" t="inlineStr">
        <is>
          <t>2026-06-17</t>
        </is>
      </c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</row>
    <row r="448" ht="26.75" customHeight="1" s="104">
      <c r="A448" s="10" t="inlineStr">
        <is>
          <t>Glendale Union High School District</t>
        </is>
      </c>
      <c r="B448" s="10" t="inlineStr">
        <is>
          <t>AZ</t>
        </is>
      </c>
      <c r="C448" s="10" t="inlineStr">
        <is>
          <t>Bachelor's</t>
        </is>
      </c>
      <c r="D448" s="11" t="n">
        <v>6</v>
      </c>
      <c r="E448" s="12" t="n">
        <v>55053</v>
      </c>
      <c r="F448" s="13" t="inlineStr">
        <is>
          <t>2026-06-17</t>
        </is>
      </c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</row>
    <row r="449" ht="26.75" customHeight="1" s="104">
      <c r="A449" s="10" t="inlineStr">
        <is>
          <t>Glendale Union High School District</t>
        </is>
      </c>
      <c r="B449" s="10" t="inlineStr">
        <is>
          <t>AZ</t>
        </is>
      </c>
      <c r="C449" s="10" t="inlineStr">
        <is>
          <t>Bachelor's</t>
        </is>
      </c>
      <c r="D449" s="11" t="n">
        <v>7</v>
      </c>
      <c r="E449" s="12" t="n">
        <v>55731</v>
      </c>
      <c r="F449" s="13" t="inlineStr">
        <is>
          <t>2026-06-17</t>
        </is>
      </c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</row>
    <row r="450" ht="26.75" customHeight="1" s="104">
      <c r="A450" s="10" t="inlineStr">
        <is>
          <t>Glendale Union High School District</t>
        </is>
      </c>
      <c r="B450" s="10" t="inlineStr">
        <is>
          <t>AZ</t>
        </is>
      </c>
      <c r="C450" s="10" t="inlineStr">
        <is>
          <t>Bachelor's</t>
        </is>
      </c>
      <c r="D450" s="11" t="n">
        <v>8</v>
      </c>
      <c r="E450" s="12" t="n">
        <v>56409</v>
      </c>
      <c r="F450" s="13" t="inlineStr">
        <is>
          <t>2026-06-17</t>
        </is>
      </c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</row>
    <row r="451" ht="26.75" customHeight="1" s="104">
      <c r="A451" s="10" t="inlineStr">
        <is>
          <t>Glendale Union High School District</t>
        </is>
      </c>
      <c r="B451" s="10" t="inlineStr">
        <is>
          <t>AZ</t>
        </is>
      </c>
      <c r="C451" s="10" t="inlineStr">
        <is>
          <t>Bachelor's</t>
        </is>
      </c>
      <c r="D451" s="11" t="n">
        <v>9</v>
      </c>
      <c r="E451" s="12" t="n">
        <v>57087</v>
      </c>
      <c r="F451" s="13" t="inlineStr">
        <is>
          <t>2026-06-17</t>
        </is>
      </c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</row>
    <row r="452" ht="26.75" customHeight="1" s="104">
      <c r="A452" s="10" t="inlineStr">
        <is>
          <t>Glendale Union High School District</t>
        </is>
      </c>
      <c r="B452" s="10" t="inlineStr">
        <is>
          <t>AZ</t>
        </is>
      </c>
      <c r="C452" s="10" t="inlineStr">
        <is>
          <t>Bachelor's</t>
        </is>
      </c>
      <c r="D452" s="11" t="n">
        <v>10</v>
      </c>
      <c r="E452" s="12" t="n">
        <v>57764</v>
      </c>
      <c r="F452" s="13" t="inlineStr">
        <is>
          <t>2026-06-17</t>
        </is>
      </c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</row>
    <row r="453" ht="26.75" customHeight="1" s="104">
      <c r="A453" s="10" t="inlineStr">
        <is>
          <t>Glendale Union High School District</t>
        </is>
      </c>
      <c r="B453" s="10" t="inlineStr">
        <is>
          <t>AZ</t>
        </is>
      </c>
      <c r="C453" s="10" t="inlineStr">
        <is>
          <t>Master's</t>
        </is>
      </c>
      <c r="D453" s="11" t="n">
        <v>0</v>
      </c>
      <c r="E453" s="12" t="n">
        <v>54656</v>
      </c>
      <c r="F453" s="13" t="inlineStr">
        <is>
          <t>2026-06-17</t>
        </is>
      </c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</row>
    <row r="454" ht="26.75" customHeight="1" s="104">
      <c r="A454" s="10" t="inlineStr">
        <is>
          <t>Glendale Union High School District</t>
        </is>
      </c>
      <c r="B454" s="10" t="inlineStr">
        <is>
          <t>AZ</t>
        </is>
      </c>
      <c r="C454" s="10" t="inlineStr">
        <is>
          <t>Master's</t>
        </is>
      </c>
      <c r="D454" s="11" t="n">
        <v>1</v>
      </c>
      <c r="E454" s="12" t="n">
        <v>54995</v>
      </c>
      <c r="F454" s="13" t="inlineStr">
        <is>
          <t>2026-06-17</t>
        </is>
      </c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</row>
    <row r="455" ht="26.75" customHeight="1" s="104">
      <c r="A455" s="10" t="inlineStr">
        <is>
          <t>Glendale Union High School District</t>
        </is>
      </c>
      <c r="B455" s="10" t="inlineStr">
        <is>
          <t>AZ</t>
        </is>
      </c>
      <c r="C455" s="10" t="inlineStr">
        <is>
          <t>Master's</t>
        </is>
      </c>
      <c r="D455" s="11" t="n">
        <v>2</v>
      </c>
      <c r="E455" s="12" t="n">
        <v>55899</v>
      </c>
      <c r="F455" s="13" t="inlineStr">
        <is>
          <t>2026-06-17</t>
        </is>
      </c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</row>
    <row r="456" ht="26.75" customHeight="1" s="104">
      <c r="A456" s="10" t="inlineStr">
        <is>
          <t>Glendale Union High School District</t>
        </is>
      </c>
      <c r="B456" s="10" t="inlineStr">
        <is>
          <t>AZ</t>
        </is>
      </c>
      <c r="C456" s="10" t="inlineStr">
        <is>
          <t>Master's</t>
        </is>
      </c>
      <c r="D456" s="11" t="n">
        <v>3</v>
      </c>
      <c r="E456" s="12" t="n">
        <v>56803</v>
      </c>
      <c r="F456" s="13" t="inlineStr">
        <is>
          <t>2026-06-17</t>
        </is>
      </c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</row>
    <row r="457" ht="26.75" customHeight="1" s="104">
      <c r="A457" s="10" t="inlineStr">
        <is>
          <t>Glendale Union High School District</t>
        </is>
      </c>
      <c r="B457" s="10" t="inlineStr">
        <is>
          <t>AZ</t>
        </is>
      </c>
      <c r="C457" s="10" t="inlineStr">
        <is>
          <t>Master's</t>
        </is>
      </c>
      <c r="D457" s="11" t="n">
        <v>4</v>
      </c>
      <c r="E457" s="12" t="n">
        <v>57706</v>
      </c>
      <c r="F457" s="13" t="inlineStr">
        <is>
          <t>2026-06-17</t>
        </is>
      </c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</row>
    <row r="458" ht="26.75" customHeight="1" s="104">
      <c r="A458" s="10" t="inlineStr">
        <is>
          <t>Glendale Union High School District</t>
        </is>
      </c>
      <c r="B458" s="10" t="inlineStr">
        <is>
          <t>AZ</t>
        </is>
      </c>
      <c r="C458" s="10" t="inlineStr">
        <is>
          <t>Master's</t>
        </is>
      </c>
      <c r="D458" s="11" t="n">
        <v>5</v>
      </c>
      <c r="E458" s="12" t="n">
        <v>58610</v>
      </c>
      <c r="F458" s="13" t="inlineStr">
        <is>
          <t>2026-06-17</t>
        </is>
      </c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</row>
    <row r="459" ht="26.75" customHeight="1" s="104">
      <c r="A459" s="10" t="inlineStr">
        <is>
          <t>Glendale Union High School District</t>
        </is>
      </c>
      <c r="B459" s="10" t="inlineStr">
        <is>
          <t>AZ</t>
        </is>
      </c>
      <c r="C459" s="10" t="inlineStr">
        <is>
          <t>Master's</t>
        </is>
      </c>
      <c r="D459" s="11" t="n">
        <v>6</v>
      </c>
      <c r="E459" s="12" t="n">
        <v>59514</v>
      </c>
      <c r="F459" s="13" t="inlineStr">
        <is>
          <t>2026-06-17</t>
        </is>
      </c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</row>
    <row r="460" ht="26.75" customHeight="1" s="104">
      <c r="A460" s="10" t="inlineStr">
        <is>
          <t>Glendale Union High School District</t>
        </is>
      </c>
      <c r="B460" s="10" t="inlineStr">
        <is>
          <t>AZ</t>
        </is>
      </c>
      <c r="C460" s="10" t="inlineStr">
        <is>
          <t>Master's</t>
        </is>
      </c>
      <c r="D460" s="11" t="n">
        <v>7</v>
      </c>
      <c r="E460" s="12" t="n">
        <v>60417</v>
      </c>
      <c r="F460" s="13" t="inlineStr">
        <is>
          <t>2026-06-17</t>
        </is>
      </c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</row>
    <row r="461" ht="26.75" customHeight="1" s="104">
      <c r="A461" s="10" t="inlineStr">
        <is>
          <t>Glendale Union High School District</t>
        </is>
      </c>
      <c r="B461" s="10" t="inlineStr">
        <is>
          <t>AZ</t>
        </is>
      </c>
      <c r="C461" s="10" t="inlineStr">
        <is>
          <t>Master's</t>
        </is>
      </c>
      <c r="D461" s="11" t="n">
        <v>8</v>
      </c>
      <c r="E461" s="12" t="n">
        <v>61321</v>
      </c>
      <c r="F461" s="13" t="inlineStr">
        <is>
          <t>2026-06-17</t>
        </is>
      </c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</row>
    <row r="462" ht="26.75" customHeight="1" s="104">
      <c r="A462" s="10" t="inlineStr">
        <is>
          <t>Glendale Union High School District</t>
        </is>
      </c>
      <c r="B462" s="10" t="inlineStr">
        <is>
          <t>AZ</t>
        </is>
      </c>
      <c r="C462" s="10" t="inlineStr">
        <is>
          <t>Master's</t>
        </is>
      </c>
      <c r="D462" s="11" t="n">
        <v>9</v>
      </c>
      <c r="E462" s="12" t="n">
        <v>62225</v>
      </c>
      <c r="F462" s="13" t="inlineStr">
        <is>
          <t>2026-06-17</t>
        </is>
      </c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</row>
    <row r="463" ht="26.75" customHeight="1" s="104">
      <c r="A463" s="10" t="inlineStr">
        <is>
          <t>Glendale Union High School District</t>
        </is>
      </c>
      <c r="B463" s="10" t="inlineStr">
        <is>
          <t>AZ</t>
        </is>
      </c>
      <c r="C463" s="10" t="inlineStr">
        <is>
          <t>Master's</t>
        </is>
      </c>
      <c r="D463" s="11" t="n">
        <v>10</v>
      </c>
      <c r="E463" s="12" t="n">
        <v>63128</v>
      </c>
      <c r="F463" s="13" t="inlineStr">
        <is>
          <t>2026-06-17</t>
        </is>
      </c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</row>
    <row r="464" ht="26.75" customHeight="1" s="104">
      <c r="A464" s="10" t="inlineStr">
        <is>
          <t>Glendora Unified School District</t>
        </is>
      </c>
      <c r="B464" s="10" t="inlineStr">
        <is>
          <t>CA</t>
        </is>
      </c>
      <c r="C464" s="10" t="inlineStr">
        <is>
          <t>Bachelor's</t>
        </is>
      </c>
      <c r="D464" s="11" t="n">
        <v>0</v>
      </c>
      <c r="E464" s="12" t="n">
        <v>55384</v>
      </c>
      <c r="F464" s="13" t="inlineStr">
        <is>
          <t>2026-06-10</t>
        </is>
      </c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</row>
    <row r="465" ht="26.75" customHeight="1" s="104">
      <c r="A465" s="10" t="inlineStr">
        <is>
          <t>Glendora Unified School District</t>
        </is>
      </c>
      <c r="B465" s="10" t="inlineStr">
        <is>
          <t>CA</t>
        </is>
      </c>
      <c r="C465" s="10" t="inlineStr">
        <is>
          <t>Bachelor's</t>
        </is>
      </c>
      <c r="D465" s="11" t="n">
        <v>1</v>
      </c>
      <c r="E465" s="12" t="n">
        <v>55384</v>
      </c>
      <c r="F465" s="13" t="inlineStr">
        <is>
          <t>2026-06-10</t>
        </is>
      </c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</row>
    <row r="466" ht="26.75" customHeight="1" s="104">
      <c r="A466" s="10" t="inlineStr">
        <is>
          <t>Glendora Unified School District</t>
        </is>
      </c>
      <c r="B466" s="10" t="inlineStr">
        <is>
          <t>CA</t>
        </is>
      </c>
      <c r="C466" s="10" t="inlineStr">
        <is>
          <t>Bachelor's</t>
        </is>
      </c>
      <c r="D466" s="11" t="n">
        <v>2</v>
      </c>
      <c r="E466" s="12" t="n">
        <v>57598</v>
      </c>
      <c r="F466" s="13" t="inlineStr">
        <is>
          <t>2026-06-10</t>
        </is>
      </c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</row>
    <row r="467" ht="26.75" customHeight="1" s="104">
      <c r="A467" s="10" t="inlineStr">
        <is>
          <t>Glendora Unified School District</t>
        </is>
      </c>
      <c r="B467" s="10" t="inlineStr">
        <is>
          <t>CA</t>
        </is>
      </c>
      <c r="C467" s="10" t="inlineStr">
        <is>
          <t>Bachelor's</t>
        </is>
      </c>
      <c r="D467" s="11" t="n">
        <v>3</v>
      </c>
      <c r="E467" s="12" t="n">
        <v>59779</v>
      </c>
      <c r="F467" s="13" t="inlineStr">
        <is>
          <t>2026-06-10</t>
        </is>
      </c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</row>
    <row r="468" ht="26.75" customHeight="1" s="104">
      <c r="A468" s="10" t="inlineStr">
        <is>
          <t>Glendora Unified School District</t>
        </is>
      </c>
      <c r="B468" s="10" t="inlineStr">
        <is>
          <t>CA</t>
        </is>
      </c>
      <c r="C468" s="10" t="inlineStr">
        <is>
          <t>Bachelor's</t>
        </is>
      </c>
      <c r="D468" s="11" t="n">
        <v>4</v>
      </c>
      <c r="E468" s="12" t="n">
        <v>61994</v>
      </c>
      <c r="F468" s="13" t="inlineStr">
        <is>
          <t>2026-06-10</t>
        </is>
      </c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</row>
    <row r="469" ht="26.75" customHeight="1" s="104">
      <c r="A469" s="10" t="inlineStr">
        <is>
          <t>Glendora Unified School District</t>
        </is>
      </c>
      <c r="B469" s="10" t="inlineStr">
        <is>
          <t>CA</t>
        </is>
      </c>
      <c r="C469" s="10" t="inlineStr">
        <is>
          <t>Bachelor's</t>
        </is>
      </c>
      <c r="D469" s="11" t="n">
        <v>5</v>
      </c>
      <c r="E469" s="12" t="n">
        <v>64186</v>
      </c>
      <c r="F469" s="13" t="inlineStr">
        <is>
          <t>2026-06-10</t>
        </is>
      </c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</row>
    <row r="470" ht="26.75" customHeight="1" s="104">
      <c r="A470" s="10" t="inlineStr">
        <is>
          <t>Glendora Unified School District</t>
        </is>
      </c>
      <c r="B470" s="10" t="inlineStr">
        <is>
          <t>CA</t>
        </is>
      </c>
      <c r="C470" s="10" t="inlineStr">
        <is>
          <t>Bachelor's</t>
        </is>
      </c>
      <c r="D470" s="11" t="n">
        <v>6</v>
      </c>
      <c r="E470" s="12" t="n">
        <v>66394</v>
      </c>
      <c r="F470" s="13" t="inlineStr">
        <is>
          <t>2026-06-10</t>
        </is>
      </c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</row>
    <row r="471" ht="26.75" customHeight="1" s="104">
      <c r="A471" s="10" t="inlineStr">
        <is>
          <t>Glendora Unified School District</t>
        </is>
      </c>
      <c r="B471" s="10" t="inlineStr">
        <is>
          <t>CA</t>
        </is>
      </c>
      <c r="C471" s="10" t="inlineStr">
        <is>
          <t>Bachelor's</t>
        </is>
      </c>
      <c r="D471" s="11" t="n">
        <v>7</v>
      </c>
      <c r="E471" s="12" t="n">
        <v>68605</v>
      </c>
      <c r="F471" s="13" t="inlineStr">
        <is>
          <t>2026-06-10</t>
        </is>
      </c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</row>
    <row r="472" ht="26.75" customHeight="1" s="104">
      <c r="A472" s="10" t="inlineStr">
        <is>
          <t>Glendora Unified School District</t>
        </is>
      </c>
      <c r="B472" s="10" t="inlineStr">
        <is>
          <t>CA</t>
        </is>
      </c>
      <c r="C472" s="10" t="inlineStr">
        <is>
          <t>Bachelor's</t>
        </is>
      </c>
      <c r="D472" s="11" t="n">
        <v>8</v>
      </c>
      <c r="E472" s="12" t="n">
        <v>70809</v>
      </c>
      <c r="F472" s="13" t="inlineStr">
        <is>
          <t>2026-06-10</t>
        </is>
      </c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</row>
    <row r="473" ht="26.75" customHeight="1" s="104">
      <c r="A473" s="10" t="inlineStr">
        <is>
          <t>Glendora Unified School District</t>
        </is>
      </c>
      <c r="B473" s="10" t="inlineStr">
        <is>
          <t>CA</t>
        </is>
      </c>
      <c r="C473" s="10" t="inlineStr">
        <is>
          <t>Bachelor's</t>
        </is>
      </c>
      <c r="D473" s="11" t="n">
        <v>9</v>
      </c>
      <c r="E473" s="12" t="n">
        <v>70809</v>
      </c>
      <c r="F473" s="13" t="inlineStr">
        <is>
          <t>2026-06-10</t>
        </is>
      </c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</row>
    <row r="474" ht="26.75" customHeight="1" s="104">
      <c r="A474" s="10" t="inlineStr">
        <is>
          <t>Glendora Unified School District</t>
        </is>
      </c>
      <c r="B474" s="10" t="inlineStr">
        <is>
          <t>CA</t>
        </is>
      </c>
      <c r="C474" s="10" t="inlineStr">
        <is>
          <t>Bachelor's</t>
        </is>
      </c>
      <c r="D474" s="11" t="n">
        <v>10</v>
      </c>
      <c r="E474" s="12" t="n">
        <v>70809</v>
      </c>
      <c r="F474" s="13" t="inlineStr">
        <is>
          <t>2026-06-10</t>
        </is>
      </c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</row>
    <row r="475" ht="26.75" customHeight="1" s="104">
      <c r="A475" s="10" t="inlineStr">
        <is>
          <t>Glendora Unified School District</t>
        </is>
      </c>
      <c r="B475" s="10" t="inlineStr">
        <is>
          <t>CA</t>
        </is>
      </c>
      <c r="C475" s="10" t="inlineStr">
        <is>
          <t>Master's</t>
        </is>
      </c>
      <c r="D475" s="11" t="n">
        <v>0</v>
      </c>
      <c r="E475" s="12" t="n">
        <v>66948</v>
      </c>
      <c r="F475" s="13" t="inlineStr">
        <is>
          <t>2026-06-10</t>
        </is>
      </c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</row>
    <row r="476" ht="26.75" customHeight="1" s="104">
      <c r="A476" s="10" t="inlineStr">
        <is>
          <t>Glendora Unified School District</t>
        </is>
      </c>
      <c r="B476" s="10" t="inlineStr">
        <is>
          <t>CA</t>
        </is>
      </c>
      <c r="C476" s="10" t="inlineStr">
        <is>
          <t>Master's</t>
        </is>
      </c>
      <c r="D476" s="11" t="n">
        <v>1</v>
      </c>
      <c r="E476" s="12" t="n">
        <v>66948</v>
      </c>
      <c r="F476" s="13" t="inlineStr">
        <is>
          <t>2026-06-10</t>
        </is>
      </c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</row>
    <row r="477" ht="26.75" customHeight="1" s="104">
      <c r="A477" s="10" t="inlineStr">
        <is>
          <t>Glendora Unified School District</t>
        </is>
      </c>
      <c r="B477" s="10" t="inlineStr">
        <is>
          <t>CA</t>
        </is>
      </c>
      <c r="C477" s="10" t="inlineStr">
        <is>
          <t>Master's</t>
        </is>
      </c>
      <c r="D477" s="11" t="n">
        <v>2</v>
      </c>
      <c r="E477" s="12" t="n">
        <v>69152</v>
      </c>
      <c r="F477" s="13" t="inlineStr">
        <is>
          <t>2026-06-10</t>
        </is>
      </c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</row>
    <row r="478" ht="26.75" customHeight="1" s="104">
      <c r="A478" s="10" t="inlineStr">
        <is>
          <t>Glendora Unified School District</t>
        </is>
      </c>
      <c r="B478" s="10" t="inlineStr">
        <is>
          <t>CA</t>
        </is>
      </c>
      <c r="C478" s="10" t="inlineStr">
        <is>
          <t>Master's</t>
        </is>
      </c>
      <c r="D478" s="11" t="n">
        <v>3</v>
      </c>
      <c r="E478" s="12" t="n">
        <v>71892</v>
      </c>
      <c r="F478" s="13" t="inlineStr">
        <is>
          <t>2026-06-10</t>
        </is>
      </c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</row>
    <row r="479" ht="26.75" customHeight="1" s="104">
      <c r="A479" s="10" t="inlineStr">
        <is>
          <t>Glendora Unified School District</t>
        </is>
      </c>
      <c r="B479" s="10" t="inlineStr">
        <is>
          <t>CA</t>
        </is>
      </c>
      <c r="C479" s="10" t="inlineStr">
        <is>
          <t>Master's</t>
        </is>
      </c>
      <c r="D479" s="11" t="n">
        <v>4</v>
      </c>
      <c r="E479" s="12" t="n">
        <v>74652</v>
      </c>
      <c r="F479" s="13" t="inlineStr">
        <is>
          <t>2026-06-10</t>
        </is>
      </c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</row>
    <row r="480" ht="26.75" customHeight="1" s="104">
      <c r="A480" s="10" t="inlineStr">
        <is>
          <t>Glendora Unified School District</t>
        </is>
      </c>
      <c r="B480" s="10" t="inlineStr">
        <is>
          <t>CA</t>
        </is>
      </c>
      <c r="C480" s="10" t="inlineStr">
        <is>
          <t>Master's</t>
        </is>
      </c>
      <c r="D480" s="11" t="n">
        <v>5</v>
      </c>
      <c r="E480" s="12" t="n">
        <v>77411</v>
      </c>
      <c r="F480" s="13" t="inlineStr">
        <is>
          <t>2026-06-10</t>
        </is>
      </c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</row>
    <row r="481" ht="26.75" customHeight="1" s="104">
      <c r="A481" s="10" t="inlineStr">
        <is>
          <t>Glendora Unified School District</t>
        </is>
      </c>
      <c r="B481" s="10" t="inlineStr">
        <is>
          <t>CA</t>
        </is>
      </c>
      <c r="C481" s="10" t="inlineStr">
        <is>
          <t>Master's</t>
        </is>
      </c>
      <c r="D481" s="11" t="n">
        <v>6</v>
      </c>
      <c r="E481" s="12" t="n">
        <v>80707</v>
      </c>
      <c r="F481" s="13" t="inlineStr">
        <is>
          <t>2026-06-10</t>
        </is>
      </c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</row>
    <row r="482" ht="26.75" customHeight="1" s="104">
      <c r="A482" s="10" t="inlineStr">
        <is>
          <t>Glendora Unified School District</t>
        </is>
      </c>
      <c r="B482" s="10" t="inlineStr">
        <is>
          <t>CA</t>
        </is>
      </c>
      <c r="C482" s="10" t="inlineStr">
        <is>
          <t>Master's</t>
        </is>
      </c>
      <c r="D482" s="11" t="n">
        <v>7</v>
      </c>
      <c r="E482" s="12" t="n">
        <v>84023</v>
      </c>
      <c r="F482" s="13" t="inlineStr">
        <is>
          <t>2026-06-10</t>
        </is>
      </c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</row>
    <row r="483" ht="26.75" customHeight="1" s="104">
      <c r="A483" s="10" t="inlineStr">
        <is>
          <t>Glendora Unified School District</t>
        </is>
      </c>
      <c r="B483" s="10" t="inlineStr">
        <is>
          <t>CA</t>
        </is>
      </c>
      <c r="C483" s="10" t="inlineStr">
        <is>
          <t>Master's</t>
        </is>
      </c>
      <c r="D483" s="11" t="n">
        <v>8</v>
      </c>
      <c r="E483" s="12" t="n">
        <v>87320</v>
      </c>
      <c r="F483" s="13" t="inlineStr">
        <is>
          <t>2026-06-10</t>
        </is>
      </c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</row>
    <row r="484" ht="26.75" customHeight="1" s="104">
      <c r="A484" s="10" t="inlineStr">
        <is>
          <t>Glendora Unified School District</t>
        </is>
      </c>
      <c r="B484" s="10" t="inlineStr">
        <is>
          <t>CA</t>
        </is>
      </c>
      <c r="C484" s="10" t="inlineStr">
        <is>
          <t>Master's</t>
        </is>
      </c>
      <c r="D484" s="11" t="n">
        <v>9</v>
      </c>
      <c r="E484" s="12" t="n">
        <v>91184</v>
      </c>
      <c r="F484" s="13" t="inlineStr">
        <is>
          <t>2026-06-10</t>
        </is>
      </c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</row>
    <row r="485" ht="26.75" customHeight="1" s="104">
      <c r="A485" s="10" t="inlineStr">
        <is>
          <t>Glendora Unified School District</t>
        </is>
      </c>
      <c r="B485" s="10" t="inlineStr">
        <is>
          <t>CA</t>
        </is>
      </c>
      <c r="C485" s="10" t="inlineStr">
        <is>
          <t>Master's</t>
        </is>
      </c>
      <c r="D485" s="11" t="n">
        <v>10</v>
      </c>
      <c r="E485" s="12" t="n">
        <v>95038</v>
      </c>
      <c r="F485" s="13" t="inlineStr">
        <is>
          <t>2026-06-10</t>
        </is>
      </c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</row>
    <row r="486" ht="26.75" customHeight="1" s="104">
      <c r="A486" s="10" t="inlineStr">
        <is>
          <t>Gwinnett County Public Schools</t>
        </is>
      </c>
      <c r="B486" s="10" t="inlineStr">
        <is>
          <t>GA</t>
        </is>
      </c>
      <c r="C486" s="10" t="inlineStr">
        <is>
          <t>Bachelor's</t>
        </is>
      </c>
      <c r="D486" s="11" t="n">
        <v>0</v>
      </c>
      <c r="E486" s="12" t="n">
        <v>60146</v>
      </c>
      <c r="F486" s="13" t="inlineStr">
        <is>
          <t>2026-06-13</t>
        </is>
      </c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</row>
    <row r="487" ht="26.75" customHeight="1" s="104">
      <c r="A487" s="10" t="inlineStr">
        <is>
          <t>Gwinnett County Public Schools</t>
        </is>
      </c>
      <c r="B487" s="10" t="inlineStr">
        <is>
          <t>GA</t>
        </is>
      </c>
      <c r="C487" s="10" t="inlineStr">
        <is>
          <t>Bachelor's</t>
        </is>
      </c>
      <c r="D487" s="11" t="n">
        <v>1</v>
      </c>
      <c r="E487" s="12" t="n">
        <v>60146</v>
      </c>
      <c r="F487" s="13" t="inlineStr">
        <is>
          <t>2026-06-13</t>
        </is>
      </c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</row>
    <row r="488" ht="26.75" customHeight="1" s="104">
      <c r="A488" s="10" t="inlineStr">
        <is>
          <t>Gwinnett County Public Schools</t>
        </is>
      </c>
      <c r="B488" s="10" t="inlineStr">
        <is>
          <t>GA</t>
        </is>
      </c>
      <c r="C488" s="10" t="inlineStr">
        <is>
          <t>Bachelor's</t>
        </is>
      </c>
      <c r="D488" s="11" t="n">
        <v>2</v>
      </c>
      <c r="E488" s="12" t="n">
        <v>60146</v>
      </c>
      <c r="F488" s="13" t="inlineStr">
        <is>
          <t>2026-06-13</t>
        </is>
      </c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</row>
    <row r="489" ht="26.75" customHeight="1" s="104">
      <c r="A489" s="10" t="inlineStr">
        <is>
          <t>Gwinnett County Public Schools</t>
        </is>
      </c>
      <c r="B489" s="10" t="inlineStr">
        <is>
          <t>GA</t>
        </is>
      </c>
      <c r="C489" s="10" t="inlineStr">
        <is>
          <t>Bachelor's</t>
        </is>
      </c>
      <c r="D489" s="11" t="n">
        <v>3</v>
      </c>
      <c r="E489" s="12" t="n">
        <v>61004</v>
      </c>
      <c r="F489" s="13" t="inlineStr">
        <is>
          <t>2026-06-13</t>
        </is>
      </c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</row>
    <row r="490" ht="26.75" customHeight="1" s="104">
      <c r="A490" s="10" t="inlineStr">
        <is>
          <t>Gwinnett County Public Schools</t>
        </is>
      </c>
      <c r="B490" s="10" t="inlineStr">
        <is>
          <t>GA</t>
        </is>
      </c>
      <c r="C490" s="10" t="inlineStr">
        <is>
          <t>Bachelor's</t>
        </is>
      </c>
      <c r="D490" s="11" t="n">
        <v>4</v>
      </c>
      <c r="E490" s="12" t="n">
        <v>61862</v>
      </c>
      <c r="F490" s="13" t="inlineStr">
        <is>
          <t>2026-06-13</t>
        </is>
      </c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</row>
    <row r="491" ht="26.75" customHeight="1" s="104">
      <c r="A491" s="10" t="inlineStr">
        <is>
          <t>Gwinnett County Public Schools</t>
        </is>
      </c>
      <c r="B491" s="10" t="inlineStr">
        <is>
          <t>GA</t>
        </is>
      </c>
      <c r="C491" s="10" t="inlineStr">
        <is>
          <t>Bachelor's</t>
        </is>
      </c>
      <c r="D491" s="11" t="n">
        <v>5</v>
      </c>
      <c r="E491" s="12" t="n">
        <v>62720</v>
      </c>
      <c r="F491" s="13" t="inlineStr">
        <is>
          <t>2026-06-13</t>
        </is>
      </c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</row>
    <row r="492" ht="26.75" customHeight="1" s="104">
      <c r="A492" s="10" t="inlineStr">
        <is>
          <t>Gwinnett County Public Schools</t>
        </is>
      </c>
      <c r="B492" s="10" t="inlineStr">
        <is>
          <t>GA</t>
        </is>
      </c>
      <c r="C492" s="10" t="inlineStr">
        <is>
          <t>Bachelor's</t>
        </is>
      </c>
      <c r="D492" s="11" t="n">
        <v>6</v>
      </c>
      <c r="E492" s="12" t="n">
        <v>63578</v>
      </c>
      <c r="F492" s="13" t="inlineStr">
        <is>
          <t>2026-06-13</t>
        </is>
      </c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</row>
    <row r="493" ht="26.75" customHeight="1" s="104">
      <c r="A493" s="10" t="inlineStr">
        <is>
          <t>Gwinnett County Public Schools</t>
        </is>
      </c>
      <c r="B493" s="10" t="inlineStr">
        <is>
          <t>GA</t>
        </is>
      </c>
      <c r="C493" s="10" t="inlineStr">
        <is>
          <t>Bachelor's</t>
        </is>
      </c>
      <c r="D493" s="11" t="n">
        <v>7</v>
      </c>
      <c r="E493" s="12" t="n">
        <v>64436</v>
      </c>
      <c r="F493" s="13" t="inlineStr">
        <is>
          <t>2026-06-13</t>
        </is>
      </c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</row>
    <row r="494" ht="26.75" customHeight="1" s="104">
      <c r="A494" s="10" t="inlineStr">
        <is>
          <t>Gwinnett County Public Schools</t>
        </is>
      </c>
      <c r="B494" s="10" t="inlineStr">
        <is>
          <t>GA</t>
        </is>
      </c>
      <c r="C494" s="10" t="inlineStr">
        <is>
          <t>Bachelor's</t>
        </is>
      </c>
      <c r="D494" s="11" t="n">
        <v>8</v>
      </c>
      <c r="E494" s="12" t="n">
        <v>65294</v>
      </c>
      <c r="F494" s="13" t="inlineStr">
        <is>
          <t>2026-06-13</t>
        </is>
      </c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</row>
    <row r="495" ht="26.75" customHeight="1" s="104">
      <c r="A495" s="10" t="inlineStr">
        <is>
          <t>Gwinnett County Public Schools</t>
        </is>
      </c>
      <c r="B495" s="10" t="inlineStr">
        <is>
          <t>GA</t>
        </is>
      </c>
      <c r="C495" s="10" t="inlineStr">
        <is>
          <t>Bachelor's</t>
        </is>
      </c>
      <c r="D495" s="11" t="n">
        <v>9</v>
      </c>
      <c r="E495" s="12" t="n">
        <v>66152</v>
      </c>
      <c r="F495" s="13" t="inlineStr">
        <is>
          <t>2026-06-13</t>
        </is>
      </c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</row>
    <row r="496" ht="26.75" customHeight="1" s="104">
      <c r="A496" s="10" t="inlineStr">
        <is>
          <t>Gwinnett County Public Schools</t>
        </is>
      </c>
      <c r="B496" s="10" t="inlineStr">
        <is>
          <t>GA</t>
        </is>
      </c>
      <c r="C496" s="10" t="inlineStr">
        <is>
          <t>Bachelor's</t>
        </is>
      </c>
      <c r="D496" s="11" t="n">
        <v>10</v>
      </c>
      <c r="E496" s="12" t="n">
        <v>67010</v>
      </c>
      <c r="F496" s="13" t="inlineStr">
        <is>
          <t>2026-06-13</t>
        </is>
      </c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</row>
    <row r="497" ht="26.75" customHeight="1" s="104">
      <c r="A497" s="10" t="inlineStr">
        <is>
          <t>Gwinnett County Public Schools</t>
        </is>
      </c>
      <c r="B497" s="10" t="inlineStr">
        <is>
          <t>GA</t>
        </is>
      </c>
      <c r="C497" s="10" t="inlineStr">
        <is>
          <t>Master's</t>
        </is>
      </c>
      <c r="D497" s="11" t="n">
        <v>0</v>
      </c>
      <c r="E497" s="12" t="n">
        <v>65276</v>
      </c>
      <c r="F497" s="13" t="inlineStr">
        <is>
          <t>2026-06-13</t>
        </is>
      </c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</row>
    <row r="498" ht="26.75" customHeight="1" s="104">
      <c r="A498" s="10" t="inlineStr">
        <is>
          <t>Gwinnett County Public Schools</t>
        </is>
      </c>
      <c r="B498" s="10" t="inlineStr">
        <is>
          <t>GA</t>
        </is>
      </c>
      <c r="C498" s="10" t="inlineStr">
        <is>
          <t>Master's</t>
        </is>
      </c>
      <c r="D498" s="11" t="n">
        <v>1</v>
      </c>
      <c r="E498" s="12" t="n">
        <v>65276</v>
      </c>
      <c r="F498" s="13" t="inlineStr">
        <is>
          <t>2026-06-13</t>
        </is>
      </c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</row>
    <row r="499" ht="26.75" customHeight="1" s="104">
      <c r="A499" s="10" t="inlineStr">
        <is>
          <t>Gwinnett County Public Schools</t>
        </is>
      </c>
      <c r="B499" s="10" t="inlineStr">
        <is>
          <t>GA</t>
        </is>
      </c>
      <c r="C499" s="10" t="inlineStr">
        <is>
          <t>Master's</t>
        </is>
      </c>
      <c r="D499" s="11" t="n">
        <v>2</v>
      </c>
      <c r="E499" s="12" t="n">
        <v>65276</v>
      </c>
      <c r="F499" s="13" t="inlineStr">
        <is>
          <t>2026-06-13</t>
        </is>
      </c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</row>
    <row r="500" ht="26.75" customHeight="1" s="104">
      <c r="A500" s="10" t="inlineStr">
        <is>
          <t>Gwinnett County Public Schools</t>
        </is>
      </c>
      <c r="B500" s="10" t="inlineStr">
        <is>
          <t>GA</t>
        </is>
      </c>
      <c r="C500" s="10" t="inlineStr">
        <is>
          <t>Master's</t>
        </is>
      </c>
      <c r="D500" s="11" t="n">
        <v>3</v>
      </c>
      <c r="E500" s="12" t="n">
        <v>66300</v>
      </c>
      <c r="F500" s="13" t="inlineStr">
        <is>
          <t>2026-06-13</t>
        </is>
      </c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</row>
    <row r="501" ht="26.75" customHeight="1" s="104">
      <c r="A501" s="10" t="inlineStr">
        <is>
          <t>Gwinnett County Public Schools</t>
        </is>
      </c>
      <c r="B501" s="10" t="inlineStr">
        <is>
          <t>GA</t>
        </is>
      </c>
      <c r="C501" s="10" t="inlineStr">
        <is>
          <t>Master's</t>
        </is>
      </c>
      <c r="D501" s="11" t="n">
        <v>4</v>
      </c>
      <c r="E501" s="12" t="n">
        <v>67324</v>
      </c>
      <c r="F501" s="13" t="inlineStr">
        <is>
          <t>2026-06-13</t>
        </is>
      </c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</row>
    <row r="502" ht="26.75" customHeight="1" s="104">
      <c r="A502" s="10" t="inlineStr">
        <is>
          <t>Gwinnett County Public Schools</t>
        </is>
      </c>
      <c r="B502" s="10" t="inlineStr">
        <is>
          <t>GA</t>
        </is>
      </c>
      <c r="C502" s="10" t="inlineStr">
        <is>
          <t>Master's</t>
        </is>
      </c>
      <c r="D502" s="11" t="n">
        <v>5</v>
      </c>
      <c r="E502" s="12" t="n">
        <v>68348</v>
      </c>
      <c r="F502" s="13" t="inlineStr">
        <is>
          <t>2026-06-13</t>
        </is>
      </c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</row>
    <row r="503" ht="26.75" customHeight="1" s="104">
      <c r="A503" s="10" t="inlineStr">
        <is>
          <t>Gwinnett County Public Schools</t>
        </is>
      </c>
      <c r="B503" s="10" t="inlineStr">
        <is>
          <t>GA</t>
        </is>
      </c>
      <c r="C503" s="10" t="inlineStr">
        <is>
          <t>Master's</t>
        </is>
      </c>
      <c r="D503" s="11" t="n">
        <v>6</v>
      </c>
      <c r="E503" s="12" t="n">
        <v>69372</v>
      </c>
      <c r="F503" s="13" t="inlineStr">
        <is>
          <t>2026-06-13</t>
        </is>
      </c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</row>
    <row r="504" ht="26.75" customHeight="1" s="104">
      <c r="A504" s="10" t="inlineStr">
        <is>
          <t>Gwinnett County Public Schools</t>
        </is>
      </c>
      <c r="B504" s="10" t="inlineStr">
        <is>
          <t>GA</t>
        </is>
      </c>
      <c r="C504" s="10" t="inlineStr">
        <is>
          <t>Master's</t>
        </is>
      </c>
      <c r="D504" s="11" t="n">
        <v>7</v>
      </c>
      <c r="E504" s="12" t="n">
        <v>70396</v>
      </c>
      <c r="F504" s="13" t="inlineStr">
        <is>
          <t>2026-06-13</t>
        </is>
      </c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</row>
    <row r="505" ht="26.75" customHeight="1" s="104">
      <c r="A505" s="10" t="inlineStr">
        <is>
          <t>Gwinnett County Public Schools</t>
        </is>
      </c>
      <c r="B505" s="10" t="inlineStr">
        <is>
          <t>GA</t>
        </is>
      </c>
      <c r="C505" s="10" t="inlineStr">
        <is>
          <t>Master's</t>
        </is>
      </c>
      <c r="D505" s="11" t="n">
        <v>8</v>
      </c>
      <c r="E505" s="12" t="n">
        <v>71420</v>
      </c>
      <c r="F505" s="13" t="inlineStr">
        <is>
          <t>2026-06-13</t>
        </is>
      </c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</row>
    <row r="506" ht="26.75" customHeight="1" s="104">
      <c r="A506" s="10" t="inlineStr">
        <is>
          <t>Gwinnett County Public Schools</t>
        </is>
      </c>
      <c r="B506" s="10" t="inlineStr">
        <is>
          <t>GA</t>
        </is>
      </c>
      <c r="C506" s="10" t="inlineStr">
        <is>
          <t>Master's</t>
        </is>
      </c>
      <c r="D506" s="11" t="n">
        <v>9</v>
      </c>
      <c r="E506" s="12" t="n">
        <v>72444</v>
      </c>
      <c r="F506" s="13" t="inlineStr">
        <is>
          <t>2026-06-13</t>
        </is>
      </c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</row>
    <row r="507" ht="26.75" customHeight="1" s="104">
      <c r="A507" s="10" t="inlineStr">
        <is>
          <t>Gwinnett County Public Schools</t>
        </is>
      </c>
      <c r="B507" s="10" t="inlineStr">
        <is>
          <t>GA</t>
        </is>
      </c>
      <c r="C507" s="10" t="inlineStr">
        <is>
          <t>Master's</t>
        </is>
      </c>
      <c r="D507" s="11" t="n">
        <v>10</v>
      </c>
      <c r="E507" s="12" t="n">
        <v>73468</v>
      </c>
      <c r="F507" s="13" t="inlineStr">
        <is>
          <t>2026-06-13</t>
        </is>
      </c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</row>
    <row r="508" ht="26.75" customHeight="1" s="104">
      <c r="A508" s="10" t="inlineStr">
        <is>
          <t>Indian Prairie School District 204</t>
        </is>
      </c>
      <c r="B508" s="10" t="inlineStr">
        <is>
          <t>IL</t>
        </is>
      </c>
      <c r="C508" s="10" t="inlineStr">
        <is>
          <t>Bachelor's</t>
        </is>
      </c>
      <c r="D508" s="11" t="n">
        <v>0</v>
      </c>
      <c r="E508" s="12" t="n">
        <v>56403</v>
      </c>
      <c r="F508" s="10" t="inlineStr">
        <is>
          <t>2026-06-15</t>
        </is>
      </c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</row>
    <row r="509" ht="26.75" customHeight="1" s="104">
      <c r="A509" s="10" t="inlineStr">
        <is>
          <t>Indian Prairie School District 204</t>
        </is>
      </c>
      <c r="B509" s="10" t="inlineStr">
        <is>
          <t>IL</t>
        </is>
      </c>
      <c r="C509" s="10" t="inlineStr">
        <is>
          <t>Bachelor's</t>
        </is>
      </c>
      <c r="D509" s="11" t="n">
        <v>1</v>
      </c>
      <c r="E509" s="12" t="n">
        <v>57249</v>
      </c>
      <c r="F509" s="10" t="inlineStr">
        <is>
          <t>2026-06-15</t>
        </is>
      </c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</row>
    <row r="510" ht="26.75" customHeight="1" s="104">
      <c r="A510" s="10" t="inlineStr">
        <is>
          <t>Indian Prairie School District 204</t>
        </is>
      </c>
      <c r="B510" s="10" t="inlineStr">
        <is>
          <t>IL</t>
        </is>
      </c>
      <c r="C510" s="10" t="inlineStr">
        <is>
          <t>Bachelor's</t>
        </is>
      </c>
      <c r="D510" s="11" t="n">
        <v>2</v>
      </c>
      <c r="E510" s="12" t="n">
        <v>58107</v>
      </c>
      <c r="F510" s="10" t="inlineStr">
        <is>
          <t>2026-06-15</t>
        </is>
      </c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</row>
    <row r="511" ht="26.75" customHeight="1" s="104">
      <c r="A511" s="10" t="inlineStr">
        <is>
          <t>Indian Prairie School District 204</t>
        </is>
      </c>
      <c r="B511" s="10" t="inlineStr">
        <is>
          <t>IL</t>
        </is>
      </c>
      <c r="C511" s="10" t="inlineStr">
        <is>
          <t>Bachelor's</t>
        </is>
      </c>
      <c r="D511" s="11" t="n">
        <v>3</v>
      </c>
      <c r="E511" s="12" t="n">
        <v>58979</v>
      </c>
      <c r="F511" s="10" t="inlineStr">
        <is>
          <t>2026-06-15</t>
        </is>
      </c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</row>
    <row r="512" ht="26.75" customHeight="1" s="104">
      <c r="A512" s="10" t="inlineStr">
        <is>
          <t>Indian Prairie School District 204</t>
        </is>
      </c>
      <c r="B512" s="10" t="inlineStr">
        <is>
          <t>IL</t>
        </is>
      </c>
      <c r="C512" s="10" t="inlineStr">
        <is>
          <t>Bachelor's</t>
        </is>
      </c>
      <c r="D512" s="11" t="n">
        <v>4</v>
      </c>
      <c r="E512" s="12" t="n">
        <v>60159</v>
      </c>
      <c r="F512" s="10" t="inlineStr">
        <is>
          <t>2026-06-15</t>
        </is>
      </c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</row>
    <row r="513" ht="26.75" customHeight="1" s="104">
      <c r="A513" s="10" t="inlineStr">
        <is>
          <t>Indian Prairie School District 204</t>
        </is>
      </c>
      <c r="B513" s="10" t="inlineStr">
        <is>
          <t>IL</t>
        </is>
      </c>
      <c r="C513" s="10" t="inlineStr">
        <is>
          <t>Bachelor's</t>
        </is>
      </c>
      <c r="D513" s="11" t="n">
        <v>5</v>
      </c>
      <c r="E513" s="12" t="n">
        <v>61362</v>
      </c>
      <c r="F513" s="10" t="inlineStr">
        <is>
          <t>2026-06-15</t>
        </is>
      </c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</row>
    <row r="514" ht="26.75" customHeight="1" s="104">
      <c r="A514" s="10" t="inlineStr">
        <is>
          <t>Indian Prairie School District 204</t>
        </is>
      </c>
      <c r="B514" s="10" t="inlineStr">
        <is>
          <t>IL</t>
        </is>
      </c>
      <c r="C514" s="10" t="inlineStr">
        <is>
          <t>Bachelor's</t>
        </is>
      </c>
      <c r="D514" s="11" t="n">
        <v>6</v>
      </c>
      <c r="E514" s="12" t="n">
        <v>62589</v>
      </c>
      <c r="F514" s="10" t="inlineStr">
        <is>
          <t>2026-06-15</t>
        </is>
      </c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</row>
    <row r="515" ht="26.75" customHeight="1" s="104">
      <c r="A515" s="10" t="inlineStr">
        <is>
          <t>Indian Prairie School District 204</t>
        </is>
      </c>
      <c r="B515" s="10" t="inlineStr">
        <is>
          <t>IL</t>
        </is>
      </c>
      <c r="C515" s="10" t="inlineStr">
        <is>
          <t>Bachelor's</t>
        </is>
      </c>
      <c r="D515" s="11" t="n">
        <v>7</v>
      </c>
      <c r="E515" s="12" t="n">
        <v>63841</v>
      </c>
      <c r="F515" s="10" t="inlineStr">
        <is>
          <t>2026-06-15</t>
        </is>
      </c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</row>
    <row r="516" ht="26.75" customHeight="1" s="104">
      <c r="A516" s="10" t="inlineStr">
        <is>
          <t>Indian Prairie School District 204</t>
        </is>
      </c>
      <c r="B516" s="10" t="inlineStr">
        <is>
          <t>IL</t>
        </is>
      </c>
      <c r="C516" s="10" t="inlineStr">
        <is>
          <t>Bachelor's</t>
        </is>
      </c>
      <c r="D516" s="11" t="n">
        <v>8</v>
      </c>
      <c r="E516" s="12" t="n">
        <v>65118</v>
      </c>
      <c r="F516" s="10" t="inlineStr">
        <is>
          <t>2026-06-15</t>
        </is>
      </c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</row>
    <row r="517" ht="26.75" customHeight="1" s="104">
      <c r="A517" s="10" t="inlineStr">
        <is>
          <t>Indian Prairie School District 204</t>
        </is>
      </c>
      <c r="B517" s="10" t="inlineStr">
        <is>
          <t>IL</t>
        </is>
      </c>
      <c r="C517" s="10" t="inlineStr">
        <is>
          <t>Bachelor's</t>
        </is>
      </c>
      <c r="D517" s="11" t="n">
        <v>9</v>
      </c>
      <c r="E517" s="12" t="n">
        <v>66909</v>
      </c>
      <c r="F517" s="10" t="inlineStr">
        <is>
          <t>2026-06-15</t>
        </is>
      </c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</row>
    <row r="518" ht="26.75" customHeight="1" s="104">
      <c r="A518" s="10" t="inlineStr">
        <is>
          <t>Indian Prairie School District 204</t>
        </is>
      </c>
      <c r="B518" s="10" t="inlineStr">
        <is>
          <t>IL</t>
        </is>
      </c>
      <c r="C518" s="10" t="inlineStr">
        <is>
          <t>Bachelor's</t>
        </is>
      </c>
      <c r="D518" s="11" t="n">
        <v>10</v>
      </c>
      <c r="E518" s="12" t="n">
        <v>68748</v>
      </c>
      <c r="F518" s="10" t="inlineStr">
        <is>
          <t>2026-06-15</t>
        </is>
      </c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</row>
    <row r="519" ht="26.75" customHeight="1" s="104">
      <c r="A519" s="10" t="inlineStr">
        <is>
          <t>Indian Prairie School District 204</t>
        </is>
      </c>
      <c r="B519" s="10" t="inlineStr">
        <is>
          <t>IL</t>
        </is>
      </c>
      <c r="C519" s="10" t="inlineStr">
        <is>
          <t>Master's</t>
        </is>
      </c>
      <c r="D519" s="11" t="n">
        <v>0</v>
      </c>
      <c r="E519" s="12" t="n">
        <v>68445</v>
      </c>
      <c r="F519" s="10" t="inlineStr">
        <is>
          <t>2026-06-15</t>
        </is>
      </c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</row>
    <row r="520" ht="26.75" customHeight="1" s="104">
      <c r="A520" s="10" t="inlineStr">
        <is>
          <t>Indian Prairie School District 204</t>
        </is>
      </c>
      <c r="B520" s="10" t="inlineStr">
        <is>
          <t>IL</t>
        </is>
      </c>
      <c r="C520" s="10" t="inlineStr">
        <is>
          <t>Master's</t>
        </is>
      </c>
      <c r="D520" s="11" t="n">
        <v>1</v>
      </c>
      <c r="E520" s="12" t="n">
        <v>69470</v>
      </c>
      <c r="F520" s="10" t="inlineStr">
        <is>
          <t>2026-06-15</t>
        </is>
      </c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</row>
    <row r="521" ht="26.75" customHeight="1" s="104">
      <c r="A521" s="10" t="inlineStr">
        <is>
          <t>Indian Prairie School District 204</t>
        </is>
      </c>
      <c r="B521" s="10" t="inlineStr">
        <is>
          <t>IL</t>
        </is>
      </c>
      <c r="C521" s="10" t="inlineStr">
        <is>
          <t>Master's</t>
        </is>
      </c>
      <c r="D521" s="11" t="n">
        <v>2</v>
      </c>
      <c r="E521" s="12" t="n">
        <v>70513</v>
      </c>
      <c r="F521" s="10" t="inlineStr">
        <is>
          <t>2026-06-15</t>
        </is>
      </c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</row>
    <row r="522" ht="26.75" customHeight="1" s="104">
      <c r="A522" s="10" t="inlineStr">
        <is>
          <t>Indian Prairie School District 204</t>
        </is>
      </c>
      <c r="B522" s="10" t="inlineStr">
        <is>
          <t>IL</t>
        </is>
      </c>
      <c r="C522" s="10" t="inlineStr">
        <is>
          <t>Master's</t>
        </is>
      </c>
      <c r="D522" s="11" t="n">
        <v>3</v>
      </c>
      <c r="E522" s="12" t="n">
        <v>71570</v>
      </c>
      <c r="F522" s="10" t="inlineStr">
        <is>
          <t>2026-06-15</t>
        </is>
      </c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</row>
    <row r="523" ht="26.75" customHeight="1" s="104">
      <c r="A523" s="10" t="inlineStr">
        <is>
          <t>Indian Prairie School District 204</t>
        </is>
      </c>
      <c r="B523" s="10" t="inlineStr">
        <is>
          <t>IL</t>
        </is>
      </c>
      <c r="C523" s="10" t="inlineStr">
        <is>
          <t>Master's</t>
        </is>
      </c>
      <c r="D523" s="11" t="n">
        <v>4</v>
      </c>
      <c r="E523" s="12" t="n">
        <v>73002</v>
      </c>
      <c r="F523" s="10" t="inlineStr">
        <is>
          <t>2026-06-15</t>
        </is>
      </c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</row>
    <row r="524" ht="26.75" customHeight="1" s="104">
      <c r="A524" s="10" t="inlineStr">
        <is>
          <t>Indian Prairie School District 204</t>
        </is>
      </c>
      <c r="B524" s="10" t="inlineStr">
        <is>
          <t>IL</t>
        </is>
      </c>
      <c r="C524" s="10" t="inlineStr">
        <is>
          <t>Master's</t>
        </is>
      </c>
      <c r="D524" s="11" t="n">
        <v>5</v>
      </c>
      <c r="E524" s="12" t="n">
        <v>74462</v>
      </c>
      <c r="F524" s="10" t="inlineStr">
        <is>
          <t>2026-06-15</t>
        </is>
      </c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</row>
    <row r="525" ht="26.75" customHeight="1" s="104">
      <c r="A525" s="10" t="inlineStr">
        <is>
          <t>Indian Prairie School District 204</t>
        </is>
      </c>
      <c r="B525" s="10" t="inlineStr">
        <is>
          <t>IL</t>
        </is>
      </c>
      <c r="C525" s="10" t="inlineStr">
        <is>
          <t>Master's</t>
        </is>
      </c>
      <c r="D525" s="11" t="n">
        <v>6</v>
      </c>
      <c r="E525" s="12" t="n">
        <v>75951</v>
      </c>
      <c r="F525" s="10" t="inlineStr">
        <is>
          <t>2026-06-15</t>
        </is>
      </c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</row>
    <row r="526" ht="26.75" customHeight="1" s="104">
      <c r="A526" s="10" t="inlineStr">
        <is>
          <t>Indian Prairie School District 204</t>
        </is>
      </c>
      <c r="B526" s="10" t="inlineStr">
        <is>
          <t>IL</t>
        </is>
      </c>
      <c r="C526" s="10" t="inlineStr">
        <is>
          <t>Master's</t>
        </is>
      </c>
      <c r="D526" s="11" t="n">
        <v>7</v>
      </c>
      <c r="E526" s="12" t="n">
        <v>77470</v>
      </c>
      <c r="F526" s="10" t="inlineStr">
        <is>
          <t>2026-06-15</t>
        </is>
      </c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</row>
    <row r="527" ht="26.75" customHeight="1" s="104">
      <c r="A527" s="10" t="inlineStr">
        <is>
          <t>Indian Prairie School District 204</t>
        </is>
      </c>
      <c r="B527" s="10" t="inlineStr">
        <is>
          <t>IL</t>
        </is>
      </c>
      <c r="C527" s="10" t="inlineStr">
        <is>
          <t>Master's</t>
        </is>
      </c>
      <c r="D527" s="11" t="n">
        <v>8</v>
      </c>
      <c r="E527" s="12" t="n">
        <v>79020</v>
      </c>
      <c r="F527" s="10" t="inlineStr">
        <is>
          <t>2026-06-15</t>
        </is>
      </c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</row>
    <row r="528" ht="26.75" customHeight="1" s="104">
      <c r="A528" s="10" t="inlineStr">
        <is>
          <t>Indian Prairie School District 204</t>
        </is>
      </c>
      <c r="B528" s="10" t="inlineStr">
        <is>
          <t>IL</t>
        </is>
      </c>
      <c r="C528" s="10" t="inlineStr">
        <is>
          <t>Master's</t>
        </is>
      </c>
      <c r="D528" s="11" t="n">
        <v>9</v>
      </c>
      <c r="E528" s="12" t="n">
        <v>81193</v>
      </c>
      <c r="F528" s="10" t="inlineStr">
        <is>
          <t>2026-06-15</t>
        </is>
      </c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</row>
    <row r="529" ht="26.75" customHeight="1" s="104">
      <c r="A529" s="10" t="inlineStr">
        <is>
          <t>Indian Prairie School District 204</t>
        </is>
      </c>
      <c r="B529" s="10" t="inlineStr">
        <is>
          <t>IL</t>
        </is>
      </c>
      <c r="C529" s="10" t="inlineStr">
        <is>
          <t>Master's</t>
        </is>
      </c>
      <c r="D529" s="11" t="n">
        <v>10</v>
      </c>
      <c r="E529" s="12" t="n">
        <v>83425</v>
      </c>
      <c r="F529" s="10" t="inlineStr">
        <is>
          <t>2026-06-15</t>
        </is>
      </c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</row>
    <row r="530" ht="26.75" customHeight="1" s="104">
      <c r="A530" s="10" t="inlineStr">
        <is>
          <t>Jordan District</t>
        </is>
      </c>
      <c r="B530" s="10" t="inlineStr">
        <is>
          <t>UT</t>
        </is>
      </c>
      <c r="C530" s="10" t="inlineStr">
        <is>
          <t>Bachelor's</t>
        </is>
      </c>
      <c r="D530" s="11" t="n">
        <v>0</v>
      </c>
      <c r="E530" s="12" t="n">
        <v>63900</v>
      </c>
      <c r="F530" s="13" t="inlineStr">
        <is>
          <t>2026-06-10</t>
        </is>
      </c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</row>
    <row r="531" ht="26.75" customHeight="1" s="104">
      <c r="A531" s="10" t="inlineStr">
        <is>
          <t>Jordan District</t>
        </is>
      </c>
      <c r="B531" s="10" t="inlineStr">
        <is>
          <t>UT</t>
        </is>
      </c>
      <c r="C531" s="10" t="inlineStr">
        <is>
          <t>Bachelor's</t>
        </is>
      </c>
      <c r="D531" s="11" t="n">
        <v>1</v>
      </c>
      <c r="E531" s="12" t="n">
        <v>63900</v>
      </c>
      <c r="F531" s="13" t="inlineStr">
        <is>
          <t>2026-06-10</t>
        </is>
      </c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</row>
    <row r="532" ht="26.75" customHeight="1" s="104">
      <c r="A532" s="10" t="inlineStr">
        <is>
          <t>Jordan District</t>
        </is>
      </c>
      <c r="B532" s="10" t="inlineStr">
        <is>
          <t>UT</t>
        </is>
      </c>
      <c r="C532" s="10" t="inlineStr">
        <is>
          <t>Bachelor's</t>
        </is>
      </c>
      <c r="D532" s="11" t="n">
        <v>2</v>
      </c>
      <c r="E532" s="12" t="n">
        <v>64800</v>
      </c>
      <c r="F532" s="13" t="inlineStr">
        <is>
          <t>2026-06-10</t>
        </is>
      </c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</row>
    <row r="533" ht="26.75" customHeight="1" s="104">
      <c r="A533" s="10" t="inlineStr">
        <is>
          <t>Jordan District</t>
        </is>
      </c>
      <c r="B533" s="10" t="inlineStr">
        <is>
          <t>UT</t>
        </is>
      </c>
      <c r="C533" s="10" t="inlineStr">
        <is>
          <t>Bachelor's</t>
        </is>
      </c>
      <c r="D533" s="11" t="n">
        <v>3</v>
      </c>
      <c r="E533" s="12" t="n">
        <v>65700</v>
      </c>
      <c r="F533" s="13" t="inlineStr">
        <is>
          <t>2026-06-10</t>
        </is>
      </c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</row>
    <row r="534" ht="26.75" customHeight="1" s="104">
      <c r="A534" s="10" t="inlineStr">
        <is>
          <t>Jordan District</t>
        </is>
      </c>
      <c r="B534" s="10" t="inlineStr">
        <is>
          <t>UT</t>
        </is>
      </c>
      <c r="C534" s="10" t="inlineStr">
        <is>
          <t>Bachelor's</t>
        </is>
      </c>
      <c r="D534" s="11" t="n">
        <v>4</v>
      </c>
      <c r="E534" s="12" t="n">
        <v>66600</v>
      </c>
      <c r="F534" s="13" t="inlineStr">
        <is>
          <t>2026-06-10</t>
        </is>
      </c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</row>
    <row r="535" ht="26.75" customHeight="1" s="104">
      <c r="A535" s="10" t="inlineStr">
        <is>
          <t>Jordan District</t>
        </is>
      </c>
      <c r="B535" s="10" t="inlineStr">
        <is>
          <t>UT</t>
        </is>
      </c>
      <c r="C535" s="10" t="inlineStr">
        <is>
          <t>Bachelor's</t>
        </is>
      </c>
      <c r="D535" s="11" t="n">
        <v>5</v>
      </c>
      <c r="E535" s="12" t="n">
        <v>67500</v>
      </c>
      <c r="F535" s="13" t="inlineStr">
        <is>
          <t>2026-06-10</t>
        </is>
      </c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</row>
    <row r="536" ht="26.75" customHeight="1" s="104">
      <c r="A536" s="10" t="inlineStr">
        <is>
          <t>Jordan District</t>
        </is>
      </c>
      <c r="B536" s="10" t="inlineStr">
        <is>
          <t>UT</t>
        </is>
      </c>
      <c r="C536" s="10" t="inlineStr">
        <is>
          <t>Bachelor's</t>
        </is>
      </c>
      <c r="D536" s="11" t="n">
        <v>6</v>
      </c>
      <c r="E536" s="12" t="n">
        <v>68400</v>
      </c>
      <c r="F536" s="13" t="inlineStr">
        <is>
          <t>2026-06-10</t>
        </is>
      </c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</row>
    <row r="537" ht="26.75" customHeight="1" s="104">
      <c r="A537" s="10" t="inlineStr">
        <is>
          <t>Jordan District</t>
        </is>
      </c>
      <c r="B537" s="10" t="inlineStr">
        <is>
          <t>UT</t>
        </is>
      </c>
      <c r="C537" s="10" t="inlineStr">
        <is>
          <t>Bachelor's</t>
        </is>
      </c>
      <c r="D537" s="11" t="n">
        <v>7</v>
      </c>
      <c r="E537" s="12" t="n">
        <v>69300</v>
      </c>
      <c r="F537" s="13" t="inlineStr">
        <is>
          <t>2026-06-10</t>
        </is>
      </c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</row>
    <row r="538" ht="26.75" customHeight="1" s="104">
      <c r="A538" s="10" t="inlineStr">
        <is>
          <t>Jordan District</t>
        </is>
      </c>
      <c r="B538" s="10" t="inlineStr">
        <is>
          <t>UT</t>
        </is>
      </c>
      <c r="C538" s="10" t="inlineStr">
        <is>
          <t>Bachelor's</t>
        </is>
      </c>
      <c r="D538" s="11" t="n">
        <v>8</v>
      </c>
      <c r="E538" s="12" t="n">
        <v>70200</v>
      </c>
      <c r="F538" s="13" t="inlineStr">
        <is>
          <t>2026-06-10</t>
        </is>
      </c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</row>
    <row r="539" ht="26.75" customHeight="1" s="104">
      <c r="A539" s="10" t="inlineStr">
        <is>
          <t>Jordan District</t>
        </is>
      </c>
      <c r="B539" s="10" t="inlineStr">
        <is>
          <t>UT</t>
        </is>
      </c>
      <c r="C539" s="10" t="inlineStr">
        <is>
          <t>Bachelor's</t>
        </is>
      </c>
      <c r="D539" s="11" t="n">
        <v>9</v>
      </c>
      <c r="E539" s="12" t="n">
        <v>71100</v>
      </c>
      <c r="F539" s="13" t="inlineStr">
        <is>
          <t>2026-06-10</t>
        </is>
      </c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</row>
    <row r="540" ht="26.75" customHeight="1" s="104">
      <c r="A540" s="10" t="inlineStr">
        <is>
          <t>Jordan District</t>
        </is>
      </c>
      <c r="B540" s="10" t="inlineStr">
        <is>
          <t>UT</t>
        </is>
      </c>
      <c r="C540" s="10" t="inlineStr">
        <is>
          <t>Bachelor's</t>
        </is>
      </c>
      <c r="D540" s="11" t="n">
        <v>10</v>
      </c>
      <c r="E540" s="12" t="n">
        <v>72000</v>
      </c>
      <c r="F540" s="13" t="inlineStr">
        <is>
          <t>2026-06-10</t>
        </is>
      </c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</row>
    <row r="541" ht="26.75" customHeight="1" s="104">
      <c r="A541" s="10" t="inlineStr">
        <is>
          <t>Jordan District</t>
        </is>
      </c>
      <c r="B541" s="10" t="inlineStr">
        <is>
          <t>UT</t>
        </is>
      </c>
      <c r="C541" s="10" t="inlineStr">
        <is>
          <t>Master's</t>
        </is>
      </c>
      <c r="D541" s="11" t="n">
        <v>0</v>
      </c>
      <c r="E541" s="12" t="n">
        <v>68400</v>
      </c>
      <c r="F541" s="13" t="inlineStr">
        <is>
          <t>2026-06-10</t>
        </is>
      </c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</row>
    <row r="542" ht="26.75" customHeight="1" s="104">
      <c r="A542" s="10" t="inlineStr">
        <is>
          <t>Jordan District</t>
        </is>
      </c>
      <c r="B542" s="10" t="inlineStr">
        <is>
          <t>UT</t>
        </is>
      </c>
      <c r="C542" s="10" t="inlineStr">
        <is>
          <t>Master's</t>
        </is>
      </c>
      <c r="D542" s="11" t="n">
        <v>1</v>
      </c>
      <c r="E542" s="12" t="n">
        <v>68400</v>
      </c>
      <c r="F542" s="13" t="inlineStr">
        <is>
          <t>2026-06-10</t>
        </is>
      </c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</row>
    <row r="543" ht="26.75" customHeight="1" s="104">
      <c r="A543" s="10" t="inlineStr">
        <is>
          <t>Jordan District</t>
        </is>
      </c>
      <c r="B543" s="10" t="inlineStr">
        <is>
          <t>UT</t>
        </is>
      </c>
      <c r="C543" s="10" t="inlineStr">
        <is>
          <t>Master's</t>
        </is>
      </c>
      <c r="D543" s="11" t="n">
        <v>2</v>
      </c>
      <c r="E543" s="12" t="n">
        <v>69300</v>
      </c>
      <c r="F543" s="13" t="inlineStr">
        <is>
          <t>2026-06-10</t>
        </is>
      </c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</row>
    <row r="544" ht="26.75" customHeight="1" s="104">
      <c r="A544" s="10" t="inlineStr">
        <is>
          <t>Jordan District</t>
        </is>
      </c>
      <c r="B544" s="10" t="inlineStr">
        <is>
          <t>UT</t>
        </is>
      </c>
      <c r="C544" s="10" t="inlineStr">
        <is>
          <t>Master's</t>
        </is>
      </c>
      <c r="D544" s="11" t="n">
        <v>3</v>
      </c>
      <c r="E544" s="12" t="n">
        <v>70200</v>
      </c>
      <c r="F544" s="13" t="inlineStr">
        <is>
          <t>2026-06-10</t>
        </is>
      </c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</row>
    <row r="545" ht="26.75" customHeight="1" s="104">
      <c r="A545" s="10" t="inlineStr">
        <is>
          <t>Jordan District</t>
        </is>
      </c>
      <c r="B545" s="10" t="inlineStr">
        <is>
          <t>UT</t>
        </is>
      </c>
      <c r="C545" s="10" t="inlineStr">
        <is>
          <t>Master's</t>
        </is>
      </c>
      <c r="D545" s="11" t="n">
        <v>4</v>
      </c>
      <c r="E545" s="12" t="n">
        <v>71100</v>
      </c>
      <c r="F545" s="13" t="inlineStr">
        <is>
          <t>2026-06-10</t>
        </is>
      </c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</row>
    <row r="546" ht="26.75" customHeight="1" s="104">
      <c r="A546" s="10" t="inlineStr">
        <is>
          <t>Jordan District</t>
        </is>
      </c>
      <c r="B546" s="10" t="inlineStr">
        <is>
          <t>UT</t>
        </is>
      </c>
      <c r="C546" s="10" t="inlineStr">
        <is>
          <t>Master's</t>
        </is>
      </c>
      <c r="D546" s="11" t="n">
        <v>5</v>
      </c>
      <c r="E546" s="12" t="n">
        <v>72000</v>
      </c>
      <c r="F546" s="13" t="inlineStr">
        <is>
          <t>2026-06-10</t>
        </is>
      </c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</row>
    <row r="547" ht="26.75" customHeight="1" s="104">
      <c r="A547" s="10" t="inlineStr">
        <is>
          <t>Jordan District</t>
        </is>
      </c>
      <c r="B547" s="10" t="inlineStr">
        <is>
          <t>UT</t>
        </is>
      </c>
      <c r="C547" s="10" t="inlineStr">
        <is>
          <t>Master's</t>
        </is>
      </c>
      <c r="D547" s="11" t="n">
        <v>6</v>
      </c>
      <c r="E547" s="12" t="n">
        <v>72900</v>
      </c>
      <c r="F547" s="13" t="inlineStr">
        <is>
          <t>2026-06-10</t>
        </is>
      </c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</row>
    <row r="548" ht="26.75" customHeight="1" s="104">
      <c r="A548" s="10" t="inlineStr">
        <is>
          <t>Jordan District</t>
        </is>
      </c>
      <c r="B548" s="10" t="inlineStr">
        <is>
          <t>UT</t>
        </is>
      </c>
      <c r="C548" s="10" t="inlineStr">
        <is>
          <t>Master's</t>
        </is>
      </c>
      <c r="D548" s="11" t="n">
        <v>7</v>
      </c>
      <c r="E548" s="12" t="n">
        <v>73800</v>
      </c>
      <c r="F548" s="13" t="inlineStr">
        <is>
          <t>2026-06-10</t>
        </is>
      </c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</row>
    <row r="549" ht="26.75" customHeight="1" s="104">
      <c r="A549" s="10" t="inlineStr">
        <is>
          <t>Jordan District</t>
        </is>
      </c>
      <c r="B549" s="10" t="inlineStr">
        <is>
          <t>UT</t>
        </is>
      </c>
      <c r="C549" s="10" t="inlineStr">
        <is>
          <t>Master's</t>
        </is>
      </c>
      <c r="D549" s="11" t="n">
        <v>8</v>
      </c>
      <c r="E549" s="12" t="n">
        <v>74700</v>
      </c>
      <c r="F549" s="13" t="inlineStr">
        <is>
          <t>2026-06-10</t>
        </is>
      </c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</row>
    <row r="550" ht="26.75" customHeight="1" s="104">
      <c r="A550" s="10" t="inlineStr">
        <is>
          <t>Jordan District</t>
        </is>
      </c>
      <c r="B550" s="10" t="inlineStr">
        <is>
          <t>UT</t>
        </is>
      </c>
      <c r="C550" s="10" t="inlineStr">
        <is>
          <t>Master's</t>
        </is>
      </c>
      <c r="D550" s="11" t="n">
        <v>9</v>
      </c>
      <c r="E550" s="12" t="n">
        <v>75600</v>
      </c>
      <c r="F550" s="13" t="inlineStr">
        <is>
          <t>2026-06-10</t>
        </is>
      </c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</row>
    <row r="551" ht="26.75" customHeight="1" s="104">
      <c r="A551" s="10" t="inlineStr">
        <is>
          <t>Jordan District</t>
        </is>
      </c>
      <c r="B551" s="10" t="inlineStr">
        <is>
          <t>UT</t>
        </is>
      </c>
      <c r="C551" s="10" t="inlineStr">
        <is>
          <t>Master's</t>
        </is>
      </c>
      <c r="D551" s="11" t="n">
        <v>10</v>
      </c>
      <c r="E551" s="12" t="n">
        <v>76500</v>
      </c>
      <c r="F551" s="13" t="inlineStr">
        <is>
          <t>2026-06-10</t>
        </is>
      </c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</row>
    <row r="552" ht="26.75" customHeight="1" s="104">
      <c r="A552" s="10" t="inlineStr">
        <is>
          <t>Katy ISD</t>
        </is>
      </c>
      <c r="B552" s="10" t="inlineStr">
        <is>
          <t>TX</t>
        </is>
      </c>
      <c r="C552" s="10" t="inlineStr">
        <is>
          <t>Bachelor's</t>
        </is>
      </c>
      <c r="D552" s="11" t="n">
        <v>0</v>
      </c>
      <c r="E552" s="12" t="n">
        <v>66180</v>
      </c>
      <c r="F552" s="13" t="inlineStr">
        <is>
          <t>2026-06-10</t>
        </is>
      </c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</row>
    <row r="553" ht="26.75" customHeight="1" s="104">
      <c r="A553" s="10" t="inlineStr">
        <is>
          <t>Katy ISD</t>
        </is>
      </c>
      <c r="B553" s="10" t="inlineStr">
        <is>
          <t>TX</t>
        </is>
      </c>
      <c r="C553" s="10" t="inlineStr">
        <is>
          <t>Bachelor's</t>
        </is>
      </c>
      <c r="D553" s="11" t="n">
        <v>1</v>
      </c>
      <c r="E553" s="12" t="n">
        <v>69130</v>
      </c>
      <c r="F553" s="13" t="inlineStr">
        <is>
          <t>2026-06-10</t>
        </is>
      </c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</row>
    <row r="554" ht="26.75" customHeight="1" s="104">
      <c r="A554" s="10" t="inlineStr">
        <is>
          <t>Katy ISD</t>
        </is>
      </c>
      <c r="B554" s="10" t="inlineStr">
        <is>
          <t>TX</t>
        </is>
      </c>
      <c r="C554" s="10" t="inlineStr">
        <is>
          <t>Bachelor's</t>
        </is>
      </c>
      <c r="D554" s="11" t="n">
        <v>2</v>
      </c>
      <c r="E554" s="12" t="n">
        <v>69580</v>
      </c>
      <c r="F554" s="13" t="inlineStr">
        <is>
          <t>2026-06-10</t>
        </is>
      </c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</row>
    <row r="555" ht="26.75" customHeight="1" s="104">
      <c r="A555" s="10" t="inlineStr">
        <is>
          <t>Katy ISD</t>
        </is>
      </c>
      <c r="B555" s="10" t="inlineStr">
        <is>
          <t>TX</t>
        </is>
      </c>
      <c r="C555" s="10" t="inlineStr">
        <is>
          <t>Bachelor's</t>
        </is>
      </c>
      <c r="D555" s="11" t="n">
        <v>3</v>
      </c>
      <c r="E555" s="12" t="n">
        <v>70025</v>
      </c>
      <c r="F555" s="13" t="inlineStr">
        <is>
          <t>2026-06-10</t>
        </is>
      </c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</row>
    <row r="556" ht="26.75" customHeight="1" s="104">
      <c r="A556" s="10" t="inlineStr">
        <is>
          <t>Katy ISD</t>
        </is>
      </c>
      <c r="B556" s="10" t="inlineStr">
        <is>
          <t>TX</t>
        </is>
      </c>
      <c r="C556" s="10" t="inlineStr">
        <is>
          <t>Bachelor's</t>
        </is>
      </c>
      <c r="D556" s="11" t="n">
        <v>4</v>
      </c>
      <c r="E556" s="12" t="n">
        <v>70475</v>
      </c>
      <c r="F556" s="13" t="inlineStr">
        <is>
          <t>2026-06-10</t>
        </is>
      </c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</row>
    <row r="557" ht="26.75" customHeight="1" s="104">
      <c r="A557" s="10" t="inlineStr">
        <is>
          <t>Katy ISD</t>
        </is>
      </c>
      <c r="B557" s="10" t="inlineStr">
        <is>
          <t>TX</t>
        </is>
      </c>
      <c r="C557" s="10" t="inlineStr">
        <is>
          <t>Bachelor's</t>
        </is>
      </c>
      <c r="D557" s="11" t="n">
        <v>5</v>
      </c>
      <c r="E557" s="12" t="n">
        <v>75875</v>
      </c>
      <c r="F557" s="13" t="inlineStr">
        <is>
          <t>2026-06-10</t>
        </is>
      </c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</row>
    <row r="558" ht="26.75" customHeight="1" s="104">
      <c r="A558" s="10" t="inlineStr">
        <is>
          <t>Katy ISD</t>
        </is>
      </c>
      <c r="B558" s="10" t="inlineStr">
        <is>
          <t>TX</t>
        </is>
      </c>
      <c r="C558" s="10" t="inlineStr">
        <is>
          <t>Bachelor's</t>
        </is>
      </c>
      <c r="D558" s="11" t="n">
        <v>6</v>
      </c>
      <c r="E558" s="12" t="n">
        <v>76275</v>
      </c>
      <c r="F558" s="13" t="inlineStr">
        <is>
          <t>2026-06-10</t>
        </is>
      </c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</row>
    <row r="559" ht="26.75" customHeight="1" s="104">
      <c r="A559" s="10" t="inlineStr">
        <is>
          <t>Katy ISD</t>
        </is>
      </c>
      <c r="B559" s="10" t="inlineStr">
        <is>
          <t>TX</t>
        </is>
      </c>
      <c r="C559" s="10" t="inlineStr">
        <is>
          <t>Bachelor's</t>
        </is>
      </c>
      <c r="D559" s="11" t="n">
        <v>7</v>
      </c>
      <c r="E559" s="12" t="n">
        <v>76675</v>
      </c>
      <c r="F559" s="13" t="inlineStr">
        <is>
          <t>2026-06-10</t>
        </is>
      </c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</row>
    <row r="560" ht="26.75" customHeight="1" s="104">
      <c r="A560" s="10" t="inlineStr">
        <is>
          <t>Katy ISD</t>
        </is>
      </c>
      <c r="B560" s="10" t="inlineStr">
        <is>
          <t>TX</t>
        </is>
      </c>
      <c r="C560" s="10" t="inlineStr">
        <is>
          <t>Bachelor's</t>
        </is>
      </c>
      <c r="D560" s="11" t="n">
        <v>8</v>
      </c>
      <c r="E560" s="12" t="n">
        <v>77175</v>
      </c>
      <c r="F560" s="13" t="inlineStr">
        <is>
          <t>2026-06-10</t>
        </is>
      </c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</row>
    <row r="561" ht="26.75" customHeight="1" s="104">
      <c r="A561" s="10" t="inlineStr">
        <is>
          <t>Katy ISD</t>
        </is>
      </c>
      <c r="B561" s="10" t="inlineStr">
        <is>
          <t>TX</t>
        </is>
      </c>
      <c r="C561" s="10" t="inlineStr">
        <is>
          <t>Bachelor's</t>
        </is>
      </c>
      <c r="D561" s="11" t="n">
        <v>9</v>
      </c>
      <c r="E561" s="12" t="n">
        <v>77675</v>
      </c>
      <c r="F561" s="13" t="inlineStr">
        <is>
          <t>2026-06-10</t>
        </is>
      </c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</row>
    <row r="562" ht="26.75" customHeight="1" s="104">
      <c r="A562" s="10" t="inlineStr">
        <is>
          <t>Katy ISD</t>
        </is>
      </c>
      <c r="B562" s="10" t="inlineStr">
        <is>
          <t>TX</t>
        </is>
      </c>
      <c r="C562" s="10" t="inlineStr">
        <is>
          <t>Bachelor's</t>
        </is>
      </c>
      <c r="D562" s="11" t="n">
        <v>10</v>
      </c>
      <c r="E562" s="12" t="n">
        <v>78175</v>
      </c>
      <c r="F562" s="13" t="inlineStr">
        <is>
          <t>2026-06-10</t>
        </is>
      </c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</row>
    <row r="563" ht="26.75" customHeight="1" s="104">
      <c r="A563" s="10" t="inlineStr">
        <is>
          <t>Katy ISD</t>
        </is>
      </c>
      <c r="B563" s="10" t="inlineStr">
        <is>
          <t>TX</t>
        </is>
      </c>
      <c r="C563" s="10" t="inlineStr">
        <is>
          <t>Master's</t>
        </is>
      </c>
      <c r="D563" s="11" t="n">
        <v>0</v>
      </c>
      <c r="E563" s="12" t="n">
        <v>67380</v>
      </c>
      <c r="F563" s="13" t="inlineStr">
        <is>
          <t>2026-06-10</t>
        </is>
      </c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</row>
    <row r="564" ht="26.75" customHeight="1" s="104">
      <c r="A564" s="10" t="inlineStr">
        <is>
          <t>Katy ISD</t>
        </is>
      </c>
      <c r="B564" s="10" t="inlineStr">
        <is>
          <t>TX</t>
        </is>
      </c>
      <c r="C564" s="10" t="inlineStr">
        <is>
          <t>Master's</t>
        </is>
      </c>
      <c r="D564" s="11" t="n">
        <v>1</v>
      </c>
      <c r="E564" s="12" t="n">
        <v>70330</v>
      </c>
      <c r="F564" s="13" t="inlineStr">
        <is>
          <t>2026-06-10</t>
        </is>
      </c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</row>
    <row r="565" ht="26.75" customHeight="1" s="104">
      <c r="A565" s="10" t="inlineStr">
        <is>
          <t>Katy ISD</t>
        </is>
      </c>
      <c r="B565" s="10" t="inlineStr">
        <is>
          <t>TX</t>
        </is>
      </c>
      <c r="C565" s="10" t="inlineStr">
        <is>
          <t>Master's</t>
        </is>
      </c>
      <c r="D565" s="11" t="n">
        <v>2</v>
      </c>
      <c r="E565" s="12" t="n">
        <v>70780</v>
      </c>
      <c r="F565" s="13" t="inlineStr">
        <is>
          <t>2026-06-10</t>
        </is>
      </c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</row>
    <row r="566" ht="26.75" customHeight="1" s="104">
      <c r="A566" s="10" t="inlineStr">
        <is>
          <t>Katy ISD</t>
        </is>
      </c>
      <c r="B566" s="10" t="inlineStr">
        <is>
          <t>TX</t>
        </is>
      </c>
      <c r="C566" s="10" t="inlineStr">
        <is>
          <t>Master's</t>
        </is>
      </c>
      <c r="D566" s="11" t="n">
        <v>3</v>
      </c>
      <c r="E566" s="12" t="n">
        <v>71225</v>
      </c>
      <c r="F566" s="13" t="inlineStr">
        <is>
          <t>2026-06-10</t>
        </is>
      </c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</row>
    <row r="567" ht="26.75" customHeight="1" s="104">
      <c r="A567" s="10" t="inlineStr">
        <is>
          <t>Katy ISD</t>
        </is>
      </c>
      <c r="B567" s="10" t="inlineStr">
        <is>
          <t>TX</t>
        </is>
      </c>
      <c r="C567" s="10" t="inlineStr">
        <is>
          <t>Master's</t>
        </is>
      </c>
      <c r="D567" s="11" t="n">
        <v>4</v>
      </c>
      <c r="E567" s="12" t="n">
        <v>71675</v>
      </c>
      <c r="F567" s="13" t="inlineStr">
        <is>
          <t>2026-06-10</t>
        </is>
      </c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</row>
    <row r="568" ht="26.75" customHeight="1" s="104">
      <c r="A568" s="10" t="inlineStr">
        <is>
          <t>Katy ISD</t>
        </is>
      </c>
      <c r="B568" s="10" t="inlineStr">
        <is>
          <t>TX</t>
        </is>
      </c>
      <c r="C568" s="10" t="inlineStr">
        <is>
          <t>Master's</t>
        </is>
      </c>
      <c r="D568" s="11" t="n">
        <v>5</v>
      </c>
      <c r="E568" s="12" t="n">
        <v>77075</v>
      </c>
      <c r="F568" s="13" t="inlineStr">
        <is>
          <t>2026-06-10</t>
        </is>
      </c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</row>
    <row r="569" ht="26.75" customHeight="1" s="104">
      <c r="A569" s="10" t="inlineStr">
        <is>
          <t>Katy ISD</t>
        </is>
      </c>
      <c r="B569" s="10" t="inlineStr">
        <is>
          <t>TX</t>
        </is>
      </c>
      <c r="C569" s="10" t="inlineStr">
        <is>
          <t>Master's</t>
        </is>
      </c>
      <c r="D569" s="11" t="n">
        <v>6</v>
      </c>
      <c r="E569" s="12" t="n">
        <v>77475</v>
      </c>
      <c r="F569" s="13" t="inlineStr">
        <is>
          <t>2026-06-10</t>
        </is>
      </c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</row>
    <row r="570" ht="26.75" customHeight="1" s="104">
      <c r="A570" s="10" t="inlineStr">
        <is>
          <t>Katy ISD</t>
        </is>
      </c>
      <c r="B570" s="10" t="inlineStr">
        <is>
          <t>TX</t>
        </is>
      </c>
      <c r="C570" s="10" t="inlineStr">
        <is>
          <t>Master's</t>
        </is>
      </c>
      <c r="D570" s="11" t="n">
        <v>7</v>
      </c>
      <c r="E570" s="12" t="n">
        <v>77875</v>
      </c>
      <c r="F570" s="13" t="inlineStr">
        <is>
          <t>2026-06-10</t>
        </is>
      </c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</row>
    <row r="571" ht="26.75" customHeight="1" s="104">
      <c r="A571" s="10" t="inlineStr">
        <is>
          <t>Katy ISD</t>
        </is>
      </c>
      <c r="B571" s="10" t="inlineStr">
        <is>
          <t>TX</t>
        </is>
      </c>
      <c r="C571" s="10" t="inlineStr">
        <is>
          <t>Master's</t>
        </is>
      </c>
      <c r="D571" s="11" t="n">
        <v>8</v>
      </c>
      <c r="E571" s="12" t="n">
        <v>78375</v>
      </c>
      <c r="F571" s="13" t="inlineStr">
        <is>
          <t>2026-06-10</t>
        </is>
      </c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</row>
    <row r="572" ht="26.75" customHeight="1" s="104">
      <c r="A572" s="10" t="inlineStr">
        <is>
          <t>Katy ISD</t>
        </is>
      </c>
      <c r="B572" s="10" t="inlineStr">
        <is>
          <t>TX</t>
        </is>
      </c>
      <c r="C572" s="10" t="inlineStr">
        <is>
          <t>Master's</t>
        </is>
      </c>
      <c r="D572" s="11" t="n">
        <v>9</v>
      </c>
      <c r="E572" s="12" t="n">
        <v>78875</v>
      </c>
      <c r="F572" s="13" t="inlineStr">
        <is>
          <t>2026-06-10</t>
        </is>
      </c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</row>
    <row r="573" ht="26.75" customHeight="1" s="104">
      <c r="A573" s="10" t="inlineStr">
        <is>
          <t>Katy ISD</t>
        </is>
      </c>
      <c r="B573" s="10" t="inlineStr">
        <is>
          <t>TX</t>
        </is>
      </c>
      <c r="C573" s="10" t="inlineStr">
        <is>
          <t>Master's</t>
        </is>
      </c>
      <c r="D573" s="11" t="n">
        <v>10</v>
      </c>
      <c r="E573" s="12" t="n">
        <v>79375</v>
      </c>
      <c r="F573" s="13" t="inlineStr">
        <is>
          <t>2026-06-10</t>
        </is>
      </c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</row>
    <row r="574" ht="26.75" customHeight="1" s="104">
      <c r="A574" s="10" t="inlineStr">
        <is>
          <t>La Cañada Unified School District</t>
        </is>
      </c>
      <c r="B574" s="10" t="inlineStr">
        <is>
          <t>CA</t>
        </is>
      </c>
      <c r="C574" s="10" t="inlineStr">
        <is>
          <t>Bachelor's</t>
        </is>
      </c>
      <c r="D574" s="11" t="n">
        <v>0</v>
      </c>
      <c r="E574" s="12" t="n">
        <v>62754</v>
      </c>
      <c r="F574" s="13" t="inlineStr">
        <is>
          <t>2026-06-10</t>
        </is>
      </c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</row>
    <row r="575" ht="26.75" customHeight="1" s="104">
      <c r="A575" s="10" t="inlineStr">
        <is>
          <t>La Cañada Unified School District</t>
        </is>
      </c>
      <c r="B575" s="10" t="inlineStr">
        <is>
          <t>CA</t>
        </is>
      </c>
      <c r="C575" s="10" t="inlineStr">
        <is>
          <t>Bachelor's</t>
        </is>
      </c>
      <c r="D575" s="11" t="n">
        <v>1</v>
      </c>
      <c r="E575" s="12" t="n">
        <v>63852</v>
      </c>
      <c r="F575" s="13" t="inlineStr">
        <is>
          <t>2026-06-10</t>
        </is>
      </c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</row>
    <row r="576" ht="26.75" customHeight="1" s="104">
      <c r="A576" s="10" t="inlineStr">
        <is>
          <t>La Cañada Unified School District</t>
        </is>
      </c>
      <c r="B576" s="10" t="inlineStr">
        <is>
          <t>CA</t>
        </is>
      </c>
      <c r="C576" s="10" t="inlineStr">
        <is>
          <t>Bachelor's</t>
        </is>
      </c>
      <c r="D576" s="11" t="n">
        <v>2</v>
      </c>
      <c r="E576" s="12" t="n">
        <v>64969</v>
      </c>
      <c r="F576" s="13" t="inlineStr">
        <is>
          <t>2026-06-10</t>
        </is>
      </c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</row>
    <row r="577" ht="26.75" customHeight="1" s="104">
      <c r="A577" s="10" t="inlineStr">
        <is>
          <t>La Cañada Unified School District</t>
        </is>
      </c>
      <c r="B577" s="10" t="inlineStr">
        <is>
          <t>CA</t>
        </is>
      </c>
      <c r="C577" s="10" t="inlineStr">
        <is>
          <t>Bachelor's</t>
        </is>
      </c>
      <c r="D577" s="11" t="n">
        <v>3</v>
      </c>
      <c r="E577" s="12" t="n">
        <v>67244</v>
      </c>
      <c r="F577" s="13" t="inlineStr">
        <is>
          <t>2026-06-10</t>
        </is>
      </c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</row>
    <row r="578" ht="26.75" customHeight="1" s="104">
      <c r="A578" s="10" t="inlineStr">
        <is>
          <t>La Cañada Unified School District</t>
        </is>
      </c>
      <c r="B578" s="10" t="inlineStr">
        <is>
          <t>CA</t>
        </is>
      </c>
      <c r="C578" s="10" t="inlineStr">
        <is>
          <t>Bachelor's</t>
        </is>
      </c>
      <c r="D578" s="11" t="n">
        <v>4</v>
      </c>
      <c r="E578" s="12" t="n">
        <v>69598</v>
      </c>
      <c r="F578" s="13" t="inlineStr">
        <is>
          <t>2026-06-10</t>
        </is>
      </c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</row>
    <row r="579" ht="26.75" customHeight="1" s="104">
      <c r="A579" s="10" t="inlineStr">
        <is>
          <t>La Cañada Unified School District</t>
        </is>
      </c>
      <c r="B579" s="10" t="inlineStr">
        <is>
          <t>CA</t>
        </is>
      </c>
      <c r="C579" s="10" t="inlineStr">
        <is>
          <t>Bachelor's</t>
        </is>
      </c>
      <c r="D579" s="11" t="n">
        <v>5</v>
      </c>
      <c r="E579" s="12" t="n">
        <v>72033</v>
      </c>
      <c r="F579" s="13" t="inlineStr">
        <is>
          <t>2026-06-10</t>
        </is>
      </c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</row>
    <row r="580" ht="26.75" customHeight="1" s="104">
      <c r="A580" s="10" t="inlineStr">
        <is>
          <t>La Cañada Unified School District</t>
        </is>
      </c>
      <c r="B580" s="10" t="inlineStr">
        <is>
          <t>CA</t>
        </is>
      </c>
      <c r="C580" s="10" t="inlineStr">
        <is>
          <t>Bachelor's</t>
        </is>
      </c>
      <c r="D580" s="11" t="n">
        <v>6</v>
      </c>
      <c r="E580" s="12" t="n">
        <v>74554</v>
      </c>
      <c r="F580" s="13" t="inlineStr">
        <is>
          <t>2026-06-10</t>
        </is>
      </c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</row>
    <row r="581" ht="26.75" customHeight="1" s="104">
      <c r="A581" s="10" t="inlineStr">
        <is>
          <t>La Cañada Unified School District</t>
        </is>
      </c>
      <c r="B581" s="10" t="inlineStr">
        <is>
          <t>CA</t>
        </is>
      </c>
      <c r="C581" s="10" t="inlineStr">
        <is>
          <t>Bachelor's</t>
        </is>
      </c>
      <c r="D581" s="11" t="n">
        <v>7</v>
      </c>
      <c r="E581" s="12" t="n">
        <v>77163</v>
      </c>
      <c r="F581" s="13" t="inlineStr">
        <is>
          <t>2026-06-10</t>
        </is>
      </c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</row>
    <row r="582" ht="26.75" customHeight="1" s="104">
      <c r="A582" s="10" t="inlineStr">
        <is>
          <t>La Cañada Unified School District</t>
        </is>
      </c>
      <c r="B582" s="10" t="inlineStr">
        <is>
          <t>CA</t>
        </is>
      </c>
      <c r="C582" s="10" t="inlineStr">
        <is>
          <t>Bachelor's</t>
        </is>
      </c>
      <c r="D582" s="11" t="n">
        <v>8</v>
      </c>
      <c r="E582" s="12" t="n">
        <v>79864</v>
      </c>
      <c r="F582" s="13" t="inlineStr">
        <is>
          <t>2026-06-10</t>
        </is>
      </c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</row>
    <row r="583" ht="26.75" customHeight="1" s="104">
      <c r="A583" s="10" t="inlineStr">
        <is>
          <t>La Cañada Unified School District</t>
        </is>
      </c>
      <c r="B583" s="10" t="inlineStr">
        <is>
          <t>CA</t>
        </is>
      </c>
      <c r="C583" s="10" t="inlineStr">
        <is>
          <t>Bachelor's</t>
        </is>
      </c>
      <c r="D583" s="11" t="n">
        <v>9</v>
      </c>
      <c r="E583" s="12" t="n">
        <v>82660</v>
      </c>
      <c r="F583" s="13" t="inlineStr">
        <is>
          <t>2026-06-10</t>
        </is>
      </c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</row>
    <row r="584" ht="26.75" customHeight="1" s="104">
      <c r="A584" s="10" t="inlineStr">
        <is>
          <t>La Cañada Unified School District</t>
        </is>
      </c>
      <c r="B584" s="10" t="inlineStr">
        <is>
          <t>CA</t>
        </is>
      </c>
      <c r="C584" s="10" t="inlineStr">
        <is>
          <t>Bachelor's</t>
        </is>
      </c>
      <c r="D584" s="11" t="n">
        <v>10</v>
      </c>
      <c r="E584" s="12" t="n">
        <v>85553</v>
      </c>
      <c r="F584" s="13" t="inlineStr">
        <is>
          <t>2026-06-10</t>
        </is>
      </c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</row>
    <row r="585" ht="26.75" customHeight="1" s="104">
      <c r="A585" s="10" t="inlineStr">
        <is>
          <t>La Cañada Unified School District</t>
        </is>
      </c>
      <c r="B585" s="10" t="inlineStr">
        <is>
          <t>CA</t>
        </is>
      </c>
      <c r="C585" s="10" t="inlineStr">
        <is>
          <t>Master's</t>
        </is>
      </c>
      <c r="D585" s="11" t="n">
        <v>0</v>
      </c>
      <c r="E585" s="12" t="n">
        <v>73687</v>
      </c>
      <c r="F585" s="13" t="inlineStr">
        <is>
          <t>2026-06-10</t>
        </is>
      </c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</row>
    <row r="586" ht="26.75" customHeight="1" s="104">
      <c r="A586" s="10" t="inlineStr">
        <is>
          <t>La Cañada Unified School District</t>
        </is>
      </c>
      <c r="B586" s="10" t="inlineStr">
        <is>
          <t>CA</t>
        </is>
      </c>
      <c r="C586" s="10" t="inlineStr">
        <is>
          <t>Master's</t>
        </is>
      </c>
      <c r="D586" s="11" t="n">
        <v>1</v>
      </c>
      <c r="E586" s="12" t="n">
        <v>74977</v>
      </c>
      <c r="F586" s="13" t="inlineStr">
        <is>
          <t>2026-06-10</t>
        </is>
      </c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</row>
    <row r="587" ht="26.75" customHeight="1" s="104">
      <c r="A587" s="10" t="inlineStr">
        <is>
          <t>La Cañada Unified School District</t>
        </is>
      </c>
      <c r="B587" s="10" t="inlineStr">
        <is>
          <t>CA</t>
        </is>
      </c>
      <c r="C587" s="10" t="inlineStr">
        <is>
          <t>Master's</t>
        </is>
      </c>
      <c r="D587" s="11" t="n">
        <v>2</v>
      </c>
      <c r="E587" s="12" t="n">
        <v>76288</v>
      </c>
      <c r="F587" s="13" t="inlineStr">
        <is>
          <t>2026-06-10</t>
        </is>
      </c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</row>
    <row r="588" ht="26.75" customHeight="1" s="104">
      <c r="A588" s="10" t="inlineStr">
        <is>
          <t>La Cañada Unified School District</t>
        </is>
      </c>
      <c r="B588" s="10" t="inlineStr">
        <is>
          <t>CA</t>
        </is>
      </c>
      <c r="C588" s="10" t="inlineStr">
        <is>
          <t>Master's</t>
        </is>
      </c>
      <c r="D588" s="11" t="n">
        <v>3</v>
      </c>
      <c r="E588" s="12" t="n">
        <v>78958</v>
      </c>
      <c r="F588" s="13" t="inlineStr">
        <is>
          <t>2026-06-10</t>
        </is>
      </c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</row>
    <row r="589" ht="26.75" customHeight="1" s="104">
      <c r="A589" s="10" t="inlineStr">
        <is>
          <t>La Cañada Unified School District</t>
        </is>
      </c>
      <c r="B589" s="10" t="inlineStr">
        <is>
          <t>CA</t>
        </is>
      </c>
      <c r="C589" s="10" t="inlineStr">
        <is>
          <t>Master's</t>
        </is>
      </c>
      <c r="D589" s="11" t="n">
        <v>4</v>
      </c>
      <c r="E589" s="12" t="n">
        <v>81722</v>
      </c>
      <c r="F589" s="13" t="inlineStr">
        <is>
          <t>2026-06-10</t>
        </is>
      </c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</row>
    <row r="590" ht="26.75" customHeight="1" s="104">
      <c r="A590" s="10" t="inlineStr">
        <is>
          <t>La Cañada Unified School District</t>
        </is>
      </c>
      <c r="B590" s="10" t="inlineStr">
        <is>
          <t>CA</t>
        </is>
      </c>
      <c r="C590" s="10" t="inlineStr">
        <is>
          <t>Master's</t>
        </is>
      </c>
      <c r="D590" s="11" t="n">
        <v>5</v>
      </c>
      <c r="E590" s="12" t="n">
        <v>84583</v>
      </c>
      <c r="F590" s="13" t="inlineStr">
        <is>
          <t>2026-06-10</t>
        </is>
      </c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</row>
    <row r="591" ht="26.75" customHeight="1" s="104">
      <c r="A591" s="10" t="inlineStr">
        <is>
          <t>La Cañada Unified School District</t>
        </is>
      </c>
      <c r="B591" s="10" t="inlineStr">
        <is>
          <t>CA</t>
        </is>
      </c>
      <c r="C591" s="10" t="inlineStr">
        <is>
          <t>Master's</t>
        </is>
      </c>
      <c r="D591" s="11" t="n">
        <v>6</v>
      </c>
      <c r="E591" s="12" t="n">
        <v>87543</v>
      </c>
      <c r="F591" s="13" t="inlineStr">
        <is>
          <t>2026-06-10</t>
        </is>
      </c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</row>
    <row r="592" ht="26.75" customHeight="1" s="104">
      <c r="A592" s="10" t="inlineStr">
        <is>
          <t>La Cañada Unified School District</t>
        </is>
      </c>
      <c r="B592" s="10" t="inlineStr">
        <is>
          <t>CA</t>
        </is>
      </c>
      <c r="C592" s="10" t="inlineStr">
        <is>
          <t>Master's</t>
        </is>
      </c>
      <c r="D592" s="11" t="n">
        <v>7</v>
      </c>
      <c r="E592" s="12" t="n">
        <v>90607</v>
      </c>
      <c r="F592" s="13" t="inlineStr">
        <is>
          <t>2026-06-10</t>
        </is>
      </c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</row>
    <row r="593" ht="26.75" customHeight="1" s="104">
      <c r="A593" s="10" t="inlineStr">
        <is>
          <t>La Cañada Unified School District</t>
        </is>
      </c>
      <c r="B593" s="10" t="inlineStr">
        <is>
          <t>CA</t>
        </is>
      </c>
      <c r="C593" s="10" t="inlineStr">
        <is>
          <t>Master's</t>
        </is>
      </c>
      <c r="D593" s="11" t="n">
        <v>8</v>
      </c>
      <c r="E593" s="12" t="n">
        <v>93778</v>
      </c>
      <c r="F593" s="13" t="inlineStr">
        <is>
          <t>2026-06-10</t>
        </is>
      </c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</row>
    <row r="594" ht="26.75" customHeight="1" s="104">
      <c r="A594" s="10" t="inlineStr">
        <is>
          <t>La Cañada Unified School District</t>
        </is>
      </c>
      <c r="B594" s="10" t="inlineStr">
        <is>
          <t>CA</t>
        </is>
      </c>
      <c r="C594" s="10" t="inlineStr">
        <is>
          <t>Master's</t>
        </is>
      </c>
      <c r="D594" s="11" t="n">
        <v>9</v>
      </c>
      <c r="E594" s="12" t="n">
        <v>97060</v>
      </c>
      <c r="F594" s="13" t="inlineStr">
        <is>
          <t>2026-06-10</t>
        </is>
      </c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</row>
    <row r="595" ht="26.75" customHeight="1" s="104">
      <c r="A595" s="10" t="inlineStr">
        <is>
          <t>La Cañada Unified School District</t>
        </is>
      </c>
      <c r="B595" s="10" t="inlineStr">
        <is>
          <t>CA</t>
        </is>
      </c>
      <c r="C595" s="10" t="inlineStr">
        <is>
          <t>Master's</t>
        </is>
      </c>
      <c r="D595" s="11" t="n">
        <v>10</v>
      </c>
      <c r="E595" s="12" t="n">
        <v>100457</v>
      </c>
      <c r="F595" s="13" t="inlineStr">
        <is>
          <t>2026-06-10</t>
        </is>
      </c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</row>
    <row r="596" ht="26.75" customHeight="1" s="104">
      <c r="A596" s="10" t="inlineStr">
        <is>
          <t>Lake Washington School District</t>
        </is>
      </c>
      <c r="B596" s="10" t="inlineStr">
        <is>
          <t>WA</t>
        </is>
      </c>
      <c r="C596" s="10" t="inlineStr">
        <is>
          <t>Bachelor's</t>
        </is>
      </c>
      <c r="D596" s="11" t="n">
        <v>0</v>
      </c>
      <c r="E596" s="12" t="n">
        <v>61887</v>
      </c>
      <c r="F596" s="13" t="inlineStr">
        <is>
          <t>2026-06-13</t>
        </is>
      </c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</row>
    <row r="597" ht="26.75" customHeight="1" s="104">
      <c r="A597" s="10" t="inlineStr">
        <is>
          <t>Lake Washington School District</t>
        </is>
      </c>
      <c r="B597" s="10" t="inlineStr">
        <is>
          <t>WA</t>
        </is>
      </c>
      <c r="C597" s="10" t="inlineStr">
        <is>
          <t>Bachelor's</t>
        </is>
      </c>
      <c r="D597" s="11" t="n">
        <v>1</v>
      </c>
      <c r="E597" s="12" t="n">
        <v>63104</v>
      </c>
      <c r="F597" s="13" t="inlineStr">
        <is>
          <t>2026-06-13</t>
        </is>
      </c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</row>
    <row r="598" ht="26.75" customHeight="1" s="104">
      <c r="A598" s="10" t="inlineStr">
        <is>
          <t>Lake Washington School District</t>
        </is>
      </c>
      <c r="B598" s="10" t="inlineStr">
        <is>
          <t>WA</t>
        </is>
      </c>
      <c r="C598" s="10" t="inlineStr">
        <is>
          <t>Bachelor's</t>
        </is>
      </c>
      <c r="D598" s="11" t="n">
        <v>2</v>
      </c>
      <c r="E598" s="12" t="n">
        <v>64345</v>
      </c>
      <c r="F598" s="13" t="inlineStr">
        <is>
          <t>2026-06-13</t>
        </is>
      </c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</row>
    <row r="599" ht="26.75" customHeight="1" s="104">
      <c r="A599" s="10" t="inlineStr">
        <is>
          <t>Lake Washington School District</t>
        </is>
      </c>
      <c r="B599" s="10" t="inlineStr">
        <is>
          <t>WA</t>
        </is>
      </c>
      <c r="C599" s="10" t="inlineStr">
        <is>
          <t>Bachelor's</t>
        </is>
      </c>
      <c r="D599" s="11" t="n">
        <v>3</v>
      </c>
      <c r="E599" s="12" t="n">
        <v>65615</v>
      </c>
      <c r="F599" s="13" t="inlineStr">
        <is>
          <t>2026-06-13</t>
        </is>
      </c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</row>
    <row r="600" ht="26.75" customHeight="1" s="104">
      <c r="A600" s="10" t="inlineStr">
        <is>
          <t>Lake Washington School District</t>
        </is>
      </c>
      <c r="B600" s="10" t="inlineStr">
        <is>
          <t>WA</t>
        </is>
      </c>
      <c r="C600" s="10" t="inlineStr">
        <is>
          <t>Bachelor's</t>
        </is>
      </c>
      <c r="D600" s="11" t="n">
        <v>4</v>
      </c>
      <c r="E600" s="12" t="n">
        <v>66909</v>
      </c>
      <c r="F600" s="13" t="inlineStr">
        <is>
          <t>2026-06-13</t>
        </is>
      </c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</row>
    <row r="601" ht="26.75" customHeight="1" s="104">
      <c r="A601" s="10" t="inlineStr">
        <is>
          <t>Lake Washington School District</t>
        </is>
      </c>
      <c r="B601" s="10" t="inlineStr">
        <is>
          <t>WA</t>
        </is>
      </c>
      <c r="C601" s="10" t="inlineStr">
        <is>
          <t>Bachelor's</t>
        </is>
      </c>
      <c r="D601" s="11" t="n">
        <v>5</v>
      </c>
      <c r="E601" s="12" t="n">
        <v>68226</v>
      </c>
      <c r="F601" s="13" t="inlineStr">
        <is>
          <t>2026-06-13</t>
        </is>
      </c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</row>
    <row r="602" ht="26.75" customHeight="1" s="104">
      <c r="A602" s="10" t="inlineStr">
        <is>
          <t>Lake Washington School District</t>
        </is>
      </c>
      <c r="B602" s="10" t="inlineStr">
        <is>
          <t>WA</t>
        </is>
      </c>
      <c r="C602" s="10" t="inlineStr">
        <is>
          <t>Bachelor's</t>
        </is>
      </c>
      <c r="D602" s="11" t="n">
        <v>6</v>
      </c>
      <c r="E602" s="12" t="n">
        <v>76138</v>
      </c>
      <c r="F602" s="13" t="inlineStr">
        <is>
          <t>2026-06-13</t>
        </is>
      </c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</row>
    <row r="603" ht="26.75" customHeight="1" s="104">
      <c r="A603" s="10" t="inlineStr">
        <is>
          <t>Lake Washington School District</t>
        </is>
      </c>
      <c r="B603" s="10" t="inlineStr">
        <is>
          <t>WA</t>
        </is>
      </c>
      <c r="C603" s="10" t="inlineStr">
        <is>
          <t>Bachelor's</t>
        </is>
      </c>
      <c r="D603" s="11" t="n">
        <v>7</v>
      </c>
      <c r="E603" s="12" t="n">
        <v>78275</v>
      </c>
      <c r="F603" s="13" t="inlineStr">
        <is>
          <t>2026-06-13</t>
        </is>
      </c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</row>
    <row r="604" ht="26.75" customHeight="1" s="104">
      <c r="A604" s="10" t="inlineStr">
        <is>
          <t>Lake Washington School District</t>
        </is>
      </c>
      <c r="B604" s="10" t="inlineStr">
        <is>
          <t>WA</t>
        </is>
      </c>
      <c r="C604" s="10" t="inlineStr">
        <is>
          <t>Bachelor's</t>
        </is>
      </c>
      <c r="D604" s="11" t="n">
        <v>8</v>
      </c>
      <c r="E604" s="12" t="n">
        <v>80471</v>
      </c>
      <c r="F604" s="13" t="inlineStr">
        <is>
          <t>2026-06-13</t>
        </is>
      </c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</row>
    <row r="605" ht="26.75" customHeight="1" s="104">
      <c r="A605" s="10" t="inlineStr">
        <is>
          <t>Lake Washington School District</t>
        </is>
      </c>
      <c r="B605" s="10" t="inlineStr">
        <is>
          <t>WA</t>
        </is>
      </c>
      <c r="C605" s="10" t="inlineStr">
        <is>
          <t>Bachelor's</t>
        </is>
      </c>
      <c r="D605" s="11" t="n">
        <v>9</v>
      </c>
      <c r="E605" s="12" t="n">
        <v>82726</v>
      </c>
      <c r="F605" s="13" t="inlineStr">
        <is>
          <t>2026-06-13</t>
        </is>
      </c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</row>
    <row r="606" ht="26.75" customHeight="1" s="104">
      <c r="A606" s="10" t="inlineStr">
        <is>
          <t>Lake Washington School District</t>
        </is>
      </c>
      <c r="B606" s="10" t="inlineStr">
        <is>
          <t>WA</t>
        </is>
      </c>
      <c r="C606" s="10" t="inlineStr">
        <is>
          <t>Bachelor's</t>
        </is>
      </c>
      <c r="D606" s="11" t="n">
        <v>10</v>
      </c>
      <c r="E606" s="12" t="n">
        <v>85047</v>
      </c>
      <c r="F606" s="13" t="inlineStr">
        <is>
          <t>2026-06-13</t>
        </is>
      </c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</row>
    <row r="607" ht="26.75" customHeight="1" s="104">
      <c r="A607" s="10" t="inlineStr">
        <is>
          <t>Lake Washington School District</t>
        </is>
      </c>
      <c r="B607" s="10" t="inlineStr">
        <is>
          <t>WA</t>
        </is>
      </c>
      <c r="C607" s="10" t="inlineStr">
        <is>
          <t>Master's</t>
        </is>
      </c>
      <c r="D607" s="11" t="n">
        <v>0</v>
      </c>
      <c r="E607" s="12" t="n">
        <v>70072</v>
      </c>
      <c r="F607" s="13" t="inlineStr">
        <is>
          <t>2026-06-13</t>
        </is>
      </c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</row>
    <row r="608" ht="26.75" customHeight="1" s="104">
      <c r="A608" s="10" t="inlineStr">
        <is>
          <t>Lake Washington School District</t>
        </is>
      </c>
      <c r="B608" s="10" t="inlineStr">
        <is>
          <t>WA</t>
        </is>
      </c>
      <c r="C608" s="10" t="inlineStr">
        <is>
          <t>Master's</t>
        </is>
      </c>
      <c r="D608" s="11" t="n">
        <v>1</v>
      </c>
      <c r="E608" s="12" t="n">
        <v>72114</v>
      </c>
      <c r="F608" s="13" t="inlineStr">
        <is>
          <t>2026-06-13</t>
        </is>
      </c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</row>
    <row r="609" ht="26.75" customHeight="1" s="104">
      <c r="A609" s="10" t="inlineStr">
        <is>
          <t>Lake Washington School District</t>
        </is>
      </c>
      <c r="B609" s="10" t="inlineStr">
        <is>
          <t>WA</t>
        </is>
      </c>
      <c r="C609" s="10" t="inlineStr">
        <is>
          <t>Master's</t>
        </is>
      </c>
      <c r="D609" s="11" t="n">
        <v>2</v>
      </c>
      <c r="E609" s="12" t="n">
        <v>74215</v>
      </c>
      <c r="F609" s="13" t="inlineStr">
        <is>
          <t>2026-06-13</t>
        </is>
      </c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</row>
    <row r="610" ht="26.75" customHeight="1" s="104">
      <c r="A610" s="10" t="inlineStr">
        <is>
          <t>Lake Washington School District</t>
        </is>
      </c>
      <c r="B610" s="10" t="inlineStr">
        <is>
          <t>WA</t>
        </is>
      </c>
      <c r="C610" s="10" t="inlineStr">
        <is>
          <t>Master's</t>
        </is>
      </c>
      <c r="D610" s="11" t="n">
        <v>3</v>
      </c>
      <c r="E610" s="12" t="n">
        <v>76375</v>
      </c>
      <c r="F610" s="13" t="inlineStr">
        <is>
          <t>2026-06-13</t>
        </is>
      </c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</row>
    <row r="611" ht="26.75" customHeight="1" s="104">
      <c r="A611" s="10" t="inlineStr">
        <is>
          <t>Lake Washington School District</t>
        </is>
      </c>
      <c r="B611" s="10" t="inlineStr">
        <is>
          <t>WA</t>
        </is>
      </c>
      <c r="C611" s="10" t="inlineStr">
        <is>
          <t>Master's</t>
        </is>
      </c>
      <c r="D611" s="11" t="n">
        <v>4</v>
      </c>
      <c r="E611" s="12" t="n">
        <v>78595</v>
      </c>
      <c r="F611" s="13" t="inlineStr">
        <is>
          <t>2026-06-13</t>
        </is>
      </c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</row>
    <row r="612" ht="26.75" customHeight="1" s="104">
      <c r="A612" s="10" t="inlineStr">
        <is>
          <t>Lake Washington School District</t>
        </is>
      </c>
      <c r="B612" s="10" t="inlineStr">
        <is>
          <t>WA</t>
        </is>
      </c>
      <c r="C612" s="10" t="inlineStr">
        <is>
          <t>Master's</t>
        </is>
      </c>
      <c r="D612" s="11" t="n">
        <v>5</v>
      </c>
      <c r="E612" s="12" t="n">
        <v>80880</v>
      </c>
      <c r="F612" s="13" t="inlineStr">
        <is>
          <t>2026-06-13</t>
        </is>
      </c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</row>
    <row r="613" ht="26.75" customHeight="1" s="104">
      <c r="A613" s="10" t="inlineStr">
        <is>
          <t>Lake Washington School District</t>
        </is>
      </c>
      <c r="B613" s="10" t="inlineStr">
        <is>
          <t>WA</t>
        </is>
      </c>
      <c r="C613" s="10" t="inlineStr">
        <is>
          <t>Master's</t>
        </is>
      </c>
      <c r="D613" s="11" t="n">
        <v>6</v>
      </c>
      <c r="E613" s="12" t="n">
        <v>83237</v>
      </c>
      <c r="F613" s="13" t="inlineStr">
        <is>
          <t>2026-06-13</t>
        </is>
      </c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</row>
    <row r="614" ht="26.75" customHeight="1" s="104">
      <c r="A614" s="10" t="inlineStr">
        <is>
          <t>Lake Washington School District</t>
        </is>
      </c>
      <c r="B614" s="10" t="inlineStr">
        <is>
          <t>WA</t>
        </is>
      </c>
      <c r="C614" s="10" t="inlineStr">
        <is>
          <t>Master's</t>
        </is>
      </c>
      <c r="D614" s="11" t="n">
        <v>7</v>
      </c>
      <c r="E614" s="12" t="n">
        <v>85658</v>
      </c>
      <c r="F614" s="13" t="inlineStr">
        <is>
          <t>2026-06-13</t>
        </is>
      </c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</row>
    <row r="615" ht="26.75" customHeight="1" s="104">
      <c r="A615" s="10" t="inlineStr">
        <is>
          <t>Lake Washington School District</t>
        </is>
      </c>
      <c r="B615" s="10" t="inlineStr">
        <is>
          <t>WA</t>
        </is>
      </c>
      <c r="C615" s="10" t="inlineStr">
        <is>
          <t>Master's</t>
        </is>
      </c>
      <c r="D615" s="11" t="n">
        <v>8</v>
      </c>
      <c r="E615" s="12" t="n">
        <v>88151</v>
      </c>
      <c r="F615" s="13" t="inlineStr">
        <is>
          <t>2026-06-13</t>
        </is>
      </c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</row>
    <row r="616" ht="26.75" customHeight="1" s="104">
      <c r="A616" s="10" t="inlineStr">
        <is>
          <t>Lake Washington School District</t>
        </is>
      </c>
      <c r="B616" s="10" t="inlineStr">
        <is>
          <t>WA</t>
        </is>
      </c>
      <c r="C616" s="10" t="inlineStr">
        <is>
          <t>Master's</t>
        </is>
      </c>
      <c r="D616" s="11" t="n">
        <v>9</v>
      </c>
      <c r="E616" s="12" t="n">
        <v>90715</v>
      </c>
      <c r="F616" s="13" t="inlineStr">
        <is>
          <t>2026-06-13</t>
        </is>
      </c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</row>
    <row r="617" ht="26.75" customHeight="1" s="104">
      <c r="A617" s="10" t="inlineStr">
        <is>
          <t>Lake Washington School District</t>
        </is>
      </c>
      <c r="B617" s="10" t="inlineStr">
        <is>
          <t>WA</t>
        </is>
      </c>
      <c r="C617" s="10" t="inlineStr">
        <is>
          <t>Master's</t>
        </is>
      </c>
      <c r="D617" s="11" t="n">
        <v>10</v>
      </c>
      <c r="E617" s="12" t="n">
        <v>93356</v>
      </c>
      <c r="F617" s="13" t="inlineStr">
        <is>
          <t>2026-06-13</t>
        </is>
      </c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</row>
    <row r="618" ht="26.75" customHeight="1" s="104">
      <c r="A618" s="10" t="inlineStr">
        <is>
          <t>Leander ISD</t>
        </is>
      </c>
      <c r="B618" s="10" t="inlineStr">
        <is>
          <t>TX</t>
        </is>
      </c>
      <c r="C618" s="10" t="inlineStr">
        <is>
          <t>Bachelor's</t>
        </is>
      </c>
      <c r="D618" s="11" t="n">
        <v>0</v>
      </c>
      <c r="E618" s="12" t="n">
        <v>57500</v>
      </c>
      <c r="F618" s="13" t="inlineStr">
        <is>
          <t>2026-06-10</t>
        </is>
      </c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</row>
    <row r="619" ht="26.75" customHeight="1" s="104">
      <c r="A619" s="10" t="inlineStr">
        <is>
          <t>Leander ISD</t>
        </is>
      </c>
      <c r="B619" s="10" t="inlineStr">
        <is>
          <t>TX</t>
        </is>
      </c>
      <c r="C619" s="10" t="inlineStr">
        <is>
          <t>Bachelor's</t>
        </is>
      </c>
      <c r="D619" s="11" t="n">
        <v>1</v>
      </c>
      <c r="E619" s="12" t="n">
        <v>57670</v>
      </c>
      <c r="F619" s="13" t="inlineStr">
        <is>
          <t>2026-06-10</t>
        </is>
      </c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</row>
    <row r="620" ht="26.75" customHeight="1" s="104">
      <c r="A620" s="10" t="inlineStr">
        <is>
          <t>Leander ISD</t>
        </is>
      </c>
      <c r="B620" s="10" t="inlineStr">
        <is>
          <t>TX</t>
        </is>
      </c>
      <c r="C620" s="10" t="inlineStr">
        <is>
          <t>Bachelor's</t>
        </is>
      </c>
      <c r="D620" s="11" t="n">
        <v>2</v>
      </c>
      <c r="E620" s="12" t="n">
        <v>57870</v>
      </c>
      <c r="F620" s="13" t="inlineStr">
        <is>
          <t>2026-06-10</t>
        </is>
      </c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</row>
    <row r="621" ht="26.75" customHeight="1" s="104">
      <c r="A621" s="10" t="inlineStr">
        <is>
          <t>Leander ISD</t>
        </is>
      </c>
      <c r="B621" s="10" t="inlineStr">
        <is>
          <t>TX</t>
        </is>
      </c>
      <c r="C621" s="10" t="inlineStr">
        <is>
          <t>Bachelor's</t>
        </is>
      </c>
      <c r="D621" s="11" t="n">
        <v>3</v>
      </c>
      <c r="E621" s="12" t="n">
        <v>59695</v>
      </c>
      <c r="F621" s="13" t="inlineStr">
        <is>
          <t>2026-06-10</t>
        </is>
      </c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</row>
    <row r="622" ht="26.75" customHeight="1" s="104">
      <c r="A622" s="10" t="inlineStr">
        <is>
          <t>Leander ISD</t>
        </is>
      </c>
      <c r="B622" s="10" t="inlineStr">
        <is>
          <t>TX</t>
        </is>
      </c>
      <c r="C622" s="10" t="inlineStr">
        <is>
          <t>Bachelor's</t>
        </is>
      </c>
      <c r="D622" s="11" t="n">
        <v>4</v>
      </c>
      <c r="E622" s="12" t="n">
        <v>60095</v>
      </c>
      <c r="F622" s="13" t="inlineStr">
        <is>
          <t>2026-06-10</t>
        </is>
      </c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</row>
    <row r="623" ht="26.75" customHeight="1" s="104">
      <c r="A623" s="10" t="inlineStr">
        <is>
          <t>Leander ISD</t>
        </is>
      </c>
      <c r="B623" s="10" t="inlineStr">
        <is>
          <t>TX</t>
        </is>
      </c>
      <c r="C623" s="10" t="inlineStr">
        <is>
          <t>Bachelor's</t>
        </is>
      </c>
      <c r="D623" s="11" t="n">
        <v>5</v>
      </c>
      <c r="E623" s="12" t="n">
        <v>62683</v>
      </c>
      <c r="F623" s="13" t="inlineStr">
        <is>
          <t>2026-06-10</t>
        </is>
      </c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</row>
    <row r="624" ht="26.75" customHeight="1" s="104">
      <c r="A624" s="10" t="inlineStr">
        <is>
          <t>Leander ISD</t>
        </is>
      </c>
      <c r="B624" s="10" t="inlineStr">
        <is>
          <t>TX</t>
        </is>
      </c>
      <c r="C624" s="10" t="inlineStr">
        <is>
          <t>Bachelor's</t>
        </is>
      </c>
      <c r="D624" s="11" t="n">
        <v>6</v>
      </c>
      <c r="E624" s="12" t="n">
        <v>62995</v>
      </c>
      <c r="F624" s="13" t="inlineStr">
        <is>
          <t>2026-06-10</t>
        </is>
      </c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</row>
    <row r="625" ht="26.75" customHeight="1" s="104">
      <c r="A625" s="10" t="inlineStr">
        <is>
          <t>Leander ISD</t>
        </is>
      </c>
      <c r="B625" s="10" t="inlineStr">
        <is>
          <t>TX</t>
        </is>
      </c>
      <c r="C625" s="10" t="inlineStr">
        <is>
          <t>Bachelor's</t>
        </is>
      </c>
      <c r="D625" s="11" t="n">
        <v>7</v>
      </c>
      <c r="E625" s="12" t="n">
        <v>63195</v>
      </c>
      <c r="F625" s="13" t="inlineStr">
        <is>
          <t>2026-06-10</t>
        </is>
      </c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</row>
    <row r="626" ht="26.75" customHeight="1" s="104">
      <c r="A626" s="10" t="inlineStr">
        <is>
          <t>Leander ISD</t>
        </is>
      </c>
      <c r="B626" s="10" t="inlineStr">
        <is>
          <t>TX</t>
        </is>
      </c>
      <c r="C626" s="10" t="inlineStr">
        <is>
          <t>Bachelor's</t>
        </is>
      </c>
      <c r="D626" s="11" t="n">
        <v>8</v>
      </c>
      <c r="E626" s="12" t="n">
        <v>63395</v>
      </c>
      <c r="F626" s="13" t="inlineStr">
        <is>
          <t>2026-06-10</t>
        </is>
      </c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</row>
    <row r="627" ht="26.75" customHeight="1" s="104">
      <c r="A627" s="10" t="inlineStr">
        <is>
          <t>Leander ISD</t>
        </is>
      </c>
      <c r="B627" s="10" t="inlineStr">
        <is>
          <t>TX</t>
        </is>
      </c>
      <c r="C627" s="10" t="inlineStr">
        <is>
          <t>Bachelor's</t>
        </is>
      </c>
      <c r="D627" s="11" t="n">
        <v>9</v>
      </c>
      <c r="E627" s="12" t="n">
        <v>63821</v>
      </c>
      <c r="F627" s="13" t="inlineStr">
        <is>
          <t>2026-06-10</t>
        </is>
      </c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</row>
    <row r="628" ht="26.75" customHeight="1" s="104">
      <c r="A628" s="10" t="inlineStr">
        <is>
          <t>Leander ISD</t>
        </is>
      </c>
      <c r="B628" s="10" t="inlineStr">
        <is>
          <t>TX</t>
        </is>
      </c>
      <c r="C628" s="10" t="inlineStr">
        <is>
          <t>Bachelor's</t>
        </is>
      </c>
      <c r="D628" s="11" t="n">
        <v>10</v>
      </c>
      <c r="E628" s="12" t="n">
        <v>64271</v>
      </c>
      <c r="F628" s="13" t="inlineStr">
        <is>
          <t>2026-06-10</t>
        </is>
      </c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</row>
    <row r="629" ht="26.75" customHeight="1" s="104">
      <c r="A629" s="10" t="inlineStr">
        <is>
          <t>Leander ISD</t>
        </is>
      </c>
      <c r="B629" s="10" t="inlineStr">
        <is>
          <t>TX</t>
        </is>
      </c>
      <c r="C629" s="10" t="inlineStr">
        <is>
          <t>Master's</t>
        </is>
      </c>
      <c r="D629" s="11" t="n">
        <v>0</v>
      </c>
      <c r="E629" s="12" t="n">
        <v>58500</v>
      </c>
      <c r="F629" s="13" t="inlineStr">
        <is>
          <t>2026-06-10</t>
        </is>
      </c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</row>
    <row r="630" ht="26.75" customHeight="1" s="104">
      <c r="A630" s="10" t="inlineStr">
        <is>
          <t>Leander ISD</t>
        </is>
      </c>
      <c r="B630" s="10" t="inlineStr">
        <is>
          <t>TX</t>
        </is>
      </c>
      <c r="C630" s="10" t="inlineStr">
        <is>
          <t>Master's</t>
        </is>
      </c>
      <c r="D630" s="11" t="n">
        <v>1</v>
      </c>
      <c r="E630" s="12" t="n">
        <v>58670</v>
      </c>
      <c r="F630" s="13" t="inlineStr">
        <is>
          <t>2026-06-10</t>
        </is>
      </c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</row>
    <row r="631" ht="26.75" customHeight="1" s="104">
      <c r="A631" s="10" t="inlineStr">
        <is>
          <t>Leander ISD</t>
        </is>
      </c>
      <c r="B631" s="10" t="inlineStr">
        <is>
          <t>TX</t>
        </is>
      </c>
      <c r="C631" s="10" t="inlineStr">
        <is>
          <t>Master's</t>
        </is>
      </c>
      <c r="D631" s="11" t="n">
        <v>2</v>
      </c>
      <c r="E631" s="12" t="n">
        <v>58870</v>
      </c>
      <c r="F631" s="13" t="inlineStr">
        <is>
          <t>2026-06-10</t>
        </is>
      </c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</row>
    <row r="632" ht="26.75" customHeight="1" s="104">
      <c r="A632" s="10" t="inlineStr">
        <is>
          <t>Leander ISD</t>
        </is>
      </c>
      <c r="B632" s="10" t="inlineStr">
        <is>
          <t>TX</t>
        </is>
      </c>
      <c r="C632" s="10" t="inlineStr">
        <is>
          <t>Master's</t>
        </is>
      </c>
      <c r="D632" s="11" t="n">
        <v>3</v>
      </c>
      <c r="E632" s="12" t="n">
        <v>60695</v>
      </c>
      <c r="F632" s="13" t="inlineStr">
        <is>
          <t>2026-06-10</t>
        </is>
      </c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</row>
    <row r="633" ht="26.75" customHeight="1" s="104">
      <c r="A633" s="10" t="inlineStr">
        <is>
          <t>Leander ISD</t>
        </is>
      </c>
      <c r="B633" s="10" t="inlineStr">
        <is>
          <t>TX</t>
        </is>
      </c>
      <c r="C633" s="10" t="inlineStr">
        <is>
          <t>Master's</t>
        </is>
      </c>
      <c r="D633" s="11" t="n">
        <v>4</v>
      </c>
      <c r="E633" s="12" t="n">
        <v>61095</v>
      </c>
      <c r="F633" s="13" t="inlineStr">
        <is>
          <t>2026-06-10</t>
        </is>
      </c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</row>
    <row r="634" ht="26.75" customHeight="1" s="104">
      <c r="A634" s="10" t="inlineStr">
        <is>
          <t>Leander ISD</t>
        </is>
      </c>
      <c r="B634" s="10" t="inlineStr">
        <is>
          <t>TX</t>
        </is>
      </c>
      <c r="C634" s="10" t="inlineStr">
        <is>
          <t>Master's</t>
        </is>
      </c>
      <c r="D634" s="11" t="n">
        <v>5</v>
      </c>
      <c r="E634" s="12" t="n">
        <v>63683</v>
      </c>
      <c r="F634" s="13" t="inlineStr">
        <is>
          <t>2026-06-10</t>
        </is>
      </c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</row>
    <row r="635" ht="26.75" customHeight="1" s="104">
      <c r="A635" s="10" t="inlineStr">
        <is>
          <t>Leander ISD</t>
        </is>
      </c>
      <c r="B635" s="10" t="inlineStr">
        <is>
          <t>TX</t>
        </is>
      </c>
      <c r="C635" s="10" t="inlineStr">
        <is>
          <t>Master's</t>
        </is>
      </c>
      <c r="D635" s="11" t="n">
        <v>6</v>
      </c>
      <c r="E635" s="12" t="n">
        <v>63995</v>
      </c>
      <c r="F635" s="13" t="inlineStr">
        <is>
          <t>2026-06-10</t>
        </is>
      </c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</row>
    <row r="636" ht="26.75" customHeight="1" s="104">
      <c r="A636" s="10" t="inlineStr">
        <is>
          <t>Leander ISD</t>
        </is>
      </c>
      <c r="B636" s="10" t="inlineStr">
        <is>
          <t>TX</t>
        </is>
      </c>
      <c r="C636" s="10" t="inlineStr">
        <is>
          <t>Master's</t>
        </is>
      </c>
      <c r="D636" s="11" t="n">
        <v>7</v>
      </c>
      <c r="E636" s="12" t="n">
        <v>64195</v>
      </c>
      <c r="F636" s="13" t="inlineStr">
        <is>
          <t>2026-06-10</t>
        </is>
      </c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</row>
    <row r="637" ht="26.75" customHeight="1" s="104">
      <c r="A637" s="10" t="inlineStr">
        <is>
          <t>Leander ISD</t>
        </is>
      </c>
      <c r="B637" s="10" t="inlineStr">
        <is>
          <t>TX</t>
        </is>
      </c>
      <c r="C637" s="10" t="inlineStr">
        <is>
          <t>Master's</t>
        </is>
      </c>
      <c r="D637" s="11" t="n">
        <v>8</v>
      </c>
      <c r="E637" s="12" t="n">
        <v>64395</v>
      </c>
      <c r="F637" s="13" t="inlineStr">
        <is>
          <t>2026-06-10</t>
        </is>
      </c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</row>
    <row r="638" ht="26.75" customHeight="1" s="104">
      <c r="A638" s="10" t="inlineStr">
        <is>
          <t>Leander ISD</t>
        </is>
      </c>
      <c r="B638" s="10" t="inlineStr">
        <is>
          <t>TX</t>
        </is>
      </c>
      <c r="C638" s="10" t="inlineStr">
        <is>
          <t>Master's</t>
        </is>
      </c>
      <c r="D638" s="11" t="n">
        <v>9</v>
      </c>
      <c r="E638" s="12" t="n">
        <v>64821</v>
      </c>
      <c r="F638" s="13" t="inlineStr">
        <is>
          <t>2026-06-10</t>
        </is>
      </c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</row>
    <row r="639" ht="26.75" customHeight="1" s="104">
      <c r="A639" s="10" t="inlineStr">
        <is>
          <t>Leander ISD</t>
        </is>
      </c>
      <c r="B639" s="10" t="inlineStr">
        <is>
          <t>TX</t>
        </is>
      </c>
      <c r="C639" s="10" t="inlineStr">
        <is>
          <t>Master's</t>
        </is>
      </c>
      <c r="D639" s="11" t="n">
        <v>10</v>
      </c>
      <c r="E639" s="12" t="n">
        <v>65271</v>
      </c>
      <c r="F639" s="13" t="inlineStr">
        <is>
          <t>2026-06-10</t>
        </is>
      </c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</row>
    <row r="640" ht="26.75" customHeight="1" s="104">
      <c r="A640" s="10" t="inlineStr">
        <is>
          <t>Los Angeles Unified</t>
        </is>
      </c>
      <c r="B640" s="10" t="inlineStr">
        <is>
          <t>CA</t>
        </is>
      </c>
      <c r="C640" s="10" t="inlineStr">
        <is>
          <t>Bachelor's</t>
        </is>
      </c>
      <c r="D640" s="11" t="n">
        <v>0</v>
      </c>
      <c r="E640" s="12" t="n">
        <v>68966</v>
      </c>
      <c r="F640" s="13" t="inlineStr">
        <is>
          <t>2026-06-10</t>
        </is>
      </c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</row>
    <row r="641" ht="26.75" customHeight="1" s="104">
      <c r="A641" s="10" t="inlineStr">
        <is>
          <t>Los Angeles Unified</t>
        </is>
      </c>
      <c r="B641" s="10" t="inlineStr">
        <is>
          <t>CA</t>
        </is>
      </c>
      <c r="C641" s="10" t="inlineStr">
        <is>
          <t>Bachelor's</t>
        </is>
      </c>
      <c r="D641" s="11" t="n">
        <v>1</v>
      </c>
      <c r="E641" s="12" t="n">
        <v>69048</v>
      </c>
      <c r="F641" s="13" t="inlineStr">
        <is>
          <t>2026-06-10</t>
        </is>
      </c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</row>
    <row r="642" ht="26.75" customHeight="1" s="104">
      <c r="A642" s="10" t="inlineStr">
        <is>
          <t>Los Angeles Unified</t>
        </is>
      </c>
      <c r="B642" s="10" t="inlineStr">
        <is>
          <t>CA</t>
        </is>
      </c>
      <c r="C642" s="10" t="inlineStr">
        <is>
          <t>Bachelor's</t>
        </is>
      </c>
      <c r="D642" s="11" t="n">
        <v>2</v>
      </c>
      <c r="E642" s="12" t="n">
        <v>69782</v>
      </c>
      <c r="F642" s="13" t="inlineStr">
        <is>
          <t>2026-06-10</t>
        </is>
      </c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</row>
    <row r="643" ht="26.75" customHeight="1" s="104">
      <c r="A643" s="10" t="inlineStr">
        <is>
          <t>Los Angeles Unified</t>
        </is>
      </c>
      <c r="B643" s="10" t="inlineStr">
        <is>
          <t>CA</t>
        </is>
      </c>
      <c r="C643" s="10" t="inlineStr">
        <is>
          <t>Bachelor's</t>
        </is>
      </c>
      <c r="D643" s="11" t="n">
        <v>3</v>
      </c>
      <c r="E643" s="12" t="n">
        <v>70519</v>
      </c>
      <c r="F643" s="13" t="inlineStr">
        <is>
          <t>2026-06-10</t>
        </is>
      </c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</row>
    <row r="644" ht="26.75" customHeight="1" s="104">
      <c r="A644" s="10" t="inlineStr">
        <is>
          <t>Los Angeles Unified</t>
        </is>
      </c>
      <c r="B644" s="10" t="inlineStr">
        <is>
          <t>CA</t>
        </is>
      </c>
      <c r="C644" s="10" t="inlineStr">
        <is>
          <t>Bachelor's</t>
        </is>
      </c>
      <c r="D644" s="11" t="n">
        <v>4</v>
      </c>
      <c r="E644" s="12" t="n">
        <v>70600</v>
      </c>
      <c r="F644" s="13" t="inlineStr">
        <is>
          <t>2026-06-10</t>
        </is>
      </c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</row>
    <row r="645" ht="26.75" customHeight="1" s="104">
      <c r="A645" s="10" t="inlineStr">
        <is>
          <t>Los Angeles Unified</t>
        </is>
      </c>
      <c r="B645" s="10" t="inlineStr">
        <is>
          <t>CA</t>
        </is>
      </c>
      <c r="C645" s="10" t="inlineStr">
        <is>
          <t>Bachelor's</t>
        </is>
      </c>
      <c r="D645" s="11" t="n">
        <v>5</v>
      </c>
      <c r="E645" s="12" t="n">
        <v>70715</v>
      </c>
      <c r="F645" s="13" t="inlineStr">
        <is>
          <t>2026-06-10</t>
        </is>
      </c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</row>
    <row r="646" ht="26.75" customHeight="1" s="104">
      <c r="A646" s="10" t="inlineStr">
        <is>
          <t>Los Angeles Unified</t>
        </is>
      </c>
      <c r="B646" s="10" t="inlineStr">
        <is>
          <t>CA</t>
        </is>
      </c>
      <c r="C646" s="10" t="inlineStr">
        <is>
          <t>Bachelor's</t>
        </is>
      </c>
      <c r="D646" s="11" t="n">
        <v>6</v>
      </c>
      <c r="E646" s="12" t="n">
        <v>72738</v>
      </c>
      <c r="F646" s="13" t="inlineStr">
        <is>
          <t>2026-06-10</t>
        </is>
      </c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</row>
    <row r="647" ht="26.75" customHeight="1" s="104">
      <c r="A647" s="10" t="inlineStr">
        <is>
          <t>Los Angeles Unified</t>
        </is>
      </c>
      <c r="B647" s="10" t="inlineStr">
        <is>
          <t>CA</t>
        </is>
      </c>
      <c r="C647" s="10" t="inlineStr">
        <is>
          <t>Bachelor's</t>
        </is>
      </c>
      <c r="D647" s="11" t="n">
        <v>7</v>
      </c>
      <c r="E647" s="12" t="n">
        <v>74440</v>
      </c>
      <c r="F647" s="13" t="inlineStr">
        <is>
          <t>2026-06-10</t>
        </is>
      </c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</row>
    <row r="648" ht="26.75" customHeight="1" s="104">
      <c r="A648" s="10" t="inlineStr">
        <is>
          <t>Los Angeles Unified</t>
        </is>
      </c>
      <c r="B648" s="10" t="inlineStr">
        <is>
          <t>CA</t>
        </is>
      </c>
      <c r="C648" s="10" t="inlineStr">
        <is>
          <t>Bachelor's</t>
        </is>
      </c>
      <c r="D648" s="11" t="n">
        <v>8</v>
      </c>
      <c r="E648" s="12" t="n">
        <v>77004</v>
      </c>
      <c r="F648" s="13" t="inlineStr">
        <is>
          <t>2026-06-10</t>
        </is>
      </c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</row>
    <row r="649" ht="26.75" customHeight="1" s="104">
      <c r="A649" s="10" t="inlineStr">
        <is>
          <t>Los Angeles Unified</t>
        </is>
      </c>
      <c r="B649" s="10" t="inlineStr">
        <is>
          <t>CA</t>
        </is>
      </c>
      <c r="C649" s="10" t="inlineStr">
        <is>
          <t>Bachelor's</t>
        </is>
      </c>
      <c r="D649" s="11" t="n">
        <v>9</v>
      </c>
      <c r="E649" s="12" t="n">
        <v>79193</v>
      </c>
      <c r="F649" s="13" t="inlineStr">
        <is>
          <t>2026-06-10</t>
        </is>
      </c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</row>
    <row r="650" ht="26.75" customHeight="1" s="104">
      <c r="A650" s="10" t="inlineStr">
        <is>
          <t>Los Angeles Unified</t>
        </is>
      </c>
      <c r="B650" s="10" t="inlineStr">
        <is>
          <t>CA</t>
        </is>
      </c>
      <c r="C650" s="10" t="inlineStr">
        <is>
          <t>Bachelor's</t>
        </is>
      </c>
      <c r="D650" s="11" t="n">
        <v>10</v>
      </c>
      <c r="E650" s="12" t="n">
        <v>79193</v>
      </c>
      <c r="F650" s="13" t="inlineStr">
        <is>
          <t>2026-06-10</t>
        </is>
      </c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</row>
    <row r="651" ht="26.75" customHeight="1" s="104">
      <c r="A651" s="10" t="inlineStr">
        <is>
          <t>Los Angeles Unified</t>
        </is>
      </c>
      <c r="B651" s="10" t="inlineStr">
        <is>
          <t>CA</t>
        </is>
      </c>
      <c r="C651" s="10" t="inlineStr">
        <is>
          <t>Master's</t>
        </is>
      </c>
      <c r="D651" s="11" t="n">
        <v>0</v>
      </c>
      <c r="E651" s="12" t="n">
        <v>69550</v>
      </c>
      <c r="F651" s="13" t="inlineStr">
        <is>
          <t>2026-06-10</t>
        </is>
      </c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</row>
    <row r="652" ht="26.75" customHeight="1" s="104">
      <c r="A652" s="10" t="inlineStr">
        <is>
          <t>Los Angeles Unified</t>
        </is>
      </c>
      <c r="B652" s="10" t="inlineStr">
        <is>
          <t>CA</t>
        </is>
      </c>
      <c r="C652" s="10" t="inlineStr">
        <is>
          <t>Master's</t>
        </is>
      </c>
      <c r="D652" s="11" t="n">
        <v>1</v>
      </c>
      <c r="E652" s="12" t="n">
        <v>69632</v>
      </c>
      <c r="F652" s="13" t="inlineStr">
        <is>
          <t>2026-06-10</t>
        </is>
      </c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</row>
    <row r="653" ht="26.75" customHeight="1" s="104">
      <c r="A653" s="10" t="inlineStr">
        <is>
          <t>Los Angeles Unified</t>
        </is>
      </c>
      <c r="B653" s="10" t="inlineStr">
        <is>
          <t>CA</t>
        </is>
      </c>
      <c r="C653" s="10" t="inlineStr">
        <is>
          <t>Master's</t>
        </is>
      </c>
      <c r="D653" s="11" t="n">
        <v>2</v>
      </c>
      <c r="E653" s="12" t="n">
        <v>70366</v>
      </c>
      <c r="F653" s="13" t="inlineStr">
        <is>
          <t>2026-06-10</t>
        </is>
      </c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</row>
    <row r="654" ht="26.75" customHeight="1" s="104">
      <c r="A654" s="10" t="inlineStr">
        <is>
          <t>Los Angeles Unified</t>
        </is>
      </c>
      <c r="B654" s="10" t="inlineStr">
        <is>
          <t>CA</t>
        </is>
      </c>
      <c r="C654" s="10" t="inlineStr">
        <is>
          <t>Master's</t>
        </is>
      </c>
      <c r="D654" s="11" t="n">
        <v>3</v>
      </c>
      <c r="E654" s="12" t="n">
        <v>71103</v>
      </c>
      <c r="F654" s="13" t="inlineStr">
        <is>
          <t>2026-06-10</t>
        </is>
      </c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</row>
    <row r="655" ht="26.75" customHeight="1" s="104">
      <c r="A655" s="10" t="inlineStr">
        <is>
          <t>Los Angeles Unified</t>
        </is>
      </c>
      <c r="B655" s="10" t="inlineStr">
        <is>
          <t>CA</t>
        </is>
      </c>
      <c r="C655" s="10" t="inlineStr">
        <is>
          <t>Master's</t>
        </is>
      </c>
      <c r="D655" s="11" t="n">
        <v>4</v>
      </c>
      <c r="E655" s="12" t="n">
        <v>71184</v>
      </c>
      <c r="F655" s="13" t="inlineStr">
        <is>
          <t>2026-06-10</t>
        </is>
      </c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</row>
    <row r="656" ht="26.75" customHeight="1" s="104">
      <c r="A656" s="10" t="inlineStr">
        <is>
          <t>Los Angeles Unified</t>
        </is>
      </c>
      <c r="B656" s="10" t="inlineStr">
        <is>
          <t>CA</t>
        </is>
      </c>
      <c r="C656" s="10" t="inlineStr">
        <is>
          <t>Master's</t>
        </is>
      </c>
      <c r="D656" s="11" t="n">
        <v>5</v>
      </c>
      <c r="E656" s="12" t="n">
        <v>71299</v>
      </c>
      <c r="F656" s="13" t="inlineStr">
        <is>
          <t>2026-06-10</t>
        </is>
      </c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</row>
    <row r="657" ht="26.75" customHeight="1" s="104">
      <c r="A657" s="10" t="inlineStr">
        <is>
          <t>Los Angeles Unified</t>
        </is>
      </c>
      <c r="B657" s="10" t="inlineStr">
        <is>
          <t>CA</t>
        </is>
      </c>
      <c r="C657" s="10" t="inlineStr">
        <is>
          <t>Master's</t>
        </is>
      </c>
      <c r="D657" s="11" t="n">
        <v>6</v>
      </c>
      <c r="E657" s="12" t="n">
        <v>73322</v>
      </c>
      <c r="F657" s="13" t="inlineStr">
        <is>
          <t>2026-06-10</t>
        </is>
      </c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</row>
    <row r="658" ht="26.75" customHeight="1" s="104">
      <c r="A658" s="10" t="inlineStr">
        <is>
          <t>Los Angeles Unified</t>
        </is>
      </c>
      <c r="B658" s="10" t="inlineStr">
        <is>
          <t>CA</t>
        </is>
      </c>
      <c r="C658" s="10" t="inlineStr">
        <is>
          <t>Master's</t>
        </is>
      </c>
      <c r="D658" s="11" t="n">
        <v>7</v>
      </c>
      <c r="E658" s="12" t="n">
        <v>75024</v>
      </c>
      <c r="F658" s="13" t="inlineStr">
        <is>
          <t>2026-06-10</t>
        </is>
      </c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</row>
    <row r="659" ht="26.75" customHeight="1" s="104">
      <c r="A659" s="10" t="inlineStr">
        <is>
          <t>Los Angeles Unified</t>
        </is>
      </c>
      <c r="B659" s="10" t="inlineStr">
        <is>
          <t>CA</t>
        </is>
      </c>
      <c r="C659" s="10" t="inlineStr">
        <is>
          <t>Master's</t>
        </is>
      </c>
      <c r="D659" s="11" t="n">
        <v>8</v>
      </c>
      <c r="E659" s="12" t="n">
        <v>77588</v>
      </c>
      <c r="F659" s="13" t="inlineStr">
        <is>
          <t>2026-06-10</t>
        </is>
      </c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</row>
    <row r="660" ht="26.75" customHeight="1" s="104">
      <c r="A660" s="10" t="inlineStr">
        <is>
          <t>Los Angeles Unified</t>
        </is>
      </c>
      <c r="B660" s="10" t="inlineStr">
        <is>
          <t>CA</t>
        </is>
      </c>
      <c r="C660" s="10" t="inlineStr">
        <is>
          <t>Master's</t>
        </is>
      </c>
      <c r="D660" s="11" t="n">
        <v>9</v>
      </c>
      <c r="E660" s="12" t="n">
        <v>79777</v>
      </c>
      <c r="F660" s="13" t="inlineStr">
        <is>
          <t>2026-06-10</t>
        </is>
      </c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</row>
    <row r="661" ht="26.75" customHeight="1" s="104">
      <c r="A661" s="10" t="inlineStr">
        <is>
          <t>Los Angeles Unified</t>
        </is>
      </c>
      <c r="B661" s="10" t="inlineStr">
        <is>
          <t>CA</t>
        </is>
      </c>
      <c r="C661" s="10" t="inlineStr">
        <is>
          <t>Master's</t>
        </is>
      </c>
      <c r="D661" s="11" t="n">
        <v>10</v>
      </c>
      <c r="E661" s="12" t="n">
        <v>79777</v>
      </c>
      <c r="F661" s="13" t="inlineStr">
        <is>
          <t>2026-06-10</t>
        </is>
      </c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</row>
    <row r="662" ht="26.75" customHeight="1" s="104">
      <c r="A662" s="10" t="inlineStr">
        <is>
          <t>Loudoun County Public Schools</t>
        </is>
      </c>
      <c r="B662" s="10" t="inlineStr">
        <is>
          <t>VA</t>
        </is>
      </c>
      <c r="C662" s="10" t="inlineStr">
        <is>
          <t>Bachelor's</t>
        </is>
      </c>
      <c r="D662" s="11" t="n">
        <v>0</v>
      </c>
      <c r="E662" s="12" t="n">
        <v>60553</v>
      </c>
      <c r="F662" s="13" t="inlineStr">
        <is>
          <t>2026-06-13</t>
        </is>
      </c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</row>
    <row r="663" ht="26.75" customHeight="1" s="104">
      <c r="A663" s="10" t="inlineStr">
        <is>
          <t>Loudoun County Public Schools</t>
        </is>
      </c>
      <c r="B663" s="10" t="inlineStr">
        <is>
          <t>VA</t>
        </is>
      </c>
      <c r="C663" s="10" t="inlineStr">
        <is>
          <t>Bachelor's</t>
        </is>
      </c>
      <c r="D663" s="11" t="n">
        <v>1</v>
      </c>
      <c r="E663" s="12" t="n">
        <v>63526</v>
      </c>
      <c r="F663" s="13" t="inlineStr">
        <is>
          <t>2026-06-13</t>
        </is>
      </c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</row>
    <row r="664" ht="26.75" customHeight="1" s="104">
      <c r="A664" s="10" t="inlineStr">
        <is>
          <t>Loudoun County Public Schools</t>
        </is>
      </c>
      <c r="B664" s="10" t="inlineStr">
        <is>
          <t>VA</t>
        </is>
      </c>
      <c r="C664" s="10" t="inlineStr">
        <is>
          <t>Bachelor's</t>
        </is>
      </c>
      <c r="D664" s="11" t="n">
        <v>2</v>
      </c>
      <c r="E664" s="12" t="n">
        <v>65252</v>
      </c>
      <c r="F664" s="13" t="inlineStr">
        <is>
          <t>2026-06-13</t>
        </is>
      </c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</row>
    <row r="665" ht="26.75" customHeight="1" s="104">
      <c r="A665" s="10" t="inlineStr">
        <is>
          <t>Loudoun County Public Schools</t>
        </is>
      </c>
      <c r="B665" s="10" t="inlineStr">
        <is>
          <t>VA</t>
        </is>
      </c>
      <c r="C665" s="10" t="inlineStr">
        <is>
          <t>Bachelor's</t>
        </is>
      </c>
      <c r="D665" s="11" t="n">
        <v>3</v>
      </c>
      <c r="E665" s="12" t="n">
        <v>67107</v>
      </c>
      <c r="F665" s="13" t="inlineStr">
        <is>
          <t>2026-06-13</t>
        </is>
      </c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</row>
    <row r="666" ht="26.75" customHeight="1" s="104">
      <c r="A666" s="10" t="inlineStr">
        <is>
          <t>Loudoun County Public Schools</t>
        </is>
      </c>
      <c r="B666" s="10" t="inlineStr">
        <is>
          <t>VA</t>
        </is>
      </c>
      <c r="C666" s="10" t="inlineStr">
        <is>
          <t>Bachelor's</t>
        </is>
      </c>
      <c r="D666" s="11" t="n">
        <v>4</v>
      </c>
      <c r="E666" s="12" t="n">
        <v>68863</v>
      </c>
      <c r="F666" s="13" t="inlineStr">
        <is>
          <t>2026-06-13</t>
        </is>
      </c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</row>
    <row r="667" ht="26.75" customHeight="1" s="104">
      <c r="A667" s="10" t="inlineStr">
        <is>
          <t>Loudoun County Public Schools</t>
        </is>
      </c>
      <c r="B667" s="10" t="inlineStr">
        <is>
          <t>VA</t>
        </is>
      </c>
      <c r="C667" s="10" t="inlineStr">
        <is>
          <t>Bachelor's</t>
        </is>
      </c>
      <c r="D667" s="11" t="n">
        <v>5</v>
      </c>
      <c r="E667" s="12" t="n">
        <v>71558</v>
      </c>
      <c r="F667" s="13" t="inlineStr">
        <is>
          <t>2026-06-13</t>
        </is>
      </c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</row>
    <row r="668" ht="26.75" customHeight="1" s="104">
      <c r="A668" s="10" t="inlineStr">
        <is>
          <t>Loudoun County Public Schools</t>
        </is>
      </c>
      <c r="B668" s="10" t="inlineStr">
        <is>
          <t>VA</t>
        </is>
      </c>
      <c r="C668" s="10" t="inlineStr">
        <is>
          <t>Bachelor's</t>
        </is>
      </c>
      <c r="D668" s="11" t="n">
        <v>6</v>
      </c>
      <c r="E668" s="12" t="n">
        <v>73877</v>
      </c>
      <c r="F668" s="13" t="inlineStr">
        <is>
          <t>2026-06-13</t>
        </is>
      </c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</row>
    <row r="669" ht="26.75" customHeight="1" s="104">
      <c r="A669" s="10" t="inlineStr">
        <is>
          <t>Loudoun County Public Schools</t>
        </is>
      </c>
      <c r="B669" s="10" t="inlineStr">
        <is>
          <t>VA</t>
        </is>
      </c>
      <c r="C669" s="10" t="inlineStr">
        <is>
          <t>Bachelor's</t>
        </is>
      </c>
      <c r="D669" s="11" t="n">
        <v>7</v>
      </c>
      <c r="E669" s="12" t="n">
        <v>76196</v>
      </c>
      <c r="F669" s="13" t="inlineStr">
        <is>
          <t>2026-06-13</t>
        </is>
      </c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</row>
    <row r="670" ht="26.75" customHeight="1" s="104">
      <c r="A670" s="10" t="inlineStr">
        <is>
          <t>Loudoun County Public Schools</t>
        </is>
      </c>
      <c r="B670" s="10" t="inlineStr">
        <is>
          <t>VA</t>
        </is>
      </c>
      <c r="C670" s="10" t="inlineStr">
        <is>
          <t>Bachelor's</t>
        </is>
      </c>
      <c r="D670" s="11" t="n">
        <v>8</v>
      </c>
      <c r="E670" s="12" t="n">
        <v>78515</v>
      </c>
      <c r="F670" s="13" t="inlineStr">
        <is>
          <t>2026-06-13</t>
        </is>
      </c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</row>
    <row r="671" ht="26.75" customHeight="1" s="104">
      <c r="A671" s="10" t="inlineStr">
        <is>
          <t>Loudoun County Public Schools</t>
        </is>
      </c>
      <c r="B671" s="10" t="inlineStr">
        <is>
          <t>VA</t>
        </is>
      </c>
      <c r="C671" s="10" t="inlineStr">
        <is>
          <t>Bachelor's</t>
        </is>
      </c>
      <c r="D671" s="11" t="n">
        <v>9</v>
      </c>
      <c r="E671" s="12" t="n">
        <v>81029</v>
      </c>
      <c r="F671" s="13" t="inlineStr">
        <is>
          <t>2026-06-13</t>
        </is>
      </c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</row>
    <row r="672" ht="26.75" customHeight="1" s="104">
      <c r="A672" s="10" t="inlineStr">
        <is>
          <t>Loudoun County Public Schools</t>
        </is>
      </c>
      <c r="B672" s="10" t="inlineStr">
        <is>
          <t>VA</t>
        </is>
      </c>
      <c r="C672" s="10" t="inlineStr">
        <is>
          <t>Bachelor's</t>
        </is>
      </c>
      <c r="D672" s="11" t="n">
        <v>10</v>
      </c>
      <c r="E672" s="12" t="n">
        <v>84421</v>
      </c>
      <c r="F672" s="13" t="inlineStr">
        <is>
          <t>2026-06-13</t>
        </is>
      </c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</row>
    <row r="673" ht="26.75" customHeight="1" s="104">
      <c r="A673" s="10" t="inlineStr">
        <is>
          <t>Loudoun County Public Schools</t>
        </is>
      </c>
      <c r="B673" s="10" t="inlineStr">
        <is>
          <t>VA</t>
        </is>
      </c>
      <c r="C673" s="10" t="inlineStr">
        <is>
          <t>Master's</t>
        </is>
      </c>
      <c r="D673" s="11" t="n">
        <v>0</v>
      </c>
      <c r="E673" s="12" t="n">
        <v>66562</v>
      </c>
      <c r="F673" s="13" t="inlineStr">
        <is>
          <t>2026-06-13</t>
        </is>
      </c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</row>
    <row r="674" ht="26.75" customHeight="1" s="104">
      <c r="A674" s="10" t="inlineStr">
        <is>
          <t>Loudoun County Public Schools</t>
        </is>
      </c>
      <c r="B674" s="10" t="inlineStr">
        <is>
          <t>VA</t>
        </is>
      </c>
      <c r="C674" s="10" t="inlineStr">
        <is>
          <t>Master's</t>
        </is>
      </c>
      <c r="D674" s="11" t="n">
        <v>1</v>
      </c>
      <c r="E674" s="12" t="n">
        <v>69463</v>
      </c>
      <c r="F674" s="13" t="inlineStr">
        <is>
          <t>2026-06-13</t>
        </is>
      </c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</row>
    <row r="675" ht="26.75" customHeight="1" s="104">
      <c r="A675" s="10" t="inlineStr">
        <is>
          <t>Loudoun County Public Schools</t>
        </is>
      </c>
      <c r="B675" s="10" t="inlineStr">
        <is>
          <t>VA</t>
        </is>
      </c>
      <c r="C675" s="10" t="inlineStr">
        <is>
          <t>Master's</t>
        </is>
      </c>
      <c r="D675" s="11" t="n">
        <v>2</v>
      </c>
      <c r="E675" s="12" t="n">
        <v>71189</v>
      </c>
      <c r="F675" s="13" t="inlineStr">
        <is>
          <t>2026-06-13</t>
        </is>
      </c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</row>
    <row r="676" ht="26.75" customHeight="1" s="104">
      <c r="A676" s="10" t="inlineStr">
        <is>
          <t>Loudoun County Public Schools</t>
        </is>
      </c>
      <c r="B676" s="10" t="inlineStr">
        <is>
          <t>VA</t>
        </is>
      </c>
      <c r="C676" s="10" t="inlineStr">
        <is>
          <t>Master's</t>
        </is>
      </c>
      <c r="D676" s="11" t="n">
        <v>3</v>
      </c>
      <c r="E676" s="12" t="n">
        <v>73044</v>
      </c>
      <c r="F676" s="13" t="inlineStr">
        <is>
          <t>2026-06-13</t>
        </is>
      </c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</row>
    <row r="677" ht="26.75" customHeight="1" s="104">
      <c r="A677" s="10" t="inlineStr">
        <is>
          <t>Loudoun County Public Schools</t>
        </is>
      </c>
      <c r="B677" s="10" t="inlineStr">
        <is>
          <t>VA</t>
        </is>
      </c>
      <c r="C677" s="10" t="inlineStr">
        <is>
          <t>Master's</t>
        </is>
      </c>
      <c r="D677" s="11" t="n">
        <v>4</v>
      </c>
      <c r="E677" s="12" t="n">
        <v>74800</v>
      </c>
      <c r="F677" s="13" t="inlineStr">
        <is>
          <t>2026-06-13</t>
        </is>
      </c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</row>
    <row r="678" ht="26.75" customHeight="1" s="104">
      <c r="A678" s="10" t="inlineStr">
        <is>
          <t>Loudoun County Public Schools</t>
        </is>
      </c>
      <c r="B678" s="10" t="inlineStr">
        <is>
          <t>VA</t>
        </is>
      </c>
      <c r="C678" s="10" t="inlineStr">
        <is>
          <t>Master's</t>
        </is>
      </c>
      <c r="D678" s="11" t="n">
        <v>5</v>
      </c>
      <c r="E678" s="12" t="n">
        <v>77509</v>
      </c>
      <c r="F678" s="13" t="inlineStr">
        <is>
          <t>2026-06-13</t>
        </is>
      </c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</row>
    <row r="679" ht="26.75" customHeight="1" s="104">
      <c r="A679" s="10" t="inlineStr">
        <is>
          <t>Loudoun County Public Schools</t>
        </is>
      </c>
      <c r="B679" s="10" t="inlineStr">
        <is>
          <t>VA</t>
        </is>
      </c>
      <c r="C679" s="10" t="inlineStr">
        <is>
          <t>Master's</t>
        </is>
      </c>
      <c r="D679" s="11" t="n">
        <v>6</v>
      </c>
      <c r="E679" s="12" t="n">
        <v>79828</v>
      </c>
      <c r="F679" s="13" t="inlineStr">
        <is>
          <t>2026-06-13</t>
        </is>
      </c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</row>
    <row r="680" ht="26.75" customHeight="1" s="104">
      <c r="A680" s="10" t="inlineStr">
        <is>
          <t>Loudoun County Public Schools</t>
        </is>
      </c>
      <c r="B680" s="10" t="inlineStr">
        <is>
          <t>VA</t>
        </is>
      </c>
      <c r="C680" s="10" t="inlineStr">
        <is>
          <t>Master's</t>
        </is>
      </c>
      <c r="D680" s="11" t="n">
        <v>7</v>
      </c>
      <c r="E680" s="12" t="n">
        <v>82147</v>
      </c>
      <c r="F680" s="13" t="inlineStr">
        <is>
          <t>2026-06-13</t>
        </is>
      </c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</row>
    <row r="681" ht="26.75" customHeight="1" s="104">
      <c r="A681" s="10" t="inlineStr">
        <is>
          <t>Loudoun County Public Schools</t>
        </is>
      </c>
      <c r="B681" s="10" t="inlineStr">
        <is>
          <t>VA</t>
        </is>
      </c>
      <c r="C681" s="10" t="inlineStr">
        <is>
          <t>Master's</t>
        </is>
      </c>
      <c r="D681" s="11" t="n">
        <v>8</v>
      </c>
      <c r="E681" s="12" t="n">
        <v>84466</v>
      </c>
      <c r="F681" s="13" t="inlineStr">
        <is>
          <t>2026-06-13</t>
        </is>
      </c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</row>
    <row r="682" ht="26.75" customHeight="1" s="104">
      <c r="A682" s="10" t="inlineStr">
        <is>
          <t>Loudoun County Public Schools</t>
        </is>
      </c>
      <c r="B682" s="10" t="inlineStr">
        <is>
          <t>VA</t>
        </is>
      </c>
      <c r="C682" s="10" t="inlineStr">
        <is>
          <t>Master's</t>
        </is>
      </c>
      <c r="D682" s="11" t="n">
        <v>9</v>
      </c>
      <c r="E682" s="12" t="n">
        <v>86995</v>
      </c>
      <c r="F682" s="13" t="inlineStr">
        <is>
          <t>2026-06-13</t>
        </is>
      </c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</row>
    <row r="683" ht="26.75" customHeight="1" s="104">
      <c r="A683" s="10" t="inlineStr">
        <is>
          <t>Loudoun County Public Schools</t>
        </is>
      </c>
      <c r="B683" s="10" t="inlineStr">
        <is>
          <t>VA</t>
        </is>
      </c>
      <c r="C683" s="10" t="inlineStr">
        <is>
          <t>Master's</t>
        </is>
      </c>
      <c r="D683" s="11" t="n">
        <v>10</v>
      </c>
      <c r="E683" s="12" t="n">
        <v>90400</v>
      </c>
      <c r="F683" s="13" t="inlineStr">
        <is>
          <t>2026-06-13</t>
        </is>
      </c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</row>
    <row r="684" ht="26.75" customHeight="1" s="104">
      <c r="A684" s="10" t="inlineStr">
        <is>
          <t>Madison Metropolitan School District</t>
        </is>
      </c>
      <c r="B684" s="10" t="inlineStr">
        <is>
          <t>WI</t>
        </is>
      </c>
      <c r="C684" s="10" t="inlineStr">
        <is>
          <t>Bachelor's</t>
        </is>
      </c>
      <c r="D684" s="11" t="n">
        <v>0</v>
      </c>
      <c r="E684" s="12" t="n">
        <v>57587</v>
      </c>
      <c r="F684" s="13" t="inlineStr">
        <is>
          <t>2026-06-11</t>
        </is>
      </c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</row>
    <row r="685" ht="26.75" customHeight="1" s="104">
      <c r="A685" s="10" t="inlineStr">
        <is>
          <t>Madison Metropolitan School District</t>
        </is>
      </c>
      <c r="B685" s="10" t="inlineStr">
        <is>
          <t>WI</t>
        </is>
      </c>
      <c r="C685" s="10" t="inlineStr">
        <is>
          <t>Bachelor's</t>
        </is>
      </c>
      <c r="D685" s="11" t="n">
        <v>1</v>
      </c>
      <c r="E685" s="12" t="n">
        <v>59847</v>
      </c>
      <c r="F685" s="13" t="inlineStr">
        <is>
          <t>2026-06-11</t>
        </is>
      </c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</row>
    <row r="686" ht="26.75" customHeight="1" s="104">
      <c r="A686" s="10" t="inlineStr">
        <is>
          <t>Madison Metropolitan School District</t>
        </is>
      </c>
      <c r="B686" s="10" t="inlineStr">
        <is>
          <t>WI</t>
        </is>
      </c>
      <c r="C686" s="10" t="inlineStr">
        <is>
          <t>Bachelor's</t>
        </is>
      </c>
      <c r="D686" s="11" t="n">
        <v>2</v>
      </c>
      <c r="E686" s="12" t="n">
        <v>62105</v>
      </c>
      <c r="F686" s="13" t="inlineStr">
        <is>
          <t>2026-06-11</t>
        </is>
      </c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</row>
    <row r="687" ht="26.75" customHeight="1" s="104">
      <c r="A687" s="10" t="inlineStr">
        <is>
          <t>Madison Metropolitan School District</t>
        </is>
      </c>
      <c r="B687" s="10" t="inlineStr">
        <is>
          <t>WI</t>
        </is>
      </c>
      <c r="C687" s="10" t="inlineStr">
        <is>
          <t>Bachelor's</t>
        </is>
      </c>
      <c r="D687" s="11" t="n">
        <v>3</v>
      </c>
      <c r="E687" s="12" t="n">
        <v>64365</v>
      </c>
      <c r="F687" s="13" t="inlineStr">
        <is>
          <t>2026-06-11</t>
        </is>
      </c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</row>
    <row r="688" ht="26.75" customHeight="1" s="104">
      <c r="A688" s="10" t="inlineStr">
        <is>
          <t>Madison Metropolitan School District</t>
        </is>
      </c>
      <c r="B688" s="10" t="inlineStr">
        <is>
          <t>WI</t>
        </is>
      </c>
      <c r="C688" s="10" t="inlineStr">
        <is>
          <t>Bachelor's</t>
        </is>
      </c>
      <c r="D688" s="11" t="n">
        <v>4</v>
      </c>
      <c r="E688" s="12" t="n">
        <v>66625</v>
      </c>
      <c r="F688" s="13" t="inlineStr">
        <is>
          <t>2026-06-11</t>
        </is>
      </c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</row>
    <row r="689" ht="26.75" customHeight="1" s="104">
      <c r="A689" s="10" t="inlineStr">
        <is>
          <t>Madison Metropolitan School District</t>
        </is>
      </c>
      <c r="B689" s="10" t="inlineStr">
        <is>
          <t>WI</t>
        </is>
      </c>
      <c r="C689" s="10" t="inlineStr">
        <is>
          <t>Bachelor's</t>
        </is>
      </c>
      <c r="D689" s="11" t="n">
        <v>5</v>
      </c>
      <c r="E689" s="12" t="n">
        <v>68880</v>
      </c>
      <c r="F689" s="13" t="inlineStr">
        <is>
          <t>2026-06-11</t>
        </is>
      </c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</row>
    <row r="690" ht="26.75" customHeight="1" s="104">
      <c r="A690" s="10" t="inlineStr">
        <is>
          <t>Madison Metropolitan School District</t>
        </is>
      </c>
      <c r="B690" s="10" t="inlineStr">
        <is>
          <t>WI</t>
        </is>
      </c>
      <c r="C690" s="10" t="inlineStr">
        <is>
          <t>Bachelor's</t>
        </is>
      </c>
      <c r="D690" s="11" t="n">
        <v>6</v>
      </c>
      <c r="E690" s="12" t="n">
        <v>71140</v>
      </c>
      <c r="F690" s="13" t="inlineStr">
        <is>
          <t>2026-06-11</t>
        </is>
      </c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</row>
    <row r="691" ht="26.75" customHeight="1" s="104">
      <c r="A691" s="10" t="inlineStr">
        <is>
          <t>Madison Metropolitan School District</t>
        </is>
      </c>
      <c r="B691" s="10" t="inlineStr">
        <is>
          <t>WI</t>
        </is>
      </c>
      <c r="C691" s="10" t="inlineStr">
        <is>
          <t>Bachelor's</t>
        </is>
      </c>
      <c r="D691" s="11" t="n">
        <v>7</v>
      </c>
      <c r="E691" s="12" t="n">
        <v>73534</v>
      </c>
      <c r="F691" s="13" t="inlineStr">
        <is>
          <t>2026-06-11</t>
        </is>
      </c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</row>
    <row r="692" ht="26.75" customHeight="1" s="104">
      <c r="A692" s="10" t="inlineStr">
        <is>
          <t>Madison Metropolitan School District</t>
        </is>
      </c>
      <c r="B692" s="10" t="inlineStr">
        <is>
          <t>WI</t>
        </is>
      </c>
      <c r="C692" s="10" t="inlineStr">
        <is>
          <t>Bachelor's</t>
        </is>
      </c>
      <c r="D692" s="11" t="n">
        <v>8</v>
      </c>
      <c r="E692" s="12" t="n">
        <v>74178</v>
      </c>
      <c r="F692" s="13" t="inlineStr">
        <is>
          <t>2026-06-11</t>
        </is>
      </c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</row>
    <row r="693" ht="26.75" customHeight="1" s="104">
      <c r="A693" s="10" t="inlineStr">
        <is>
          <t>Madison Metropolitan School District</t>
        </is>
      </c>
      <c r="B693" s="10" t="inlineStr">
        <is>
          <t>WI</t>
        </is>
      </c>
      <c r="C693" s="10" t="inlineStr">
        <is>
          <t>Bachelor's</t>
        </is>
      </c>
      <c r="D693" s="11" t="n">
        <v>9</v>
      </c>
      <c r="E693" s="12" t="n">
        <v>74821</v>
      </c>
      <c r="F693" s="13" t="inlineStr">
        <is>
          <t>2026-06-11</t>
        </is>
      </c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</row>
    <row r="694" ht="26.75" customHeight="1" s="104">
      <c r="A694" s="10" t="inlineStr">
        <is>
          <t>Madison Metropolitan School District</t>
        </is>
      </c>
      <c r="B694" s="10" t="inlineStr">
        <is>
          <t>WI</t>
        </is>
      </c>
      <c r="C694" s="10" t="inlineStr">
        <is>
          <t>Bachelor's</t>
        </is>
      </c>
      <c r="D694" s="11" t="n">
        <v>10</v>
      </c>
      <c r="E694" s="12" t="n">
        <v>75476</v>
      </c>
      <c r="F694" s="13" t="inlineStr">
        <is>
          <t>2026-06-11</t>
        </is>
      </c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</row>
    <row r="695" ht="26.75" customHeight="1" s="104">
      <c r="A695" s="10" t="inlineStr">
        <is>
          <t>Madison Metropolitan School District</t>
        </is>
      </c>
      <c r="B695" s="10" t="inlineStr">
        <is>
          <t>WI</t>
        </is>
      </c>
      <c r="C695" s="10" t="inlineStr">
        <is>
          <t>Master's</t>
        </is>
      </c>
      <c r="D695" s="11" t="n">
        <v>0</v>
      </c>
      <c r="E695" s="12" t="n">
        <v>62105</v>
      </c>
      <c r="F695" s="13" t="inlineStr">
        <is>
          <t>2026-06-11</t>
        </is>
      </c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</row>
    <row r="696" ht="26.75" customHeight="1" s="104">
      <c r="A696" s="10" t="inlineStr">
        <is>
          <t>Madison Metropolitan School District</t>
        </is>
      </c>
      <c r="B696" s="10" t="inlineStr">
        <is>
          <t>WI</t>
        </is>
      </c>
      <c r="C696" s="10" t="inlineStr">
        <is>
          <t>Master's</t>
        </is>
      </c>
      <c r="D696" s="11" t="n">
        <v>1</v>
      </c>
      <c r="E696" s="12" t="n">
        <v>64365</v>
      </c>
      <c r="F696" s="13" t="inlineStr">
        <is>
          <t>2026-06-11</t>
        </is>
      </c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</row>
    <row r="697" ht="26.75" customHeight="1" s="104">
      <c r="A697" s="10" t="inlineStr">
        <is>
          <t>Madison Metropolitan School District</t>
        </is>
      </c>
      <c r="B697" s="10" t="inlineStr">
        <is>
          <t>WI</t>
        </is>
      </c>
      <c r="C697" s="10" t="inlineStr">
        <is>
          <t>Master's</t>
        </is>
      </c>
      <c r="D697" s="11" t="n">
        <v>2</v>
      </c>
      <c r="E697" s="12" t="n">
        <v>66625</v>
      </c>
      <c r="F697" s="13" t="inlineStr">
        <is>
          <t>2026-06-11</t>
        </is>
      </c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</row>
    <row r="698" ht="26.75" customHeight="1" s="104">
      <c r="A698" s="10" t="inlineStr">
        <is>
          <t>Madison Metropolitan School District</t>
        </is>
      </c>
      <c r="B698" s="10" t="inlineStr">
        <is>
          <t>WI</t>
        </is>
      </c>
      <c r="C698" s="10" t="inlineStr">
        <is>
          <t>Master's</t>
        </is>
      </c>
      <c r="D698" s="11" t="n">
        <v>3</v>
      </c>
      <c r="E698" s="12" t="n">
        <v>68880</v>
      </c>
      <c r="F698" s="13" t="inlineStr">
        <is>
          <t>2026-06-11</t>
        </is>
      </c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</row>
    <row r="699" ht="26.75" customHeight="1" s="104">
      <c r="A699" s="10" t="inlineStr">
        <is>
          <t>Madison Metropolitan School District</t>
        </is>
      </c>
      <c r="B699" s="10" t="inlineStr">
        <is>
          <t>WI</t>
        </is>
      </c>
      <c r="C699" s="10" t="inlineStr">
        <is>
          <t>Master's</t>
        </is>
      </c>
      <c r="D699" s="11" t="n">
        <v>4</v>
      </c>
      <c r="E699" s="12" t="n">
        <v>71140</v>
      </c>
      <c r="F699" s="13" t="inlineStr">
        <is>
          <t>2026-06-11</t>
        </is>
      </c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</row>
    <row r="700" ht="26.75" customHeight="1" s="104">
      <c r="A700" s="10" t="inlineStr">
        <is>
          <t>Madison Metropolitan School District</t>
        </is>
      </c>
      <c r="B700" s="10" t="inlineStr">
        <is>
          <t>WI</t>
        </is>
      </c>
      <c r="C700" s="10" t="inlineStr">
        <is>
          <t>Master's</t>
        </is>
      </c>
      <c r="D700" s="11" t="n">
        <v>5</v>
      </c>
      <c r="E700" s="12" t="n">
        <v>73398</v>
      </c>
      <c r="F700" s="13" t="inlineStr">
        <is>
          <t>2026-06-11</t>
        </is>
      </c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</row>
    <row r="701" ht="26.75" customHeight="1" s="104">
      <c r="A701" s="10" t="inlineStr">
        <is>
          <t>Madison Metropolitan School District</t>
        </is>
      </c>
      <c r="B701" s="10" t="inlineStr">
        <is>
          <t>WI</t>
        </is>
      </c>
      <c r="C701" s="10" t="inlineStr">
        <is>
          <t>Master's</t>
        </is>
      </c>
      <c r="D701" s="11" t="n">
        <v>6</v>
      </c>
      <c r="E701" s="12" t="n">
        <v>75658</v>
      </c>
      <c r="F701" s="13" t="inlineStr">
        <is>
          <t>2026-06-11</t>
        </is>
      </c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</row>
    <row r="702" ht="26.75" customHeight="1" s="104">
      <c r="A702" s="10" t="inlineStr">
        <is>
          <t>Madison Metropolitan School District</t>
        </is>
      </c>
      <c r="B702" s="10" t="inlineStr">
        <is>
          <t>WI</t>
        </is>
      </c>
      <c r="C702" s="10" t="inlineStr">
        <is>
          <t>Master's</t>
        </is>
      </c>
      <c r="D702" s="11" t="n">
        <v>7</v>
      </c>
      <c r="E702" s="12" t="n">
        <v>78323</v>
      </c>
      <c r="F702" s="13" t="inlineStr">
        <is>
          <t>2026-06-11</t>
        </is>
      </c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</row>
    <row r="703" ht="26.75" customHeight="1" s="104">
      <c r="A703" s="10" t="inlineStr">
        <is>
          <t>Madison Metropolitan School District</t>
        </is>
      </c>
      <c r="B703" s="10" t="inlineStr">
        <is>
          <t>WI</t>
        </is>
      </c>
      <c r="C703" s="10" t="inlineStr">
        <is>
          <t>Master's</t>
        </is>
      </c>
      <c r="D703" s="11" t="n">
        <v>8</v>
      </c>
      <c r="E703" s="12" t="n">
        <v>79105</v>
      </c>
      <c r="F703" s="13" t="inlineStr">
        <is>
          <t>2026-06-11</t>
        </is>
      </c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</row>
    <row r="704" ht="26.75" customHeight="1" s="104">
      <c r="A704" s="10" t="inlineStr">
        <is>
          <t>Madison Metropolitan School District</t>
        </is>
      </c>
      <c r="B704" s="10" t="inlineStr">
        <is>
          <t>WI</t>
        </is>
      </c>
      <c r="C704" s="10" t="inlineStr">
        <is>
          <t>Master's</t>
        </is>
      </c>
      <c r="D704" s="11" t="n">
        <v>9</v>
      </c>
      <c r="E704" s="12" t="n">
        <v>79890</v>
      </c>
      <c r="F704" s="13" t="inlineStr">
        <is>
          <t>2026-06-11</t>
        </is>
      </c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</row>
    <row r="705" ht="26.75" customHeight="1" s="104">
      <c r="A705" s="10" t="inlineStr">
        <is>
          <t>Madison Metropolitan School District</t>
        </is>
      </c>
      <c r="B705" s="10" t="inlineStr">
        <is>
          <t>WI</t>
        </is>
      </c>
      <c r="C705" s="10" t="inlineStr">
        <is>
          <t>Master's</t>
        </is>
      </c>
      <c r="D705" s="11" t="n">
        <v>10</v>
      </c>
      <c r="E705" s="12" t="n">
        <v>80689</v>
      </c>
      <c r="F705" s="13" t="inlineStr">
        <is>
          <t>2026-06-11</t>
        </is>
      </c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</row>
    <row r="706" ht="26.75" customHeight="1" s="104">
      <c r="A706" s="10" t="inlineStr">
        <is>
          <t>Metro Nashville Public Schools</t>
        </is>
      </c>
      <c r="B706" s="10" t="inlineStr">
        <is>
          <t>TN</t>
        </is>
      </c>
      <c r="C706" s="10" t="inlineStr">
        <is>
          <t>Bachelor's</t>
        </is>
      </c>
      <c r="D706" s="11" t="n">
        <v>0</v>
      </c>
      <c r="E706" s="12" t="n">
        <v>53610.04</v>
      </c>
      <c r="F706" s="13" t="inlineStr">
        <is>
          <t>2026-06-11</t>
        </is>
      </c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</row>
    <row r="707" ht="26.75" customHeight="1" s="104">
      <c r="A707" s="10" t="inlineStr">
        <is>
          <t>Metro Nashville Public Schools</t>
        </is>
      </c>
      <c r="B707" s="10" t="inlineStr">
        <is>
          <t>TN</t>
        </is>
      </c>
      <c r="C707" s="10" t="inlineStr">
        <is>
          <t>Bachelor's</t>
        </is>
      </c>
      <c r="D707" s="11" t="n">
        <v>1</v>
      </c>
      <c r="E707" s="12" t="n">
        <v>54793.5</v>
      </c>
      <c r="F707" s="13" t="inlineStr">
        <is>
          <t>2026-06-11</t>
        </is>
      </c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</row>
    <row r="708" ht="26.75" customHeight="1" s="104">
      <c r="A708" s="10" t="inlineStr">
        <is>
          <t>Metro Nashville Public Schools</t>
        </is>
      </c>
      <c r="B708" s="10" t="inlineStr">
        <is>
          <t>TN</t>
        </is>
      </c>
      <c r="C708" s="10" t="inlineStr">
        <is>
          <t>Bachelor's</t>
        </is>
      </c>
      <c r="D708" s="11" t="n">
        <v>2</v>
      </c>
      <c r="E708" s="12" t="n">
        <v>55976.96</v>
      </c>
      <c r="F708" s="13" t="inlineStr">
        <is>
          <t>2026-06-11</t>
        </is>
      </c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</row>
    <row r="709" ht="26.75" customHeight="1" s="104">
      <c r="A709" s="10" t="inlineStr">
        <is>
          <t>Metro Nashville Public Schools</t>
        </is>
      </c>
      <c r="B709" s="10" t="inlineStr">
        <is>
          <t>TN</t>
        </is>
      </c>
      <c r="C709" s="10" t="inlineStr">
        <is>
          <t>Bachelor's</t>
        </is>
      </c>
      <c r="D709" s="11" t="n">
        <v>3</v>
      </c>
      <c r="E709" s="12" t="n">
        <v>57160.42</v>
      </c>
      <c r="F709" s="13" t="inlineStr">
        <is>
          <t>2026-06-11</t>
        </is>
      </c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</row>
    <row r="710" ht="26.75" customHeight="1" s="104">
      <c r="A710" s="10" t="inlineStr">
        <is>
          <t>Metro Nashville Public Schools</t>
        </is>
      </c>
      <c r="B710" s="10" t="inlineStr">
        <is>
          <t>TN</t>
        </is>
      </c>
      <c r="C710" s="10" t="inlineStr">
        <is>
          <t>Bachelor's</t>
        </is>
      </c>
      <c r="D710" s="11" t="n">
        <v>4</v>
      </c>
      <c r="E710" s="12" t="n">
        <v>58343.88</v>
      </c>
      <c r="F710" s="13" t="inlineStr">
        <is>
          <t>2026-06-11</t>
        </is>
      </c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</row>
    <row r="711" ht="26.75" customHeight="1" s="104">
      <c r="A711" s="10" t="inlineStr">
        <is>
          <t>Metro Nashville Public Schools</t>
        </is>
      </c>
      <c r="B711" s="10" t="inlineStr">
        <is>
          <t>TN</t>
        </is>
      </c>
      <c r="C711" s="10" t="inlineStr">
        <is>
          <t>Bachelor's</t>
        </is>
      </c>
      <c r="D711" s="11" t="n">
        <v>5</v>
      </c>
      <c r="E711" s="12" t="n">
        <v>59527.35</v>
      </c>
      <c r="F711" s="13" t="inlineStr">
        <is>
          <t>2026-06-11</t>
        </is>
      </c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</row>
    <row r="712" ht="26.75" customHeight="1" s="104">
      <c r="A712" s="10" t="inlineStr">
        <is>
          <t>Metro Nashville Public Schools</t>
        </is>
      </c>
      <c r="B712" s="10" t="inlineStr">
        <is>
          <t>TN</t>
        </is>
      </c>
      <c r="C712" s="10" t="inlineStr">
        <is>
          <t>Bachelor's</t>
        </is>
      </c>
      <c r="D712" s="11" t="n">
        <v>6</v>
      </c>
      <c r="E712" s="12" t="n">
        <v>60710.81</v>
      </c>
      <c r="F712" s="13" t="inlineStr">
        <is>
          <t>2026-06-11</t>
        </is>
      </c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</row>
    <row r="713" ht="26.75" customHeight="1" s="104">
      <c r="A713" s="10" t="inlineStr">
        <is>
          <t>Metro Nashville Public Schools</t>
        </is>
      </c>
      <c r="B713" s="10" t="inlineStr">
        <is>
          <t>TN</t>
        </is>
      </c>
      <c r="C713" s="10" t="inlineStr">
        <is>
          <t>Bachelor's</t>
        </is>
      </c>
      <c r="D713" s="11" t="n">
        <v>7</v>
      </c>
      <c r="E713" s="12" t="n">
        <v>61894.27</v>
      </c>
      <c r="F713" s="13" t="inlineStr">
        <is>
          <t>2026-06-11</t>
        </is>
      </c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</row>
    <row r="714" ht="26.75" customHeight="1" s="104">
      <c r="A714" s="10" t="inlineStr">
        <is>
          <t>Metro Nashville Public Schools</t>
        </is>
      </c>
      <c r="B714" s="10" t="inlineStr">
        <is>
          <t>TN</t>
        </is>
      </c>
      <c r="C714" s="10" t="inlineStr">
        <is>
          <t>Bachelor's</t>
        </is>
      </c>
      <c r="D714" s="11" t="n">
        <v>8</v>
      </c>
      <c r="E714" s="12" t="n">
        <v>63077.74</v>
      </c>
      <c r="F714" s="13" t="inlineStr">
        <is>
          <t>2026-06-11</t>
        </is>
      </c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</row>
    <row r="715" ht="26.75" customHeight="1" s="104">
      <c r="A715" s="10" t="inlineStr">
        <is>
          <t>Metro Nashville Public Schools</t>
        </is>
      </c>
      <c r="B715" s="10" t="inlineStr">
        <is>
          <t>TN</t>
        </is>
      </c>
      <c r="C715" s="10" t="inlineStr">
        <is>
          <t>Bachelor's</t>
        </is>
      </c>
      <c r="D715" s="11" t="n">
        <v>9</v>
      </c>
      <c r="E715" s="12" t="n">
        <v>64261.2</v>
      </c>
      <c r="F715" s="13" t="inlineStr">
        <is>
          <t>2026-06-11</t>
        </is>
      </c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</row>
    <row r="716" ht="26.75" customHeight="1" s="104">
      <c r="A716" s="10" t="inlineStr">
        <is>
          <t>Metro Nashville Public Schools</t>
        </is>
      </c>
      <c r="B716" s="10" t="inlineStr">
        <is>
          <t>TN</t>
        </is>
      </c>
      <c r="C716" s="10" t="inlineStr">
        <is>
          <t>Bachelor's</t>
        </is>
      </c>
      <c r="D716" s="11" t="n">
        <v>10</v>
      </c>
      <c r="E716" s="12" t="n">
        <v>65444.67</v>
      </c>
      <c r="F716" s="13" t="inlineStr">
        <is>
          <t>2026-06-11</t>
        </is>
      </c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</row>
    <row r="717" ht="26.75" customHeight="1" s="104">
      <c r="A717" s="10" t="inlineStr">
        <is>
          <t>Metro Nashville Public Schools</t>
        </is>
      </c>
      <c r="B717" s="10" t="inlineStr">
        <is>
          <t>TN</t>
        </is>
      </c>
      <c r="C717" s="10" t="inlineStr">
        <is>
          <t>Master's</t>
        </is>
      </c>
      <c r="D717" s="11" t="n">
        <v>0</v>
      </c>
      <c r="E717" s="12" t="n">
        <v>59065.94</v>
      </c>
      <c r="F717" s="13" t="inlineStr">
        <is>
          <t>2026-06-11</t>
        </is>
      </c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</row>
    <row r="718" ht="26.75" customHeight="1" s="104">
      <c r="A718" s="10" t="inlineStr">
        <is>
          <t>Metro Nashville Public Schools</t>
        </is>
      </c>
      <c r="B718" s="10" t="inlineStr">
        <is>
          <t>TN</t>
        </is>
      </c>
      <c r="C718" s="10" t="inlineStr">
        <is>
          <t>Master's</t>
        </is>
      </c>
      <c r="D718" s="11" t="n">
        <v>1</v>
      </c>
      <c r="E718" s="12" t="n">
        <v>60404.13</v>
      </c>
      <c r="F718" s="13" t="inlineStr">
        <is>
          <t>2026-06-11</t>
        </is>
      </c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</row>
    <row r="719" ht="26.75" customHeight="1" s="104">
      <c r="A719" s="10" t="inlineStr">
        <is>
          <t>Metro Nashville Public Schools</t>
        </is>
      </c>
      <c r="B719" s="10" t="inlineStr">
        <is>
          <t>TN</t>
        </is>
      </c>
      <c r="C719" s="10" t="inlineStr">
        <is>
          <t>Master's</t>
        </is>
      </c>
      <c r="D719" s="11" t="n">
        <v>2</v>
      </c>
      <c r="E719" s="12" t="n">
        <v>61742.33</v>
      </c>
      <c r="F719" s="13" t="inlineStr">
        <is>
          <t>2026-06-11</t>
        </is>
      </c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</row>
    <row r="720" ht="26.75" customHeight="1" s="104">
      <c r="A720" s="10" t="inlineStr">
        <is>
          <t>Metro Nashville Public Schools</t>
        </is>
      </c>
      <c r="B720" s="10" t="inlineStr">
        <is>
          <t>TN</t>
        </is>
      </c>
      <c r="C720" s="10" t="inlineStr">
        <is>
          <t>Master's</t>
        </is>
      </c>
      <c r="D720" s="11" t="n">
        <v>3</v>
      </c>
      <c r="E720" s="12" t="n">
        <v>63080.52</v>
      </c>
      <c r="F720" s="13" t="inlineStr">
        <is>
          <t>2026-06-11</t>
        </is>
      </c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</row>
    <row r="721" ht="26.75" customHeight="1" s="104">
      <c r="A721" s="10" t="inlineStr">
        <is>
          <t>Metro Nashville Public Schools</t>
        </is>
      </c>
      <c r="B721" s="10" t="inlineStr">
        <is>
          <t>TN</t>
        </is>
      </c>
      <c r="C721" s="10" t="inlineStr">
        <is>
          <t>Master's</t>
        </is>
      </c>
      <c r="D721" s="11" t="n">
        <v>4</v>
      </c>
      <c r="E721" s="12" t="n">
        <v>64418.72</v>
      </c>
      <c r="F721" s="13" t="inlineStr">
        <is>
          <t>2026-06-11</t>
        </is>
      </c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</row>
    <row r="722" ht="26.75" customHeight="1" s="104">
      <c r="A722" s="10" t="inlineStr">
        <is>
          <t>Metro Nashville Public Schools</t>
        </is>
      </c>
      <c r="B722" s="10" t="inlineStr">
        <is>
          <t>TN</t>
        </is>
      </c>
      <c r="C722" s="10" t="inlineStr">
        <is>
          <t>Master's</t>
        </is>
      </c>
      <c r="D722" s="11" t="n">
        <v>5</v>
      </c>
      <c r="E722" s="12" t="n">
        <v>65756.91</v>
      </c>
      <c r="F722" s="13" t="inlineStr">
        <is>
          <t>2026-06-11</t>
        </is>
      </c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</row>
    <row r="723" ht="26.75" customHeight="1" s="104">
      <c r="A723" s="10" t="inlineStr">
        <is>
          <t>Metro Nashville Public Schools</t>
        </is>
      </c>
      <c r="B723" s="10" t="inlineStr">
        <is>
          <t>TN</t>
        </is>
      </c>
      <c r="C723" s="10" t="inlineStr">
        <is>
          <t>Master's</t>
        </is>
      </c>
      <c r="D723" s="11" t="n">
        <v>6</v>
      </c>
      <c r="E723" s="12" t="n">
        <v>66886.55</v>
      </c>
      <c r="F723" s="13" t="inlineStr">
        <is>
          <t>2026-06-11</t>
        </is>
      </c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</row>
    <row r="724" ht="26.75" customHeight="1" s="104">
      <c r="A724" s="10" t="inlineStr">
        <is>
          <t>Metro Nashville Public Schools</t>
        </is>
      </c>
      <c r="B724" s="10" t="inlineStr">
        <is>
          <t>TN</t>
        </is>
      </c>
      <c r="C724" s="10" t="inlineStr">
        <is>
          <t>Master's</t>
        </is>
      </c>
      <c r="D724" s="11" t="n">
        <v>7</v>
      </c>
      <c r="E724" s="12" t="n">
        <v>68016.2</v>
      </c>
      <c r="F724" s="13" t="inlineStr">
        <is>
          <t>2026-06-11</t>
        </is>
      </c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</row>
    <row r="725" ht="26.75" customHeight="1" s="104">
      <c r="A725" s="10" t="inlineStr">
        <is>
          <t>Metro Nashville Public Schools</t>
        </is>
      </c>
      <c r="B725" s="10" t="inlineStr">
        <is>
          <t>TN</t>
        </is>
      </c>
      <c r="C725" s="10" t="inlineStr">
        <is>
          <t>Master's</t>
        </is>
      </c>
      <c r="D725" s="11" t="n">
        <v>8</v>
      </c>
      <c r="E725" s="12" t="n">
        <v>69145.84</v>
      </c>
      <c r="F725" s="13" t="inlineStr">
        <is>
          <t>2026-06-11</t>
        </is>
      </c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</row>
    <row r="726" ht="26.75" customHeight="1" s="104">
      <c r="A726" s="10" t="inlineStr">
        <is>
          <t>Metro Nashville Public Schools</t>
        </is>
      </c>
      <c r="B726" s="10" t="inlineStr">
        <is>
          <t>TN</t>
        </is>
      </c>
      <c r="C726" s="10" t="inlineStr">
        <is>
          <t>Master's</t>
        </is>
      </c>
      <c r="D726" s="11" t="n">
        <v>9</v>
      </c>
      <c r="E726" s="12" t="n">
        <v>70275.49000000001</v>
      </c>
      <c r="F726" s="13" t="inlineStr">
        <is>
          <t>2026-06-11</t>
        </is>
      </c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</row>
    <row r="727" ht="26.75" customHeight="1" s="104">
      <c r="A727" s="10" t="inlineStr">
        <is>
          <t>Metro Nashville Public Schools</t>
        </is>
      </c>
      <c r="B727" s="10" t="inlineStr">
        <is>
          <t>TN</t>
        </is>
      </c>
      <c r="C727" s="10" t="inlineStr">
        <is>
          <t>Master's</t>
        </is>
      </c>
      <c r="D727" s="11" t="n">
        <v>10</v>
      </c>
      <c r="E727" s="12" t="n">
        <v>71405.13</v>
      </c>
      <c r="F727" s="13" t="inlineStr">
        <is>
          <t>2026-06-11</t>
        </is>
      </c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</row>
    <row r="728" ht="26.75" customHeight="1" s="104">
      <c r="A728" s="10" t="inlineStr">
        <is>
          <t>Middleton-Cross Plains Area School District</t>
        </is>
      </c>
      <c r="B728" s="10" t="inlineStr">
        <is>
          <t>WI</t>
        </is>
      </c>
      <c r="C728" s="10" t="inlineStr">
        <is>
          <t>Bachelor's</t>
        </is>
      </c>
      <c r="D728" s="11" t="n">
        <v>0</v>
      </c>
      <c r="E728" s="12" t="n">
        <v>55000</v>
      </c>
      <c r="F728" s="10" t="inlineStr">
        <is>
          <t>2026-06-15</t>
        </is>
      </c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</row>
    <row r="729" ht="26.75" customHeight="1" s="104">
      <c r="A729" s="10" t="inlineStr">
        <is>
          <t>Middleton-Cross Plains Area School District</t>
        </is>
      </c>
      <c r="B729" s="10" t="inlineStr">
        <is>
          <t>WI</t>
        </is>
      </c>
      <c r="C729" s="10" t="inlineStr">
        <is>
          <t>Bachelor's</t>
        </is>
      </c>
      <c r="D729" s="11" t="n">
        <v>1</v>
      </c>
      <c r="E729" s="12" t="n">
        <v>56200</v>
      </c>
      <c r="F729" s="10" t="inlineStr">
        <is>
          <t>2026-06-15</t>
        </is>
      </c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</row>
    <row r="730" ht="26.75" customHeight="1" s="104">
      <c r="A730" s="10" t="inlineStr">
        <is>
          <t>Middleton-Cross Plains Area School District</t>
        </is>
      </c>
      <c r="B730" s="10" t="inlineStr">
        <is>
          <t>WI</t>
        </is>
      </c>
      <c r="C730" s="10" t="inlineStr">
        <is>
          <t>Bachelor's</t>
        </is>
      </c>
      <c r="D730" s="11" t="n">
        <v>2</v>
      </c>
      <c r="E730" s="12" t="n">
        <v>57400</v>
      </c>
      <c r="F730" s="10" t="inlineStr">
        <is>
          <t>2026-06-15</t>
        </is>
      </c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</row>
    <row r="731" ht="26.75" customHeight="1" s="104">
      <c r="A731" s="10" t="inlineStr">
        <is>
          <t>Middleton-Cross Plains Area School District</t>
        </is>
      </c>
      <c r="B731" s="10" t="inlineStr">
        <is>
          <t>WI</t>
        </is>
      </c>
      <c r="C731" s="10" t="inlineStr">
        <is>
          <t>Bachelor's</t>
        </is>
      </c>
      <c r="D731" s="11" t="n">
        <v>3</v>
      </c>
      <c r="E731" s="12" t="n">
        <v>58600</v>
      </c>
      <c r="F731" s="10" t="inlineStr">
        <is>
          <t>2026-06-15</t>
        </is>
      </c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</row>
    <row r="732" ht="26.75" customHeight="1" s="104">
      <c r="A732" s="10" t="inlineStr">
        <is>
          <t>Middleton-Cross Plains Area School District</t>
        </is>
      </c>
      <c r="B732" s="10" t="inlineStr">
        <is>
          <t>WI</t>
        </is>
      </c>
      <c r="C732" s="10" t="inlineStr">
        <is>
          <t>Bachelor's</t>
        </is>
      </c>
      <c r="D732" s="11" t="n">
        <v>4</v>
      </c>
      <c r="E732" s="12" t="n">
        <v>59800</v>
      </c>
      <c r="F732" s="10" t="inlineStr">
        <is>
          <t>2026-06-15</t>
        </is>
      </c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</row>
    <row r="733" ht="26.75" customHeight="1" s="104">
      <c r="A733" s="10" t="inlineStr">
        <is>
          <t>Middleton-Cross Plains Area School District</t>
        </is>
      </c>
      <c r="B733" s="10" t="inlineStr">
        <is>
          <t>WI</t>
        </is>
      </c>
      <c r="C733" s="10" t="inlineStr">
        <is>
          <t>Bachelor's</t>
        </is>
      </c>
      <c r="D733" s="11" t="n">
        <v>5</v>
      </c>
      <c r="E733" s="12" t="n">
        <v>61000</v>
      </c>
      <c r="F733" s="10" t="inlineStr">
        <is>
          <t>2026-06-15</t>
        </is>
      </c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</row>
    <row r="734" ht="26.75" customHeight="1" s="104">
      <c r="A734" s="10" t="inlineStr">
        <is>
          <t>Middleton-Cross Plains Area School District</t>
        </is>
      </c>
      <c r="B734" s="10" t="inlineStr">
        <is>
          <t>WI</t>
        </is>
      </c>
      <c r="C734" s="10" t="inlineStr">
        <is>
          <t>Bachelor's</t>
        </is>
      </c>
      <c r="D734" s="11" t="n">
        <v>6</v>
      </c>
      <c r="E734" s="12" t="n">
        <v>62200</v>
      </c>
      <c r="F734" s="10" t="inlineStr">
        <is>
          <t>2026-06-15</t>
        </is>
      </c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</row>
    <row r="735" ht="26.75" customHeight="1" s="104">
      <c r="A735" s="10" t="inlineStr">
        <is>
          <t>Middleton-Cross Plains Area School District</t>
        </is>
      </c>
      <c r="B735" s="10" t="inlineStr">
        <is>
          <t>WI</t>
        </is>
      </c>
      <c r="C735" s="10" t="inlineStr">
        <is>
          <t>Bachelor's</t>
        </is>
      </c>
      <c r="D735" s="11" t="n">
        <v>7</v>
      </c>
      <c r="E735" s="12" t="n">
        <v>63400</v>
      </c>
      <c r="F735" s="10" t="inlineStr">
        <is>
          <t>2026-06-15</t>
        </is>
      </c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</row>
    <row r="736" ht="26.75" customHeight="1" s="104">
      <c r="A736" s="10" t="inlineStr">
        <is>
          <t>Middleton-Cross Plains Area School District</t>
        </is>
      </c>
      <c r="B736" s="10" t="inlineStr">
        <is>
          <t>WI</t>
        </is>
      </c>
      <c r="C736" s="10" t="inlineStr">
        <is>
          <t>Bachelor's</t>
        </is>
      </c>
      <c r="D736" s="11" t="n">
        <v>8</v>
      </c>
      <c r="E736" s="12" t="n">
        <v>64600</v>
      </c>
      <c r="F736" s="10" t="inlineStr">
        <is>
          <t>2026-06-15</t>
        </is>
      </c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</row>
    <row r="737" ht="26.75" customHeight="1" s="104">
      <c r="A737" s="10" t="inlineStr">
        <is>
          <t>Middleton-Cross Plains Area School District</t>
        </is>
      </c>
      <c r="B737" s="10" t="inlineStr">
        <is>
          <t>WI</t>
        </is>
      </c>
      <c r="C737" s="10" t="inlineStr">
        <is>
          <t>Bachelor's</t>
        </is>
      </c>
      <c r="D737" s="11" t="n">
        <v>9</v>
      </c>
      <c r="E737" s="12" t="n">
        <v>65800</v>
      </c>
      <c r="F737" s="10" t="inlineStr">
        <is>
          <t>2026-06-15</t>
        </is>
      </c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</row>
    <row r="738" ht="26.75" customHeight="1" s="104">
      <c r="A738" s="10" t="inlineStr">
        <is>
          <t>Middleton-Cross Plains Area School District</t>
        </is>
      </c>
      <c r="B738" s="10" t="inlineStr">
        <is>
          <t>WI</t>
        </is>
      </c>
      <c r="C738" s="10" t="inlineStr">
        <is>
          <t>Bachelor's</t>
        </is>
      </c>
      <c r="D738" s="11" t="n">
        <v>10</v>
      </c>
      <c r="E738" s="12" t="n">
        <v>67000</v>
      </c>
      <c r="F738" s="10" t="inlineStr">
        <is>
          <t>2026-06-15</t>
        </is>
      </c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</row>
    <row r="739" ht="26.75" customHeight="1" s="104">
      <c r="A739" s="10" t="inlineStr">
        <is>
          <t>Middleton-Cross Plains Area School District</t>
        </is>
      </c>
      <c r="B739" s="10" t="inlineStr">
        <is>
          <t>WI</t>
        </is>
      </c>
      <c r="C739" s="10" t="inlineStr">
        <is>
          <t>Master's</t>
        </is>
      </c>
      <c r="D739" s="11" t="n">
        <v>0</v>
      </c>
      <c r="E739" s="12" t="n">
        <v>59000</v>
      </c>
      <c r="F739" s="10" t="inlineStr">
        <is>
          <t>2026-06-15</t>
        </is>
      </c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</row>
    <row r="740" ht="26.75" customHeight="1" s="104">
      <c r="A740" s="10" t="inlineStr">
        <is>
          <t>Middleton-Cross Plains Area School District</t>
        </is>
      </c>
      <c r="B740" s="10" t="inlineStr">
        <is>
          <t>WI</t>
        </is>
      </c>
      <c r="C740" s="10" t="inlineStr">
        <is>
          <t>Master's</t>
        </is>
      </c>
      <c r="D740" s="11" t="n">
        <v>1</v>
      </c>
      <c r="E740" s="12" t="n">
        <v>60200</v>
      </c>
      <c r="F740" s="10" t="inlineStr">
        <is>
          <t>2026-06-15</t>
        </is>
      </c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</row>
    <row r="741" ht="26.75" customHeight="1" s="104">
      <c r="A741" s="10" t="inlineStr">
        <is>
          <t>Middleton-Cross Plains Area School District</t>
        </is>
      </c>
      <c r="B741" s="10" t="inlineStr">
        <is>
          <t>WI</t>
        </is>
      </c>
      <c r="C741" s="10" t="inlineStr">
        <is>
          <t>Master's</t>
        </is>
      </c>
      <c r="D741" s="11" t="n">
        <v>2</v>
      </c>
      <c r="E741" s="12" t="n">
        <v>61400</v>
      </c>
      <c r="F741" s="10" t="inlineStr">
        <is>
          <t>2026-06-15</t>
        </is>
      </c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</row>
    <row r="742" ht="26.75" customHeight="1" s="104">
      <c r="A742" s="10" t="inlineStr">
        <is>
          <t>Middleton-Cross Plains Area School District</t>
        </is>
      </c>
      <c r="B742" s="10" t="inlineStr">
        <is>
          <t>WI</t>
        </is>
      </c>
      <c r="C742" s="10" t="inlineStr">
        <is>
          <t>Master's</t>
        </is>
      </c>
      <c r="D742" s="11" t="n">
        <v>3</v>
      </c>
      <c r="E742" s="12" t="n">
        <v>62600</v>
      </c>
      <c r="F742" s="10" t="inlineStr">
        <is>
          <t>2026-06-15</t>
        </is>
      </c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</row>
    <row r="743" ht="26.75" customHeight="1" s="104">
      <c r="A743" s="10" t="inlineStr">
        <is>
          <t>Middleton-Cross Plains Area School District</t>
        </is>
      </c>
      <c r="B743" s="10" t="inlineStr">
        <is>
          <t>WI</t>
        </is>
      </c>
      <c r="C743" s="10" t="inlineStr">
        <is>
          <t>Master's</t>
        </is>
      </c>
      <c r="D743" s="11" t="n">
        <v>4</v>
      </c>
      <c r="E743" s="12" t="n">
        <v>63800</v>
      </c>
      <c r="F743" s="10" t="inlineStr">
        <is>
          <t>2026-06-15</t>
        </is>
      </c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</row>
    <row r="744" ht="26.75" customHeight="1" s="104">
      <c r="A744" s="10" t="inlineStr">
        <is>
          <t>Middleton-Cross Plains Area School District</t>
        </is>
      </c>
      <c r="B744" s="10" t="inlineStr">
        <is>
          <t>WI</t>
        </is>
      </c>
      <c r="C744" s="10" t="inlineStr">
        <is>
          <t>Master's</t>
        </is>
      </c>
      <c r="D744" s="11" t="n">
        <v>5</v>
      </c>
      <c r="E744" s="12" t="n">
        <v>65000</v>
      </c>
      <c r="F744" s="10" t="inlineStr">
        <is>
          <t>2026-06-15</t>
        </is>
      </c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</row>
    <row r="745" ht="26.75" customHeight="1" s="104">
      <c r="A745" s="10" t="inlineStr">
        <is>
          <t>Middleton-Cross Plains Area School District</t>
        </is>
      </c>
      <c r="B745" s="10" t="inlineStr">
        <is>
          <t>WI</t>
        </is>
      </c>
      <c r="C745" s="10" t="inlineStr">
        <is>
          <t>Master's</t>
        </is>
      </c>
      <c r="D745" s="11" t="n">
        <v>6</v>
      </c>
      <c r="E745" s="12" t="n">
        <v>66200</v>
      </c>
      <c r="F745" s="10" t="inlineStr">
        <is>
          <t>2026-06-15</t>
        </is>
      </c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</row>
    <row r="746" ht="26.75" customHeight="1" s="104">
      <c r="A746" s="10" t="inlineStr">
        <is>
          <t>Middleton-Cross Plains Area School District</t>
        </is>
      </c>
      <c r="B746" s="10" t="inlineStr">
        <is>
          <t>WI</t>
        </is>
      </c>
      <c r="C746" s="10" t="inlineStr">
        <is>
          <t>Master's</t>
        </is>
      </c>
      <c r="D746" s="11" t="n">
        <v>7</v>
      </c>
      <c r="E746" s="12" t="n">
        <v>67400</v>
      </c>
      <c r="F746" s="10" t="inlineStr">
        <is>
          <t>2026-06-15</t>
        </is>
      </c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</row>
    <row r="747" ht="26.75" customHeight="1" s="104">
      <c r="A747" s="10" t="inlineStr">
        <is>
          <t>Middleton-Cross Plains Area School District</t>
        </is>
      </c>
      <c r="B747" s="10" t="inlineStr">
        <is>
          <t>WI</t>
        </is>
      </c>
      <c r="C747" s="10" t="inlineStr">
        <is>
          <t>Master's</t>
        </is>
      </c>
      <c r="D747" s="11" t="n">
        <v>8</v>
      </c>
      <c r="E747" s="12" t="n">
        <v>68600</v>
      </c>
      <c r="F747" s="10" t="inlineStr">
        <is>
          <t>2026-06-15</t>
        </is>
      </c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</row>
    <row r="748" ht="26.75" customHeight="1" s="104">
      <c r="A748" s="10" t="inlineStr">
        <is>
          <t>Middleton-Cross Plains Area School District</t>
        </is>
      </c>
      <c r="B748" s="10" t="inlineStr">
        <is>
          <t>WI</t>
        </is>
      </c>
      <c r="C748" s="10" t="inlineStr">
        <is>
          <t>Master's</t>
        </is>
      </c>
      <c r="D748" s="11" t="n">
        <v>9</v>
      </c>
      <c r="E748" s="12" t="n">
        <v>69800</v>
      </c>
      <c r="F748" s="10" t="inlineStr">
        <is>
          <t>2026-06-15</t>
        </is>
      </c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</row>
    <row r="749" ht="26.75" customHeight="1" s="104">
      <c r="A749" s="10" t="inlineStr">
        <is>
          <t>Middleton-Cross Plains Area School District</t>
        </is>
      </c>
      <c r="B749" s="10" t="inlineStr">
        <is>
          <t>WI</t>
        </is>
      </c>
      <c r="C749" s="10" t="inlineStr">
        <is>
          <t>Master's</t>
        </is>
      </c>
      <c r="D749" s="11" t="n">
        <v>10</v>
      </c>
      <c r="E749" s="12" t="n">
        <v>71000</v>
      </c>
      <c r="F749" s="10" t="inlineStr">
        <is>
          <t>2026-06-15</t>
        </is>
      </c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</row>
    <row r="750" ht="26.75" customHeight="1" s="104">
      <c r="A750" s="37" t="inlineStr">
        <is>
          <t>Minnetonka Public Schools</t>
        </is>
      </c>
      <c r="B750" s="37" t="inlineStr">
        <is>
          <t>MN</t>
        </is>
      </c>
      <c r="C750" s="37" t="inlineStr">
        <is>
          <t>Bachelor's</t>
        </is>
      </c>
      <c r="D750" s="37" t="n">
        <v>0</v>
      </c>
      <c r="E750" s="38" t="n">
        <v>52217</v>
      </c>
      <c r="F750" s="37" t="inlineStr">
        <is>
          <t>2026-06-16</t>
        </is>
      </c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</row>
    <row r="751" ht="26.75" customHeight="1" s="104">
      <c r="A751" s="37" t="inlineStr">
        <is>
          <t>Minnetonka Public Schools</t>
        </is>
      </c>
      <c r="B751" s="37" t="inlineStr">
        <is>
          <t>MN</t>
        </is>
      </c>
      <c r="C751" s="37" t="inlineStr">
        <is>
          <t>Bachelor's</t>
        </is>
      </c>
      <c r="D751" s="37" t="n">
        <v>1</v>
      </c>
      <c r="E751" s="38" t="n">
        <v>53712</v>
      </c>
      <c r="F751" s="37" t="inlineStr">
        <is>
          <t>2026-06-16</t>
        </is>
      </c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</row>
    <row r="752" ht="26.75" customHeight="1" s="104">
      <c r="A752" s="37" t="inlineStr">
        <is>
          <t>Minnetonka Public Schools</t>
        </is>
      </c>
      <c r="B752" s="37" t="inlineStr">
        <is>
          <t>MN</t>
        </is>
      </c>
      <c r="C752" s="37" t="inlineStr">
        <is>
          <t>Bachelor's</t>
        </is>
      </c>
      <c r="D752" s="37" t="n">
        <v>2</v>
      </c>
      <c r="E752" s="38" t="n">
        <v>55209</v>
      </c>
      <c r="F752" s="37" t="inlineStr">
        <is>
          <t>2026-06-16</t>
        </is>
      </c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</row>
    <row r="753" ht="26.75" customHeight="1" s="104">
      <c r="A753" s="37" t="inlineStr">
        <is>
          <t>Minnetonka Public Schools</t>
        </is>
      </c>
      <c r="B753" s="37" t="inlineStr">
        <is>
          <t>MN</t>
        </is>
      </c>
      <c r="C753" s="37" t="inlineStr">
        <is>
          <t>Bachelor's</t>
        </is>
      </c>
      <c r="D753" s="37" t="n">
        <v>3</v>
      </c>
      <c r="E753" s="38" t="n">
        <v>56703</v>
      </c>
      <c r="F753" s="37" t="inlineStr">
        <is>
          <t>2026-06-16</t>
        </is>
      </c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</row>
    <row r="754" ht="26.75" customHeight="1" s="104">
      <c r="A754" s="37" t="inlineStr">
        <is>
          <t>Minnetonka Public Schools</t>
        </is>
      </c>
      <c r="B754" s="37" t="inlineStr">
        <is>
          <t>MN</t>
        </is>
      </c>
      <c r="C754" s="37" t="inlineStr">
        <is>
          <t>Bachelor's</t>
        </is>
      </c>
      <c r="D754" s="37" t="n">
        <v>4</v>
      </c>
      <c r="E754" s="38" t="n">
        <v>58198</v>
      </c>
      <c r="F754" s="37" t="inlineStr">
        <is>
          <t>2026-06-16</t>
        </is>
      </c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</row>
    <row r="755" ht="26.75" customHeight="1" s="104">
      <c r="A755" s="37" t="inlineStr">
        <is>
          <t>Minnetonka Public Schools</t>
        </is>
      </c>
      <c r="B755" s="37" t="inlineStr">
        <is>
          <t>MN</t>
        </is>
      </c>
      <c r="C755" s="37" t="inlineStr">
        <is>
          <t>Bachelor's</t>
        </is>
      </c>
      <c r="D755" s="37" t="n">
        <v>5</v>
      </c>
      <c r="E755" s="38" t="n">
        <v>59693</v>
      </c>
      <c r="F755" s="37" t="inlineStr">
        <is>
          <t>2026-06-16</t>
        </is>
      </c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</row>
    <row r="756" ht="26.75" customHeight="1" s="104">
      <c r="A756" s="37" t="inlineStr">
        <is>
          <t>Minnetonka Public Schools</t>
        </is>
      </c>
      <c r="B756" s="37" t="inlineStr">
        <is>
          <t>MN</t>
        </is>
      </c>
      <c r="C756" s="37" t="inlineStr">
        <is>
          <t>Bachelor's</t>
        </is>
      </c>
      <c r="D756" s="37" t="n">
        <v>6</v>
      </c>
      <c r="E756" s="38" t="n">
        <v>61184</v>
      </c>
      <c r="F756" s="37" t="inlineStr">
        <is>
          <t>2026-06-16</t>
        </is>
      </c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</row>
    <row r="757" ht="26.75" customHeight="1" s="104">
      <c r="A757" s="37" t="inlineStr">
        <is>
          <t>Minnetonka Public Schools</t>
        </is>
      </c>
      <c r="B757" s="37" t="inlineStr">
        <is>
          <t>MN</t>
        </is>
      </c>
      <c r="C757" s="37" t="inlineStr">
        <is>
          <t>Bachelor's</t>
        </is>
      </c>
      <c r="D757" s="37" t="n">
        <v>7</v>
      </c>
      <c r="E757" s="38" t="n">
        <v>62680</v>
      </c>
      <c r="F757" s="37" t="inlineStr">
        <is>
          <t>2026-06-16</t>
        </is>
      </c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</row>
    <row r="758" ht="26.75" customHeight="1" s="104">
      <c r="A758" s="37" t="inlineStr">
        <is>
          <t>Minnetonka Public Schools</t>
        </is>
      </c>
      <c r="B758" s="37" t="inlineStr">
        <is>
          <t>MN</t>
        </is>
      </c>
      <c r="C758" s="37" t="inlineStr">
        <is>
          <t>Bachelor's</t>
        </is>
      </c>
      <c r="D758" s="37" t="n">
        <v>8</v>
      </c>
      <c r="E758" s="38" t="n">
        <v>64175</v>
      </c>
      <c r="F758" s="37" t="inlineStr">
        <is>
          <t>2026-06-16</t>
        </is>
      </c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</row>
    <row r="759" ht="26.75" customHeight="1" s="104">
      <c r="A759" s="37" t="inlineStr">
        <is>
          <t>Minnetonka Public Schools</t>
        </is>
      </c>
      <c r="B759" s="37" t="inlineStr">
        <is>
          <t>MN</t>
        </is>
      </c>
      <c r="C759" s="37" t="inlineStr">
        <is>
          <t>Bachelor's</t>
        </is>
      </c>
      <c r="D759" s="37" t="n">
        <v>9</v>
      </c>
      <c r="E759" s="38" t="n">
        <v>65670</v>
      </c>
      <c r="F759" s="37" t="inlineStr">
        <is>
          <t>2026-06-16</t>
        </is>
      </c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</row>
    <row r="760" ht="26.75" customHeight="1" s="104">
      <c r="A760" s="37" t="inlineStr">
        <is>
          <t>Minnetonka Public Schools</t>
        </is>
      </c>
      <c r="B760" s="37" t="inlineStr">
        <is>
          <t>MN</t>
        </is>
      </c>
      <c r="C760" s="37" t="inlineStr">
        <is>
          <t>Bachelor's</t>
        </is>
      </c>
      <c r="D760" s="37" t="n">
        <v>10</v>
      </c>
      <c r="E760" s="38" t="n">
        <v>67163</v>
      </c>
      <c r="F760" s="37" t="inlineStr">
        <is>
          <t>2026-06-16</t>
        </is>
      </c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</row>
    <row r="761" ht="26.75" customHeight="1" s="104">
      <c r="A761" s="37" t="inlineStr">
        <is>
          <t>Minnetonka Public Schools</t>
        </is>
      </c>
      <c r="B761" s="37" t="inlineStr">
        <is>
          <t>MN</t>
        </is>
      </c>
      <c r="C761" s="37" t="inlineStr">
        <is>
          <t>Master's</t>
        </is>
      </c>
      <c r="D761" s="37" t="n">
        <v>0</v>
      </c>
      <c r="E761" s="38" t="n">
        <v>64583</v>
      </c>
      <c r="F761" s="37" t="inlineStr">
        <is>
          <t>2026-06-16</t>
        </is>
      </c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</row>
    <row r="762" ht="26.75" customHeight="1" s="104">
      <c r="A762" s="37" t="inlineStr">
        <is>
          <t>Minnetonka Public Schools</t>
        </is>
      </c>
      <c r="B762" s="37" t="inlineStr">
        <is>
          <t>MN</t>
        </is>
      </c>
      <c r="C762" s="37" t="inlineStr">
        <is>
          <t>Master's</t>
        </is>
      </c>
      <c r="D762" s="37" t="n">
        <v>1</v>
      </c>
      <c r="E762" s="38" t="n">
        <v>66747</v>
      </c>
      <c r="F762" s="37" t="inlineStr">
        <is>
          <t>2026-06-16</t>
        </is>
      </c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</row>
    <row r="763" ht="26.75" customHeight="1" s="104">
      <c r="A763" s="37" t="inlineStr">
        <is>
          <t>Minnetonka Public Schools</t>
        </is>
      </c>
      <c r="B763" s="37" t="inlineStr">
        <is>
          <t>MN</t>
        </is>
      </c>
      <c r="C763" s="37" t="inlineStr">
        <is>
          <t>Master's</t>
        </is>
      </c>
      <c r="D763" s="37" t="n">
        <v>2</v>
      </c>
      <c r="E763" s="38" t="n">
        <v>68905</v>
      </c>
      <c r="F763" s="37" t="inlineStr">
        <is>
          <t>2026-06-16</t>
        </is>
      </c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</row>
    <row r="764" ht="26.75" customHeight="1" s="104">
      <c r="A764" s="37" t="inlineStr">
        <is>
          <t>Minnetonka Public Schools</t>
        </is>
      </c>
      <c r="B764" s="37" t="inlineStr">
        <is>
          <t>MN</t>
        </is>
      </c>
      <c r="C764" s="37" t="inlineStr">
        <is>
          <t>Master's</t>
        </is>
      </c>
      <c r="D764" s="37" t="n">
        <v>3</v>
      </c>
      <c r="E764" s="38" t="n">
        <v>71067</v>
      </c>
      <c r="F764" s="37" t="inlineStr">
        <is>
          <t>2026-06-16</t>
        </is>
      </c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</row>
    <row r="765" ht="26.75" customHeight="1" s="104">
      <c r="A765" s="37" t="inlineStr">
        <is>
          <t>Minnetonka Public Schools</t>
        </is>
      </c>
      <c r="B765" s="37" t="inlineStr">
        <is>
          <t>MN</t>
        </is>
      </c>
      <c r="C765" s="37" t="inlineStr">
        <is>
          <t>Master's</t>
        </is>
      </c>
      <c r="D765" s="37" t="n">
        <v>4</v>
      </c>
      <c r="E765" s="38" t="n">
        <v>73224</v>
      </c>
      <c r="F765" s="37" t="inlineStr">
        <is>
          <t>2026-06-16</t>
        </is>
      </c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</row>
    <row r="766" ht="26.75" customHeight="1" s="104">
      <c r="A766" s="37" t="inlineStr">
        <is>
          <t>Minnetonka Public Schools</t>
        </is>
      </c>
      <c r="B766" s="37" t="inlineStr">
        <is>
          <t>MN</t>
        </is>
      </c>
      <c r="C766" s="37" t="inlineStr">
        <is>
          <t>Master's</t>
        </is>
      </c>
      <c r="D766" s="37" t="n">
        <v>5</v>
      </c>
      <c r="E766" s="38" t="n">
        <v>75389</v>
      </c>
      <c r="F766" s="37" t="inlineStr">
        <is>
          <t>2026-06-16</t>
        </is>
      </c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</row>
    <row r="767" ht="26.75" customHeight="1" s="104">
      <c r="A767" s="37" t="inlineStr">
        <is>
          <t>Minnetonka Public Schools</t>
        </is>
      </c>
      <c r="B767" s="37" t="inlineStr">
        <is>
          <t>MN</t>
        </is>
      </c>
      <c r="C767" s="37" t="inlineStr">
        <is>
          <t>Master's</t>
        </is>
      </c>
      <c r="D767" s="37" t="n">
        <v>6</v>
      </c>
      <c r="E767" s="38" t="n">
        <v>77549</v>
      </c>
      <c r="F767" s="37" t="inlineStr">
        <is>
          <t>2026-06-16</t>
        </is>
      </c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</row>
    <row r="768" ht="26.75" customHeight="1" s="104">
      <c r="A768" s="37" t="inlineStr">
        <is>
          <t>Minnetonka Public Schools</t>
        </is>
      </c>
      <c r="B768" s="37" t="inlineStr">
        <is>
          <t>MN</t>
        </is>
      </c>
      <c r="C768" s="37" t="inlineStr">
        <is>
          <t>Master's</t>
        </is>
      </c>
      <c r="D768" s="37" t="n">
        <v>7</v>
      </c>
      <c r="E768" s="38" t="n">
        <v>79708</v>
      </c>
      <c r="F768" s="37" t="inlineStr">
        <is>
          <t>2026-06-16</t>
        </is>
      </c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</row>
    <row r="769" ht="26.75" customHeight="1" s="104">
      <c r="A769" s="37" t="inlineStr">
        <is>
          <t>Minnetonka Public Schools</t>
        </is>
      </c>
      <c r="B769" s="37" t="inlineStr">
        <is>
          <t>MN</t>
        </is>
      </c>
      <c r="C769" s="37" t="inlineStr">
        <is>
          <t>Master's</t>
        </is>
      </c>
      <c r="D769" s="37" t="n">
        <v>8</v>
      </c>
      <c r="E769" s="38" t="n">
        <v>81867</v>
      </c>
      <c r="F769" s="37" t="inlineStr">
        <is>
          <t>2026-06-16</t>
        </is>
      </c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</row>
    <row r="770" ht="26.75" customHeight="1" s="104">
      <c r="A770" s="37" t="inlineStr">
        <is>
          <t>Minnetonka Public Schools</t>
        </is>
      </c>
      <c r="B770" s="37" t="inlineStr">
        <is>
          <t>MN</t>
        </is>
      </c>
      <c r="C770" s="37" t="inlineStr">
        <is>
          <t>Master's</t>
        </is>
      </c>
      <c r="D770" s="37" t="n">
        <v>9</v>
      </c>
      <c r="E770" s="38" t="n">
        <v>84030</v>
      </c>
      <c r="F770" s="37" t="inlineStr">
        <is>
          <t>2026-06-16</t>
        </is>
      </c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</row>
    <row r="771" ht="26.75" customHeight="1" s="104">
      <c r="A771" s="37" t="inlineStr">
        <is>
          <t>Minnetonka Public Schools</t>
        </is>
      </c>
      <c r="B771" s="37" t="inlineStr">
        <is>
          <t>MN</t>
        </is>
      </c>
      <c r="C771" s="37" t="inlineStr">
        <is>
          <t>Master's</t>
        </is>
      </c>
      <c r="D771" s="37" t="n">
        <v>10</v>
      </c>
      <c r="E771" s="38" t="n">
        <v>86190</v>
      </c>
      <c r="F771" s="37" t="inlineStr">
        <is>
          <t>2026-06-16</t>
        </is>
      </c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</row>
    <row r="772" ht="26.75" customHeight="1" s="104">
      <c r="A772" s="10" t="inlineStr">
        <is>
          <t>Mounds View Public Schools</t>
        </is>
      </c>
      <c r="B772" s="10" t="inlineStr">
        <is>
          <t>MN</t>
        </is>
      </c>
      <c r="C772" s="10" t="inlineStr">
        <is>
          <t>Bachelor's</t>
        </is>
      </c>
      <c r="D772" s="11" t="n">
        <v>0</v>
      </c>
      <c r="E772" s="12" t="n">
        <v>52932</v>
      </c>
      <c r="F772" s="10" t="inlineStr">
        <is>
          <t>2026-06-15</t>
        </is>
      </c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</row>
    <row r="773" ht="26.75" customHeight="1" s="104">
      <c r="A773" s="10" t="inlineStr">
        <is>
          <t>Mounds View Public Schools</t>
        </is>
      </c>
      <c r="B773" s="10" t="inlineStr">
        <is>
          <t>MN</t>
        </is>
      </c>
      <c r="C773" s="10" t="inlineStr">
        <is>
          <t>Bachelor's</t>
        </is>
      </c>
      <c r="D773" s="11" t="n">
        <v>1</v>
      </c>
      <c r="E773" s="12" t="n">
        <v>53429</v>
      </c>
      <c r="F773" s="10" t="inlineStr">
        <is>
          <t>2026-06-15</t>
        </is>
      </c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</row>
    <row r="774" ht="26.75" customHeight="1" s="104">
      <c r="A774" s="10" t="inlineStr">
        <is>
          <t>Mounds View Public Schools</t>
        </is>
      </c>
      <c r="B774" s="10" t="inlineStr">
        <is>
          <t>MN</t>
        </is>
      </c>
      <c r="C774" s="10" t="inlineStr">
        <is>
          <t>Bachelor's</t>
        </is>
      </c>
      <c r="D774" s="11" t="n">
        <v>2</v>
      </c>
      <c r="E774" s="12" t="n">
        <v>54150</v>
      </c>
      <c r="F774" s="10" t="inlineStr">
        <is>
          <t>2026-06-15</t>
        </is>
      </c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</row>
    <row r="775" ht="26.75" customHeight="1" s="104">
      <c r="A775" s="10" t="inlineStr">
        <is>
          <t>Mounds View Public Schools</t>
        </is>
      </c>
      <c r="B775" s="10" t="inlineStr">
        <is>
          <t>MN</t>
        </is>
      </c>
      <c r="C775" s="10" t="inlineStr">
        <is>
          <t>Bachelor's</t>
        </is>
      </c>
      <c r="D775" s="11" t="n">
        <v>3</v>
      </c>
      <c r="E775" s="12" t="n">
        <v>54984</v>
      </c>
      <c r="F775" s="10" t="inlineStr">
        <is>
          <t>2026-06-15</t>
        </is>
      </c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</row>
    <row r="776" ht="26.75" customHeight="1" s="104">
      <c r="A776" s="10" t="inlineStr">
        <is>
          <t>Mounds View Public Schools</t>
        </is>
      </c>
      <c r="B776" s="10" t="inlineStr">
        <is>
          <t>MN</t>
        </is>
      </c>
      <c r="C776" s="10" t="inlineStr">
        <is>
          <t>Bachelor's</t>
        </is>
      </c>
      <c r="D776" s="11" t="n">
        <v>4</v>
      </c>
      <c r="E776" s="12" t="n">
        <v>55952</v>
      </c>
      <c r="F776" s="10" t="inlineStr">
        <is>
          <t>2026-06-15</t>
        </is>
      </c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</row>
    <row r="777" ht="26.75" customHeight="1" s="104">
      <c r="A777" s="10" t="inlineStr">
        <is>
          <t>Mounds View Public Schools</t>
        </is>
      </c>
      <c r="B777" s="10" t="inlineStr">
        <is>
          <t>MN</t>
        </is>
      </c>
      <c r="C777" s="10" t="inlineStr">
        <is>
          <t>Bachelor's</t>
        </is>
      </c>
      <c r="D777" s="11" t="n">
        <v>5</v>
      </c>
      <c r="E777" s="12" t="n">
        <v>57028</v>
      </c>
      <c r="F777" s="10" t="inlineStr">
        <is>
          <t>2026-06-15</t>
        </is>
      </c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</row>
    <row r="778" ht="26.75" customHeight="1" s="104">
      <c r="A778" s="10" t="inlineStr">
        <is>
          <t>Mounds View Public Schools</t>
        </is>
      </c>
      <c r="B778" s="10" t="inlineStr">
        <is>
          <t>MN</t>
        </is>
      </c>
      <c r="C778" s="10" t="inlineStr">
        <is>
          <t>Bachelor's</t>
        </is>
      </c>
      <c r="D778" s="11" t="n">
        <v>6</v>
      </c>
      <c r="E778" s="12" t="n">
        <v>58961</v>
      </c>
      <c r="F778" s="10" t="inlineStr">
        <is>
          <t>2026-06-15</t>
        </is>
      </c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</row>
    <row r="779" ht="26.75" customHeight="1" s="104">
      <c r="A779" s="10" t="inlineStr">
        <is>
          <t>Mounds View Public Schools</t>
        </is>
      </c>
      <c r="B779" s="10" t="inlineStr">
        <is>
          <t>MN</t>
        </is>
      </c>
      <c r="C779" s="10" t="inlineStr">
        <is>
          <t>Bachelor's</t>
        </is>
      </c>
      <c r="D779" s="11" t="n">
        <v>7</v>
      </c>
      <c r="E779" s="12" t="n">
        <v>62042</v>
      </c>
      <c r="F779" s="10" t="inlineStr">
        <is>
          <t>2026-06-15</t>
        </is>
      </c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</row>
    <row r="780" ht="26.75" customHeight="1" s="104">
      <c r="A780" s="10" t="inlineStr">
        <is>
          <t>Mounds View Public Schools</t>
        </is>
      </c>
      <c r="B780" s="10" t="inlineStr">
        <is>
          <t>MN</t>
        </is>
      </c>
      <c r="C780" s="10" t="inlineStr">
        <is>
          <t>Bachelor's</t>
        </is>
      </c>
      <c r="D780" s="11" t="n">
        <v>8</v>
      </c>
      <c r="E780" s="12" t="n">
        <v>69343</v>
      </c>
      <c r="F780" s="10" t="inlineStr">
        <is>
          <t>2026-06-15</t>
        </is>
      </c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</row>
    <row r="781" ht="26.75" customHeight="1" s="104">
      <c r="A781" s="10" t="inlineStr">
        <is>
          <t>Mounds View Public Schools</t>
        </is>
      </c>
      <c r="B781" s="10" t="inlineStr">
        <is>
          <t>MN</t>
        </is>
      </c>
      <c r="C781" s="10" t="inlineStr">
        <is>
          <t>Bachelor's</t>
        </is>
      </c>
      <c r="D781" s="11" t="n">
        <v>9</v>
      </c>
      <c r="E781" s="12" t="n">
        <v>74464</v>
      </c>
      <c r="F781" s="10" t="inlineStr">
        <is>
          <t>2026-06-15</t>
        </is>
      </c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</row>
    <row r="782" ht="26.75" customHeight="1" s="104">
      <c r="A782" s="10" t="inlineStr">
        <is>
          <t>Mounds View Public Schools</t>
        </is>
      </c>
      <c r="B782" s="10" t="inlineStr">
        <is>
          <t>MN</t>
        </is>
      </c>
      <c r="C782" s="10" t="inlineStr">
        <is>
          <t>Bachelor's</t>
        </is>
      </c>
      <c r="D782" s="11" t="n">
        <v>10</v>
      </c>
      <c r="E782" s="12" t="n">
        <v>79976</v>
      </c>
      <c r="F782" s="10" t="inlineStr">
        <is>
          <t>2026-06-15</t>
        </is>
      </c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</row>
    <row r="783" ht="26.75" customHeight="1" s="104">
      <c r="A783" s="10" t="inlineStr">
        <is>
          <t>Mounds View Public Schools</t>
        </is>
      </c>
      <c r="B783" s="10" t="inlineStr">
        <is>
          <t>MN</t>
        </is>
      </c>
      <c r="C783" s="10" t="inlineStr">
        <is>
          <t>Master's</t>
        </is>
      </c>
      <c r="D783" s="11" t="n">
        <v>0</v>
      </c>
      <c r="E783" s="12" t="n">
        <v>62732</v>
      </c>
      <c r="F783" s="10" t="inlineStr">
        <is>
          <t>2026-06-15</t>
        </is>
      </c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</row>
    <row r="784" ht="26.75" customHeight="1" s="104">
      <c r="A784" s="10" t="inlineStr">
        <is>
          <t>Mounds View Public Schools</t>
        </is>
      </c>
      <c r="B784" s="10" t="inlineStr">
        <is>
          <t>MN</t>
        </is>
      </c>
      <c r="C784" s="10" t="inlineStr">
        <is>
          <t>Master's</t>
        </is>
      </c>
      <c r="D784" s="11" t="n">
        <v>1</v>
      </c>
      <c r="E784" s="12" t="n">
        <v>63532</v>
      </c>
      <c r="F784" s="10" t="inlineStr">
        <is>
          <t>2026-06-15</t>
        </is>
      </c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</row>
    <row r="785" ht="26.75" customHeight="1" s="104">
      <c r="A785" s="10" t="inlineStr">
        <is>
          <t>Mounds View Public Schools</t>
        </is>
      </c>
      <c r="B785" s="10" t="inlineStr">
        <is>
          <t>MN</t>
        </is>
      </c>
      <c r="C785" s="10" t="inlineStr">
        <is>
          <t>Master's</t>
        </is>
      </c>
      <c r="D785" s="11" t="n">
        <v>2</v>
      </c>
      <c r="E785" s="12" t="n">
        <v>64547</v>
      </c>
      <c r="F785" s="10" t="inlineStr">
        <is>
          <t>2026-06-15</t>
        </is>
      </c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</row>
    <row r="786" ht="26.75" customHeight="1" s="104">
      <c r="A786" s="10" t="inlineStr">
        <is>
          <t>Mounds View Public Schools</t>
        </is>
      </c>
      <c r="B786" s="10" t="inlineStr">
        <is>
          <t>MN</t>
        </is>
      </c>
      <c r="C786" s="10" t="inlineStr">
        <is>
          <t>Master's</t>
        </is>
      </c>
      <c r="D786" s="11" t="n">
        <v>3</v>
      </c>
      <c r="E786" s="12" t="n">
        <v>65603</v>
      </c>
      <c r="F786" s="10" t="inlineStr">
        <is>
          <t>2026-06-15</t>
        </is>
      </c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</row>
    <row r="787" ht="26.75" customHeight="1" s="104">
      <c r="A787" s="10" t="inlineStr">
        <is>
          <t>Mounds View Public Schools</t>
        </is>
      </c>
      <c r="B787" s="10" t="inlineStr">
        <is>
          <t>MN</t>
        </is>
      </c>
      <c r="C787" s="10" t="inlineStr">
        <is>
          <t>Master's</t>
        </is>
      </c>
      <c r="D787" s="11" t="n">
        <v>4</v>
      </c>
      <c r="E787" s="12" t="n">
        <v>66882</v>
      </c>
      <c r="F787" s="10" t="inlineStr">
        <is>
          <t>2026-06-15</t>
        </is>
      </c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</row>
    <row r="788" ht="26.75" customHeight="1" s="104">
      <c r="A788" s="10" t="inlineStr">
        <is>
          <t>Mounds View Public Schools</t>
        </is>
      </c>
      <c r="B788" s="10" t="inlineStr">
        <is>
          <t>MN</t>
        </is>
      </c>
      <c r="C788" s="10" t="inlineStr">
        <is>
          <t>Master's</t>
        </is>
      </c>
      <c r="D788" s="11" t="n">
        <v>5</v>
      </c>
      <c r="E788" s="12" t="n">
        <v>68282</v>
      </c>
      <c r="F788" s="10" t="inlineStr">
        <is>
          <t>2026-06-15</t>
        </is>
      </c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</row>
    <row r="789" ht="26.75" customHeight="1" s="104">
      <c r="A789" s="10" t="inlineStr">
        <is>
          <t>Mounds View Public Schools</t>
        </is>
      </c>
      <c r="B789" s="10" t="inlineStr">
        <is>
          <t>MN</t>
        </is>
      </c>
      <c r="C789" s="10" t="inlineStr">
        <is>
          <t>Master's</t>
        </is>
      </c>
      <c r="D789" s="11" t="n">
        <v>6</v>
      </c>
      <c r="E789" s="12" t="n">
        <v>71469</v>
      </c>
      <c r="F789" s="10" t="inlineStr">
        <is>
          <t>2026-06-15</t>
        </is>
      </c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</row>
    <row r="790" ht="26.75" customHeight="1" s="104">
      <c r="A790" s="10" t="inlineStr">
        <is>
          <t>Mounds View Public Schools</t>
        </is>
      </c>
      <c r="B790" s="10" t="inlineStr">
        <is>
          <t>MN</t>
        </is>
      </c>
      <c r="C790" s="10" t="inlineStr">
        <is>
          <t>Master's</t>
        </is>
      </c>
      <c r="D790" s="11" t="n">
        <v>7</v>
      </c>
      <c r="E790" s="12" t="n">
        <v>74942</v>
      </c>
      <c r="F790" s="10" t="inlineStr">
        <is>
          <t>2026-06-15</t>
        </is>
      </c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</row>
    <row r="791" ht="26.75" customHeight="1" s="104">
      <c r="A791" s="10" t="inlineStr">
        <is>
          <t>Mounds View Public Schools</t>
        </is>
      </c>
      <c r="B791" s="10" t="inlineStr">
        <is>
          <t>MN</t>
        </is>
      </c>
      <c r="C791" s="10" t="inlineStr">
        <is>
          <t>Master's</t>
        </is>
      </c>
      <c r="D791" s="11" t="n">
        <v>8</v>
      </c>
      <c r="E791" s="12" t="n">
        <v>78869</v>
      </c>
      <c r="F791" s="10" t="inlineStr">
        <is>
          <t>2026-06-15</t>
        </is>
      </c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</row>
    <row r="792" ht="26.75" customHeight="1" s="104">
      <c r="A792" s="10" t="inlineStr">
        <is>
          <t>Mounds View Public Schools</t>
        </is>
      </c>
      <c r="B792" s="10" t="inlineStr">
        <is>
          <t>MN</t>
        </is>
      </c>
      <c r="C792" s="10" t="inlineStr">
        <is>
          <t>Master's</t>
        </is>
      </c>
      <c r="D792" s="11" t="n">
        <v>9</v>
      </c>
      <c r="E792" s="12" t="n">
        <v>84363</v>
      </c>
      <c r="F792" s="10" t="inlineStr">
        <is>
          <t>2026-06-15</t>
        </is>
      </c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</row>
    <row r="793" ht="26.75" customHeight="1" s="104">
      <c r="A793" s="10" t="inlineStr">
        <is>
          <t>Mounds View Public Schools</t>
        </is>
      </c>
      <c r="B793" s="10" t="inlineStr">
        <is>
          <t>MN</t>
        </is>
      </c>
      <c r="C793" s="10" t="inlineStr">
        <is>
          <t>Master's</t>
        </is>
      </c>
      <c r="D793" s="11" t="n">
        <v>10</v>
      </c>
      <c r="E793" s="12" t="n">
        <v>91578</v>
      </c>
      <c r="F793" s="10" t="inlineStr">
        <is>
          <t>2026-06-15</t>
        </is>
      </c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</row>
    <row r="794" ht="26.75" customHeight="1" s="104">
      <c r="A794" s="10" t="inlineStr">
        <is>
          <t>Naperville CUSD 203</t>
        </is>
      </c>
      <c r="B794" s="10" t="inlineStr">
        <is>
          <t>IL</t>
        </is>
      </c>
      <c r="C794" s="10" t="inlineStr">
        <is>
          <t>Bachelor's</t>
        </is>
      </c>
      <c r="D794" s="11" t="n">
        <v>0</v>
      </c>
      <c r="E794" s="12" t="n">
        <v>58403</v>
      </c>
      <c r="F794" s="10" t="inlineStr">
        <is>
          <t>2026-06-15</t>
        </is>
      </c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</row>
    <row r="795" ht="26.75" customHeight="1" s="104">
      <c r="A795" s="10" t="inlineStr">
        <is>
          <t>Naperville CUSD 203</t>
        </is>
      </c>
      <c r="B795" s="10" t="inlineStr">
        <is>
          <t>IL</t>
        </is>
      </c>
      <c r="C795" s="10" t="inlineStr">
        <is>
          <t>Bachelor's</t>
        </is>
      </c>
      <c r="D795" s="11" t="n">
        <v>1</v>
      </c>
      <c r="E795" s="12" t="n">
        <v>60844</v>
      </c>
      <c r="F795" s="10" t="inlineStr">
        <is>
          <t>2026-06-15</t>
        </is>
      </c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</row>
    <row r="796" ht="26.75" customHeight="1" s="104">
      <c r="A796" s="10" t="inlineStr">
        <is>
          <t>Naperville CUSD 203</t>
        </is>
      </c>
      <c r="B796" s="10" t="inlineStr">
        <is>
          <t>IL</t>
        </is>
      </c>
      <c r="C796" s="10" t="inlineStr">
        <is>
          <t>Bachelor's</t>
        </is>
      </c>
      <c r="D796" s="11" t="n">
        <v>2</v>
      </c>
      <c r="E796" s="12" t="n">
        <v>63285</v>
      </c>
      <c r="F796" s="10" t="inlineStr">
        <is>
          <t>2026-06-15</t>
        </is>
      </c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</row>
    <row r="797" ht="26.75" customHeight="1" s="104">
      <c r="A797" s="10" t="inlineStr">
        <is>
          <t>Naperville CUSD 203</t>
        </is>
      </c>
      <c r="B797" s="10" t="inlineStr">
        <is>
          <t>IL</t>
        </is>
      </c>
      <c r="C797" s="10" t="inlineStr">
        <is>
          <t>Bachelor's</t>
        </is>
      </c>
      <c r="D797" s="11" t="n">
        <v>3</v>
      </c>
      <c r="E797" s="12" t="n">
        <v>65726</v>
      </c>
      <c r="F797" s="10" t="inlineStr">
        <is>
          <t>2026-06-15</t>
        </is>
      </c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</row>
    <row r="798" ht="26.75" customHeight="1" s="104">
      <c r="A798" s="10" t="inlineStr">
        <is>
          <t>Naperville CUSD 203</t>
        </is>
      </c>
      <c r="B798" s="10" t="inlineStr">
        <is>
          <t>IL</t>
        </is>
      </c>
      <c r="C798" s="10" t="inlineStr">
        <is>
          <t>Bachelor's</t>
        </is>
      </c>
      <c r="D798" s="11" t="n">
        <v>4</v>
      </c>
      <c r="E798" s="12" t="n">
        <v>68168</v>
      </c>
      <c r="F798" s="10" t="inlineStr">
        <is>
          <t>2026-06-15</t>
        </is>
      </c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</row>
    <row r="799" ht="26.75" customHeight="1" s="104">
      <c r="A799" s="10" t="inlineStr">
        <is>
          <t>Naperville CUSD 203</t>
        </is>
      </c>
      <c r="B799" s="10" t="inlineStr">
        <is>
          <t>IL</t>
        </is>
      </c>
      <c r="C799" s="10" t="inlineStr">
        <is>
          <t>Bachelor's</t>
        </is>
      </c>
      <c r="D799" s="11" t="n">
        <v>5</v>
      </c>
      <c r="E799" s="12" t="n">
        <v>71189</v>
      </c>
      <c r="F799" s="10" t="inlineStr">
        <is>
          <t>2026-06-15</t>
        </is>
      </c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</row>
    <row r="800" ht="26.75" customHeight="1" s="104">
      <c r="A800" s="10" t="inlineStr">
        <is>
          <t>Naperville CUSD 203</t>
        </is>
      </c>
      <c r="B800" s="10" t="inlineStr">
        <is>
          <t>IL</t>
        </is>
      </c>
      <c r="C800" s="10" t="inlineStr">
        <is>
          <t>Bachelor's</t>
        </is>
      </c>
      <c r="D800" s="11" t="n">
        <v>6</v>
      </c>
      <c r="E800" s="12" t="n">
        <v>74210</v>
      </c>
      <c r="F800" s="10" t="inlineStr">
        <is>
          <t>2026-06-15</t>
        </is>
      </c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</row>
    <row r="801" ht="26.75" customHeight="1" s="104">
      <c r="A801" s="10" t="inlineStr">
        <is>
          <t>Naperville CUSD 203</t>
        </is>
      </c>
      <c r="B801" s="10" t="inlineStr">
        <is>
          <t>IL</t>
        </is>
      </c>
      <c r="C801" s="10" t="inlineStr">
        <is>
          <t>Bachelor's</t>
        </is>
      </c>
      <c r="D801" s="11" t="n">
        <v>7</v>
      </c>
      <c r="E801" s="12" t="n">
        <v>77231</v>
      </c>
      <c r="F801" s="10" t="inlineStr">
        <is>
          <t>2026-06-15</t>
        </is>
      </c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</row>
    <row r="802" ht="26.75" customHeight="1" s="104">
      <c r="A802" s="10" t="inlineStr">
        <is>
          <t>Naperville CUSD 203</t>
        </is>
      </c>
      <c r="B802" s="10" t="inlineStr">
        <is>
          <t>IL</t>
        </is>
      </c>
      <c r="C802" s="10" t="inlineStr">
        <is>
          <t>Bachelor's</t>
        </is>
      </c>
      <c r="D802" s="11" t="n">
        <v>8</v>
      </c>
      <c r="E802" s="12" t="n">
        <v>80252</v>
      </c>
      <c r="F802" s="10" t="inlineStr">
        <is>
          <t>2026-06-15</t>
        </is>
      </c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</row>
    <row r="803" ht="26.75" customHeight="1" s="104">
      <c r="A803" s="10" t="inlineStr">
        <is>
          <t>Naperville CUSD 203</t>
        </is>
      </c>
      <c r="B803" s="10" t="inlineStr">
        <is>
          <t>IL</t>
        </is>
      </c>
      <c r="C803" s="10" t="inlineStr">
        <is>
          <t>Bachelor's</t>
        </is>
      </c>
      <c r="D803" s="11" t="n">
        <v>9</v>
      </c>
      <c r="E803" s="12" t="n">
        <v>83008</v>
      </c>
      <c r="F803" s="10" t="inlineStr">
        <is>
          <t>2026-06-15</t>
        </is>
      </c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</row>
    <row r="804" ht="26.75" customHeight="1" s="104">
      <c r="A804" s="10" t="inlineStr">
        <is>
          <t>Naperville CUSD 203</t>
        </is>
      </c>
      <c r="B804" s="10" t="inlineStr">
        <is>
          <t>IL</t>
        </is>
      </c>
      <c r="C804" s="10" t="inlineStr">
        <is>
          <t>Bachelor's</t>
        </is>
      </c>
      <c r="D804" s="11" t="n">
        <v>10</v>
      </c>
      <c r="E804" s="12" t="n">
        <v>85764</v>
      </c>
      <c r="F804" s="10" t="inlineStr">
        <is>
          <t>2026-06-15</t>
        </is>
      </c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</row>
    <row r="805" ht="26.75" customHeight="1" s="104">
      <c r="A805" s="10" t="inlineStr">
        <is>
          <t>Naperville CUSD 203</t>
        </is>
      </c>
      <c r="B805" s="10" t="inlineStr">
        <is>
          <t>IL</t>
        </is>
      </c>
      <c r="C805" s="10" t="inlineStr">
        <is>
          <t>Master's</t>
        </is>
      </c>
      <c r="D805" s="11" t="n">
        <v>0</v>
      </c>
      <c r="E805" s="12" t="n">
        <v>68946</v>
      </c>
      <c r="F805" s="10" t="inlineStr">
        <is>
          <t>2026-06-15</t>
        </is>
      </c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</row>
    <row r="806" ht="26.75" customHeight="1" s="104">
      <c r="A806" s="10" t="inlineStr">
        <is>
          <t>Naperville CUSD 203</t>
        </is>
      </c>
      <c r="B806" s="10" t="inlineStr">
        <is>
          <t>IL</t>
        </is>
      </c>
      <c r="C806" s="10" t="inlineStr">
        <is>
          <t>Master's</t>
        </is>
      </c>
      <c r="D806" s="11" t="n">
        <v>1</v>
      </c>
      <c r="E806" s="12" t="n">
        <v>71402</v>
      </c>
      <c r="F806" s="10" t="inlineStr">
        <is>
          <t>2026-06-15</t>
        </is>
      </c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</row>
    <row r="807" ht="26.75" customHeight="1" s="104">
      <c r="A807" s="10" t="inlineStr">
        <is>
          <t>Naperville CUSD 203</t>
        </is>
      </c>
      <c r="B807" s="10" t="inlineStr">
        <is>
          <t>IL</t>
        </is>
      </c>
      <c r="C807" s="10" t="inlineStr">
        <is>
          <t>Master's</t>
        </is>
      </c>
      <c r="D807" s="11" t="n">
        <v>2</v>
      </c>
      <c r="E807" s="12" t="n">
        <v>73858</v>
      </c>
      <c r="F807" s="10" t="inlineStr">
        <is>
          <t>2026-06-15</t>
        </is>
      </c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</row>
    <row r="808" ht="26.75" customHeight="1" s="104">
      <c r="A808" s="10" t="inlineStr">
        <is>
          <t>Naperville CUSD 203</t>
        </is>
      </c>
      <c r="B808" s="10" t="inlineStr">
        <is>
          <t>IL</t>
        </is>
      </c>
      <c r="C808" s="10" t="inlineStr">
        <is>
          <t>Master's</t>
        </is>
      </c>
      <c r="D808" s="11" t="n">
        <v>3</v>
      </c>
      <c r="E808" s="12" t="n">
        <v>76314</v>
      </c>
      <c r="F808" s="10" t="inlineStr">
        <is>
          <t>2026-06-15</t>
        </is>
      </c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</row>
    <row r="809" ht="26.75" customHeight="1" s="104">
      <c r="A809" s="10" t="inlineStr">
        <is>
          <t>Naperville CUSD 203</t>
        </is>
      </c>
      <c r="B809" s="10" t="inlineStr">
        <is>
          <t>IL</t>
        </is>
      </c>
      <c r="C809" s="10" t="inlineStr">
        <is>
          <t>Master's</t>
        </is>
      </c>
      <c r="D809" s="11" t="n">
        <v>4</v>
      </c>
      <c r="E809" s="12" t="n">
        <v>78769</v>
      </c>
      <c r="F809" s="10" t="inlineStr">
        <is>
          <t>2026-06-15</t>
        </is>
      </c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</row>
    <row r="810" ht="26.75" customHeight="1" s="104">
      <c r="A810" s="10" t="inlineStr">
        <is>
          <t>Naperville CUSD 203</t>
        </is>
      </c>
      <c r="B810" s="10" t="inlineStr">
        <is>
          <t>IL</t>
        </is>
      </c>
      <c r="C810" s="10" t="inlineStr">
        <is>
          <t>Master's</t>
        </is>
      </c>
      <c r="D810" s="11" t="n">
        <v>5</v>
      </c>
      <c r="E810" s="12" t="n">
        <v>82123</v>
      </c>
      <c r="F810" s="10" t="inlineStr">
        <is>
          <t>2026-06-15</t>
        </is>
      </c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</row>
    <row r="811" ht="26.75" customHeight="1" s="104">
      <c r="A811" s="10" t="inlineStr">
        <is>
          <t>Naperville CUSD 203</t>
        </is>
      </c>
      <c r="B811" s="10" t="inlineStr">
        <is>
          <t>IL</t>
        </is>
      </c>
      <c r="C811" s="10" t="inlineStr">
        <is>
          <t>Master's</t>
        </is>
      </c>
      <c r="D811" s="11" t="n">
        <v>6</v>
      </c>
      <c r="E811" s="12" t="n">
        <v>85477</v>
      </c>
      <c r="F811" s="10" t="inlineStr">
        <is>
          <t>2026-06-15</t>
        </is>
      </c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</row>
    <row r="812" ht="26.75" customHeight="1" s="104">
      <c r="A812" s="10" t="inlineStr">
        <is>
          <t>Naperville CUSD 203</t>
        </is>
      </c>
      <c r="B812" s="10" t="inlineStr">
        <is>
          <t>IL</t>
        </is>
      </c>
      <c r="C812" s="10" t="inlineStr">
        <is>
          <t>Master's</t>
        </is>
      </c>
      <c r="D812" s="11" t="n">
        <v>7</v>
      </c>
      <c r="E812" s="12" t="n">
        <v>88831</v>
      </c>
      <c r="F812" s="10" t="inlineStr">
        <is>
          <t>2026-06-15</t>
        </is>
      </c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</row>
    <row r="813" ht="26.75" customHeight="1" s="104">
      <c r="A813" s="10" t="inlineStr">
        <is>
          <t>Naperville CUSD 203</t>
        </is>
      </c>
      <c r="B813" s="10" t="inlineStr">
        <is>
          <t>IL</t>
        </is>
      </c>
      <c r="C813" s="10" t="inlineStr">
        <is>
          <t>Master's</t>
        </is>
      </c>
      <c r="D813" s="11" t="n">
        <v>8</v>
      </c>
      <c r="E813" s="12" t="n">
        <v>92185</v>
      </c>
      <c r="F813" s="10" t="inlineStr">
        <is>
          <t>2026-06-15</t>
        </is>
      </c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</row>
    <row r="814" ht="26.75" customHeight="1" s="104">
      <c r="A814" s="10" t="inlineStr">
        <is>
          <t>Naperville CUSD 203</t>
        </is>
      </c>
      <c r="B814" s="10" t="inlineStr">
        <is>
          <t>IL</t>
        </is>
      </c>
      <c r="C814" s="10" t="inlineStr">
        <is>
          <t>Master's</t>
        </is>
      </c>
      <c r="D814" s="11" t="n">
        <v>9</v>
      </c>
      <c r="E814" s="12" t="n">
        <v>93548</v>
      </c>
      <c r="F814" s="10" t="inlineStr">
        <is>
          <t>2026-06-15</t>
        </is>
      </c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</row>
    <row r="815" ht="26.75" customHeight="1" s="104">
      <c r="A815" s="10" t="inlineStr">
        <is>
          <t>Naperville CUSD 203</t>
        </is>
      </c>
      <c r="B815" s="10" t="inlineStr">
        <is>
          <t>IL</t>
        </is>
      </c>
      <c r="C815" s="10" t="inlineStr">
        <is>
          <t>Master's</t>
        </is>
      </c>
      <c r="D815" s="11" t="n">
        <v>10</v>
      </c>
      <c r="E815" s="12" t="n">
        <v>94911</v>
      </c>
      <c r="F815" s="10" t="inlineStr">
        <is>
          <t>2026-06-15</t>
        </is>
      </c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</row>
    <row r="816" ht="26.75" customHeight="1" s="104">
      <c r="A816" s="10" t="inlineStr">
        <is>
          <t>Nassau County School District</t>
        </is>
      </c>
      <c r="B816" s="10" t="inlineStr">
        <is>
          <t>FL</t>
        </is>
      </c>
      <c r="C816" s="10" t="inlineStr">
        <is>
          <t>Bachelor's</t>
        </is>
      </c>
      <c r="D816" s="11" t="n">
        <v>0</v>
      </c>
      <c r="E816" s="12" t="n">
        <v>52407</v>
      </c>
      <c r="F816" s="13" t="inlineStr">
        <is>
          <t>2026-06-13</t>
        </is>
      </c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</row>
    <row r="817" ht="26.75" customHeight="1" s="104">
      <c r="A817" s="10" t="inlineStr">
        <is>
          <t>Nassau County School District</t>
        </is>
      </c>
      <c r="B817" s="10" t="inlineStr">
        <is>
          <t>FL</t>
        </is>
      </c>
      <c r="C817" s="10" t="inlineStr">
        <is>
          <t>Bachelor's</t>
        </is>
      </c>
      <c r="D817" s="11" t="n">
        <v>1</v>
      </c>
      <c r="E817" s="12" t="n">
        <v>56631</v>
      </c>
      <c r="F817" s="13" t="inlineStr">
        <is>
          <t>2026-06-13</t>
        </is>
      </c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</row>
    <row r="818" ht="26.75" customHeight="1" s="104">
      <c r="A818" s="10" t="inlineStr">
        <is>
          <t>Nassau County School District</t>
        </is>
      </c>
      <c r="B818" s="10" t="inlineStr">
        <is>
          <t>FL</t>
        </is>
      </c>
      <c r="C818" s="10" t="inlineStr">
        <is>
          <t>Bachelor's</t>
        </is>
      </c>
      <c r="D818" s="11" t="n">
        <v>2</v>
      </c>
      <c r="E818" s="12" t="n">
        <v>56680</v>
      </c>
      <c r="F818" s="13" t="inlineStr">
        <is>
          <t>2026-06-13</t>
        </is>
      </c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</row>
    <row r="819" ht="26.75" customHeight="1" s="104">
      <c r="A819" s="10" t="inlineStr">
        <is>
          <t>Nassau County School District</t>
        </is>
      </c>
      <c r="B819" s="10" t="inlineStr">
        <is>
          <t>FL</t>
        </is>
      </c>
      <c r="C819" s="10" t="inlineStr">
        <is>
          <t>Bachelor's</t>
        </is>
      </c>
      <c r="D819" s="11" t="n">
        <v>3</v>
      </c>
      <c r="E819" s="12" t="n">
        <v>56729</v>
      </c>
      <c r="F819" s="13" t="inlineStr">
        <is>
          <t>2026-06-13</t>
        </is>
      </c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</row>
    <row r="820" ht="26.75" customHeight="1" s="104">
      <c r="A820" s="10" t="inlineStr">
        <is>
          <t>Nassau County School District</t>
        </is>
      </c>
      <c r="B820" s="10" t="inlineStr">
        <is>
          <t>FL</t>
        </is>
      </c>
      <c r="C820" s="10" t="inlineStr">
        <is>
          <t>Bachelor's</t>
        </is>
      </c>
      <c r="D820" s="11" t="n">
        <v>4</v>
      </c>
      <c r="E820" s="12" t="n">
        <v>56778</v>
      </c>
      <c r="F820" s="13" t="inlineStr">
        <is>
          <t>2026-06-13</t>
        </is>
      </c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</row>
    <row r="821" ht="26.75" customHeight="1" s="104">
      <c r="A821" s="10" t="inlineStr">
        <is>
          <t>Nassau County School District</t>
        </is>
      </c>
      <c r="B821" s="10" t="inlineStr">
        <is>
          <t>FL</t>
        </is>
      </c>
      <c r="C821" s="10" t="inlineStr">
        <is>
          <t>Bachelor's</t>
        </is>
      </c>
      <c r="D821" s="11" t="n">
        <v>5</v>
      </c>
      <c r="E821" s="12" t="n">
        <v>57173</v>
      </c>
      <c r="F821" s="13" t="inlineStr">
        <is>
          <t>2026-06-13</t>
        </is>
      </c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</row>
    <row r="822" ht="26.75" customHeight="1" s="104">
      <c r="A822" s="10" t="inlineStr">
        <is>
          <t>Nassau County School District</t>
        </is>
      </c>
      <c r="B822" s="10" t="inlineStr">
        <is>
          <t>FL</t>
        </is>
      </c>
      <c r="C822" s="10" t="inlineStr">
        <is>
          <t>Bachelor's</t>
        </is>
      </c>
      <c r="D822" s="11" t="n">
        <v>6</v>
      </c>
      <c r="E822" s="12" t="n">
        <v>57221</v>
      </c>
      <c r="F822" s="13" t="inlineStr">
        <is>
          <t>2026-06-13</t>
        </is>
      </c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</row>
    <row r="823" ht="26.75" customHeight="1" s="104">
      <c r="A823" s="10" t="inlineStr">
        <is>
          <t>Nassau County School District</t>
        </is>
      </c>
      <c r="B823" s="10" t="inlineStr">
        <is>
          <t>FL</t>
        </is>
      </c>
      <c r="C823" s="10" t="inlineStr">
        <is>
          <t>Bachelor's</t>
        </is>
      </c>
      <c r="D823" s="11" t="n">
        <v>7</v>
      </c>
      <c r="E823" s="12" t="n">
        <v>62250</v>
      </c>
      <c r="F823" s="13" t="inlineStr">
        <is>
          <t>2026-06-13</t>
        </is>
      </c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</row>
    <row r="824" ht="26.75" customHeight="1" s="104">
      <c r="A824" s="10" t="inlineStr">
        <is>
          <t>Nassau County School District</t>
        </is>
      </c>
      <c r="B824" s="10" t="inlineStr">
        <is>
          <t>FL</t>
        </is>
      </c>
      <c r="C824" s="10" t="inlineStr">
        <is>
          <t>Bachelor's</t>
        </is>
      </c>
      <c r="D824" s="11" t="n">
        <v>8</v>
      </c>
      <c r="E824" s="12" t="n">
        <v>62330</v>
      </c>
      <c r="F824" s="13" t="inlineStr">
        <is>
          <t>2026-06-13</t>
        </is>
      </c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</row>
    <row r="825" ht="26.75" customHeight="1" s="104">
      <c r="A825" s="10" t="inlineStr">
        <is>
          <t>Nassau County School District</t>
        </is>
      </c>
      <c r="B825" s="10" t="inlineStr">
        <is>
          <t>FL</t>
        </is>
      </c>
      <c r="C825" s="10" t="inlineStr">
        <is>
          <t>Bachelor's</t>
        </is>
      </c>
      <c r="D825" s="11" t="n">
        <v>9</v>
      </c>
      <c r="E825" s="12" t="n">
        <v>62410</v>
      </c>
      <c r="F825" s="13" t="inlineStr">
        <is>
          <t>2026-06-13</t>
        </is>
      </c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</row>
    <row r="826" ht="26.75" customHeight="1" s="104">
      <c r="A826" s="10" t="inlineStr">
        <is>
          <t>Nassau County School District</t>
        </is>
      </c>
      <c r="B826" s="10" t="inlineStr">
        <is>
          <t>FL</t>
        </is>
      </c>
      <c r="C826" s="10" t="inlineStr">
        <is>
          <t>Bachelor's</t>
        </is>
      </c>
      <c r="D826" s="11" t="n">
        <v>10</v>
      </c>
      <c r="E826" s="12" t="n">
        <v>62490</v>
      </c>
      <c r="F826" s="13" t="inlineStr">
        <is>
          <t>2026-06-13</t>
        </is>
      </c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</row>
    <row r="827" ht="26.75" customHeight="1" s="104">
      <c r="A827" s="10" t="inlineStr">
        <is>
          <t>Nassau County School District</t>
        </is>
      </c>
      <c r="B827" s="10" t="inlineStr">
        <is>
          <t>FL</t>
        </is>
      </c>
      <c r="C827" s="10" t="inlineStr">
        <is>
          <t>Master's</t>
        </is>
      </c>
      <c r="D827" s="11" t="n">
        <v>0</v>
      </c>
      <c r="E827" s="12" t="n">
        <v>56037</v>
      </c>
      <c r="F827" s="13" t="inlineStr">
        <is>
          <t>2026-06-13</t>
        </is>
      </c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</row>
    <row r="828" ht="26.75" customHeight="1" s="104">
      <c r="A828" s="10" t="inlineStr">
        <is>
          <t>Nassau County School District</t>
        </is>
      </c>
      <c r="B828" s="10" t="inlineStr">
        <is>
          <t>FL</t>
        </is>
      </c>
      <c r="C828" s="10" t="inlineStr">
        <is>
          <t>Master's</t>
        </is>
      </c>
      <c r="D828" s="11" t="n">
        <v>1</v>
      </c>
      <c r="E828" s="12" t="n">
        <v>60261</v>
      </c>
      <c r="F828" s="13" t="inlineStr">
        <is>
          <t>2026-06-13</t>
        </is>
      </c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</row>
    <row r="829" ht="26.75" customHeight="1" s="104">
      <c r="A829" s="10" t="inlineStr">
        <is>
          <t>Nassau County School District</t>
        </is>
      </c>
      <c r="B829" s="10" t="inlineStr">
        <is>
          <t>FL</t>
        </is>
      </c>
      <c r="C829" s="10" t="inlineStr">
        <is>
          <t>Master's</t>
        </is>
      </c>
      <c r="D829" s="11" t="n">
        <v>2</v>
      </c>
      <c r="E829" s="12" t="n">
        <v>60310</v>
      </c>
      <c r="F829" s="13" t="inlineStr">
        <is>
          <t>2026-06-13</t>
        </is>
      </c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</row>
    <row r="830" ht="26.75" customHeight="1" s="104">
      <c r="A830" s="10" t="inlineStr">
        <is>
          <t>Nassau County School District</t>
        </is>
      </c>
      <c r="B830" s="10" t="inlineStr">
        <is>
          <t>FL</t>
        </is>
      </c>
      <c r="C830" s="10" t="inlineStr">
        <is>
          <t>Master's</t>
        </is>
      </c>
      <c r="D830" s="11" t="n">
        <v>3</v>
      </c>
      <c r="E830" s="12" t="n">
        <v>60359</v>
      </c>
      <c r="F830" s="13" t="inlineStr">
        <is>
          <t>2026-06-13</t>
        </is>
      </c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</row>
    <row r="831" ht="26.75" customHeight="1" s="104">
      <c r="A831" s="10" t="inlineStr">
        <is>
          <t>Nassau County School District</t>
        </is>
      </c>
      <c r="B831" s="10" t="inlineStr">
        <is>
          <t>FL</t>
        </is>
      </c>
      <c r="C831" s="10" t="inlineStr">
        <is>
          <t>Master's</t>
        </is>
      </c>
      <c r="D831" s="11" t="n">
        <v>4</v>
      </c>
      <c r="E831" s="12" t="n">
        <v>60408</v>
      </c>
      <c r="F831" s="13" t="inlineStr">
        <is>
          <t>2026-06-13</t>
        </is>
      </c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</row>
    <row r="832" ht="26.75" customHeight="1" s="104">
      <c r="A832" s="10" t="inlineStr">
        <is>
          <t>Nassau County School District</t>
        </is>
      </c>
      <c r="B832" s="10" t="inlineStr">
        <is>
          <t>FL</t>
        </is>
      </c>
      <c r="C832" s="10" t="inlineStr">
        <is>
          <t>Master's</t>
        </is>
      </c>
      <c r="D832" s="11" t="n">
        <v>5</v>
      </c>
      <c r="E832" s="12" t="n">
        <v>60803</v>
      </c>
      <c r="F832" s="13" t="inlineStr">
        <is>
          <t>2026-06-13</t>
        </is>
      </c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</row>
    <row r="833" ht="26.75" customHeight="1" s="104">
      <c r="A833" s="10" t="inlineStr">
        <is>
          <t>Nassau County School District</t>
        </is>
      </c>
      <c r="B833" s="10" t="inlineStr">
        <is>
          <t>FL</t>
        </is>
      </c>
      <c r="C833" s="10" t="inlineStr">
        <is>
          <t>Master's</t>
        </is>
      </c>
      <c r="D833" s="11" t="n">
        <v>6</v>
      </c>
      <c r="E833" s="12" t="n">
        <v>60851</v>
      </c>
      <c r="F833" s="13" t="inlineStr">
        <is>
          <t>2026-06-13</t>
        </is>
      </c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</row>
    <row r="834" ht="26.75" customHeight="1" s="104">
      <c r="A834" s="10" t="inlineStr">
        <is>
          <t>Nassau County School District</t>
        </is>
      </c>
      <c r="B834" s="10" t="inlineStr">
        <is>
          <t>FL</t>
        </is>
      </c>
      <c r="C834" s="10" t="inlineStr">
        <is>
          <t>Master's</t>
        </is>
      </c>
      <c r="D834" s="11" t="n">
        <v>7</v>
      </c>
      <c r="E834" s="12" t="n">
        <v>65880</v>
      </c>
      <c r="F834" s="13" t="inlineStr">
        <is>
          <t>2026-06-13</t>
        </is>
      </c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</row>
    <row r="835" ht="26.75" customHeight="1" s="104">
      <c r="A835" s="10" t="inlineStr">
        <is>
          <t>Nassau County School District</t>
        </is>
      </c>
      <c r="B835" s="10" t="inlineStr">
        <is>
          <t>FL</t>
        </is>
      </c>
      <c r="C835" s="10" t="inlineStr">
        <is>
          <t>Master's</t>
        </is>
      </c>
      <c r="D835" s="11" t="n">
        <v>8</v>
      </c>
      <c r="E835" s="12" t="n">
        <v>65960</v>
      </c>
      <c r="F835" s="13" t="inlineStr">
        <is>
          <t>2026-06-13</t>
        </is>
      </c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</row>
    <row r="836" ht="26.75" customHeight="1" s="104">
      <c r="A836" s="10" t="inlineStr">
        <is>
          <t>Nassau County School District</t>
        </is>
      </c>
      <c r="B836" s="10" t="inlineStr">
        <is>
          <t>FL</t>
        </is>
      </c>
      <c r="C836" s="10" t="inlineStr">
        <is>
          <t>Master's</t>
        </is>
      </c>
      <c r="D836" s="11" t="n">
        <v>9</v>
      </c>
      <c r="E836" s="12" t="n">
        <v>66040</v>
      </c>
      <c r="F836" s="13" t="inlineStr">
        <is>
          <t>2026-06-13</t>
        </is>
      </c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</row>
    <row r="837" ht="26.75" customHeight="1" s="104">
      <c r="A837" s="10" t="inlineStr">
        <is>
          <t>Nassau County School District</t>
        </is>
      </c>
      <c r="B837" s="10" t="inlineStr">
        <is>
          <t>FL</t>
        </is>
      </c>
      <c r="C837" s="10" t="inlineStr">
        <is>
          <t>Master's</t>
        </is>
      </c>
      <c r="D837" s="11" t="n">
        <v>10</v>
      </c>
      <c r="E837" s="12" t="n">
        <v>66120</v>
      </c>
      <c r="F837" s="13" t="inlineStr">
        <is>
          <t>2026-06-13</t>
        </is>
      </c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</row>
    <row r="838" ht="26.75" customHeight="1" s="104">
      <c r="A838" s="37" t="inlineStr">
        <is>
          <t>New Trier Township High School District 203</t>
        </is>
      </c>
      <c r="B838" s="37" t="inlineStr">
        <is>
          <t>IL</t>
        </is>
      </c>
      <c r="C838" s="37" t="inlineStr">
        <is>
          <t>Bachelor's</t>
        </is>
      </c>
      <c r="D838" s="37" t="n">
        <v>0</v>
      </c>
      <c r="E838" s="38" t="n">
        <v>75000</v>
      </c>
      <c r="F838" s="37" t="inlineStr">
        <is>
          <t>2026-06-16</t>
        </is>
      </c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</row>
    <row r="839" ht="26.75" customHeight="1" s="104">
      <c r="A839" s="37" t="inlineStr">
        <is>
          <t>New Trier Township High School District 203</t>
        </is>
      </c>
      <c r="B839" s="37" t="inlineStr">
        <is>
          <t>IL</t>
        </is>
      </c>
      <c r="C839" s="37" t="inlineStr">
        <is>
          <t>Bachelor's</t>
        </is>
      </c>
      <c r="D839" s="37" t="n">
        <v>1</v>
      </c>
      <c r="E839" s="38" t="n">
        <v>77500</v>
      </c>
      <c r="F839" s="37" t="inlineStr">
        <is>
          <t>2026-06-16</t>
        </is>
      </c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</row>
    <row r="840" ht="26.75" customHeight="1" s="104">
      <c r="A840" s="37" t="inlineStr">
        <is>
          <t>New Trier Township High School District 203</t>
        </is>
      </c>
      <c r="B840" s="37" t="inlineStr">
        <is>
          <t>IL</t>
        </is>
      </c>
      <c r="C840" s="37" t="inlineStr">
        <is>
          <t>Bachelor's</t>
        </is>
      </c>
      <c r="D840" s="37" t="n">
        <v>2</v>
      </c>
      <c r="E840" s="38" t="n">
        <v>80000</v>
      </c>
      <c r="F840" s="37" t="inlineStr">
        <is>
          <t>2026-06-16</t>
        </is>
      </c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</row>
    <row r="841" ht="26.75" customHeight="1" s="104">
      <c r="A841" s="37" t="inlineStr">
        <is>
          <t>New Trier Township High School District 203</t>
        </is>
      </c>
      <c r="B841" s="37" t="inlineStr">
        <is>
          <t>IL</t>
        </is>
      </c>
      <c r="C841" s="37" t="inlineStr">
        <is>
          <t>Bachelor's</t>
        </is>
      </c>
      <c r="D841" s="37" t="n">
        <v>3</v>
      </c>
      <c r="E841" s="38" t="n">
        <v>82500</v>
      </c>
      <c r="F841" s="37" t="inlineStr">
        <is>
          <t>2026-06-16</t>
        </is>
      </c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</row>
    <row r="842" ht="26.75" customHeight="1" s="104">
      <c r="A842" s="37" t="inlineStr">
        <is>
          <t>New Trier Township High School District 203</t>
        </is>
      </c>
      <c r="B842" s="37" t="inlineStr">
        <is>
          <t>IL</t>
        </is>
      </c>
      <c r="C842" s="37" t="inlineStr">
        <is>
          <t>Bachelor's</t>
        </is>
      </c>
      <c r="D842" s="37" t="n">
        <v>4</v>
      </c>
      <c r="E842" s="38" t="n">
        <v>85000</v>
      </c>
      <c r="F842" s="37" t="inlineStr">
        <is>
          <t>2026-06-16</t>
        </is>
      </c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</row>
    <row r="843" ht="26.75" customHeight="1" s="104">
      <c r="A843" s="37" t="inlineStr">
        <is>
          <t>New Trier Township High School District 203</t>
        </is>
      </c>
      <c r="B843" s="37" t="inlineStr">
        <is>
          <t>IL</t>
        </is>
      </c>
      <c r="C843" s="37" t="inlineStr">
        <is>
          <t>Bachelor's</t>
        </is>
      </c>
      <c r="D843" s="37" t="n">
        <v>5</v>
      </c>
      <c r="E843" s="38" t="n">
        <v>90000</v>
      </c>
      <c r="F843" s="37" t="inlineStr">
        <is>
          <t>2026-06-16</t>
        </is>
      </c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</row>
    <row r="844" ht="26.75" customHeight="1" s="104">
      <c r="A844" s="37" t="inlineStr">
        <is>
          <t>New Trier Township High School District 203</t>
        </is>
      </c>
      <c r="B844" s="37" t="inlineStr">
        <is>
          <t>IL</t>
        </is>
      </c>
      <c r="C844" s="37" t="inlineStr">
        <is>
          <t>Bachelor's</t>
        </is>
      </c>
      <c r="D844" s="37" t="n">
        <v>6</v>
      </c>
      <c r="E844" s="38" t="n">
        <v>95000</v>
      </c>
      <c r="F844" s="37" t="inlineStr">
        <is>
          <t>2026-06-16</t>
        </is>
      </c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</row>
    <row r="845" ht="26.75" customHeight="1" s="104">
      <c r="A845" s="37" t="inlineStr">
        <is>
          <t>New Trier Township High School District 203</t>
        </is>
      </c>
      <c r="B845" s="37" t="inlineStr">
        <is>
          <t>IL</t>
        </is>
      </c>
      <c r="C845" s="37" t="inlineStr">
        <is>
          <t>Bachelor's</t>
        </is>
      </c>
      <c r="D845" s="37" t="n">
        <v>7</v>
      </c>
      <c r="E845" s="38" t="n">
        <v>100000</v>
      </c>
      <c r="F845" s="37" t="inlineStr">
        <is>
          <t>2026-06-16</t>
        </is>
      </c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</row>
    <row r="846" ht="26.75" customHeight="1" s="104">
      <c r="A846" s="37" t="inlineStr">
        <is>
          <t>New Trier Township High School District 203</t>
        </is>
      </c>
      <c r="B846" s="37" t="inlineStr">
        <is>
          <t>IL</t>
        </is>
      </c>
      <c r="C846" s="37" t="inlineStr">
        <is>
          <t>Bachelor's</t>
        </is>
      </c>
      <c r="D846" s="37" t="n">
        <v>8</v>
      </c>
      <c r="E846" s="38" t="n">
        <v>105000</v>
      </c>
      <c r="F846" s="37" t="inlineStr">
        <is>
          <t>2026-06-16</t>
        </is>
      </c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</row>
    <row r="847" ht="26.75" customHeight="1" s="104">
      <c r="A847" s="37" t="inlineStr">
        <is>
          <t>New Trier Township High School District 203</t>
        </is>
      </c>
      <c r="B847" s="37" t="inlineStr">
        <is>
          <t>IL</t>
        </is>
      </c>
      <c r="C847" s="37" t="inlineStr">
        <is>
          <t>Bachelor's</t>
        </is>
      </c>
      <c r="D847" s="37" t="n">
        <v>9</v>
      </c>
      <c r="E847" s="38" t="n">
        <v>110000</v>
      </c>
      <c r="F847" s="37" t="inlineStr">
        <is>
          <t>2026-06-16</t>
        </is>
      </c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</row>
    <row r="848" ht="26.75" customHeight="1" s="104">
      <c r="A848" s="37" t="inlineStr">
        <is>
          <t>New Trier Township High School District 203</t>
        </is>
      </c>
      <c r="B848" s="37" t="inlineStr">
        <is>
          <t>IL</t>
        </is>
      </c>
      <c r="C848" s="37" t="inlineStr">
        <is>
          <t>Bachelor's</t>
        </is>
      </c>
      <c r="D848" s="37" t="n">
        <v>10</v>
      </c>
      <c r="E848" s="38" t="n">
        <v>115000</v>
      </c>
      <c r="F848" s="37" t="inlineStr">
        <is>
          <t>2026-06-16</t>
        </is>
      </c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</row>
    <row r="849" ht="26.75" customHeight="1" s="104">
      <c r="A849" s="37" t="inlineStr">
        <is>
          <t>New Trier Township High School District 203</t>
        </is>
      </c>
      <c r="B849" s="37" t="inlineStr">
        <is>
          <t>IL</t>
        </is>
      </c>
      <c r="C849" s="37" t="inlineStr">
        <is>
          <t>Master's</t>
        </is>
      </c>
      <c r="D849" s="37" t="n">
        <v>0</v>
      </c>
      <c r="E849" s="38" t="n">
        <v>86000</v>
      </c>
      <c r="F849" s="37" t="inlineStr">
        <is>
          <t>2026-06-16</t>
        </is>
      </c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</row>
    <row r="850" ht="26.75" customHeight="1" s="104">
      <c r="A850" s="37" t="inlineStr">
        <is>
          <t>New Trier Township High School District 203</t>
        </is>
      </c>
      <c r="B850" s="37" t="inlineStr">
        <is>
          <t>IL</t>
        </is>
      </c>
      <c r="C850" s="37" t="inlineStr">
        <is>
          <t>Master's</t>
        </is>
      </c>
      <c r="D850" s="37" t="n">
        <v>1</v>
      </c>
      <c r="E850" s="38" t="n">
        <v>89500</v>
      </c>
      <c r="F850" s="37" t="inlineStr">
        <is>
          <t>2026-06-16</t>
        </is>
      </c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</row>
    <row r="851" ht="26.75" customHeight="1" s="104">
      <c r="A851" s="37" t="inlineStr">
        <is>
          <t>New Trier Township High School District 203</t>
        </is>
      </c>
      <c r="B851" s="37" t="inlineStr">
        <is>
          <t>IL</t>
        </is>
      </c>
      <c r="C851" s="37" t="inlineStr">
        <is>
          <t>Master's</t>
        </is>
      </c>
      <c r="D851" s="37" t="n">
        <v>2</v>
      </c>
      <c r="E851" s="38" t="n">
        <v>93000</v>
      </c>
      <c r="F851" s="37" t="inlineStr">
        <is>
          <t>2026-06-16</t>
        </is>
      </c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</row>
    <row r="852" ht="26.75" customHeight="1" s="104">
      <c r="A852" s="37" t="inlineStr">
        <is>
          <t>New Trier Township High School District 203</t>
        </is>
      </c>
      <c r="B852" s="37" t="inlineStr">
        <is>
          <t>IL</t>
        </is>
      </c>
      <c r="C852" s="37" t="inlineStr">
        <is>
          <t>Master's</t>
        </is>
      </c>
      <c r="D852" s="37" t="n">
        <v>3</v>
      </c>
      <c r="E852" s="38" t="n">
        <v>96500</v>
      </c>
      <c r="F852" s="37" t="inlineStr">
        <is>
          <t>2026-06-16</t>
        </is>
      </c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</row>
    <row r="853" ht="26.75" customHeight="1" s="104">
      <c r="A853" s="37" t="inlineStr">
        <is>
          <t>New Trier Township High School District 203</t>
        </is>
      </c>
      <c r="B853" s="37" t="inlineStr">
        <is>
          <t>IL</t>
        </is>
      </c>
      <c r="C853" s="37" t="inlineStr">
        <is>
          <t>Master's</t>
        </is>
      </c>
      <c r="D853" s="37" t="n">
        <v>4</v>
      </c>
      <c r="E853" s="38" t="n">
        <v>100000</v>
      </c>
      <c r="F853" s="37" t="inlineStr">
        <is>
          <t>2026-06-16</t>
        </is>
      </c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</row>
    <row r="854" ht="26.75" customHeight="1" s="104">
      <c r="A854" s="37" t="inlineStr">
        <is>
          <t>New Trier Township High School District 203</t>
        </is>
      </c>
      <c r="B854" s="37" t="inlineStr">
        <is>
          <t>IL</t>
        </is>
      </c>
      <c r="C854" s="37" t="inlineStr">
        <is>
          <t>Master's</t>
        </is>
      </c>
      <c r="D854" s="37" t="n">
        <v>5</v>
      </c>
      <c r="E854" s="38" t="n">
        <v>105000</v>
      </c>
      <c r="F854" s="37" t="inlineStr">
        <is>
          <t>2026-06-16</t>
        </is>
      </c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</row>
    <row r="855" ht="26.75" customHeight="1" s="104">
      <c r="A855" s="37" t="inlineStr">
        <is>
          <t>New Trier Township High School District 203</t>
        </is>
      </c>
      <c r="B855" s="37" t="inlineStr">
        <is>
          <t>IL</t>
        </is>
      </c>
      <c r="C855" s="37" t="inlineStr">
        <is>
          <t>Master's</t>
        </is>
      </c>
      <c r="D855" s="37" t="n">
        <v>6</v>
      </c>
      <c r="E855" s="38" t="n">
        <v>110000</v>
      </c>
      <c r="F855" s="37" t="inlineStr">
        <is>
          <t>2026-06-16</t>
        </is>
      </c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</row>
    <row r="856" ht="26.75" customHeight="1" s="104">
      <c r="A856" s="37" t="inlineStr">
        <is>
          <t>New Trier Township High School District 203</t>
        </is>
      </c>
      <c r="B856" s="37" t="inlineStr">
        <is>
          <t>IL</t>
        </is>
      </c>
      <c r="C856" s="37" t="inlineStr">
        <is>
          <t>Master's</t>
        </is>
      </c>
      <c r="D856" s="37" t="n">
        <v>7</v>
      </c>
      <c r="E856" s="38" t="n">
        <v>115000</v>
      </c>
      <c r="F856" s="37" t="inlineStr">
        <is>
          <t>2026-06-16</t>
        </is>
      </c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</row>
    <row r="857" ht="26.75" customHeight="1" s="104">
      <c r="A857" s="37" t="inlineStr">
        <is>
          <t>New Trier Township High School District 203</t>
        </is>
      </c>
      <c r="B857" s="37" t="inlineStr">
        <is>
          <t>IL</t>
        </is>
      </c>
      <c r="C857" s="37" t="inlineStr">
        <is>
          <t>Master's</t>
        </is>
      </c>
      <c r="D857" s="37" t="n">
        <v>8</v>
      </c>
      <c r="E857" s="38" t="n">
        <v>120000</v>
      </c>
      <c r="F857" s="37" t="inlineStr">
        <is>
          <t>2026-06-16</t>
        </is>
      </c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</row>
    <row r="858" ht="26.75" customHeight="1" s="104">
      <c r="A858" s="37" t="inlineStr">
        <is>
          <t>New Trier Township High School District 203</t>
        </is>
      </c>
      <c r="B858" s="37" t="inlineStr">
        <is>
          <t>IL</t>
        </is>
      </c>
      <c r="C858" s="37" t="inlineStr">
        <is>
          <t>Master's</t>
        </is>
      </c>
      <c r="D858" s="37" t="n">
        <v>9</v>
      </c>
      <c r="E858" s="38" t="n">
        <v>125000</v>
      </c>
      <c r="F858" s="37" t="inlineStr">
        <is>
          <t>2026-06-16</t>
        </is>
      </c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</row>
    <row r="859" ht="26.75" customHeight="1" s="104">
      <c r="A859" s="37" t="inlineStr">
        <is>
          <t>New Trier Township High School District 203</t>
        </is>
      </c>
      <c r="B859" s="37" t="inlineStr">
        <is>
          <t>IL</t>
        </is>
      </c>
      <c r="C859" s="37" t="inlineStr">
        <is>
          <t>Master's</t>
        </is>
      </c>
      <c r="D859" s="37" t="n">
        <v>10</v>
      </c>
      <c r="E859" s="38" t="n">
        <v>130000</v>
      </c>
      <c r="F859" s="37" t="inlineStr">
        <is>
          <t>2026-06-16</t>
        </is>
      </c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</row>
    <row r="860" ht="26.75" customHeight="1" s="104">
      <c r="A860" s="10" t="inlineStr">
        <is>
          <t>North Clackamas School District</t>
        </is>
      </c>
      <c r="B860" s="10" t="inlineStr">
        <is>
          <t>OR</t>
        </is>
      </c>
      <c r="C860" s="10" t="inlineStr">
        <is>
          <t>Bachelor's</t>
        </is>
      </c>
      <c r="D860" s="11" t="n">
        <v>0</v>
      </c>
      <c r="E860" s="12" t="n">
        <v>58788</v>
      </c>
      <c r="F860" s="13" t="inlineStr">
        <is>
          <t>2026-06-11</t>
        </is>
      </c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</row>
    <row r="861" ht="26.75" customHeight="1" s="104">
      <c r="A861" s="10" t="inlineStr">
        <is>
          <t>North Clackamas School District</t>
        </is>
      </c>
      <c r="B861" s="10" t="inlineStr">
        <is>
          <t>OR</t>
        </is>
      </c>
      <c r="C861" s="10" t="inlineStr">
        <is>
          <t>Bachelor's</t>
        </is>
      </c>
      <c r="D861" s="11" t="n">
        <v>1</v>
      </c>
      <c r="E861" s="12" t="n">
        <v>60842</v>
      </c>
      <c r="F861" s="13" t="inlineStr">
        <is>
          <t>2026-06-11</t>
        </is>
      </c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</row>
    <row r="862" ht="26.75" customHeight="1" s="104">
      <c r="A862" s="10" t="inlineStr">
        <is>
          <t>North Clackamas School District</t>
        </is>
      </c>
      <c r="B862" s="10" t="inlineStr">
        <is>
          <t>OR</t>
        </is>
      </c>
      <c r="C862" s="10" t="inlineStr">
        <is>
          <t>Bachelor's</t>
        </is>
      </c>
      <c r="D862" s="11" t="n">
        <v>2</v>
      </c>
      <c r="E862" s="12" t="n">
        <v>62975</v>
      </c>
      <c r="F862" s="13" t="inlineStr">
        <is>
          <t>2026-06-11</t>
        </is>
      </c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</row>
    <row r="863" ht="26.75" customHeight="1" s="104">
      <c r="A863" s="10" t="inlineStr">
        <is>
          <t>North Clackamas School District</t>
        </is>
      </c>
      <c r="B863" s="10" t="inlineStr">
        <is>
          <t>OR</t>
        </is>
      </c>
      <c r="C863" s="10" t="inlineStr">
        <is>
          <t>Bachelor's</t>
        </is>
      </c>
      <c r="D863" s="11" t="n">
        <v>3</v>
      </c>
      <c r="E863" s="12" t="n">
        <v>65181</v>
      </c>
      <c r="F863" s="13" t="inlineStr">
        <is>
          <t>2026-06-11</t>
        </is>
      </c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</row>
    <row r="864" ht="26.75" customHeight="1" s="104">
      <c r="A864" s="10" t="inlineStr">
        <is>
          <t>North Clackamas School District</t>
        </is>
      </c>
      <c r="B864" s="10" t="inlineStr">
        <is>
          <t>OR</t>
        </is>
      </c>
      <c r="C864" s="10" t="inlineStr">
        <is>
          <t>Bachelor's</t>
        </is>
      </c>
      <c r="D864" s="11" t="n">
        <v>4</v>
      </c>
      <c r="E864" s="12" t="n">
        <v>65181</v>
      </c>
      <c r="F864" s="13" t="inlineStr">
        <is>
          <t>2026-06-11</t>
        </is>
      </c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</row>
    <row r="865" ht="26.75" customHeight="1" s="104">
      <c r="A865" s="10" t="inlineStr">
        <is>
          <t>North Clackamas School District</t>
        </is>
      </c>
      <c r="B865" s="10" t="inlineStr">
        <is>
          <t>OR</t>
        </is>
      </c>
      <c r="C865" s="10" t="inlineStr">
        <is>
          <t>Bachelor's</t>
        </is>
      </c>
      <c r="D865" s="11" t="n">
        <v>5</v>
      </c>
      <c r="E865" s="12" t="n">
        <v>67459</v>
      </c>
      <c r="F865" s="13" t="inlineStr">
        <is>
          <t>2026-06-11</t>
        </is>
      </c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</row>
    <row r="866" ht="26.75" customHeight="1" s="104">
      <c r="A866" s="10" t="inlineStr">
        <is>
          <t>North Clackamas School District</t>
        </is>
      </c>
      <c r="B866" s="10" t="inlineStr">
        <is>
          <t>OR</t>
        </is>
      </c>
      <c r="C866" s="10" t="inlineStr">
        <is>
          <t>Bachelor's</t>
        </is>
      </c>
      <c r="D866" s="11" t="n">
        <v>6</v>
      </c>
      <c r="E866" s="12" t="n">
        <v>67459</v>
      </c>
      <c r="F866" s="13" t="inlineStr">
        <is>
          <t>2026-06-11</t>
        </is>
      </c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</row>
    <row r="867" ht="26.75" customHeight="1" s="104">
      <c r="A867" s="10" t="inlineStr">
        <is>
          <t>North Clackamas School District</t>
        </is>
      </c>
      <c r="B867" s="10" t="inlineStr">
        <is>
          <t>OR</t>
        </is>
      </c>
      <c r="C867" s="10" t="inlineStr">
        <is>
          <t>Bachelor's</t>
        </is>
      </c>
      <c r="D867" s="11" t="n">
        <v>7</v>
      </c>
      <c r="E867" s="12" t="n">
        <v>69822</v>
      </c>
      <c r="F867" s="13" t="inlineStr">
        <is>
          <t>2026-06-11</t>
        </is>
      </c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</row>
    <row r="868" ht="26.75" customHeight="1" s="104">
      <c r="A868" s="10" t="inlineStr">
        <is>
          <t>North Clackamas School District</t>
        </is>
      </c>
      <c r="B868" s="10" t="inlineStr">
        <is>
          <t>OR</t>
        </is>
      </c>
      <c r="C868" s="10" t="inlineStr">
        <is>
          <t>Bachelor's</t>
        </is>
      </c>
      <c r="D868" s="11" t="n">
        <v>8</v>
      </c>
      <c r="E868" s="12" t="n">
        <v>72264</v>
      </c>
      <c r="F868" s="13" t="inlineStr">
        <is>
          <t>2026-06-11</t>
        </is>
      </c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</row>
    <row r="869" ht="26.75" customHeight="1" s="104">
      <c r="A869" s="10" t="inlineStr">
        <is>
          <t>North Clackamas School District</t>
        </is>
      </c>
      <c r="B869" s="10" t="inlineStr">
        <is>
          <t>OR</t>
        </is>
      </c>
      <c r="C869" s="10" t="inlineStr">
        <is>
          <t>Bachelor's</t>
        </is>
      </c>
      <c r="D869" s="11" t="n">
        <v>9</v>
      </c>
      <c r="E869" s="12" t="n">
        <v>74799</v>
      </c>
      <c r="F869" s="13" t="inlineStr">
        <is>
          <t>2026-06-11</t>
        </is>
      </c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</row>
    <row r="870" ht="26.75" customHeight="1" s="104">
      <c r="A870" s="10" t="inlineStr">
        <is>
          <t>North Clackamas School District</t>
        </is>
      </c>
      <c r="B870" s="10" t="inlineStr">
        <is>
          <t>OR</t>
        </is>
      </c>
      <c r="C870" s="10" t="inlineStr">
        <is>
          <t>Bachelor's</t>
        </is>
      </c>
      <c r="D870" s="11" t="n">
        <v>10</v>
      </c>
      <c r="E870" s="12" t="n">
        <v>77396</v>
      </c>
      <c r="F870" s="13" t="inlineStr">
        <is>
          <t>2026-06-11</t>
        </is>
      </c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</row>
    <row r="871" ht="26.75" customHeight="1" s="104">
      <c r="A871" s="10" t="inlineStr">
        <is>
          <t>North Clackamas School District</t>
        </is>
      </c>
      <c r="B871" s="10" t="inlineStr">
        <is>
          <t>OR</t>
        </is>
      </c>
      <c r="C871" s="10" t="inlineStr">
        <is>
          <t>Master's</t>
        </is>
      </c>
      <c r="D871" s="11" t="n">
        <v>0</v>
      </c>
      <c r="E871" s="12" t="n">
        <v>62507</v>
      </c>
      <c r="F871" s="13" t="inlineStr">
        <is>
          <t>2026-06-11</t>
        </is>
      </c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</row>
    <row r="872" ht="26.75" customHeight="1" s="104">
      <c r="A872" s="10" t="inlineStr">
        <is>
          <t>North Clackamas School District</t>
        </is>
      </c>
      <c r="B872" s="10" t="inlineStr">
        <is>
          <t>OR</t>
        </is>
      </c>
      <c r="C872" s="10" t="inlineStr">
        <is>
          <t>Master's</t>
        </is>
      </c>
      <c r="D872" s="11" t="n">
        <v>1</v>
      </c>
      <c r="E872" s="12" t="n">
        <v>64884</v>
      </c>
      <c r="F872" s="13" t="inlineStr">
        <is>
          <t>2026-06-11</t>
        </is>
      </c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</row>
    <row r="873" ht="26.75" customHeight="1" s="104">
      <c r="A873" s="10" t="inlineStr">
        <is>
          <t>North Clackamas School District</t>
        </is>
      </c>
      <c r="B873" s="10" t="inlineStr">
        <is>
          <t>OR</t>
        </is>
      </c>
      <c r="C873" s="10" t="inlineStr">
        <is>
          <t>Master's</t>
        </is>
      </c>
      <c r="D873" s="11" t="n">
        <v>2</v>
      </c>
      <c r="E873" s="12" t="n">
        <v>67347</v>
      </c>
      <c r="F873" s="13" t="inlineStr">
        <is>
          <t>2026-06-11</t>
        </is>
      </c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</row>
    <row r="874" ht="26.75" customHeight="1" s="104">
      <c r="A874" s="10" t="inlineStr">
        <is>
          <t>North Clackamas School District</t>
        </is>
      </c>
      <c r="B874" s="10" t="inlineStr">
        <is>
          <t>OR</t>
        </is>
      </c>
      <c r="C874" s="10" t="inlineStr">
        <is>
          <t>Master's</t>
        </is>
      </c>
      <c r="D874" s="11" t="n">
        <v>3</v>
      </c>
      <c r="E874" s="12" t="n">
        <v>69909</v>
      </c>
      <c r="F874" s="13" t="inlineStr">
        <is>
          <t>2026-06-11</t>
        </is>
      </c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</row>
    <row r="875" ht="26.75" customHeight="1" s="104">
      <c r="A875" s="10" t="inlineStr">
        <is>
          <t>North Clackamas School District</t>
        </is>
      </c>
      <c r="B875" s="10" t="inlineStr">
        <is>
          <t>OR</t>
        </is>
      </c>
      <c r="C875" s="10" t="inlineStr">
        <is>
          <t>Master's</t>
        </is>
      </c>
      <c r="D875" s="11" t="n">
        <v>4</v>
      </c>
      <c r="E875" s="12" t="n">
        <v>69909</v>
      </c>
      <c r="F875" s="13" t="inlineStr">
        <is>
          <t>2026-06-11</t>
        </is>
      </c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</row>
    <row r="876" ht="26.75" customHeight="1" s="104">
      <c r="A876" s="10" t="inlineStr">
        <is>
          <t>North Clackamas School District</t>
        </is>
      </c>
      <c r="B876" s="10" t="inlineStr">
        <is>
          <t>OR</t>
        </is>
      </c>
      <c r="C876" s="10" t="inlineStr">
        <is>
          <t>Master's</t>
        </is>
      </c>
      <c r="D876" s="11" t="n">
        <v>5</v>
      </c>
      <c r="E876" s="12" t="n">
        <v>72563</v>
      </c>
      <c r="F876" s="13" t="inlineStr">
        <is>
          <t>2026-06-11</t>
        </is>
      </c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</row>
    <row r="877" ht="26.75" customHeight="1" s="104">
      <c r="A877" s="10" t="inlineStr">
        <is>
          <t>North Clackamas School District</t>
        </is>
      </c>
      <c r="B877" s="10" t="inlineStr">
        <is>
          <t>OR</t>
        </is>
      </c>
      <c r="C877" s="10" t="inlineStr">
        <is>
          <t>Master's</t>
        </is>
      </c>
      <c r="D877" s="11" t="n">
        <v>6</v>
      </c>
      <c r="E877" s="12" t="n">
        <v>72563</v>
      </c>
      <c r="F877" s="13" t="inlineStr">
        <is>
          <t>2026-06-11</t>
        </is>
      </c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</row>
    <row r="878" ht="26.75" customHeight="1" s="104">
      <c r="A878" s="10" t="inlineStr">
        <is>
          <t>North Clackamas School District</t>
        </is>
      </c>
      <c r="B878" s="10" t="inlineStr">
        <is>
          <t>OR</t>
        </is>
      </c>
      <c r="C878" s="10" t="inlineStr">
        <is>
          <t>Master's</t>
        </is>
      </c>
      <c r="D878" s="11" t="n">
        <v>7</v>
      </c>
      <c r="E878" s="12" t="n">
        <v>75321</v>
      </c>
      <c r="F878" s="13" t="inlineStr">
        <is>
          <t>2026-06-11</t>
        </is>
      </c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</row>
    <row r="879" ht="26.75" customHeight="1" s="104">
      <c r="A879" s="10" t="inlineStr">
        <is>
          <t>North Clackamas School District</t>
        </is>
      </c>
      <c r="B879" s="10" t="inlineStr">
        <is>
          <t>OR</t>
        </is>
      </c>
      <c r="C879" s="10" t="inlineStr">
        <is>
          <t>Master's</t>
        </is>
      </c>
      <c r="D879" s="11" t="n">
        <v>8</v>
      </c>
      <c r="E879" s="12" t="n">
        <v>78184</v>
      </c>
      <c r="F879" s="13" t="inlineStr">
        <is>
          <t>2026-06-11</t>
        </is>
      </c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</row>
    <row r="880" ht="26.75" customHeight="1" s="104">
      <c r="A880" s="10" t="inlineStr">
        <is>
          <t>North Clackamas School District</t>
        </is>
      </c>
      <c r="B880" s="10" t="inlineStr">
        <is>
          <t>OR</t>
        </is>
      </c>
      <c r="C880" s="10" t="inlineStr">
        <is>
          <t>Master's</t>
        </is>
      </c>
      <c r="D880" s="11" t="n">
        <v>9</v>
      </c>
      <c r="E880" s="12" t="n">
        <v>81154</v>
      </c>
      <c r="F880" s="13" t="inlineStr">
        <is>
          <t>2026-06-11</t>
        </is>
      </c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</row>
    <row r="881" ht="26.75" customHeight="1" s="104">
      <c r="A881" s="10" t="inlineStr">
        <is>
          <t>North Clackamas School District</t>
        </is>
      </c>
      <c r="B881" s="10" t="inlineStr">
        <is>
          <t>OR</t>
        </is>
      </c>
      <c r="C881" s="10" t="inlineStr">
        <is>
          <t>Master's</t>
        </is>
      </c>
      <c r="D881" s="11" t="n">
        <v>10</v>
      </c>
      <c r="E881" s="12" t="n">
        <v>84238</v>
      </c>
      <c r="F881" s="13" t="inlineStr">
        <is>
          <t>2026-06-11</t>
        </is>
      </c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</row>
    <row r="882" ht="26.75" customHeight="1" s="104">
      <c r="A882" s="10" t="inlineStr">
        <is>
          <t>Oakland Unified School District</t>
        </is>
      </c>
      <c r="B882" s="10" t="inlineStr">
        <is>
          <t>CA</t>
        </is>
      </c>
      <c r="C882" s="10" t="inlineStr">
        <is>
          <t>Bachelor's</t>
        </is>
      </c>
      <c r="D882" s="11" t="n">
        <v>0</v>
      </c>
      <c r="E882" s="12" t="n">
        <v>62696</v>
      </c>
      <c r="F882" s="13" t="inlineStr">
        <is>
          <t>2026-06-10</t>
        </is>
      </c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</row>
    <row r="883" ht="26.75" customHeight="1" s="104">
      <c r="A883" s="10" t="inlineStr">
        <is>
          <t>Oakland Unified School District</t>
        </is>
      </c>
      <c r="B883" s="10" t="inlineStr">
        <is>
          <t>CA</t>
        </is>
      </c>
      <c r="C883" s="10" t="inlineStr">
        <is>
          <t>Bachelor's</t>
        </is>
      </c>
      <c r="D883" s="11" t="n">
        <v>1</v>
      </c>
      <c r="E883" s="12" t="n">
        <v>62696</v>
      </c>
      <c r="F883" s="13" t="inlineStr">
        <is>
          <t>2026-06-10</t>
        </is>
      </c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</row>
    <row r="884" ht="26.75" customHeight="1" s="104">
      <c r="A884" s="10" t="inlineStr">
        <is>
          <t>Oakland Unified School District</t>
        </is>
      </c>
      <c r="B884" s="10" t="inlineStr">
        <is>
          <t>CA</t>
        </is>
      </c>
      <c r="C884" s="10" t="inlineStr">
        <is>
          <t>Bachelor's</t>
        </is>
      </c>
      <c r="D884" s="11" t="n">
        <v>2</v>
      </c>
      <c r="E884" s="12" t="n">
        <v>63604</v>
      </c>
      <c r="F884" s="13" t="inlineStr">
        <is>
          <t>2026-06-10</t>
        </is>
      </c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</row>
    <row r="885" ht="26.75" customHeight="1" s="104">
      <c r="A885" s="10" t="inlineStr">
        <is>
          <t>Oakland Unified School District</t>
        </is>
      </c>
      <c r="B885" s="10" t="inlineStr">
        <is>
          <t>CA</t>
        </is>
      </c>
      <c r="C885" s="10" t="inlineStr">
        <is>
          <t>Bachelor's</t>
        </is>
      </c>
      <c r="D885" s="11" t="n">
        <v>3</v>
      </c>
      <c r="E885" s="12" t="n">
        <v>64543</v>
      </c>
      <c r="F885" s="13" t="inlineStr">
        <is>
          <t>2026-06-10</t>
        </is>
      </c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</row>
    <row r="886" ht="26.75" customHeight="1" s="104">
      <c r="A886" s="10" t="inlineStr">
        <is>
          <t>Oakland Unified School District</t>
        </is>
      </c>
      <c r="B886" s="10" t="inlineStr">
        <is>
          <t>CA</t>
        </is>
      </c>
      <c r="C886" s="10" t="inlineStr">
        <is>
          <t>Bachelor's</t>
        </is>
      </c>
      <c r="D886" s="11" t="n">
        <v>4</v>
      </c>
      <c r="E886" s="12" t="n">
        <v>65244</v>
      </c>
      <c r="F886" s="13" t="inlineStr">
        <is>
          <t>2026-06-10</t>
        </is>
      </c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</row>
    <row r="887" ht="26.75" customHeight="1" s="104">
      <c r="A887" s="10" t="inlineStr">
        <is>
          <t>Oakland Unified School District</t>
        </is>
      </c>
      <c r="B887" s="10" t="inlineStr">
        <is>
          <t>CA</t>
        </is>
      </c>
      <c r="C887" s="10" t="inlineStr">
        <is>
          <t>Bachelor's</t>
        </is>
      </c>
      <c r="D887" s="11" t="n">
        <v>5</v>
      </c>
      <c r="E887" s="12" t="n">
        <v>67430</v>
      </c>
      <c r="F887" s="13" t="inlineStr">
        <is>
          <t>2026-06-10</t>
        </is>
      </c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</row>
    <row r="888" ht="26.75" customHeight="1" s="104">
      <c r="A888" s="10" t="inlineStr">
        <is>
          <t>Oakland Unified School District</t>
        </is>
      </c>
      <c r="B888" s="10" t="inlineStr">
        <is>
          <t>CA</t>
        </is>
      </c>
      <c r="C888" s="10" t="inlineStr">
        <is>
          <t>Bachelor's</t>
        </is>
      </c>
      <c r="D888" s="11" t="n">
        <v>6</v>
      </c>
      <c r="E888" s="12" t="n">
        <v>69616</v>
      </c>
      <c r="F888" s="13" t="inlineStr">
        <is>
          <t>2026-06-10</t>
        </is>
      </c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</row>
    <row r="889" ht="26.75" customHeight="1" s="104">
      <c r="A889" s="10" t="inlineStr">
        <is>
          <t>Oakland Unified School District</t>
        </is>
      </c>
      <c r="B889" s="10" t="inlineStr">
        <is>
          <t>CA</t>
        </is>
      </c>
      <c r="C889" s="10" t="inlineStr">
        <is>
          <t>Bachelor's</t>
        </is>
      </c>
      <c r="D889" s="11" t="n">
        <v>7</v>
      </c>
      <c r="E889" s="12" t="n">
        <v>71802</v>
      </c>
      <c r="F889" s="13" t="inlineStr">
        <is>
          <t>2026-06-10</t>
        </is>
      </c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</row>
    <row r="890" ht="26.75" customHeight="1" s="104">
      <c r="A890" s="10" t="inlineStr">
        <is>
          <t>Oakland Unified School District</t>
        </is>
      </c>
      <c r="B890" s="10" t="inlineStr">
        <is>
          <t>CA</t>
        </is>
      </c>
      <c r="C890" s="10" t="inlineStr">
        <is>
          <t>Bachelor's</t>
        </is>
      </c>
      <c r="D890" s="11" t="n">
        <v>8</v>
      </c>
      <c r="E890" s="12" t="n">
        <v>74049</v>
      </c>
      <c r="F890" s="13" t="inlineStr">
        <is>
          <t>2026-06-10</t>
        </is>
      </c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</row>
    <row r="891" ht="26.75" customHeight="1" s="104">
      <c r="A891" s="10" t="inlineStr">
        <is>
          <t>Oakland Unified School District</t>
        </is>
      </c>
      <c r="B891" s="10" t="inlineStr">
        <is>
          <t>CA</t>
        </is>
      </c>
      <c r="C891" s="10" t="inlineStr">
        <is>
          <t>Bachelor's</t>
        </is>
      </c>
      <c r="D891" s="11" t="n">
        <v>9</v>
      </c>
      <c r="E891" s="12" t="n">
        <v>76158</v>
      </c>
      <c r="F891" s="13" t="inlineStr">
        <is>
          <t>2026-06-10</t>
        </is>
      </c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</row>
    <row r="892" ht="26.75" customHeight="1" s="104">
      <c r="A892" s="10" t="inlineStr">
        <is>
          <t>Oakland Unified School District</t>
        </is>
      </c>
      <c r="B892" s="10" t="inlineStr">
        <is>
          <t>CA</t>
        </is>
      </c>
      <c r="C892" s="10" t="inlineStr">
        <is>
          <t>Bachelor's</t>
        </is>
      </c>
      <c r="D892" s="11" t="n">
        <v>10</v>
      </c>
      <c r="E892" s="12" t="n">
        <v>78360</v>
      </c>
      <c r="F892" s="13" t="inlineStr">
        <is>
          <t>2026-06-10</t>
        </is>
      </c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</row>
    <row r="893" ht="26.75" customHeight="1" s="104">
      <c r="A893" s="10" t="inlineStr">
        <is>
          <t>Oakland Unified School District</t>
        </is>
      </c>
      <c r="B893" s="10" t="inlineStr">
        <is>
          <t>CA</t>
        </is>
      </c>
      <c r="C893" s="10" t="inlineStr">
        <is>
          <t>Master's</t>
        </is>
      </c>
      <c r="D893" s="11" t="n">
        <v>0</v>
      </c>
      <c r="E893" s="12" t="n">
        <v>63157</v>
      </c>
      <c r="F893" s="13" t="inlineStr">
        <is>
          <t>2026-06-10</t>
        </is>
      </c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</row>
    <row r="894" ht="26.75" customHeight="1" s="104">
      <c r="A894" s="10" t="inlineStr">
        <is>
          <t>Oakland Unified School District</t>
        </is>
      </c>
      <c r="B894" s="10" t="inlineStr">
        <is>
          <t>CA</t>
        </is>
      </c>
      <c r="C894" s="10" t="inlineStr">
        <is>
          <t>Master's</t>
        </is>
      </c>
      <c r="D894" s="11" t="n">
        <v>1</v>
      </c>
      <c r="E894" s="12" t="n">
        <v>63157</v>
      </c>
      <c r="F894" s="13" t="inlineStr">
        <is>
          <t>2026-06-10</t>
        </is>
      </c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</row>
    <row r="895" ht="26.75" customHeight="1" s="104">
      <c r="A895" s="10" t="inlineStr">
        <is>
          <t>Oakland Unified School District</t>
        </is>
      </c>
      <c r="B895" s="10" t="inlineStr">
        <is>
          <t>CA</t>
        </is>
      </c>
      <c r="C895" s="10" t="inlineStr">
        <is>
          <t>Master's</t>
        </is>
      </c>
      <c r="D895" s="11" t="n">
        <v>2</v>
      </c>
      <c r="E895" s="12" t="n">
        <v>64081</v>
      </c>
      <c r="F895" s="13" t="inlineStr">
        <is>
          <t>2026-06-10</t>
        </is>
      </c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</row>
    <row r="896" ht="26.75" customHeight="1" s="104">
      <c r="A896" s="10" t="inlineStr">
        <is>
          <t>Oakland Unified School District</t>
        </is>
      </c>
      <c r="B896" s="10" t="inlineStr">
        <is>
          <t>CA</t>
        </is>
      </c>
      <c r="C896" s="10" t="inlineStr">
        <is>
          <t>Master's</t>
        </is>
      </c>
      <c r="D896" s="11" t="n">
        <v>3</v>
      </c>
      <c r="E896" s="12" t="n">
        <v>65651</v>
      </c>
      <c r="F896" s="13" t="inlineStr">
        <is>
          <t>2026-06-10</t>
        </is>
      </c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</row>
    <row r="897" ht="26.75" customHeight="1" s="104">
      <c r="A897" s="10" t="inlineStr">
        <is>
          <t>Oakland Unified School District</t>
        </is>
      </c>
      <c r="B897" s="10" t="inlineStr">
        <is>
          <t>CA</t>
        </is>
      </c>
      <c r="C897" s="10" t="inlineStr">
        <is>
          <t>Master's</t>
        </is>
      </c>
      <c r="D897" s="11" t="n">
        <v>4</v>
      </c>
      <c r="E897" s="12" t="n">
        <v>66353</v>
      </c>
      <c r="F897" s="13" t="inlineStr">
        <is>
          <t>2026-06-10</t>
        </is>
      </c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</row>
    <row r="898" ht="26.75" customHeight="1" s="104">
      <c r="A898" s="10" t="inlineStr">
        <is>
          <t>Oakland Unified School District</t>
        </is>
      </c>
      <c r="B898" s="10" t="inlineStr">
        <is>
          <t>CA</t>
        </is>
      </c>
      <c r="C898" s="10" t="inlineStr">
        <is>
          <t>Master's</t>
        </is>
      </c>
      <c r="D898" s="11" t="n">
        <v>5</v>
      </c>
      <c r="E898" s="12" t="n">
        <v>68523</v>
      </c>
      <c r="F898" s="13" t="inlineStr">
        <is>
          <t>2026-06-10</t>
        </is>
      </c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</row>
    <row r="899" ht="26.75" customHeight="1" s="104">
      <c r="A899" s="10" t="inlineStr">
        <is>
          <t>Oakland Unified School District</t>
        </is>
      </c>
      <c r="B899" s="10" t="inlineStr">
        <is>
          <t>CA</t>
        </is>
      </c>
      <c r="C899" s="10" t="inlineStr">
        <is>
          <t>Master's</t>
        </is>
      </c>
      <c r="D899" s="11" t="n">
        <v>6</v>
      </c>
      <c r="E899" s="12" t="n">
        <v>70709</v>
      </c>
      <c r="F899" s="13" t="inlineStr">
        <is>
          <t>2026-06-10</t>
        </is>
      </c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</row>
    <row r="900" ht="26.75" customHeight="1" s="104">
      <c r="A900" s="10" t="inlineStr">
        <is>
          <t>Oakland Unified School District</t>
        </is>
      </c>
      <c r="B900" s="10" t="inlineStr">
        <is>
          <t>CA</t>
        </is>
      </c>
      <c r="C900" s="10" t="inlineStr">
        <is>
          <t>Master's</t>
        </is>
      </c>
      <c r="D900" s="11" t="n">
        <v>7</v>
      </c>
      <c r="E900" s="12" t="n">
        <v>72895</v>
      </c>
      <c r="F900" s="13" t="inlineStr">
        <is>
          <t>2026-06-10</t>
        </is>
      </c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</row>
    <row r="901" ht="26.75" customHeight="1" s="104">
      <c r="A901" s="10" t="inlineStr">
        <is>
          <t>Oakland Unified School District</t>
        </is>
      </c>
      <c r="B901" s="10" t="inlineStr">
        <is>
          <t>CA</t>
        </is>
      </c>
      <c r="C901" s="10" t="inlineStr">
        <is>
          <t>Master's</t>
        </is>
      </c>
      <c r="D901" s="11" t="n">
        <v>8</v>
      </c>
      <c r="E901" s="12" t="n">
        <v>75081</v>
      </c>
      <c r="F901" s="13" t="inlineStr">
        <is>
          <t>2026-06-10</t>
        </is>
      </c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</row>
    <row r="902" ht="26.75" customHeight="1" s="104">
      <c r="A902" s="10" t="inlineStr">
        <is>
          <t>Oakland Unified School District</t>
        </is>
      </c>
      <c r="B902" s="10" t="inlineStr">
        <is>
          <t>CA</t>
        </is>
      </c>
      <c r="C902" s="10" t="inlineStr">
        <is>
          <t>Master's</t>
        </is>
      </c>
      <c r="D902" s="11" t="n">
        <v>9</v>
      </c>
      <c r="E902" s="12" t="n">
        <v>77251</v>
      </c>
      <c r="F902" s="13" t="inlineStr">
        <is>
          <t>2026-06-10</t>
        </is>
      </c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</row>
    <row r="903" ht="26.75" customHeight="1" s="104">
      <c r="A903" s="10" t="inlineStr">
        <is>
          <t>Oakland Unified School District</t>
        </is>
      </c>
      <c r="B903" s="10" t="inlineStr">
        <is>
          <t>CA</t>
        </is>
      </c>
      <c r="C903" s="10" t="inlineStr">
        <is>
          <t>Master's</t>
        </is>
      </c>
      <c r="D903" s="11" t="n">
        <v>10</v>
      </c>
      <c r="E903" s="12" t="n">
        <v>79437</v>
      </c>
      <c r="F903" s="13" t="inlineStr">
        <is>
          <t>2026-06-10</t>
        </is>
      </c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</row>
    <row r="904" ht="26.75" customHeight="1" s="104">
      <c r="A904" s="15" t="inlineStr">
        <is>
          <t>Ocean Springs School District</t>
        </is>
      </c>
      <c r="B904" s="15" t="inlineStr">
        <is>
          <t>MS</t>
        </is>
      </c>
      <c r="C904" s="15" t="inlineStr">
        <is>
          <t>Bachelor's</t>
        </is>
      </c>
      <c r="D904" s="28" t="n">
        <v>0</v>
      </c>
      <c r="E904" s="26" t="n">
        <v>48200</v>
      </c>
      <c r="F904" s="39" t="inlineStr">
        <is>
          <t>2026-06-13</t>
        </is>
      </c>
    </row>
    <row r="905" ht="26.75" customHeight="1" s="104">
      <c r="A905" s="15" t="inlineStr">
        <is>
          <t>Ocean Springs School District</t>
        </is>
      </c>
      <c r="B905" s="15" t="inlineStr">
        <is>
          <t>MS</t>
        </is>
      </c>
      <c r="C905" s="15" t="inlineStr">
        <is>
          <t>Bachelor's</t>
        </is>
      </c>
      <c r="D905" s="28" t="n">
        <v>1</v>
      </c>
      <c r="E905" s="26" t="n">
        <v>48620</v>
      </c>
      <c r="F905" s="39" t="inlineStr">
        <is>
          <t>2026-06-13</t>
        </is>
      </c>
    </row>
    <row r="906" ht="26.75" customHeight="1" s="104">
      <c r="A906" s="15" t="inlineStr">
        <is>
          <t>Ocean Springs School District</t>
        </is>
      </c>
      <c r="B906" s="15" t="inlineStr">
        <is>
          <t>MS</t>
        </is>
      </c>
      <c r="C906" s="15" t="inlineStr">
        <is>
          <t>Bachelor's</t>
        </is>
      </c>
      <c r="D906" s="28" t="n">
        <v>2</v>
      </c>
      <c r="E906" s="26" t="n">
        <v>49040</v>
      </c>
      <c r="F906" s="39" t="inlineStr">
        <is>
          <t>2026-06-13</t>
        </is>
      </c>
    </row>
    <row r="907" ht="26.75" customHeight="1" s="104">
      <c r="A907" s="15" t="inlineStr">
        <is>
          <t>Ocean Springs School District</t>
        </is>
      </c>
      <c r="B907" s="15" t="inlineStr">
        <is>
          <t>MS</t>
        </is>
      </c>
      <c r="C907" s="15" t="inlineStr">
        <is>
          <t>Bachelor's</t>
        </is>
      </c>
      <c r="D907" s="28" t="n">
        <v>3</v>
      </c>
      <c r="E907" s="26" t="n">
        <v>49460</v>
      </c>
      <c r="F907" s="39" t="inlineStr">
        <is>
          <t>2026-06-13</t>
        </is>
      </c>
    </row>
    <row r="908" ht="26.75" customHeight="1" s="104">
      <c r="A908" s="15" t="inlineStr">
        <is>
          <t>Ocean Springs School District</t>
        </is>
      </c>
      <c r="B908" s="15" t="inlineStr">
        <is>
          <t>MS</t>
        </is>
      </c>
      <c r="C908" s="15" t="inlineStr">
        <is>
          <t>Bachelor's</t>
        </is>
      </c>
      <c r="D908" s="28" t="n">
        <v>4</v>
      </c>
      <c r="E908" s="26" t="n">
        <v>49880</v>
      </c>
      <c r="F908" s="39" t="inlineStr">
        <is>
          <t>2026-06-13</t>
        </is>
      </c>
    </row>
    <row r="909" ht="26.75" customHeight="1" s="104">
      <c r="A909" s="15" t="inlineStr">
        <is>
          <t>Ocean Springs School District</t>
        </is>
      </c>
      <c r="B909" s="15" t="inlineStr">
        <is>
          <t>MS</t>
        </is>
      </c>
      <c r="C909" s="15" t="inlineStr">
        <is>
          <t>Bachelor's</t>
        </is>
      </c>
      <c r="D909" s="28" t="n">
        <v>5</v>
      </c>
      <c r="E909" s="26" t="n">
        <v>51100</v>
      </c>
      <c r="F909" s="39" t="inlineStr">
        <is>
          <t>2026-06-13</t>
        </is>
      </c>
    </row>
    <row r="910" ht="26.75" customHeight="1" s="104">
      <c r="A910" s="15" t="inlineStr">
        <is>
          <t>Ocean Springs School District</t>
        </is>
      </c>
      <c r="B910" s="15" t="inlineStr">
        <is>
          <t>MS</t>
        </is>
      </c>
      <c r="C910" s="15" t="inlineStr">
        <is>
          <t>Bachelor's</t>
        </is>
      </c>
      <c r="D910" s="28" t="n">
        <v>6</v>
      </c>
      <c r="E910" s="26" t="n">
        <v>51520</v>
      </c>
      <c r="F910" s="39" t="inlineStr">
        <is>
          <t>2026-06-13</t>
        </is>
      </c>
    </row>
    <row r="911" ht="26.75" customHeight="1" s="104">
      <c r="A911" s="15" t="inlineStr">
        <is>
          <t>Ocean Springs School District</t>
        </is>
      </c>
      <c r="B911" s="15" t="inlineStr">
        <is>
          <t>MS</t>
        </is>
      </c>
      <c r="C911" s="15" t="inlineStr">
        <is>
          <t>Bachelor's</t>
        </is>
      </c>
      <c r="D911" s="28" t="n">
        <v>7</v>
      </c>
      <c r="E911" s="26" t="n">
        <v>51940</v>
      </c>
      <c r="F911" s="39" t="inlineStr">
        <is>
          <t>2026-06-13</t>
        </is>
      </c>
    </row>
    <row r="912" ht="26.75" customHeight="1" s="104">
      <c r="A912" s="15" t="inlineStr">
        <is>
          <t>Ocean Springs School District</t>
        </is>
      </c>
      <c r="B912" s="15" t="inlineStr">
        <is>
          <t>MS</t>
        </is>
      </c>
      <c r="C912" s="15" t="inlineStr">
        <is>
          <t>Bachelor's</t>
        </is>
      </c>
      <c r="D912" s="28" t="n">
        <v>8</v>
      </c>
      <c r="E912" s="26" t="n">
        <v>52360</v>
      </c>
      <c r="F912" s="39" t="inlineStr">
        <is>
          <t>2026-06-13</t>
        </is>
      </c>
    </row>
    <row r="913" ht="26.75" customHeight="1" s="104">
      <c r="A913" s="15" t="inlineStr">
        <is>
          <t>Ocean Springs School District</t>
        </is>
      </c>
      <c r="B913" s="15" t="inlineStr">
        <is>
          <t>MS</t>
        </is>
      </c>
      <c r="C913" s="15" t="inlineStr">
        <is>
          <t>Bachelor's</t>
        </is>
      </c>
      <c r="D913" s="28" t="n">
        <v>9</v>
      </c>
      <c r="E913" s="26" t="n">
        <v>52780</v>
      </c>
      <c r="F913" s="39" t="inlineStr">
        <is>
          <t>2026-06-13</t>
        </is>
      </c>
    </row>
    <row r="914" ht="26.75" customHeight="1" s="104">
      <c r="A914" s="15" t="inlineStr">
        <is>
          <t>Ocean Springs School District</t>
        </is>
      </c>
      <c r="B914" s="15" t="inlineStr">
        <is>
          <t>MS</t>
        </is>
      </c>
      <c r="C914" s="15" t="inlineStr">
        <is>
          <t>Bachelor's</t>
        </is>
      </c>
      <c r="D914" s="28" t="n">
        <v>10</v>
      </c>
      <c r="E914" s="26" t="n">
        <v>54000</v>
      </c>
      <c r="F914" s="39" t="inlineStr">
        <is>
          <t>2026-06-13</t>
        </is>
      </c>
    </row>
    <row r="915" ht="26.75" customHeight="1" s="104">
      <c r="A915" s="15" t="inlineStr">
        <is>
          <t>Ocean Springs School District</t>
        </is>
      </c>
      <c r="B915" s="15" t="inlineStr">
        <is>
          <t>MS</t>
        </is>
      </c>
      <c r="C915" s="15" t="inlineStr">
        <is>
          <t>Master's</t>
        </is>
      </c>
      <c r="D915" s="28" t="n">
        <v>0</v>
      </c>
      <c r="E915" s="26" t="n">
        <v>49900</v>
      </c>
      <c r="F915" s="39" t="inlineStr">
        <is>
          <t>2026-06-13</t>
        </is>
      </c>
    </row>
    <row r="916" ht="26.75" customHeight="1" s="104">
      <c r="A916" s="15" t="inlineStr">
        <is>
          <t>Ocean Springs School District</t>
        </is>
      </c>
      <c r="B916" s="15" t="inlineStr">
        <is>
          <t>MS</t>
        </is>
      </c>
      <c r="C916" s="15" t="inlineStr">
        <is>
          <t>Master's</t>
        </is>
      </c>
      <c r="D916" s="28" t="n">
        <v>1</v>
      </c>
      <c r="E916" s="26" t="n">
        <v>50450</v>
      </c>
      <c r="F916" s="39" t="inlineStr">
        <is>
          <t>2026-06-13</t>
        </is>
      </c>
    </row>
    <row r="917" ht="26.75" customHeight="1" s="104">
      <c r="A917" s="15" t="inlineStr">
        <is>
          <t>Ocean Springs School District</t>
        </is>
      </c>
      <c r="B917" s="15" t="inlineStr">
        <is>
          <t>MS</t>
        </is>
      </c>
      <c r="C917" s="15" t="inlineStr">
        <is>
          <t>Master's</t>
        </is>
      </c>
      <c r="D917" s="28" t="n">
        <v>2</v>
      </c>
      <c r="E917" s="26" t="n">
        <v>51000</v>
      </c>
      <c r="F917" s="39" t="inlineStr">
        <is>
          <t>2026-06-13</t>
        </is>
      </c>
    </row>
    <row r="918" ht="26.75" customHeight="1" s="104">
      <c r="A918" s="15" t="inlineStr">
        <is>
          <t>Ocean Springs School District</t>
        </is>
      </c>
      <c r="B918" s="15" t="inlineStr">
        <is>
          <t>MS</t>
        </is>
      </c>
      <c r="C918" s="15" t="inlineStr">
        <is>
          <t>Master's</t>
        </is>
      </c>
      <c r="D918" s="28" t="n">
        <v>3</v>
      </c>
      <c r="E918" s="26" t="n">
        <v>51550</v>
      </c>
      <c r="F918" s="39" t="inlineStr">
        <is>
          <t>2026-06-13</t>
        </is>
      </c>
    </row>
    <row r="919" ht="26.75" customHeight="1" s="104">
      <c r="A919" s="15" t="inlineStr">
        <is>
          <t>Ocean Springs School District</t>
        </is>
      </c>
      <c r="B919" s="15" t="inlineStr">
        <is>
          <t>MS</t>
        </is>
      </c>
      <c r="C919" s="15" t="inlineStr">
        <is>
          <t>Master's</t>
        </is>
      </c>
      <c r="D919" s="28" t="n">
        <v>4</v>
      </c>
      <c r="E919" s="26" t="n">
        <v>52100</v>
      </c>
      <c r="F919" s="39" t="inlineStr">
        <is>
          <t>2026-06-13</t>
        </is>
      </c>
    </row>
    <row r="920" ht="26.75" customHeight="1" s="104">
      <c r="A920" s="15" t="inlineStr">
        <is>
          <t>Ocean Springs School District</t>
        </is>
      </c>
      <c r="B920" s="15" t="inlineStr">
        <is>
          <t>MS</t>
        </is>
      </c>
      <c r="C920" s="15" t="inlineStr">
        <is>
          <t>Master's</t>
        </is>
      </c>
      <c r="D920" s="28" t="n">
        <v>5</v>
      </c>
      <c r="E920" s="26" t="n">
        <v>53375</v>
      </c>
      <c r="F920" s="39" t="inlineStr">
        <is>
          <t>2026-06-13</t>
        </is>
      </c>
    </row>
    <row r="921" ht="26.75" customHeight="1" s="104">
      <c r="A921" s="15" t="inlineStr">
        <is>
          <t>Ocean Springs School District</t>
        </is>
      </c>
      <c r="B921" s="15" t="inlineStr">
        <is>
          <t>MS</t>
        </is>
      </c>
      <c r="C921" s="15" t="inlineStr">
        <is>
          <t>Master's</t>
        </is>
      </c>
      <c r="D921" s="28" t="n">
        <v>6</v>
      </c>
      <c r="E921" s="26" t="n">
        <v>53925</v>
      </c>
      <c r="F921" s="39" t="inlineStr">
        <is>
          <t>2026-06-13</t>
        </is>
      </c>
    </row>
    <row r="922" ht="26.75" customHeight="1" s="104">
      <c r="A922" s="15" t="inlineStr">
        <is>
          <t>Ocean Springs School District</t>
        </is>
      </c>
      <c r="B922" s="15" t="inlineStr">
        <is>
          <t>MS</t>
        </is>
      </c>
      <c r="C922" s="15" t="inlineStr">
        <is>
          <t>Master's</t>
        </is>
      </c>
      <c r="D922" s="28" t="n">
        <v>7</v>
      </c>
      <c r="E922" s="26" t="n">
        <v>54475</v>
      </c>
      <c r="F922" s="39" t="inlineStr">
        <is>
          <t>2026-06-13</t>
        </is>
      </c>
    </row>
    <row r="923" ht="26.75" customHeight="1" s="104">
      <c r="A923" s="15" t="inlineStr">
        <is>
          <t>Ocean Springs School District</t>
        </is>
      </c>
      <c r="B923" s="15" t="inlineStr">
        <is>
          <t>MS</t>
        </is>
      </c>
      <c r="C923" s="15" t="inlineStr">
        <is>
          <t>Master's</t>
        </is>
      </c>
      <c r="D923" s="28" t="n">
        <v>8</v>
      </c>
      <c r="E923" s="26" t="n">
        <v>55025</v>
      </c>
      <c r="F923" s="39" t="inlineStr">
        <is>
          <t>2026-06-13</t>
        </is>
      </c>
    </row>
    <row r="924" ht="26.75" customHeight="1" s="104">
      <c r="A924" s="15" t="inlineStr">
        <is>
          <t>Ocean Springs School District</t>
        </is>
      </c>
      <c r="B924" s="15" t="inlineStr">
        <is>
          <t>MS</t>
        </is>
      </c>
      <c r="C924" s="15" t="inlineStr">
        <is>
          <t>Master's</t>
        </is>
      </c>
      <c r="D924" s="28" t="n">
        <v>9</v>
      </c>
      <c r="E924" s="26" t="n">
        <v>55575</v>
      </c>
      <c r="F924" s="39" t="inlineStr">
        <is>
          <t>2026-06-13</t>
        </is>
      </c>
    </row>
    <row r="925" ht="26.75" customHeight="1" s="104">
      <c r="A925" s="15" t="inlineStr">
        <is>
          <t>Ocean Springs School District</t>
        </is>
      </c>
      <c r="B925" s="15" t="inlineStr">
        <is>
          <t>MS</t>
        </is>
      </c>
      <c r="C925" s="15" t="inlineStr">
        <is>
          <t>Master's</t>
        </is>
      </c>
      <c r="D925" s="28" t="n">
        <v>10</v>
      </c>
      <c r="E925" s="26" t="n">
        <v>56850</v>
      </c>
      <c r="F925" s="39" t="inlineStr">
        <is>
          <t>2026-06-13</t>
        </is>
      </c>
    </row>
    <row r="926" ht="26.75" customHeight="1" s="104">
      <c r="A926" s="15" t="inlineStr">
        <is>
          <t>Oxnard Union High School District</t>
        </is>
      </c>
      <c r="B926" s="15" t="inlineStr">
        <is>
          <t>CA</t>
        </is>
      </c>
      <c r="C926" s="15" t="inlineStr">
        <is>
          <t>Bachelor's</t>
        </is>
      </c>
      <c r="D926" s="28" t="n">
        <v>0</v>
      </c>
      <c r="E926" s="26" t="n">
        <v>70895</v>
      </c>
      <c r="F926" s="39" t="inlineStr">
        <is>
          <t>2026-06-10</t>
        </is>
      </c>
    </row>
    <row r="927" ht="26.75" customHeight="1" s="104">
      <c r="A927" s="15" t="inlineStr">
        <is>
          <t>Oxnard Union High School District</t>
        </is>
      </c>
      <c r="B927" s="15" t="inlineStr">
        <is>
          <t>CA</t>
        </is>
      </c>
      <c r="C927" s="15" t="inlineStr">
        <is>
          <t>Bachelor's</t>
        </is>
      </c>
      <c r="D927" s="28" t="n">
        <v>1</v>
      </c>
      <c r="E927" s="26" t="n">
        <v>70895</v>
      </c>
      <c r="F927" s="39" t="inlineStr">
        <is>
          <t>2026-06-10</t>
        </is>
      </c>
    </row>
    <row r="928" ht="26.75" customHeight="1" s="104">
      <c r="A928" s="15" t="inlineStr">
        <is>
          <t>Oxnard Union High School District</t>
        </is>
      </c>
      <c r="B928" s="15" t="inlineStr">
        <is>
          <t>CA</t>
        </is>
      </c>
      <c r="C928" s="15" t="inlineStr">
        <is>
          <t>Bachelor's</t>
        </is>
      </c>
      <c r="D928" s="28" t="n">
        <v>2</v>
      </c>
      <c r="E928" s="26" t="n">
        <v>70895</v>
      </c>
      <c r="F928" s="39" t="inlineStr">
        <is>
          <t>2026-06-10</t>
        </is>
      </c>
    </row>
    <row r="929" ht="26.75" customHeight="1" s="104">
      <c r="A929" s="15" t="inlineStr">
        <is>
          <t>Oxnard Union High School District</t>
        </is>
      </c>
      <c r="B929" s="15" t="inlineStr">
        <is>
          <t>CA</t>
        </is>
      </c>
      <c r="C929" s="15" t="inlineStr">
        <is>
          <t>Bachelor's</t>
        </is>
      </c>
      <c r="D929" s="28" t="n">
        <v>3</v>
      </c>
      <c r="E929" s="26" t="n">
        <v>74858</v>
      </c>
      <c r="F929" s="39" t="inlineStr">
        <is>
          <t>2026-06-10</t>
        </is>
      </c>
    </row>
    <row r="930" ht="26.75" customHeight="1" s="104">
      <c r="A930" s="15" t="inlineStr">
        <is>
          <t>Oxnard Union High School District</t>
        </is>
      </c>
      <c r="B930" s="15" t="inlineStr">
        <is>
          <t>CA</t>
        </is>
      </c>
      <c r="C930" s="15" t="inlineStr">
        <is>
          <t>Bachelor's</t>
        </is>
      </c>
      <c r="D930" s="28" t="n">
        <v>4</v>
      </c>
      <c r="E930" s="26" t="n">
        <v>79593</v>
      </c>
      <c r="F930" s="39" t="inlineStr">
        <is>
          <t>2026-06-10</t>
        </is>
      </c>
    </row>
    <row r="931" ht="26.75" customHeight="1" s="104">
      <c r="A931" s="15" t="inlineStr">
        <is>
          <t>Oxnard Union High School District</t>
        </is>
      </c>
      <c r="B931" s="15" t="inlineStr">
        <is>
          <t>CA</t>
        </is>
      </c>
      <c r="C931" s="15" t="inlineStr">
        <is>
          <t>Bachelor's</t>
        </is>
      </c>
      <c r="D931" s="28" t="n">
        <v>5</v>
      </c>
      <c r="E931" s="26" t="n">
        <v>84354</v>
      </c>
      <c r="F931" s="39" t="inlineStr">
        <is>
          <t>2026-06-10</t>
        </is>
      </c>
    </row>
    <row r="932" ht="26.75" customHeight="1" s="104">
      <c r="A932" s="15" t="inlineStr">
        <is>
          <t>Oxnard Union High School District</t>
        </is>
      </c>
      <c r="B932" s="15" t="inlineStr">
        <is>
          <t>CA</t>
        </is>
      </c>
      <c r="C932" s="15" t="inlineStr">
        <is>
          <t>Bachelor's</t>
        </is>
      </c>
      <c r="D932" s="28" t="n">
        <v>6</v>
      </c>
      <c r="E932" s="26" t="n">
        <v>89096</v>
      </c>
      <c r="F932" s="39" t="inlineStr">
        <is>
          <t>2026-06-10</t>
        </is>
      </c>
    </row>
    <row r="933" ht="26.75" customHeight="1" s="104">
      <c r="A933" s="15" t="inlineStr">
        <is>
          <t>Oxnard Union High School District</t>
        </is>
      </c>
      <c r="B933" s="15" t="inlineStr">
        <is>
          <t>CA</t>
        </is>
      </c>
      <c r="C933" s="15" t="inlineStr">
        <is>
          <t>Bachelor's</t>
        </is>
      </c>
      <c r="D933" s="28" t="n">
        <v>7</v>
      </c>
      <c r="E933" s="26" t="n">
        <v>93674</v>
      </c>
      <c r="F933" s="39" t="inlineStr">
        <is>
          <t>2026-06-10</t>
        </is>
      </c>
    </row>
    <row r="934" ht="26.75" customHeight="1" s="104">
      <c r="A934" s="15" t="inlineStr">
        <is>
          <t>Oxnard Union High School District</t>
        </is>
      </c>
      <c r="B934" s="15" t="inlineStr">
        <is>
          <t>CA</t>
        </is>
      </c>
      <c r="C934" s="15" t="inlineStr">
        <is>
          <t>Bachelor's</t>
        </is>
      </c>
      <c r="D934" s="28" t="n">
        <v>8</v>
      </c>
      <c r="E934" s="26" t="n">
        <v>93674</v>
      </c>
      <c r="F934" s="39" t="inlineStr">
        <is>
          <t>2026-06-10</t>
        </is>
      </c>
    </row>
    <row r="935" ht="26.75" customHeight="1" s="104">
      <c r="A935" s="15" t="inlineStr">
        <is>
          <t>Oxnard Union High School District</t>
        </is>
      </c>
      <c r="B935" s="15" t="inlineStr">
        <is>
          <t>CA</t>
        </is>
      </c>
      <c r="C935" s="15" t="inlineStr">
        <is>
          <t>Bachelor's</t>
        </is>
      </c>
      <c r="D935" s="28" t="n">
        <v>9</v>
      </c>
      <c r="E935" s="26" t="n">
        <v>93674</v>
      </c>
      <c r="F935" s="39" t="inlineStr">
        <is>
          <t>2026-06-10</t>
        </is>
      </c>
    </row>
    <row r="936" ht="26.75" customHeight="1" s="104">
      <c r="A936" s="15" t="inlineStr">
        <is>
          <t>Oxnard Union High School District</t>
        </is>
      </c>
      <c r="B936" s="15" t="inlineStr">
        <is>
          <t>CA</t>
        </is>
      </c>
      <c r="C936" s="15" t="inlineStr">
        <is>
          <t>Bachelor's</t>
        </is>
      </c>
      <c r="D936" s="28" t="n">
        <v>10</v>
      </c>
      <c r="E936" s="26" t="n">
        <v>93674</v>
      </c>
      <c r="F936" s="39" t="inlineStr">
        <is>
          <t>2026-06-10</t>
        </is>
      </c>
    </row>
    <row r="937" ht="26.75" customHeight="1" s="104">
      <c r="A937" s="15" t="inlineStr">
        <is>
          <t>Oxnard Union High School District</t>
        </is>
      </c>
      <c r="B937" s="15" t="inlineStr">
        <is>
          <t>CA</t>
        </is>
      </c>
      <c r="C937" s="15" t="inlineStr">
        <is>
          <t>Master's</t>
        </is>
      </c>
      <c r="D937" s="28" t="n">
        <v>0</v>
      </c>
      <c r="E937" s="26" t="n">
        <v>71739</v>
      </c>
      <c r="F937" s="39" t="inlineStr">
        <is>
          <t>2026-06-10</t>
        </is>
      </c>
    </row>
    <row r="938" ht="26.75" customHeight="1" s="104">
      <c r="A938" s="15" t="inlineStr">
        <is>
          <t>Oxnard Union High School District</t>
        </is>
      </c>
      <c r="B938" s="15" t="inlineStr">
        <is>
          <t>CA</t>
        </is>
      </c>
      <c r="C938" s="15" t="inlineStr">
        <is>
          <t>Master's</t>
        </is>
      </c>
      <c r="D938" s="28" t="n">
        <v>1</v>
      </c>
      <c r="E938" s="26" t="n">
        <v>71739</v>
      </c>
      <c r="F938" s="39" t="inlineStr">
        <is>
          <t>2026-06-10</t>
        </is>
      </c>
    </row>
    <row r="939" ht="26.75" customHeight="1" s="104">
      <c r="A939" s="15" t="inlineStr">
        <is>
          <t>Oxnard Union High School District</t>
        </is>
      </c>
      <c r="B939" s="15" t="inlineStr">
        <is>
          <t>CA</t>
        </is>
      </c>
      <c r="C939" s="15" t="inlineStr">
        <is>
          <t>Master's</t>
        </is>
      </c>
      <c r="D939" s="28" t="n">
        <v>2</v>
      </c>
      <c r="E939" s="26" t="n">
        <v>76492</v>
      </c>
      <c r="F939" s="39" t="inlineStr">
        <is>
          <t>2026-06-10</t>
        </is>
      </c>
    </row>
    <row r="940" ht="26.75" customHeight="1" s="104">
      <c r="A940" s="15" t="inlineStr">
        <is>
          <t>Oxnard Union High School District</t>
        </is>
      </c>
      <c r="B940" s="15" t="inlineStr">
        <is>
          <t>CA</t>
        </is>
      </c>
      <c r="C940" s="15" t="inlineStr">
        <is>
          <t>Master's</t>
        </is>
      </c>
      <c r="D940" s="28" t="n">
        <v>3</v>
      </c>
      <c r="E940" s="26" t="n">
        <v>81242</v>
      </c>
      <c r="F940" s="39" t="inlineStr">
        <is>
          <t>2026-06-10</t>
        </is>
      </c>
    </row>
    <row r="941" ht="26.75" customHeight="1" s="104">
      <c r="A941" s="15" t="inlineStr">
        <is>
          <t>Oxnard Union High School District</t>
        </is>
      </c>
      <c r="B941" s="15" t="inlineStr">
        <is>
          <t>CA</t>
        </is>
      </c>
      <c r="C941" s="15" t="inlineStr">
        <is>
          <t>Master's</t>
        </is>
      </c>
      <c r="D941" s="28" t="n">
        <v>4</v>
      </c>
      <c r="E941" s="26" t="n">
        <v>85990</v>
      </c>
      <c r="F941" s="39" t="inlineStr">
        <is>
          <t>2026-06-10</t>
        </is>
      </c>
    </row>
    <row r="942" ht="26.75" customHeight="1" s="104">
      <c r="A942" s="15" t="inlineStr">
        <is>
          <t>Oxnard Union High School District</t>
        </is>
      </c>
      <c r="B942" s="15" t="inlineStr">
        <is>
          <t>CA</t>
        </is>
      </c>
      <c r="C942" s="15" t="inlineStr">
        <is>
          <t>Master's</t>
        </is>
      </c>
      <c r="D942" s="28" t="n">
        <v>5</v>
      </c>
      <c r="E942" s="26" t="n">
        <v>90740</v>
      </c>
      <c r="F942" s="39" t="inlineStr">
        <is>
          <t>2026-06-10</t>
        </is>
      </c>
    </row>
    <row r="943" ht="26.75" customHeight="1" s="104">
      <c r="A943" s="15" t="inlineStr">
        <is>
          <t>Oxnard Union High School District</t>
        </is>
      </c>
      <c r="B943" s="15" t="inlineStr">
        <is>
          <t>CA</t>
        </is>
      </c>
      <c r="C943" s="15" t="inlineStr">
        <is>
          <t>Master's</t>
        </is>
      </c>
      <c r="D943" s="28" t="n">
        <v>6</v>
      </c>
      <c r="E943" s="26" t="n">
        <v>95487</v>
      </c>
      <c r="F943" s="39" t="inlineStr">
        <is>
          <t>2026-06-10</t>
        </is>
      </c>
    </row>
    <row r="944" ht="26.75" customHeight="1" s="104">
      <c r="A944" s="15" t="inlineStr">
        <is>
          <t>Oxnard Union High School District</t>
        </is>
      </c>
      <c r="B944" s="15" t="inlineStr">
        <is>
          <t>CA</t>
        </is>
      </c>
      <c r="C944" s="15" t="inlineStr">
        <is>
          <t>Master's</t>
        </is>
      </c>
      <c r="D944" s="28" t="n">
        <v>7</v>
      </c>
      <c r="E944" s="26" t="n">
        <v>100231</v>
      </c>
      <c r="F944" s="39" t="inlineStr">
        <is>
          <t>2026-06-10</t>
        </is>
      </c>
    </row>
    <row r="945" ht="26.75" customHeight="1" s="104">
      <c r="A945" s="15" t="inlineStr">
        <is>
          <t>Oxnard Union High School District</t>
        </is>
      </c>
      <c r="B945" s="15" t="inlineStr">
        <is>
          <t>CA</t>
        </is>
      </c>
      <c r="C945" s="15" t="inlineStr">
        <is>
          <t>Master's</t>
        </is>
      </c>
      <c r="D945" s="28" t="n">
        <v>8</v>
      </c>
      <c r="E945" s="26" t="n">
        <v>104981</v>
      </c>
      <c r="F945" s="39" t="inlineStr">
        <is>
          <t>2026-06-10</t>
        </is>
      </c>
    </row>
    <row r="946" ht="26.75" customHeight="1" s="104">
      <c r="A946" s="15" t="inlineStr">
        <is>
          <t>Oxnard Union High School District</t>
        </is>
      </c>
      <c r="B946" s="15" t="inlineStr">
        <is>
          <t>CA</t>
        </is>
      </c>
      <c r="C946" s="15" t="inlineStr">
        <is>
          <t>Master's</t>
        </is>
      </c>
      <c r="D946" s="28" t="n">
        <v>9</v>
      </c>
      <c r="E946" s="26" t="n">
        <v>109731</v>
      </c>
      <c r="F946" s="39" t="inlineStr">
        <is>
          <t>2026-06-10</t>
        </is>
      </c>
    </row>
    <row r="947" ht="26.75" customHeight="1" s="104">
      <c r="A947" s="15" t="inlineStr">
        <is>
          <t>Oxnard Union High School District</t>
        </is>
      </c>
      <c r="B947" s="15" t="inlineStr">
        <is>
          <t>CA</t>
        </is>
      </c>
      <c r="C947" s="15" t="inlineStr">
        <is>
          <t>Master's</t>
        </is>
      </c>
      <c r="D947" s="28" t="n">
        <v>10</v>
      </c>
      <c r="E947" s="26" t="n">
        <v>114489</v>
      </c>
      <c r="F947" s="39" t="inlineStr">
        <is>
          <t>2026-06-10</t>
        </is>
      </c>
    </row>
    <row r="948" ht="26.75" customHeight="1" s="104">
      <c r="A948" t="inlineStr">
        <is>
          <t>Plano ISD</t>
        </is>
      </c>
      <c r="B948" t="inlineStr">
        <is>
          <t>TX</t>
        </is>
      </c>
      <c r="C948" t="inlineStr">
        <is>
          <t>Bachelor's</t>
        </is>
      </c>
      <c r="D948" t="n">
        <v>0</v>
      </c>
      <c r="E948" t="n">
        <v>64000</v>
      </c>
      <c r="F948" t="inlineStr">
        <is>
          <t>2026-06-16</t>
        </is>
      </c>
    </row>
    <row r="949" ht="26.75" customHeight="1" s="104">
      <c r="A949" t="inlineStr">
        <is>
          <t>Plano ISD</t>
        </is>
      </c>
      <c r="B949" t="inlineStr">
        <is>
          <t>TX</t>
        </is>
      </c>
      <c r="C949" t="inlineStr">
        <is>
          <t>Bachelor's</t>
        </is>
      </c>
      <c r="D949" t="n">
        <v>1</v>
      </c>
      <c r="E949" t="n">
        <v>64720</v>
      </c>
      <c r="F949" t="inlineStr">
        <is>
          <t>2026-06-16</t>
        </is>
      </c>
    </row>
    <row r="950" ht="26.75" customHeight="1" s="104">
      <c r="A950" t="inlineStr">
        <is>
          <t>Plano ISD</t>
        </is>
      </c>
      <c r="B950" t="inlineStr">
        <is>
          <t>TX</t>
        </is>
      </c>
      <c r="C950" t="inlineStr">
        <is>
          <t>Bachelor's</t>
        </is>
      </c>
      <c r="D950" t="n">
        <v>2</v>
      </c>
      <c r="E950" t="n">
        <v>65440</v>
      </c>
      <c r="F950" t="inlineStr">
        <is>
          <t>2026-06-16</t>
        </is>
      </c>
    </row>
    <row r="951" ht="26.75" customHeight="1" s="104">
      <c r="A951" t="inlineStr">
        <is>
          <t>Plano ISD</t>
        </is>
      </c>
      <c r="B951" t="inlineStr">
        <is>
          <t>TX</t>
        </is>
      </c>
      <c r="C951" t="inlineStr">
        <is>
          <t>Bachelor's</t>
        </is>
      </c>
      <c r="D951" t="n">
        <v>3</v>
      </c>
      <c r="E951" t="n">
        <v>66160</v>
      </c>
      <c r="F951" t="inlineStr">
        <is>
          <t>2026-06-16</t>
        </is>
      </c>
    </row>
    <row r="952" ht="26.75" customHeight="1" s="104">
      <c r="A952" t="inlineStr">
        <is>
          <t>Plano ISD</t>
        </is>
      </c>
      <c r="B952" t="inlineStr">
        <is>
          <t>TX</t>
        </is>
      </c>
      <c r="C952" t="inlineStr">
        <is>
          <t>Bachelor's</t>
        </is>
      </c>
      <c r="D952" t="n">
        <v>4</v>
      </c>
      <c r="E952" t="n">
        <v>66880</v>
      </c>
      <c r="F952" t="inlineStr">
        <is>
          <t>2026-06-16</t>
        </is>
      </c>
    </row>
    <row r="953" ht="26.75" customHeight="1" s="104">
      <c r="A953" t="inlineStr">
        <is>
          <t>Plano ISD</t>
        </is>
      </c>
      <c r="B953" t="inlineStr">
        <is>
          <t>TX</t>
        </is>
      </c>
      <c r="C953" t="inlineStr">
        <is>
          <t>Bachelor's</t>
        </is>
      </c>
      <c r="D953" t="n">
        <v>5</v>
      </c>
      <c r="E953" t="n">
        <v>67600</v>
      </c>
      <c r="F953" t="inlineStr">
        <is>
          <t>2026-06-16</t>
        </is>
      </c>
    </row>
    <row r="954" ht="26.75" customHeight="1" s="104">
      <c r="A954" t="inlineStr">
        <is>
          <t>Plano ISD</t>
        </is>
      </c>
      <c r="B954" t="inlineStr">
        <is>
          <t>TX</t>
        </is>
      </c>
      <c r="C954" t="inlineStr">
        <is>
          <t>Bachelor's</t>
        </is>
      </c>
      <c r="D954" t="n">
        <v>6</v>
      </c>
      <c r="E954" t="n">
        <v>68000</v>
      </c>
      <c r="F954" t="inlineStr">
        <is>
          <t>2026-06-16</t>
        </is>
      </c>
    </row>
    <row r="955" ht="26.75" customHeight="1" s="104">
      <c r="A955" t="inlineStr">
        <is>
          <t>Plano ISD</t>
        </is>
      </c>
      <c r="B955" t="inlineStr">
        <is>
          <t>TX</t>
        </is>
      </c>
      <c r="C955" t="inlineStr">
        <is>
          <t>Bachelor's</t>
        </is>
      </c>
      <c r="D955" t="n">
        <v>7</v>
      </c>
      <c r="E955" t="n">
        <v>68400</v>
      </c>
      <c r="F955" t="inlineStr">
        <is>
          <t>2026-06-16</t>
        </is>
      </c>
    </row>
    <row r="956" ht="26.75" customHeight="1" s="104">
      <c r="A956" t="inlineStr">
        <is>
          <t>Plano ISD</t>
        </is>
      </c>
      <c r="B956" t="inlineStr">
        <is>
          <t>TX</t>
        </is>
      </c>
      <c r="C956" t="inlineStr">
        <is>
          <t>Bachelor's</t>
        </is>
      </c>
      <c r="D956" t="n">
        <v>8</v>
      </c>
      <c r="E956" t="n">
        <v>68800</v>
      </c>
      <c r="F956" t="inlineStr">
        <is>
          <t>2026-06-16</t>
        </is>
      </c>
    </row>
    <row r="957" ht="26.75" customHeight="1" s="104">
      <c r="A957" t="inlineStr">
        <is>
          <t>Plano ISD</t>
        </is>
      </c>
      <c r="B957" t="inlineStr">
        <is>
          <t>TX</t>
        </is>
      </c>
      <c r="C957" t="inlineStr">
        <is>
          <t>Bachelor's</t>
        </is>
      </c>
      <c r="D957" t="n">
        <v>9</v>
      </c>
      <c r="E957" t="n">
        <v>69200</v>
      </c>
      <c r="F957" t="inlineStr">
        <is>
          <t>2026-06-16</t>
        </is>
      </c>
    </row>
    <row r="958" ht="26.75" customHeight="1" s="104">
      <c r="A958" t="inlineStr">
        <is>
          <t>Plano ISD</t>
        </is>
      </c>
      <c r="B958" t="inlineStr">
        <is>
          <t>TX</t>
        </is>
      </c>
      <c r="C958" t="inlineStr">
        <is>
          <t>Bachelor's</t>
        </is>
      </c>
      <c r="D958" t="n">
        <v>10</v>
      </c>
      <c r="E958" t="n">
        <v>69600</v>
      </c>
      <c r="F958" t="inlineStr">
        <is>
          <t>2026-06-16</t>
        </is>
      </c>
    </row>
    <row r="959" ht="26.75" customHeight="1" s="104">
      <c r="A959" t="inlineStr">
        <is>
          <t>Plano ISD</t>
        </is>
      </c>
      <c r="B959" t="inlineStr">
        <is>
          <t>TX</t>
        </is>
      </c>
      <c r="C959" t="inlineStr">
        <is>
          <t>Master's</t>
        </is>
      </c>
      <c r="D959" t="n">
        <v>0</v>
      </c>
      <c r="E959" t="n">
        <v>66000</v>
      </c>
      <c r="F959" t="inlineStr">
        <is>
          <t>2026-06-16</t>
        </is>
      </c>
    </row>
    <row r="960" ht="26.75" customHeight="1" s="104">
      <c r="A960" t="inlineStr">
        <is>
          <t>Plano ISD</t>
        </is>
      </c>
      <c r="B960" t="inlineStr">
        <is>
          <t>TX</t>
        </is>
      </c>
      <c r="C960" t="inlineStr">
        <is>
          <t>Master's</t>
        </is>
      </c>
      <c r="D960" t="n">
        <v>1</v>
      </c>
      <c r="E960" t="n">
        <v>66720</v>
      </c>
      <c r="F960" t="inlineStr">
        <is>
          <t>2026-06-16</t>
        </is>
      </c>
    </row>
    <row r="961" ht="26.75" customHeight="1" s="104">
      <c r="A961" t="inlineStr">
        <is>
          <t>Plano ISD</t>
        </is>
      </c>
      <c r="B961" t="inlineStr">
        <is>
          <t>TX</t>
        </is>
      </c>
      <c r="C961" t="inlineStr">
        <is>
          <t>Master's</t>
        </is>
      </c>
      <c r="D961" t="n">
        <v>2</v>
      </c>
      <c r="E961" t="n">
        <v>67440</v>
      </c>
      <c r="F961" t="inlineStr">
        <is>
          <t>2026-06-16</t>
        </is>
      </c>
    </row>
    <row r="962" ht="26.75" customHeight="1" s="104">
      <c r="A962" t="inlineStr">
        <is>
          <t>Plano ISD</t>
        </is>
      </c>
      <c r="B962" t="inlineStr">
        <is>
          <t>TX</t>
        </is>
      </c>
      <c r="C962" t="inlineStr">
        <is>
          <t>Master's</t>
        </is>
      </c>
      <c r="D962" t="n">
        <v>3</v>
      </c>
      <c r="E962" t="n">
        <v>68160</v>
      </c>
      <c r="F962" t="inlineStr">
        <is>
          <t>2026-06-16</t>
        </is>
      </c>
    </row>
    <row r="963" ht="26.75" customHeight="1" s="104">
      <c r="A963" t="inlineStr">
        <is>
          <t>Plano ISD</t>
        </is>
      </c>
      <c r="B963" t="inlineStr">
        <is>
          <t>TX</t>
        </is>
      </c>
      <c r="C963" t="inlineStr">
        <is>
          <t>Master's</t>
        </is>
      </c>
      <c r="D963" t="n">
        <v>4</v>
      </c>
      <c r="E963" t="n">
        <v>68880</v>
      </c>
      <c r="F963" t="inlineStr">
        <is>
          <t>2026-06-16</t>
        </is>
      </c>
    </row>
    <row r="964" ht="26.75" customHeight="1" s="104">
      <c r="A964" t="inlineStr">
        <is>
          <t>Plano ISD</t>
        </is>
      </c>
      <c r="B964" t="inlineStr">
        <is>
          <t>TX</t>
        </is>
      </c>
      <c r="C964" t="inlineStr">
        <is>
          <t>Master's</t>
        </is>
      </c>
      <c r="D964" t="n">
        <v>5</v>
      </c>
      <c r="E964" t="n">
        <v>69600</v>
      </c>
      <c r="F964" t="inlineStr">
        <is>
          <t>2026-06-16</t>
        </is>
      </c>
    </row>
    <row r="965" ht="26.75" customHeight="1" s="104">
      <c r="A965" t="inlineStr">
        <is>
          <t>Plano ISD</t>
        </is>
      </c>
      <c r="B965" t="inlineStr">
        <is>
          <t>TX</t>
        </is>
      </c>
      <c r="C965" t="inlineStr">
        <is>
          <t>Master's</t>
        </is>
      </c>
      <c r="D965" t="n">
        <v>6</v>
      </c>
      <c r="E965" t="n">
        <v>70000</v>
      </c>
      <c r="F965" t="inlineStr">
        <is>
          <t>2026-06-16</t>
        </is>
      </c>
    </row>
    <row r="966" ht="26.75" customHeight="1" s="104">
      <c r="A966" t="inlineStr">
        <is>
          <t>Plano ISD</t>
        </is>
      </c>
      <c r="B966" t="inlineStr">
        <is>
          <t>TX</t>
        </is>
      </c>
      <c r="C966" t="inlineStr">
        <is>
          <t>Master's</t>
        </is>
      </c>
      <c r="D966" t="n">
        <v>7</v>
      </c>
      <c r="E966" t="n">
        <v>70400</v>
      </c>
      <c r="F966" t="inlineStr">
        <is>
          <t>2026-06-16</t>
        </is>
      </c>
    </row>
    <row r="967" ht="26.75" customHeight="1" s="104">
      <c r="A967" t="inlineStr">
        <is>
          <t>Plano ISD</t>
        </is>
      </c>
      <c r="B967" t="inlineStr">
        <is>
          <t>TX</t>
        </is>
      </c>
      <c r="C967" t="inlineStr">
        <is>
          <t>Master's</t>
        </is>
      </c>
      <c r="D967" t="n">
        <v>8</v>
      </c>
      <c r="E967" t="n">
        <v>70800</v>
      </c>
      <c r="F967" t="inlineStr">
        <is>
          <t>2026-06-16</t>
        </is>
      </c>
    </row>
    <row r="968" ht="26.75" customHeight="1" s="104">
      <c r="A968" t="inlineStr">
        <is>
          <t>Plano ISD</t>
        </is>
      </c>
      <c r="B968" t="inlineStr">
        <is>
          <t>TX</t>
        </is>
      </c>
      <c r="C968" t="inlineStr">
        <is>
          <t>Master's</t>
        </is>
      </c>
      <c r="D968" t="n">
        <v>9</v>
      </c>
      <c r="E968" t="n">
        <v>71200</v>
      </c>
      <c r="F968" t="inlineStr">
        <is>
          <t>2026-06-16</t>
        </is>
      </c>
    </row>
    <row r="969" ht="26.75" customHeight="1" s="104">
      <c r="A969" t="inlineStr">
        <is>
          <t>Plano ISD</t>
        </is>
      </c>
      <c r="B969" t="inlineStr">
        <is>
          <t>TX</t>
        </is>
      </c>
      <c r="C969" t="inlineStr">
        <is>
          <t>Master's</t>
        </is>
      </c>
      <c r="D969" t="n">
        <v>10</v>
      </c>
      <c r="E969" t="n">
        <v>71600</v>
      </c>
      <c r="F969" t="inlineStr">
        <is>
          <t>2026-06-16</t>
        </is>
      </c>
    </row>
    <row r="970" ht="26.75" customHeight="1" s="104">
      <c r="A970" t="inlineStr">
        <is>
          <t>Port Arthur ISD</t>
        </is>
      </c>
      <c r="B970" t="inlineStr">
        <is>
          <t>TX</t>
        </is>
      </c>
      <c r="C970" t="inlineStr">
        <is>
          <t>Bachelor's</t>
        </is>
      </c>
      <c r="D970" t="n">
        <v>0</v>
      </c>
      <c r="E970" t="n">
        <v>55500</v>
      </c>
      <c r="F970" t="inlineStr">
        <is>
          <t>2026-06-16</t>
        </is>
      </c>
    </row>
    <row r="971" ht="26.75" customHeight="1" s="104">
      <c r="A971" t="inlineStr">
        <is>
          <t>Port Arthur ISD</t>
        </is>
      </c>
      <c r="B971" t="inlineStr">
        <is>
          <t>TX</t>
        </is>
      </c>
      <c r="C971" t="inlineStr">
        <is>
          <t>Bachelor's</t>
        </is>
      </c>
      <c r="D971" t="n">
        <v>1</v>
      </c>
      <c r="E971" t="n">
        <v>56500</v>
      </c>
      <c r="F971" t="inlineStr">
        <is>
          <t>2026-06-16</t>
        </is>
      </c>
    </row>
    <row r="972" ht="26.75" customHeight="1" s="104">
      <c r="A972" t="inlineStr">
        <is>
          <t>Port Arthur ISD</t>
        </is>
      </c>
      <c r="B972" t="inlineStr">
        <is>
          <t>TX</t>
        </is>
      </c>
      <c r="C972" t="inlineStr">
        <is>
          <t>Bachelor's</t>
        </is>
      </c>
      <c r="D972" t="n">
        <v>2</v>
      </c>
      <c r="E972" t="n">
        <v>57500</v>
      </c>
      <c r="F972" t="inlineStr">
        <is>
          <t>2026-06-16</t>
        </is>
      </c>
    </row>
    <row r="973" ht="26.75" customHeight="1" s="104">
      <c r="A973" t="inlineStr">
        <is>
          <t>Port Arthur ISD</t>
        </is>
      </c>
      <c r="B973" t="inlineStr">
        <is>
          <t>TX</t>
        </is>
      </c>
      <c r="C973" t="inlineStr">
        <is>
          <t>Bachelor's</t>
        </is>
      </c>
      <c r="D973" t="n">
        <v>3</v>
      </c>
      <c r="E973" t="n">
        <v>58500</v>
      </c>
      <c r="F973" t="inlineStr">
        <is>
          <t>2026-06-16</t>
        </is>
      </c>
    </row>
    <row r="974" ht="26.75" customHeight="1" s="104">
      <c r="A974" t="inlineStr">
        <is>
          <t>Port Arthur ISD</t>
        </is>
      </c>
      <c r="B974" t="inlineStr">
        <is>
          <t>TX</t>
        </is>
      </c>
      <c r="C974" t="inlineStr">
        <is>
          <t>Bachelor's</t>
        </is>
      </c>
      <c r="D974" t="n">
        <v>4</v>
      </c>
      <c r="E974" t="n">
        <v>59500</v>
      </c>
      <c r="F974" t="inlineStr">
        <is>
          <t>2026-06-16</t>
        </is>
      </c>
    </row>
    <row r="975" ht="26.75" customHeight="1" s="104">
      <c r="A975" t="inlineStr">
        <is>
          <t>Port Arthur ISD</t>
        </is>
      </c>
      <c r="B975" t="inlineStr">
        <is>
          <t>TX</t>
        </is>
      </c>
      <c r="C975" t="inlineStr">
        <is>
          <t>Bachelor's</t>
        </is>
      </c>
      <c r="D975" t="n">
        <v>5</v>
      </c>
      <c r="E975" t="n">
        <v>60500</v>
      </c>
      <c r="F975" t="inlineStr">
        <is>
          <t>2026-06-16</t>
        </is>
      </c>
    </row>
    <row r="976" ht="26.75" customHeight="1" s="104">
      <c r="A976" t="inlineStr">
        <is>
          <t>Port Arthur ISD</t>
        </is>
      </c>
      <c r="B976" t="inlineStr">
        <is>
          <t>TX</t>
        </is>
      </c>
      <c r="C976" t="inlineStr">
        <is>
          <t>Bachelor's</t>
        </is>
      </c>
      <c r="D976" t="n">
        <v>6</v>
      </c>
      <c r="E976" t="n">
        <v>60500</v>
      </c>
      <c r="F976" t="inlineStr">
        <is>
          <t>2026-06-16</t>
        </is>
      </c>
    </row>
    <row r="977" ht="26.75" customHeight="1" s="104">
      <c r="A977" t="inlineStr">
        <is>
          <t>Port Arthur ISD</t>
        </is>
      </c>
      <c r="B977" t="inlineStr">
        <is>
          <t>TX</t>
        </is>
      </c>
      <c r="C977" t="inlineStr">
        <is>
          <t>Bachelor's</t>
        </is>
      </c>
      <c r="D977" t="n">
        <v>7</v>
      </c>
      <c r="E977" t="n">
        <v>60500</v>
      </c>
      <c r="F977" t="inlineStr">
        <is>
          <t>2026-06-16</t>
        </is>
      </c>
    </row>
    <row r="978" ht="26.75" customHeight="1" s="104">
      <c r="A978" t="inlineStr">
        <is>
          <t>Port Arthur ISD</t>
        </is>
      </c>
      <c r="B978" t="inlineStr">
        <is>
          <t>TX</t>
        </is>
      </c>
      <c r="C978" t="inlineStr">
        <is>
          <t>Bachelor's</t>
        </is>
      </c>
      <c r="D978" t="n">
        <v>8</v>
      </c>
      <c r="E978" t="n">
        <v>60500</v>
      </c>
      <c r="F978" t="inlineStr">
        <is>
          <t>2026-06-16</t>
        </is>
      </c>
    </row>
    <row r="979" ht="26.75" customHeight="1" s="104">
      <c r="A979" t="inlineStr">
        <is>
          <t>Port Arthur ISD</t>
        </is>
      </c>
      <c r="B979" t="inlineStr">
        <is>
          <t>TX</t>
        </is>
      </c>
      <c r="C979" t="inlineStr">
        <is>
          <t>Bachelor's</t>
        </is>
      </c>
      <c r="D979" t="n">
        <v>9</v>
      </c>
      <c r="E979" t="n">
        <v>60500</v>
      </c>
      <c r="F979" t="inlineStr">
        <is>
          <t>2026-06-16</t>
        </is>
      </c>
    </row>
    <row r="980" ht="26.75" customHeight="1" s="104">
      <c r="A980" t="inlineStr">
        <is>
          <t>Port Arthur ISD</t>
        </is>
      </c>
      <c r="B980" t="inlineStr">
        <is>
          <t>TX</t>
        </is>
      </c>
      <c r="C980" t="inlineStr">
        <is>
          <t>Bachelor's</t>
        </is>
      </c>
      <c r="D980" t="n">
        <v>10</v>
      </c>
      <c r="E980" t="n">
        <v>60500</v>
      </c>
      <c r="F980" t="inlineStr">
        <is>
          <t>2026-06-16</t>
        </is>
      </c>
    </row>
    <row r="981" ht="26.75" customHeight="1" s="104">
      <c r="A981" t="inlineStr">
        <is>
          <t>Port Arthur ISD</t>
        </is>
      </c>
      <c r="B981" t="inlineStr">
        <is>
          <t>TX</t>
        </is>
      </c>
      <c r="C981" t="inlineStr">
        <is>
          <t>Master's</t>
        </is>
      </c>
      <c r="D981" t="n">
        <v>0</v>
      </c>
      <c r="E981" t="n">
        <v>56980</v>
      </c>
      <c r="F981" t="inlineStr">
        <is>
          <t>2026-06-16</t>
        </is>
      </c>
    </row>
    <row r="982" ht="26.75" customHeight="1" s="104">
      <c r="A982" t="inlineStr">
        <is>
          <t>Port Arthur ISD</t>
        </is>
      </c>
      <c r="B982" t="inlineStr">
        <is>
          <t>TX</t>
        </is>
      </c>
      <c r="C982" t="inlineStr">
        <is>
          <t>Master's</t>
        </is>
      </c>
      <c r="D982" t="n">
        <v>1</v>
      </c>
      <c r="E982" t="n">
        <v>57980</v>
      </c>
      <c r="F982" t="inlineStr">
        <is>
          <t>2026-06-16</t>
        </is>
      </c>
    </row>
    <row r="983" ht="26.75" customHeight="1" s="104">
      <c r="A983" t="inlineStr">
        <is>
          <t>Port Arthur ISD</t>
        </is>
      </c>
      <c r="B983" t="inlineStr">
        <is>
          <t>TX</t>
        </is>
      </c>
      <c r="C983" t="inlineStr">
        <is>
          <t>Master's</t>
        </is>
      </c>
      <c r="D983" t="n">
        <v>2</v>
      </c>
      <c r="E983" t="n">
        <v>58980</v>
      </c>
      <c r="F983" t="inlineStr">
        <is>
          <t>2026-06-16</t>
        </is>
      </c>
    </row>
    <row r="984" ht="26.75" customHeight="1" s="104">
      <c r="A984" t="inlineStr">
        <is>
          <t>Port Arthur ISD</t>
        </is>
      </c>
      <c r="B984" t="inlineStr">
        <is>
          <t>TX</t>
        </is>
      </c>
      <c r="C984" t="inlineStr">
        <is>
          <t>Master's</t>
        </is>
      </c>
      <c r="D984" t="n">
        <v>3</v>
      </c>
      <c r="E984" t="n">
        <v>59980</v>
      </c>
      <c r="F984" t="inlineStr">
        <is>
          <t>2026-06-16</t>
        </is>
      </c>
    </row>
    <row r="985" ht="26.75" customHeight="1" s="104">
      <c r="A985" t="inlineStr">
        <is>
          <t>Port Arthur ISD</t>
        </is>
      </c>
      <c r="B985" t="inlineStr">
        <is>
          <t>TX</t>
        </is>
      </c>
      <c r="C985" t="inlineStr">
        <is>
          <t>Master's</t>
        </is>
      </c>
      <c r="D985" t="n">
        <v>4</v>
      </c>
      <c r="E985" t="n">
        <v>60980</v>
      </c>
      <c r="F985" t="inlineStr">
        <is>
          <t>2026-06-16</t>
        </is>
      </c>
    </row>
    <row r="986" ht="26.75" customHeight="1" s="104">
      <c r="A986" t="inlineStr">
        <is>
          <t>Port Arthur ISD</t>
        </is>
      </c>
      <c r="B986" t="inlineStr">
        <is>
          <t>TX</t>
        </is>
      </c>
      <c r="C986" t="inlineStr">
        <is>
          <t>Master's</t>
        </is>
      </c>
      <c r="D986" t="n">
        <v>5</v>
      </c>
      <c r="E986" t="n">
        <v>61980</v>
      </c>
      <c r="F986" t="inlineStr">
        <is>
          <t>2026-06-16</t>
        </is>
      </c>
    </row>
    <row r="987" ht="26.75" customHeight="1" s="104">
      <c r="A987" t="inlineStr">
        <is>
          <t>Port Arthur ISD</t>
        </is>
      </c>
      <c r="B987" t="inlineStr">
        <is>
          <t>TX</t>
        </is>
      </c>
      <c r="C987" t="inlineStr">
        <is>
          <t>Master's</t>
        </is>
      </c>
      <c r="D987" t="n">
        <v>6</v>
      </c>
      <c r="E987" t="n">
        <v>61980</v>
      </c>
      <c r="F987" t="inlineStr">
        <is>
          <t>2026-06-16</t>
        </is>
      </c>
    </row>
    <row r="988" ht="26.75" customHeight="1" s="104">
      <c r="A988" t="inlineStr">
        <is>
          <t>Port Arthur ISD</t>
        </is>
      </c>
      <c r="B988" t="inlineStr">
        <is>
          <t>TX</t>
        </is>
      </c>
      <c r="C988" t="inlineStr">
        <is>
          <t>Master's</t>
        </is>
      </c>
      <c r="D988" t="n">
        <v>7</v>
      </c>
      <c r="E988" t="n">
        <v>61980</v>
      </c>
      <c r="F988" t="inlineStr">
        <is>
          <t>2026-06-16</t>
        </is>
      </c>
    </row>
    <row r="989" ht="26.75" customHeight="1" s="104">
      <c r="A989" t="inlineStr">
        <is>
          <t>Port Arthur ISD</t>
        </is>
      </c>
      <c r="B989" t="inlineStr">
        <is>
          <t>TX</t>
        </is>
      </c>
      <c r="C989" t="inlineStr">
        <is>
          <t>Master's</t>
        </is>
      </c>
      <c r="D989" t="n">
        <v>8</v>
      </c>
      <c r="E989" t="n">
        <v>61980</v>
      </c>
      <c r="F989" t="inlineStr">
        <is>
          <t>2026-06-16</t>
        </is>
      </c>
    </row>
    <row r="990" ht="26.75" customHeight="1" s="104">
      <c r="A990" t="inlineStr">
        <is>
          <t>Port Arthur ISD</t>
        </is>
      </c>
      <c r="B990" t="inlineStr">
        <is>
          <t>TX</t>
        </is>
      </c>
      <c r="C990" t="inlineStr">
        <is>
          <t>Master's</t>
        </is>
      </c>
      <c r="D990" t="n">
        <v>9</v>
      </c>
      <c r="E990" t="n">
        <v>61980</v>
      </c>
      <c r="F990" t="inlineStr">
        <is>
          <t>2026-06-16</t>
        </is>
      </c>
    </row>
    <row r="991" ht="26.75" customHeight="1" s="104">
      <c r="A991" t="inlineStr">
        <is>
          <t>Port Arthur ISD</t>
        </is>
      </c>
      <c r="B991" t="inlineStr">
        <is>
          <t>TX</t>
        </is>
      </c>
      <c r="C991" t="inlineStr">
        <is>
          <t>Master's</t>
        </is>
      </c>
      <c r="D991" t="n">
        <v>10</v>
      </c>
      <c r="E991" t="n">
        <v>61980</v>
      </c>
      <c r="F991" t="inlineStr">
        <is>
          <t>2026-06-16</t>
        </is>
      </c>
    </row>
    <row r="992" ht="26.75" customHeight="1" s="104">
      <c r="A992" s="15" t="inlineStr">
        <is>
          <t>Portland Public Schools</t>
        </is>
      </c>
      <c r="B992" s="15" t="inlineStr">
        <is>
          <t>OR</t>
        </is>
      </c>
      <c r="C992" s="15" t="inlineStr">
        <is>
          <t>Bachelor's</t>
        </is>
      </c>
      <c r="D992" s="28" t="n">
        <v>0</v>
      </c>
      <c r="E992" s="26" t="n">
        <v>57206</v>
      </c>
      <c r="F992" s="39" t="inlineStr">
        <is>
          <t>2026-06-10</t>
        </is>
      </c>
    </row>
    <row r="993" ht="26.75" customHeight="1" s="104">
      <c r="A993" s="15" t="inlineStr">
        <is>
          <t>Portland Public Schools</t>
        </is>
      </c>
      <c r="B993" s="15" t="inlineStr">
        <is>
          <t>OR</t>
        </is>
      </c>
      <c r="C993" s="15" t="inlineStr">
        <is>
          <t>Bachelor's</t>
        </is>
      </c>
      <c r="D993" s="28" t="n">
        <v>1</v>
      </c>
      <c r="E993" s="26" t="n">
        <v>59150</v>
      </c>
      <c r="F993" s="39" t="inlineStr">
        <is>
          <t>2026-06-10</t>
        </is>
      </c>
    </row>
    <row r="994" ht="26.75" customHeight="1" s="104">
      <c r="A994" s="15" t="inlineStr">
        <is>
          <t>Portland Public Schools</t>
        </is>
      </c>
      <c r="B994" s="15" t="inlineStr">
        <is>
          <t>OR</t>
        </is>
      </c>
      <c r="C994" s="15" t="inlineStr">
        <is>
          <t>Bachelor's</t>
        </is>
      </c>
      <c r="D994" s="28" t="n">
        <v>2</v>
      </c>
      <c r="E994" s="26" t="n">
        <v>61163</v>
      </c>
      <c r="F994" s="39" t="inlineStr">
        <is>
          <t>2026-06-10</t>
        </is>
      </c>
    </row>
    <row r="995" ht="26.75" customHeight="1" s="104">
      <c r="A995" s="15" t="inlineStr">
        <is>
          <t>Portland Public Schools</t>
        </is>
      </c>
      <c r="B995" s="15" t="inlineStr">
        <is>
          <t>OR</t>
        </is>
      </c>
      <c r="C995" s="15" t="inlineStr">
        <is>
          <t>Bachelor's</t>
        </is>
      </c>
      <c r="D995" s="28" t="n">
        <v>3</v>
      </c>
      <c r="E995" s="26" t="n">
        <v>63244</v>
      </c>
      <c r="F995" s="39" t="inlineStr">
        <is>
          <t>2026-06-10</t>
        </is>
      </c>
    </row>
    <row r="996" ht="26.75" customHeight="1" s="104">
      <c r="A996" s="15" t="inlineStr">
        <is>
          <t>Portland Public Schools</t>
        </is>
      </c>
      <c r="B996" s="15" t="inlineStr">
        <is>
          <t>OR</t>
        </is>
      </c>
      <c r="C996" s="15" t="inlineStr">
        <is>
          <t>Bachelor's</t>
        </is>
      </c>
      <c r="D996" s="28" t="n">
        <v>4</v>
      </c>
      <c r="E996" s="26" t="n">
        <v>65390</v>
      </c>
      <c r="F996" s="39" t="inlineStr">
        <is>
          <t>2026-06-10</t>
        </is>
      </c>
    </row>
    <row r="997" ht="26.75" customHeight="1" s="104">
      <c r="A997" s="15" t="inlineStr">
        <is>
          <t>Portland Public Schools</t>
        </is>
      </c>
      <c r="B997" s="15" t="inlineStr">
        <is>
          <t>OR</t>
        </is>
      </c>
      <c r="C997" s="15" t="inlineStr">
        <is>
          <t>Bachelor's</t>
        </is>
      </c>
      <c r="D997" s="28" t="n">
        <v>5</v>
      </c>
      <c r="E997" s="26" t="n">
        <v>67611</v>
      </c>
      <c r="F997" s="39" t="inlineStr">
        <is>
          <t>2026-06-10</t>
        </is>
      </c>
    </row>
    <row r="998" ht="26.75" customHeight="1" s="104">
      <c r="A998" s="15" t="inlineStr">
        <is>
          <t>Portland Public Schools</t>
        </is>
      </c>
      <c r="B998" s="15" t="inlineStr">
        <is>
          <t>OR</t>
        </is>
      </c>
      <c r="C998" s="15" t="inlineStr">
        <is>
          <t>Bachelor's</t>
        </is>
      </c>
      <c r="D998" s="28" t="n">
        <v>6</v>
      </c>
      <c r="E998" s="26" t="n">
        <v>69913</v>
      </c>
      <c r="F998" s="39" t="inlineStr">
        <is>
          <t>2026-06-10</t>
        </is>
      </c>
    </row>
    <row r="999" ht="26.75" customHeight="1" s="104">
      <c r="A999" s="15" t="inlineStr">
        <is>
          <t>Portland Public Schools</t>
        </is>
      </c>
      <c r="B999" s="15" t="inlineStr">
        <is>
          <t>OR</t>
        </is>
      </c>
      <c r="C999" s="15" t="inlineStr">
        <is>
          <t>Bachelor's</t>
        </is>
      </c>
      <c r="D999" s="28" t="n">
        <v>7</v>
      </c>
      <c r="E999" s="26" t="n">
        <v>72292</v>
      </c>
      <c r="F999" s="39" t="inlineStr">
        <is>
          <t>2026-06-10</t>
        </is>
      </c>
    </row>
    <row r="1000" ht="26.75" customHeight="1" s="104">
      <c r="A1000" s="15" t="inlineStr">
        <is>
          <t>Portland Public Schools</t>
        </is>
      </c>
      <c r="B1000" s="15" t="inlineStr">
        <is>
          <t>OR</t>
        </is>
      </c>
      <c r="C1000" s="15" t="inlineStr">
        <is>
          <t>Bachelor's</t>
        </is>
      </c>
      <c r="D1000" s="28" t="n">
        <v>8</v>
      </c>
      <c r="E1000" s="26" t="n">
        <v>74751</v>
      </c>
      <c r="F1000" s="39" t="inlineStr">
        <is>
          <t>2026-06-10</t>
        </is>
      </c>
    </row>
    <row r="1001" ht="26.75" customHeight="1" s="104">
      <c r="A1001" s="15" t="inlineStr">
        <is>
          <t>Portland Public Schools</t>
        </is>
      </c>
      <c r="B1001" s="15" t="inlineStr">
        <is>
          <t>OR</t>
        </is>
      </c>
      <c r="C1001" s="15" t="inlineStr">
        <is>
          <t>Bachelor's</t>
        </is>
      </c>
      <c r="D1001" s="28" t="n">
        <v>9</v>
      </c>
      <c r="E1001" s="26" t="n">
        <v>77289</v>
      </c>
      <c r="F1001" s="39" t="inlineStr">
        <is>
          <t>2026-06-10</t>
        </is>
      </c>
    </row>
    <row r="1002" ht="26.75" customHeight="1" s="104">
      <c r="A1002" s="15" t="inlineStr">
        <is>
          <t>Portland Public Schools</t>
        </is>
      </c>
      <c r="B1002" s="15" t="inlineStr">
        <is>
          <t>OR</t>
        </is>
      </c>
      <c r="C1002" s="15" t="inlineStr">
        <is>
          <t>Bachelor's</t>
        </is>
      </c>
      <c r="D1002" s="28" t="n">
        <v>10</v>
      </c>
      <c r="E1002" s="26" t="n">
        <v>79916</v>
      </c>
      <c r="F1002" s="39" t="inlineStr">
        <is>
          <t>2026-06-10</t>
        </is>
      </c>
    </row>
    <row r="1003" ht="26.75" customHeight="1" s="104">
      <c r="A1003" s="15" t="inlineStr">
        <is>
          <t>Portland Public Schools</t>
        </is>
      </c>
      <c r="B1003" s="15" t="inlineStr">
        <is>
          <t>OR</t>
        </is>
      </c>
      <c r="C1003" s="15" t="inlineStr">
        <is>
          <t>Master's</t>
        </is>
      </c>
      <c r="D1003" s="28" t="n">
        <v>0</v>
      </c>
      <c r="E1003" s="26" t="n">
        <v>65280</v>
      </c>
      <c r="F1003" s="39" t="inlineStr">
        <is>
          <t>2026-06-10</t>
        </is>
      </c>
    </row>
    <row r="1004" ht="26.75" customHeight="1" s="104">
      <c r="A1004" s="15" t="inlineStr">
        <is>
          <t>Portland Public Schools</t>
        </is>
      </c>
      <c r="B1004" s="15" t="inlineStr">
        <is>
          <t>OR</t>
        </is>
      </c>
      <c r="C1004" s="15" t="inlineStr">
        <is>
          <t>Master's</t>
        </is>
      </c>
      <c r="D1004" s="28" t="n">
        <v>1</v>
      </c>
      <c r="E1004" s="26" t="n">
        <v>67503</v>
      </c>
      <c r="F1004" s="39" t="inlineStr">
        <is>
          <t>2026-06-10</t>
        </is>
      </c>
    </row>
    <row r="1005" ht="26.75" customHeight="1" s="104">
      <c r="A1005" s="15" t="inlineStr">
        <is>
          <t>Portland Public Schools</t>
        </is>
      </c>
      <c r="B1005" s="15" t="inlineStr">
        <is>
          <t>OR</t>
        </is>
      </c>
      <c r="C1005" s="15" t="inlineStr">
        <is>
          <t>Master's</t>
        </is>
      </c>
      <c r="D1005" s="28" t="n">
        <v>2</v>
      </c>
      <c r="E1005" s="26" t="n">
        <v>69798</v>
      </c>
      <c r="F1005" s="39" t="inlineStr">
        <is>
          <t>2026-06-10</t>
        </is>
      </c>
    </row>
    <row r="1006" ht="26.75" customHeight="1" s="104">
      <c r="A1006" s="15" t="inlineStr">
        <is>
          <t>Portland Public Schools</t>
        </is>
      </c>
      <c r="B1006" s="15" t="inlineStr">
        <is>
          <t>OR</t>
        </is>
      </c>
      <c r="C1006" s="15" t="inlineStr">
        <is>
          <t>Master's</t>
        </is>
      </c>
      <c r="D1006" s="28" t="n">
        <v>3</v>
      </c>
      <c r="E1006" s="26" t="n">
        <v>72166</v>
      </c>
      <c r="F1006" s="39" t="inlineStr">
        <is>
          <t>2026-06-10</t>
        </is>
      </c>
    </row>
    <row r="1007" ht="26.75" customHeight="1" s="104">
      <c r="A1007" s="15" t="inlineStr">
        <is>
          <t>Portland Public Schools</t>
        </is>
      </c>
      <c r="B1007" s="15" t="inlineStr">
        <is>
          <t>OR</t>
        </is>
      </c>
      <c r="C1007" s="15" t="inlineStr">
        <is>
          <t>Master's</t>
        </is>
      </c>
      <c r="D1007" s="28" t="n">
        <v>4</v>
      </c>
      <c r="E1007" s="26" t="n">
        <v>74625</v>
      </c>
      <c r="F1007" s="39" t="inlineStr">
        <is>
          <t>2026-06-10</t>
        </is>
      </c>
    </row>
    <row r="1008" ht="26.75" customHeight="1" s="104">
      <c r="A1008" s="15" t="inlineStr">
        <is>
          <t>Portland Public Schools</t>
        </is>
      </c>
      <c r="B1008" s="15" t="inlineStr">
        <is>
          <t>OR</t>
        </is>
      </c>
      <c r="C1008" s="15" t="inlineStr">
        <is>
          <t>Master's</t>
        </is>
      </c>
      <c r="D1008" s="28" t="n">
        <v>5</v>
      </c>
      <c r="E1008" s="26" t="n">
        <v>77157</v>
      </c>
      <c r="F1008" s="39" t="inlineStr">
        <is>
          <t>2026-06-10</t>
        </is>
      </c>
    </row>
    <row r="1009" ht="26.75" customHeight="1" s="104">
      <c r="A1009" s="15" t="inlineStr">
        <is>
          <t>Portland Public Schools</t>
        </is>
      </c>
      <c r="B1009" s="15" t="inlineStr">
        <is>
          <t>OR</t>
        </is>
      </c>
      <c r="C1009" s="15" t="inlineStr">
        <is>
          <t>Master's</t>
        </is>
      </c>
      <c r="D1009" s="28" t="n">
        <v>6</v>
      </c>
      <c r="E1009" s="26" t="n">
        <v>79780</v>
      </c>
      <c r="F1009" s="39" t="inlineStr">
        <is>
          <t>2026-06-10</t>
        </is>
      </c>
    </row>
    <row r="1010" ht="26.75" customHeight="1" s="104">
      <c r="A1010" s="15" t="inlineStr">
        <is>
          <t>Portland Public Schools</t>
        </is>
      </c>
      <c r="B1010" s="15" t="inlineStr">
        <is>
          <t>OR</t>
        </is>
      </c>
      <c r="C1010" s="15" t="inlineStr">
        <is>
          <t>Master's</t>
        </is>
      </c>
      <c r="D1010" s="28" t="n">
        <v>7</v>
      </c>
      <c r="E1010" s="26" t="n">
        <v>82496</v>
      </c>
      <c r="F1010" s="39" t="inlineStr">
        <is>
          <t>2026-06-10</t>
        </is>
      </c>
    </row>
    <row r="1011" ht="26.75" customHeight="1" s="104">
      <c r="A1011" s="15" t="inlineStr">
        <is>
          <t>Portland Public Schools</t>
        </is>
      </c>
      <c r="B1011" s="15" t="inlineStr">
        <is>
          <t>OR</t>
        </is>
      </c>
      <c r="C1011" s="15" t="inlineStr">
        <is>
          <t>Master's</t>
        </is>
      </c>
      <c r="D1011" s="28" t="n">
        <v>8</v>
      </c>
      <c r="E1011" s="26" t="n">
        <v>85298</v>
      </c>
      <c r="F1011" s="39" t="inlineStr">
        <is>
          <t>2026-06-10</t>
        </is>
      </c>
    </row>
    <row r="1012" ht="26.75" customHeight="1" s="104">
      <c r="A1012" s="15" t="inlineStr">
        <is>
          <t>Portland Public Schools</t>
        </is>
      </c>
      <c r="B1012" s="15" t="inlineStr">
        <is>
          <t>OR</t>
        </is>
      </c>
      <c r="C1012" s="15" t="inlineStr">
        <is>
          <t>Master's</t>
        </is>
      </c>
      <c r="D1012" s="28" t="n">
        <v>9</v>
      </c>
      <c r="E1012" s="26" t="n">
        <v>88199</v>
      </c>
      <c r="F1012" s="39" t="inlineStr">
        <is>
          <t>2026-06-10</t>
        </is>
      </c>
    </row>
    <row r="1013" ht="26.75" customHeight="1" s="104">
      <c r="A1013" s="15" t="inlineStr">
        <is>
          <t>Portland Public Schools</t>
        </is>
      </c>
      <c r="B1013" s="15" t="inlineStr">
        <is>
          <t>OR</t>
        </is>
      </c>
      <c r="C1013" s="15" t="inlineStr">
        <is>
          <t>Master's</t>
        </is>
      </c>
      <c r="D1013" s="28" t="n">
        <v>10</v>
      </c>
      <c r="E1013" s="26" t="n">
        <v>91200</v>
      </c>
      <c r="F1013" s="39" t="inlineStr">
        <is>
          <t>2026-06-10</t>
        </is>
      </c>
    </row>
    <row r="1014" ht="26.75" customHeight="1" s="104">
      <c r="A1014" s="15" t="inlineStr">
        <is>
          <t>Provo City School District</t>
        </is>
      </c>
      <c r="B1014" s="15" t="inlineStr">
        <is>
          <t>UT</t>
        </is>
      </c>
      <c r="C1014" s="15" t="inlineStr">
        <is>
          <t>Bachelor's</t>
        </is>
      </c>
      <c r="D1014" s="28" t="n">
        <v>0</v>
      </c>
      <c r="E1014" s="26" t="n">
        <v>60672</v>
      </c>
      <c r="F1014" s="39" t="inlineStr">
        <is>
          <t>2026-06-10</t>
        </is>
      </c>
    </row>
    <row r="1015" ht="26.75" customHeight="1" s="104">
      <c r="A1015" s="15" t="inlineStr">
        <is>
          <t>Provo City School District</t>
        </is>
      </c>
      <c r="B1015" s="15" t="inlineStr">
        <is>
          <t>UT</t>
        </is>
      </c>
      <c r="C1015" s="15" t="inlineStr">
        <is>
          <t>Bachelor's</t>
        </is>
      </c>
      <c r="D1015" s="28" t="n">
        <v>1</v>
      </c>
      <c r="E1015" s="26" t="n">
        <v>60672</v>
      </c>
      <c r="F1015" s="39" t="inlineStr">
        <is>
          <t>2026-06-10</t>
        </is>
      </c>
    </row>
    <row r="1016" ht="26.75" customHeight="1" s="104">
      <c r="A1016" s="15" t="inlineStr">
        <is>
          <t>Provo City School District</t>
        </is>
      </c>
      <c r="B1016" s="15" t="inlineStr">
        <is>
          <t>UT</t>
        </is>
      </c>
      <c r="C1016" s="15" t="inlineStr">
        <is>
          <t>Bachelor's</t>
        </is>
      </c>
      <c r="D1016" s="28" t="n">
        <v>2</v>
      </c>
      <c r="E1016" s="26" t="n">
        <v>60672</v>
      </c>
      <c r="F1016" s="39" t="inlineStr">
        <is>
          <t>2026-06-10</t>
        </is>
      </c>
    </row>
    <row r="1017" ht="26.75" customHeight="1" s="104">
      <c r="A1017" s="15" t="inlineStr">
        <is>
          <t>Provo City School District</t>
        </is>
      </c>
      <c r="B1017" s="15" t="inlineStr">
        <is>
          <t>UT</t>
        </is>
      </c>
      <c r="C1017" s="15" t="inlineStr">
        <is>
          <t>Bachelor's</t>
        </is>
      </c>
      <c r="D1017" s="28" t="n">
        <v>3</v>
      </c>
      <c r="E1017" s="26" t="n">
        <v>61597</v>
      </c>
      <c r="F1017" s="39" t="inlineStr">
        <is>
          <t>2026-06-10</t>
        </is>
      </c>
    </row>
    <row r="1018" ht="26.75" customHeight="1" s="104">
      <c r="A1018" s="15" t="inlineStr">
        <is>
          <t>Provo City School District</t>
        </is>
      </c>
      <c r="B1018" s="15" t="inlineStr">
        <is>
          <t>UT</t>
        </is>
      </c>
      <c r="C1018" s="15" t="inlineStr">
        <is>
          <t>Bachelor's</t>
        </is>
      </c>
      <c r="D1018" s="28" t="n">
        <v>4</v>
      </c>
      <c r="E1018" s="26" t="n">
        <v>62522</v>
      </c>
      <c r="F1018" s="39" t="inlineStr">
        <is>
          <t>2026-06-10</t>
        </is>
      </c>
    </row>
    <row r="1019" ht="26.75" customHeight="1" s="104">
      <c r="A1019" s="15" t="inlineStr">
        <is>
          <t>Provo City School District</t>
        </is>
      </c>
      <c r="B1019" s="15" t="inlineStr">
        <is>
          <t>UT</t>
        </is>
      </c>
      <c r="C1019" s="15" t="inlineStr">
        <is>
          <t>Bachelor's</t>
        </is>
      </c>
      <c r="D1019" s="28" t="n">
        <v>5</v>
      </c>
      <c r="E1019" s="26" t="n">
        <v>63447</v>
      </c>
      <c r="F1019" s="39" t="inlineStr">
        <is>
          <t>2026-06-10</t>
        </is>
      </c>
    </row>
    <row r="1020" ht="26.75" customHeight="1" s="104">
      <c r="A1020" s="15" t="inlineStr">
        <is>
          <t>Provo City School District</t>
        </is>
      </c>
      <c r="B1020" s="15" t="inlineStr">
        <is>
          <t>UT</t>
        </is>
      </c>
      <c r="C1020" s="15" t="inlineStr">
        <is>
          <t>Bachelor's</t>
        </is>
      </c>
      <c r="D1020" s="28" t="n">
        <v>6</v>
      </c>
      <c r="E1020" s="26" t="n">
        <v>64372</v>
      </c>
      <c r="F1020" s="39" t="inlineStr">
        <is>
          <t>2026-06-10</t>
        </is>
      </c>
    </row>
    <row r="1021" ht="26.75" customHeight="1" s="104">
      <c r="A1021" s="15" t="inlineStr">
        <is>
          <t>Provo City School District</t>
        </is>
      </c>
      <c r="B1021" s="15" t="inlineStr">
        <is>
          <t>UT</t>
        </is>
      </c>
      <c r="C1021" s="15" t="inlineStr">
        <is>
          <t>Bachelor's</t>
        </is>
      </c>
      <c r="D1021" s="28" t="n">
        <v>7</v>
      </c>
      <c r="E1021" s="26" t="n">
        <v>65297</v>
      </c>
      <c r="F1021" s="39" t="inlineStr">
        <is>
          <t>2026-06-10</t>
        </is>
      </c>
    </row>
    <row r="1022" ht="26.75" customHeight="1" s="104">
      <c r="A1022" s="15" t="inlineStr">
        <is>
          <t>Provo City School District</t>
        </is>
      </c>
      <c r="B1022" s="15" t="inlineStr">
        <is>
          <t>UT</t>
        </is>
      </c>
      <c r="C1022" s="15" t="inlineStr">
        <is>
          <t>Bachelor's</t>
        </is>
      </c>
      <c r="D1022" s="28" t="n">
        <v>8</v>
      </c>
      <c r="E1022" s="26" t="n">
        <v>66222</v>
      </c>
      <c r="F1022" s="39" t="inlineStr">
        <is>
          <t>2026-06-10</t>
        </is>
      </c>
    </row>
    <row r="1023" ht="26.75" customHeight="1" s="104">
      <c r="A1023" s="15" t="inlineStr">
        <is>
          <t>Provo City School District</t>
        </is>
      </c>
      <c r="B1023" s="15" t="inlineStr">
        <is>
          <t>UT</t>
        </is>
      </c>
      <c r="C1023" s="15" t="inlineStr">
        <is>
          <t>Bachelor's</t>
        </is>
      </c>
      <c r="D1023" s="28" t="n">
        <v>9</v>
      </c>
      <c r="E1023" s="26" t="n">
        <v>67147</v>
      </c>
      <c r="F1023" s="39" t="inlineStr">
        <is>
          <t>2026-06-10</t>
        </is>
      </c>
    </row>
    <row r="1024" ht="26.75" customHeight="1" s="104">
      <c r="A1024" s="15" t="inlineStr">
        <is>
          <t>Provo City School District</t>
        </is>
      </c>
      <c r="B1024" s="15" t="inlineStr">
        <is>
          <t>UT</t>
        </is>
      </c>
      <c r="C1024" s="15" t="inlineStr">
        <is>
          <t>Bachelor's</t>
        </is>
      </c>
      <c r="D1024" s="28" t="n">
        <v>10</v>
      </c>
      <c r="E1024" s="26" t="n">
        <v>68072</v>
      </c>
      <c r="F1024" s="39" t="inlineStr">
        <is>
          <t>2026-06-10</t>
        </is>
      </c>
    </row>
    <row r="1025" ht="26.75" customHeight="1" s="104">
      <c r="A1025" s="15" t="inlineStr">
        <is>
          <t>Provo City School District</t>
        </is>
      </c>
      <c r="B1025" s="15" t="inlineStr">
        <is>
          <t>UT</t>
        </is>
      </c>
      <c r="C1025" s="15" t="inlineStr">
        <is>
          <t>Master's</t>
        </is>
      </c>
      <c r="D1025" s="28" t="n">
        <v>0</v>
      </c>
      <c r="E1025" s="26" t="n">
        <v>65297</v>
      </c>
      <c r="F1025" s="39" t="inlineStr">
        <is>
          <t>2026-06-10</t>
        </is>
      </c>
    </row>
    <row r="1026" ht="26.75" customHeight="1" s="104">
      <c r="A1026" s="15" t="inlineStr">
        <is>
          <t>Provo City School District</t>
        </is>
      </c>
      <c r="B1026" s="15" t="inlineStr">
        <is>
          <t>UT</t>
        </is>
      </c>
      <c r="C1026" s="15" t="inlineStr">
        <is>
          <t>Master's</t>
        </is>
      </c>
      <c r="D1026" s="28" t="n">
        <v>1</v>
      </c>
      <c r="E1026" s="26" t="n">
        <v>65297</v>
      </c>
      <c r="F1026" s="39" t="inlineStr">
        <is>
          <t>2026-06-10</t>
        </is>
      </c>
    </row>
    <row r="1027" ht="26.75" customHeight="1" s="104">
      <c r="A1027" s="15" t="inlineStr">
        <is>
          <t>Provo City School District</t>
        </is>
      </c>
      <c r="B1027" s="15" t="inlineStr">
        <is>
          <t>UT</t>
        </is>
      </c>
      <c r="C1027" s="15" t="inlineStr">
        <is>
          <t>Master's</t>
        </is>
      </c>
      <c r="D1027" s="28" t="n">
        <v>2</v>
      </c>
      <c r="E1027" s="26" t="n">
        <v>65297</v>
      </c>
      <c r="F1027" s="39" t="inlineStr">
        <is>
          <t>2026-06-10</t>
        </is>
      </c>
    </row>
    <row r="1028" ht="26.75" customHeight="1" s="104">
      <c r="A1028" s="15" t="inlineStr">
        <is>
          <t>Provo City School District</t>
        </is>
      </c>
      <c r="B1028" s="15" t="inlineStr">
        <is>
          <t>UT</t>
        </is>
      </c>
      <c r="C1028" s="15" t="inlineStr">
        <is>
          <t>Master's</t>
        </is>
      </c>
      <c r="D1028" s="28" t="n">
        <v>3</v>
      </c>
      <c r="E1028" s="26" t="n">
        <v>66222</v>
      </c>
      <c r="F1028" s="39" t="inlineStr">
        <is>
          <t>2026-06-10</t>
        </is>
      </c>
    </row>
    <row r="1029" ht="26.75" customHeight="1" s="104">
      <c r="A1029" s="15" t="inlineStr">
        <is>
          <t>Provo City School District</t>
        </is>
      </c>
      <c r="B1029" s="15" t="inlineStr">
        <is>
          <t>UT</t>
        </is>
      </c>
      <c r="C1029" s="15" t="inlineStr">
        <is>
          <t>Master's</t>
        </is>
      </c>
      <c r="D1029" s="28" t="n">
        <v>4</v>
      </c>
      <c r="E1029" s="26" t="n">
        <v>67147</v>
      </c>
      <c r="F1029" s="39" t="inlineStr">
        <is>
          <t>2026-06-10</t>
        </is>
      </c>
    </row>
    <row r="1030" ht="26.75" customHeight="1" s="104">
      <c r="A1030" s="15" t="inlineStr">
        <is>
          <t>Provo City School District</t>
        </is>
      </c>
      <c r="B1030" s="15" t="inlineStr">
        <is>
          <t>UT</t>
        </is>
      </c>
      <c r="C1030" s="15" t="inlineStr">
        <is>
          <t>Master's</t>
        </is>
      </c>
      <c r="D1030" s="28" t="n">
        <v>5</v>
      </c>
      <c r="E1030" s="26" t="n">
        <v>68072</v>
      </c>
      <c r="F1030" s="39" t="inlineStr">
        <is>
          <t>2026-06-10</t>
        </is>
      </c>
    </row>
    <row r="1031" ht="26.75" customHeight="1" s="104">
      <c r="A1031" s="15" t="inlineStr">
        <is>
          <t>Provo City School District</t>
        </is>
      </c>
      <c r="B1031" s="15" t="inlineStr">
        <is>
          <t>UT</t>
        </is>
      </c>
      <c r="C1031" s="15" t="inlineStr">
        <is>
          <t>Master's</t>
        </is>
      </c>
      <c r="D1031" s="28" t="n">
        <v>6</v>
      </c>
      <c r="E1031" s="26" t="n">
        <v>68997</v>
      </c>
      <c r="F1031" s="39" t="inlineStr">
        <is>
          <t>2026-06-10</t>
        </is>
      </c>
    </row>
    <row r="1032" ht="26.75" customHeight="1" s="104">
      <c r="A1032" s="15" t="inlineStr">
        <is>
          <t>Provo City School District</t>
        </is>
      </c>
      <c r="B1032" s="15" t="inlineStr">
        <is>
          <t>UT</t>
        </is>
      </c>
      <c r="C1032" s="15" t="inlineStr">
        <is>
          <t>Master's</t>
        </is>
      </c>
      <c r="D1032" s="28" t="n">
        <v>7</v>
      </c>
      <c r="E1032" s="26" t="n">
        <v>69922</v>
      </c>
      <c r="F1032" s="39" t="inlineStr">
        <is>
          <t>2026-06-10</t>
        </is>
      </c>
    </row>
    <row r="1033" ht="26.75" customHeight="1" s="104">
      <c r="A1033" s="15" t="inlineStr">
        <is>
          <t>Provo City School District</t>
        </is>
      </c>
      <c r="B1033" s="15" t="inlineStr">
        <is>
          <t>UT</t>
        </is>
      </c>
      <c r="C1033" s="15" t="inlineStr">
        <is>
          <t>Master's</t>
        </is>
      </c>
      <c r="D1033" s="28" t="n">
        <v>8</v>
      </c>
      <c r="E1033" s="26" t="n">
        <v>70847</v>
      </c>
      <c r="F1033" s="39" t="inlineStr">
        <is>
          <t>2026-06-10</t>
        </is>
      </c>
    </row>
    <row r="1034" ht="26.75" customHeight="1" s="104">
      <c r="A1034" s="15" t="inlineStr">
        <is>
          <t>Provo City School District</t>
        </is>
      </c>
      <c r="B1034" s="15" t="inlineStr">
        <is>
          <t>UT</t>
        </is>
      </c>
      <c r="C1034" s="15" t="inlineStr">
        <is>
          <t>Master's</t>
        </is>
      </c>
      <c r="D1034" s="28" t="n">
        <v>9</v>
      </c>
      <c r="E1034" s="26" t="n">
        <v>71772</v>
      </c>
      <c r="F1034" s="39" t="inlineStr">
        <is>
          <t>2026-06-10</t>
        </is>
      </c>
    </row>
    <row r="1035" ht="26.75" customHeight="1" s="104">
      <c r="A1035" s="15" t="inlineStr">
        <is>
          <t>Provo City School District</t>
        </is>
      </c>
      <c r="B1035" s="15" t="inlineStr">
        <is>
          <t>UT</t>
        </is>
      </c>
      <c r="C1035" s="15" t="inlineStr">
        <is>
          <t>Master's</t>
        </is>
      </c>
      <c r="D1035" s="28" t="n">
        <v>10</v>
      </c>
      <c r="E1035" s="26" t="n">
        <v>72697</v>
      </c>
      <c r="F1035" s="39" t="inlineStr">
        <is>
          <t>2026-06-10</t>
        </is>
      </c>
    </row>
    <row r="1036" ht="26.75" customHeight="1" s="104">
      <c r="A1036" t="inlineStr">
        <is>
          <t>Rosemount-Apple Valley-Eagan ISD 196</t>
        </is>
      </c>
      <c r="B1036" t="inlineStr">
        <is>
          <t>MN</t>
        </is>
      </c>
      <c r="C1036" t="inlineStr">
        <is>
          <t>Bachelor's</t>
        </is>
      </c>
      <c r="D1036" t="n">
        <v>0</v>
      </c>
      <c r="E1036" s="1" t="n">
        <v>51322</v>
      </c>
      <c r="F1036" t="inlineStr">
        <is>
          <t>2026-06-16</t>
        </is>
      </c>
    </row>
    <row r="1037" ht="26.75" customHeight="1" s="104">
      <c r="A1037" t="inlineStr">
        <is>
          <t>Rosemount-Apple Valley-Eagan ISD 196</t>
        </is>
      </c>
      <c r="B1037" t="inlineStr">
        <is>
          <t>MN</t>
        </is>
      </c>
      <c r="C1037" t="inlineStr">
        <is>
          <t>Bachelor's</t>
        </is>
      </c>
      <c r="D1037" t="n">
        <v>1</v>
      </c>
      <c r="E1037" s="1" t="n">
        <v>53368</v>
      </c>
      <c r="F1037" t="inlineStr">
        <is>
          <t>2026-06-16</t>
        </is>
      </c>
    </row>
    <row r="1038" ht="26.75" customHeight="1" s="104">
      <c r="A1038" t="inlineStr">
        <is>
          <t>Rosemount-Apple Valley-Eagan ISD 196</t>
        </is>
      </c>
      <c r="B1038" t="inlineStr">
        <is>
          <t>MN</t>
        </is>
      </c>
      <c r="C1038" t="inlineStr">
        <is>
          <t>Bachelor's</t>
        </is>
      </c>
      <c r="D1038" t="n">
        <v>2</v>
      </c>
      <c r="E1038" s="1" t="n">
        <v>54157</v>
      </c>
      <c r="F1038" t="inlineStr">
        <is>
          <t>2026-06-16</t>
        </is>
      </c>
    </row>
    <row r="1039" ht="26.75" customHeight="1" s="104">
      <c r="A1039" t="inlineStr">
        <is>
          <t>Rosemount-Apple Valley-Eagan ISD 196</t>
        </is>
      </c>
      <c r="B1039" t="inlineStr">
        <is>
          <t>MN</t>
        </is>
      </c>
      <c r="C1039" t="inlineStr">
        <is>
          <t>Bachelor's</t>
        </is>
      </c>
      <c r="D1039" t="n">
        <v>3</v>
      </c>
      <c r="E1039" s="1" t="n">
        <v>57334</v>
      </c>
      <c r="F1039" t="inlineStr">
        <is>
          <t>2026-06-16</t>
        </is>
      </c>
    </row>
    <row r="1040" ht="26.75" customHeight="1" s="104">
      <c r="A1040" t="inlineStr">
        <is>
          <t>Rosemount-Apple Valley-Eagan ISD 196</t>
        </is>
      </c>
      <c r="B1040" t="inlineStr">
        <is>
          <t>MN</t>
        </is>
      </c>
      <c r="C1040" t="inlineStr">
        <is>
          <t>Bachelor's</t>
        </is>
      </c>
      <c r="D1040" t="n">
        <v>4</v>
      </c>
      <c r="E1040" s="1" t="n">
        <v>60505</v>
      </c>
      <c r="F1040" t="inlineStr">
        <is>
          <t>2026-06-16</t>
        </is>
      </c>
    </row>
    <row r="1041" ht="26.75" customHeight="1" s="104">
      <c r="A1041" t="inlineStr">
        <is>
          <t>Rosemount-Apple Valley-Eagan ISD 196</t>
        </is>
      </c>
      <c r="B1041" t="inlineStr">
        <is>
          <t>MN</t>
        </is>
      </c>
      <c r="C1041" t="inlineStr">
        <is>
          <t>Bachelor's</t>
        </is>
      </c>
      <c r="D1041" t="n">
        <v>5</v>
      </c>
      <c r="E1041" s="1" t="n">
        <v>63680</v>
      </c>
      <c r="F1041" t="inlineStr">
        <is>
          <t>2026-06-16</t>
        </is>
      </c>
    </row>
    <row r="1042" ht="26.75" customHeight="1" s="104">
      <c r="A1042" t="inlineStr">
        <is>
          <t>Rosemount-Apple Valley-Eagan ISD 196</t>
        </is>
      </c>
      <c r="B1042" t="inlineStr">
        <is>
          <t>MN</t>
        </is>
      </c>
      <c r="C1042" t="inlineStr">
        <is>
          <t>Bachelor's</t>
        </is>
      </c>
      <c r="D1042" t="n">
        <v>6</v>
      </c>
      <c r="E1042" s="1" t="n">
        <v>67013</v>
      </c>
      <c r="F1042" t="inlineStr">
        <is>
          <t>2026-06-16</t>
        </is>
      </c>
    </row>
    <row r="1043" ht="26.75" customHeight="1" s="104">
      <c r="A1043" t="inlineStr">
        <is>
          <t>Rosemount-Apple Valley-Eagan ISD 196</t>
        </is>
      </c>
      <c r="B1043" t="inlineStr">
        <is>
          <t>MN</t>
        </is>
      </c>
      <c r="C1043" t="inlineStr">
        <is>
          <t>Bachelor's</t>
        </is>
      </c>
      <c r="D1043" t="n">
        <v>7</v>
      </c>
      <c r="E1043" s="1" t="n">
        <v>70622</v>
      </c>
      <c r="F1043" t="inlineStr">
        <is>
          <t>2026-06-16</t>
        </is>
      </c>
    </row>
    <row r="1044" ht="26.75" customHeight="1" s="104">
      <c r="A1044" t="inlineStr">
        <is>
          <t>Rosemount-Apple Valley-Eagan ISD 196</t>
        </is>
      </c>
      <c r="B1044" t="inlineStr">
        <is>
          <t>MN</t>
        </is>
      </c>
      <c r="C1044" t="inlineStr">
        <is>
          <t>Bachelor's</t>
        </is>
      </c>
      <c r="D1044" t="n">
        <v>8</v>
      </c>
      <c r="E1044" s="1" t="n">
        <v>73995</v>
      </c>
      <c r="F1044" t="inlineStr">
        <is>
          <t>2026-06-16</t>
        </is>
      </c>
    </row>
    <row r="1045" ht="26.75" customHeight="1" s="104">
      <c r="A1045" t="inlineStr">
        <is>
          <t>Rosemount-Apple Valley-Eagan ISD 196</t>
        </is>
      </c>
      <c r="B1045" t="inlineStr">
        <is>
          <t>MN</t>
        </is>
      </c>
      <c r="C1045" t="inlineStr">
        <is>
          <t>Bachelor's</t>
        </is>
      </c>
      <c r="D1045" t="n">
        <v>9</v>
      </c>
      <c r="E1045" s="1" t="n">
        <v>83773</v>
      </c>
      <c r="F1045" t="inlineStr">
        <is>
          <t>2026-06-16</t>
        </is>
      </c>
    </row>
    <row r="1046" ht="26.75" customHeight="1" s="104">
      <c r="A1046" t="inlineStr">
        <is>
          <t>Rosemount-Apple Valley-Eagan ISD 196</t>
        </is>
      </c>
      <c r="B1046" t="inlineStr">
        <is>
          <t>MN</t>
        </is>
      </c>
      <c r="C1046" t="inlineStr">
        <is>
          <t>Bachelor's</t>
        </is>
      </c>
      <c r="D1046" t="n">
        <v>10</v>
      </c>
      <c r="E1046" s="1" t="n">
        <v>87104</v>
      </c>
      <c r="F1046" t="inlineStr">
        <is>
          <t>2026-06-16</t>
        </is>
      </c>
    </row>
    <row r="1047" ht="26.75" customHeight="1" s="104">
      <c r="A1047" t="inlineStr">
        <is>
          <t>Rosemount-Apple Valley-Eagan ISD 196</t>
        </is>
      </c>
      <c r="B1047" t="inlineStr">
        <is>
          <t>MN</t>
        </is>
      </c>
      <c r="C1047" t="inlineStr">
        <is>
          <t>Master's</t>
        </is>
      </c>
      <c r="D1047" t="n">
        <v>0</v>
      </c>
      <c r="E1047" s="1" t="n">
        <v>54157</v>
      </c>
      <c r="F1047" t="inlineStr">
        <is>
          <t>2026-06-16</t>
        </is>
      </c>
    </row>
    <row r="1048" ht="26.75" customHeight="1" s="104">
      <c r="A1048" t="inlineStr">
        <is>
          <t>Rosemount-Apple Valley-Eagan ISD 196</t>
        </is>
      </c>
      <c r="B1048" t="inlineStr">
        <is>
          <t>MN</t>
        </is>
      </c>
      <c r="C1048" t="inlineStr">
        <is>
          <t>Master's</t>
        </is>
      </c>
      <c r="D1048" t="n">
        <v>1</v>
      </c>
      <c r="E1048" s="1" t="n">
        <v>57190</v>
      </c>
      <c r="F1048" t="inlineStr">
        <is>
          <t>2026-06-16</t>
        </is>
      </c>
    </row>
    <row r="1049" ht="26.75" customHeight="1" s="104">
      <c r="A1049" t="inlineStr">
        <is>
          <t>Rosemount-Apple Valley-Eagan ISD 196</t>
        </is>
      </c>
      <c r="B1049" t="inlineStr">
        <is>
          <t>MN</t>
        </is>
      </c>
      <c r="C1049" t="inlineStr">
        <is>
          <t>Master's</t>
        </is>
      </c>
      <c r="D1049" t="n">
        <v>2</v>
      </c>
      <c r="E1049" s="1" t="n">
        <v>60505</v>
      </c>
      <c r="F1049" t="inlineStr">
        <is>
          <t>2026-06-16</t>
        </is>
      </c>
    </row>
    <row r="1050" ht="26.75" customHeight="1" s="104">
      <c r="A1050" t="inlineStr">
        <is>
          <t>Rosemount-Apple Valley-Eagan ISD 196</t>
        </is>
      </c>
      <c r="B1050" t="inlineStr">
        <is>
          <t>MN</t>
        </is>
      </c>
      <c r="C1050" t="inlineStr">
        <is>
          <t>Master's</t>
        </is>
      </c>
      <c r="D1050" t="n">
        <v>3</v>
      </c>
      <c r="E1050" s="1" t="n">
        <v>62094</v>
      </c>
      <c r="F1050" t="inlineStr">
        <is>
          <t>2026-06-16</t>
        </is>
      </c>
    </row>
    <row r="1051" ht="26.75" customHeight="1" s="104">
      <c r="A1051" t="inlineStr">
        <is>
          <t>Rosemount-Apple Valley-Eagan ISD 196</t>
        </is>
      </c>
      <c r="B1051" t="inlineStr">
        <is>
          <t>MN</t>
        </is>
      </c>
      <c r="C1051" t="inlineStr">
        <is>
          <t>Master's</t>
        </is>
      </c>
      <c r="D1051" t="n">
        <v>4</v>
      </c>
      <c r="E1051" s="1" t="n">
        <v>65314</v>
      </c>
      <c r="F1051" t="inlineStr">
        <is>
          <t>2026-06-16</t>
        </is>
      </c>
    </row>
    <row r="1052" ht="26.75" customHeight="1" s="104">
      <c r="A1052" t="inlineStr">
        <is>
          <t>Rosemount-Apple Valley-Eagan ISD 196</t>
        </is>
      </c>
      <c r="B1052" t="inlineStr">
        <is>
          <t>MN</t>
        </is>
      </c>
      <c r="C1052" t="inlineStr">
        <is>
          <t>Master's</t>
        </is>
      </c>
      <c r="D1052" t="n">
        <v>5</v>
      </c>
      <c r="E1052" s="1" t="n">
        <v>72068</v>
      </c>
      <c r="F1052" t="inlineStr">
        <is>
          <t>2026-06-16</t>
        </is>
      </c>
    </row>
    <row r="1053" ht="26.75" customHeight="1" s="104">
      <c r="A1053" t="inlineStr">
        <is>
          <t>Rosemount-Apple Valley-Eagan ISD 196</t>
        </is>
      </c>
      <c r="B1053" t="inlineStr">
        <is>
          <t>MN</t>
        </is>
      </c>
      <c r="C1053" t="inlineStr">
        <is>
          <t>Master's</t>
        </is>
      </c>
      <c r="D1053" t="n">
        <v>6</v>
      </c>
      <c r="E1053" s="1" t="n">
        <v>77423</v>
      </c>
      <c r="F1053" t="inlineStr">
        <is>
          <t>2026-06-16</t>
        </is>
      </c>
    </row>
    <row r="1054" ht="26.75" customHeight="1" s="104">
      <c r="A1054" t="inlineStr">
        <is>
          <t>Rosemount-Apple Valley-Eagan ISD 196</t>
        </is>
      </c>
      <c r="B1054" t="inlineStr">
        <is>
          <t>MN</t>
        </is>
      </c>
      <c r="C1054" t="inlineStr">
        <is>
          <t>Master's</t>
        </is>
      </c>
      <c r="D1054" t="n">
        <v>7</v>
      </c>
      <c r="E1054" s="1" t="n">
        <v>80600</v>
      </c>
      <c r="F1054" t="inlineStr">
        <is>
          <t>2026-06-16</t>
        </is>
      </c>
    </row>
    <row r="1055" ht="26.75" customHeight="1" s="104">
      <c r="A1055" t="inlineStr">
        <is>
          <t>Rosemount-Apple Valley-Eagan ISD 196</t>
        </is>
      </c>
      <c r="B1055" t="inlineStr">
        <is>
          <t>MN</t>
        </is>
      </c>
      <c r="C1055" t="inlineStr">
        <is>
          <t>Master's</t>
        </is>
      </c>
      <c r="D1055" t="n">
        <v>8</v>
      </c>
      <c r="E1055" s="1" t="n">
        <v>83773</v>
      </c>
      <c r="F1055" t="inlineStr">
        <is>
          <t>2026-06-16</t>
        </is>
      </c>
    </row>
    <row r="1056" ht="26.75" customHeight="1" s="104">
      <c r="A1056" t="inlineStr">
        <is>
          <t>Rosemount-Apple Valley-Eagan ISD 196</t>
        </is>
      </c>
      <c r="B1056" t="inlineStr">
        <is>
          <t>MN</t>
        </is>
      </c>
      <c r="C1056" t="inlineStr">
        <is>
          <t>Master's</t>
        </is>
      </c>
      <c r="D1056" t="n">
        <v>9</v>
      </c>
      <c r="E1056" s="1" t="n">
        <v>89328</v>
      </c>
      <c r="F1056" t="inlineStr">
        <is>
          <t>2026-06-16</t>
        </is>
      </c>
    </row>
    <row r="1057" ht="26.75" customHeight="1" s="104">
      <c r="A1057" t="inlineStr">
        <is>
          <t>Rosemount-Apple Valley-Eagan ISD 196</t>
        </is>
      </c>
      <c r="B1057" t="inlineStr">
        <is>
          <t>MN</t>
        </is>
      </c>
      <c r="C1057" t="inlineStr">
        <is>
          <t>Master's</t>
        </is>
      </c>
      <c r="D1057" t="n">
        <v>10</v>
      </c>
      <c r="E1057" s="1" t="n">
        <v>92502</v>
      </c>
      <c r="F1057" t="inlineStr">
        <is>
          <t>2026-06-16</t>
        </is>
      </c>
    </row>
    <row r="1058" ht="26.75" customHeight="1" s="104">
      <c r="A1058" s="15" t="inlineStr">
        <is>
          <t>Royal ISD</t>
        </is>
      </c>
      <c r="B1058" s="15" t="inlineStr">
        <is>
          <t>TX</t>
        </is>
      </c>
      <c r="C1058" s="15" t="inlineStr">
        <is>
          <t>Bachelor's</t>
        </is>
      </c>
      <c r="D1058" s="28" t="n">
        <v>0</v>
      </c>
      <c r="E1058" s="26" t="n">
        <v>61000</v>
      </c>
      <c r="F1058" s="39" t="inlineStr">
        <is>
          <t>2026-06-10</t>
        </is>
      </c>
    </row>
    <row r="1059" ht="26.75" customHeight="1" s="104">
      <c r="A1059" s="15" t="inlineStr">
        <is>
          <t>Royal ISD</t>
        </is>
      </c>
      <c r="B1059" s="15" t="inlineStr">
        <is>
          <t>TX</t>
        </is>
      </c>
      <c r="C1059" s="15" t="inlineStr">
        <is>
          <t>Bachelor's</t>
        </is>
      </c>
      <c r="D1059" s="28" t="n">
        <v>1</v>
      </c>
      <c r="E1059" s="26" t="n">
        <v>61820</v>
      </c>
      <c r="F1059" s="39" t="inlineStr">
        <is>
          <t>2026-06-10</t>
        </is>
      </c>
    </row>
    <row r="1060" ht="26.75" customHeight="1" s="104">
      <c r="A1060" s="15" t="inlineStr">
        <is>
          <t>Royal ISD</t>
        </is>
      </c>
      <c r="B1060" s="15" t="inlineStr">
        <is>
          <t>TX</t>
        </is>
      </c>
      <c r="C1060" s="15" t="inlineStr">
        <is>
          <t>Bachelor's</t>
        </is>
      </c>
      <c r="D1060" s="28" t="n">
        <v>2</v>
      </c>
      <c r="E1060" s="26" t="n">
        <v>62120</v>
      </c>
      <c r="F1060" s="39" t="inlineStr">
        <is>
          <t>2026-06-10</t>
        </is>
      </c>
    </row>
    <row r="1061" ht="26.75" customHeight="1" s="104">
      <c r="A1061" s="15" t="inlineStr">
        <is>
          <t>Royal ISD</t>
        </is>
      </c>
      <c r="B1061" s="15" t="inlineStr">
        <is>
          <t>TX</t>
        </is>
      </c>
      <c r="C1061" s="15" t="inlineStr">
        <is>
          <t>Bachelor's</t>
        </is>
      </c>
      <c r="D1061" s="28" t="n">
        <v>3</v>
      </c>
      <c r="E1061" s="26" t="n">
        <v>65420</v>
      </c>
      <c r="F1061" s="39" t="inlineStr">
        <is>
          <t>2026-06-10</t>
        </is>
      </c>
    </row>
    <row r="1062" ht="26.75" customHeight="1" s="104">
      <c r="A1062" s="15" t="inlineStr">
        <is>
          <t>Royal ISD</t>
        </is>
      </c>
      <c r="B1062" s="15" t="inlineStr">
        <is>
          <t>TX</t>
        </is>
      </c>
      <c r="C1062" s="15" t="inlineStr">
        <is>
          <t>Bachelor's</t>
        </is>
      </c>
      <c r="D1062" s="28" t="n">
        <v>4</v>
      </c>
      <c r="E1062" s="26" t="n">
        <v>65720</v>
      </c>
      <c r="F1062" s="39" t="inlineStr">
        <is>
          <t>2026-06-10</t>
        </is>
      </c>
    </row>
    <row r="1063" ht="26.75" customHeight="1" s="104">
      <c r="A1063" s="15" t="inlineStr">
        <is>
          <t>Royal ISD</t>
        </is>
      </c>
      <c r="B1063" s="15" t="inlineStr">
        <is>
          <t>TX</t>
        </is>
      </c>
      <c r="C1063" s="15" t="inlineStr">
        <is>
          <t>Bachelor's</t>
        </is>
      </c>
      <c r="D1063" s="28" t="n">
        <v>5</v>
      </c>
      <c r="E1063" s="26" t="n">
        <v>70020</v>
      </c>
      <c r="F1063" s="39" t="inlineStr">
        <is>
          <t>2026-06-10</t>
        </is>
      </c>
    </row>
    <row r="1064" ht="26.75" customHeight="1" s="104">
      <c r="A1064" s="15" t="inlineStr">
        <is>
          <t>Royal ISD</t>
        </is>
      </c>
      <c r="B1064" s="15" t="inlineStr">
        <is>
          <t>TX</t>
        </is>
      </c>
      <c r="C1064" s="15" t="inlineStr">
        <is>
          <t>Bachelor's</t>
        </is>
      </c>
      <c r="D1064" s="28" t="n">
        <v>6</v>
      </c>
      <c r="E1064" s="26" t="n">
        <v>70320</v>
      </c>
      <c r="F1064" s="39" t="inlineStr">
        <is>
          <t>2026-06-10</t>
        </is>
      </c>
    </row>
    <row r="1065" ht="26.75" customHeight="1" s="104">
      <c r="A1065" s="15" t="inlineStr">
        <is>
          <t>Royal ISD</t>
        </is>
      </c>
      <c r="B1065" s="15" t="inlineStr">
        <is>
          <t>TX</t>
        </is>
      </c>
      <c r="C1065" s="15" t="inlineStr">
        <is>
          <t>Bachelor's</t>
        </is>
      </c>
      <c r="D1065" s="28" t="n">
        <v>7</v>
      </c>
      <c r="E1065" s="26" t="n">
        <v>70620</v>
      </c>
      <c r="F1065" s="39" t="inlineStr">
        <is>
          <t>2026-06-10</t>
        </is>
      </c>
    </row>
    <row r="1066" ht="26.75" customHeight="1" s="104">
      <c r="A1066" s="15" t="inlineStr">
        <is>
          <t>Royal ISD</t>
        </is>
      </c>
      <c r="B1066" s="15" t="inlineStr">
        <is>
          <t>TX</t>
        </is>
      </c>
      <c r="C1066" s="15" t="inlineStr">
        <is>
          <t>Bachelor's</t>
        </is>
      </c>
      <c r="D1066" s="28" t="n">
        <v>8</v>
      </c>
      <c r="E1066" s="26" t="n">
        <v>71020</v>
      </c>
      <c r="F1066" s="39" t="inlineStr">
        <is>
          <t>2026-06-10</t>
        </is>
      </c>
    </row>
    <row r="1067" ht="26.75" customHeight="1" s="104">
      <c r="A1067" s="15" t="inlineStr">
        <is>
          <t>Royal ISD</t>
        </is>
      </c>
      <c r="B1067" s="15" t="inlineStr">
        <is>
          <t>TX</t>
        </is>
      </c>
      <c r="C1067" s="15" t="inlineStr">
        <is>
          <t>Bachelor's</t>
        </is>
      </c>
      <c r="D1067" s="28" t="n">
        <v>9</v>
      </c>
      <c r="E1067" s="26" t="n">
        <v>71420</v>
      </c>
      <c r="F1067" s="39" t="inlineStr">
        <is>
          <t>2026-06-10</t>
        </is>
      </c>
    </row>
    <row r="1068" ht="26.75" customHeight="1" s="104">
      <c r="A1068" s="15" t="inlineStr">
        <is>
          <t>Royal ISD</t>
        </is>
      </c>
      <c r="B1068" s="15" t="inlineStr">
        <is>
          <t>TX</t>
        </is>
      </c>
      <c r="C1068" s="15" t="inlineStr">
        <is>
          <t>Bachelor's</t>
        </is>
      </c>
      <c r="D1068" s="28" t="n">
        <v>10</v>
      </c>
      <c r="E1068" s="26" t="n">
        <v>71820</v>
      </c>
      <c r="F1068" s="39" t="inlineStr">
        <is>
          <t>2026-06-10</t>
        </is>
      </c>
    </row>
    <row r="1069" ht="26.75" customHeight="1" s="104">
      <c r="A1069" s="15" t="inlineStr">
        <is>
          <t>Royal ISD</t>
        </is>
      </c>
      <c r="B1069" s="15" t="inlineStr">
        <is>
          <t>TX</t>
        </is>
      </c>
      <c r="C1069" s="15" t="inlineStr">
        <is>
          <t>Master's</t>
        </is>
      </c>
      <c r="D1069" s="28" t="n">
        <v>0</v>
      </c>
      <c r="E1069" s="26" t="n">
        <v>62000</v>
      </c>
      <c r="F1069" s="39" t="inlineStr">
        <is>
          <t>2026-06-10</t>
        </is>
      </c>
    </row>
    <row r="1070" ht="26.75" customHeight="1" s="104">
      <c r="A1070" s="15" t="inlineStr">
        <is>
          <t>Royal ISD</t>
        </is>
      </c>
      <c r="B1070" s="15" t="inlineStr">
        <is>
          <t>TX</t>
        </is>
      </c>
      <c r="C1070" s="15" t="inlineStr">
        <is>
          <t>Master's</t>
        </is>
      </c>
      <c r="D1070" s="28" t="n">
        <v>1</v>
      </c>
      <c r="E1070" s="26" t="n">
        <v>62820</v>
      </c>
      <c r="F1070" s="39" t="inlineStr">
        <is>
          <t>2026-06-10</t>
        </is>
      </c>
    </row>
    <row r="1071" ht="26.75" customHeight="1" s="104">
      <c r="A1071" s="15" t="inlineStr">
        <is>
          <t>Royal ISD</t>
        </is>
      </c>
      <c r="B1071" s="15" t="inlineStr">
        <is>
          <t>TX</t>
        </is>
      </c>
      <c r="C1071" s="15" t="inlineStr">
        <is>
          <t>Master's</t>
        </is>
      </c>
      <c r="D1071" s="28" t="n">
        <v>2</v>
      </c>
      <c r="E1071" s="26" t="n">
        <v>63120</v>
      </c>
      <c r="F1071" s="39" t="inlineStr">
        <is>
          <t>2026-06-10</t>
        </is>
      </c>
    </row>
    <row r="1072" ht="26.75" customHeight="1" s="104">
      <c r="A1072" s="15" t="inlineStr">
        <is>
          <t>Royal ISD</t>
        </is>
      </c>
      <c r="B1072" s="15" t="inlineStr">
        <is>
          <t>TX</t>
        </is>
      </c>
      <c r="C1072" s="15" t="inlineStr">
        <is>
          <t>Master's</t>
        </is>
      </c>
      <c r="D1072" s="28" t="n">
        <v>3</v>
      </c>
      <c r="E1072" s="26" t="n">
        <v>66420</v>
      </c>
      <c r="F1072" s="39" t="inlineStr">
        <is>
          <t>2026-06-10</t>
        </is>
      </c>
    </row>
    <row r="1073" ht="26.75" customHeight="1" s="104">
      <c r="A1073" s="15" t="inlineStr">
        <is>
          <t>Royal ISD</t>
        </is>
      </c>
      <c r="B1073" s="15" t="inlineStr">
        <is>
          <t>TX</t>
        </is>
      </c>
      <c r="C1073" s="15" t="inlineStr">
        <is>
          <t>Master's</t>
        </is>
      </c>
      <c r="D1073" s="28" t="n">
        <v>4</v>
      </c>
      <c r="E1073" s="26" t="n">
        <v>66720</v>
      </c>
      <c r="F1073" s="39" t="inlineStr">
        <is>
          <t>2026-06-10</t>
        </is>
      </c>
    </row>
    <row r="1074" ht="26.75" customHeight="1" s="104">
      <c r="A1074" s="15" t="inlineStr">
        <is>
          <t>Royal ISD</t>
        </is>
      </c>
      <c r="B1074" s="15" t="inlineStr">
        <is>
          <t>TX</t>
        </is>
      </c>
      <c r="C1074" s="15" t="inlineStr">
        <is>
          <t>Master's</t>
        </is>
      </c>
      <c r="D1074" s="28" t="n">
        <v>5</v>
      </c>
      <c r="E1074" s="26" t="n">
        <v>71020</v>
      </c>
      <c r="F1074" s="39" t="inlineStr">
        <is>
          <t>2026-06-10</t>
        </is>
      </c>
    </row>
    <row r="1075" ht="26.75" customHeight="1" s="104">
      <c r="A1075" s="15" t="inlineStr">
        <is>
          <t>Royal ISD</t>
        </is>
      </c>
      <c r="B1075" s="15" t="inlineStr">
        <is>
          <t>TX</t>
        </is>
      </c>
      <c r="C1075" s="15" t="inlineStr">
        <is>
          <t>Master's</t>
        </is>
      </c>
      <c r="D1075" s="28" t="n">
        <v>6</v>
      </c>
      <c r="E1075" s="26" t="n">
        <v>71320</v>
      </c>
      <c r="F1075" s="39" t="inlineStr">
        <is>
          <t>2026-06-10</t>
        </is>
      </c>
    </row>
    <row r="1076" ht="26.75" customHeight="1" s="104">
      <c r="A1076" s="15" t="inlineStr">
        <is>
          <t>Royal ISD</t>
        </is>
      </c>
      <c r="B1076" s="15" t="inlineStr">
        <is>
          <t>TX</t>
        </is>
      </c>
      <c r="C1076" s="15" t="inlineStr">
        <is>
          <t>Master's</t>
        </is>
      </c>
      <c r="D1076" s="28" t="n">
        <v>7</v>
      </c>
      <c r="E1076" s="26" t="n">
        <v>71620</v>
      </c>
      <c r="F1076" s="39" t="inlineStr">
        <is>
          <t>2026-06-10</t>
        </is>
      </c>
    </row>
    <row r="1077" ht="26.75" customHeight="1" s="104">
      <c r="A1077" s="15" t="inlineStr">
        <is>
          <t>Royal ISD</t>
        </is>
      </c>
      <c r="B1077" s="15" t="inlineStr">
        <is>
          <t>TX</t>
        </is>
      </c>
      <c r="C1077" s="15" t="inlineStr">
        <is>
          <t>Master's</t>
        </is>
      </c>
      <c r="D1077" s="28" t="n">
        <v>8</v>
      </c>
      <c r="E1077" s="26" t="n">
        <v>72020</v>
      </c>
      <c r="F1077" s="39" t="inlineStr">
        <is>
          <t>2026-06-10</t>
        </is>
      </c>
    </row>
    <row r="1078" ht="26.75" customHeight="1" s="104">
      <c r="A1078" s="15" t="inlineStr">
        <is>
          <t>Royal ISD</t>
        </is>
      </c>
      <c r="B1078" s="15" t="inlineStr">
        <is>
          <t>TX</t>
        </is>
      </c>
      <c r="C1078" s="15" t="inlineStr">
        <is>
          <t>Master's</t>
        </is>
      </c>
      <c r="D1078" s="28" t="n">
        <v>9</v>
      </c>
      <c r="E1078" s="26" t="n">
        <v>72420</v>
      </c>
      <c r="F1078" s="39" t="inlineStr">
        <is>
          <t>2026-06-10</t>
        </is>
      </c>
    </row>
    <row r="1079" ht="26.75" customHeight="1" s="104">
      <c r="A1079" s="15" t="inlineStr">
        <is>
          <t>Royal ISD</t>
        </is>
      </c>
      <c r="B1079" s="15" t="inlineStr">
        <is>
          <t>TX</t>
        </is>
      </c>
      <c r="C1079" s="15" t="inlineStr">
        <is>
          <t>Master's</t>
        </is>
      </c>
      <c r="D1079" s="28" t="n">
        <v>10</v>
      </c>
      <c r="E1079" s="26" t="n">
        <v>72820</v>
      </c>
      <c r="F1079" s="39" t="inlineStr">
        <is>
          <t>2026-06-10</t>
        </is>
      </c>
    </row>
    <row r="1080" ht="26.75" customHeight="1" s="104">
      <c r="A1080" s="15" t="inlineStr">
        <is>
          <t>Saint Helena Unified School District</t>
        </is>
      </c>
      <c r="B1080" s="15" t="inlineStr">
        <is>
          <t>CA</t>
        </is>
      </c>
      <c r="C1080" s="15" t="inlineStr">
        <is>
          <t>Bachelor's</t>
        </is>
      </c>
      <c r="D1080" s="28" t="n">
        <v>0</v>
      </c>
      <c r="E1080" s="26" t="n">
        <v>93432</v>
      </c>
      <c r="F1080" s="15" t="inlineStr">
        <is>
          <t>2026-06-11</t>
        </is>
      </c>
    </row>
    <row r="1081" ht="26.75" customHeight="1" s="104">
      <c r="A1081" s="15" t="inlineStr">
        <is>
          <t>Saint Helena Unified School District</t>
        </is>
      </c>
      <c r="B1081" s="15" t="inlineStr">
        <is>
          <t>CA</t>
        </is>
      </c>
      <c r="C1081" s="15" t="inlineStr">
        <is>
          <t>Bachelor's</t>
        </is>
      </c>
      <c r="D1081" s="28" t="n">
        <v>1</v>
      </c>
      <c r="E1081" s="26" t="n">
        <v>100556</v>
      </c>
      <c r="F1081" s="15" t="inlineStr">
        <is>
          <t>2026-06-11</t>
        </is>
      </c>
    </row>
    <row r="1082" ht="26.75" customHeight="1" s="104">
      <c r="A1082" s="15" t="inlineStr">
        <is>
          <t>Saint Helena Unified School District</t>
        </is>
      </c>
      <c r="B1082" s="15" t="inlineStr">
        <is>
          <t>CA</t>
        </is>
      </c>
      <c r="C1082" s="15" t="inlineStr">
        <is>
          <t>Bachelor's</t>
        </is>
      </c>
      <c r="D1082" s="28" t="n">
        <v>2</v>
      </c>
      <c r="E1082" s="26" t="n">
        <v>103070</v>
      </c>
      <c r="F1082" s="15" t="inlineStr">
        <is>
          <t>2026-06-11</t>
        </is>
      </c>
    </row>
    <row r="1083" ht="26.75" customHeight="1" s="104">
      <c r="A1083" s="15" t="inlineStr">
        <is>
          <t>Saint Helena Unified School District</t>
        </is>
      </c>
      <c r="B1083" s="15" t="inlineStr">
        <is>
          <t>CA</t>
        </is>
      </c>
      <c r="C1083" s="15" t="inlineStr">
        <is>
          <t>Bachelor's</t>
        </is>
      </c>
      <c r="D1083" s="28" t="n">
        <v>3</v>
      </c>
      <c r="E1083" s="26" t="n">
        <v>105646</v>
      </c>
      <c r="F1083" s="15" t="inlineStr">
        <is>
          <t>2026-06-11</t>
        </is>
      </c>
    </row>
    <row r="1084" ht="26.75" customHeight="1" s="104">
      <c r="A1084" s="15" t="inlineStr">
        <is>
          <t>Saint Helena Unified School District</t>
        </is>
      </c>
      <c r="B1084" s="15" t="inlineStr">
        <is>
          <t>CA</t>
        </is>
      </c>
      <c r="C1084" s="15" t="inlineStr">
        <is>
          <t>Bachelor's</t>
        </is>
      </c>
      <c r="D1084" s="28" t="n">
        <v>4</v>
      </c>
      <c r="E1084" s="26" t="n">
        <v>108287</v>
      </c>
      <c r="F1084" s="15" t="inlineStr">
        <is>
          <t>2026-06-11</t>
        </is>
      </c>
    </row>
    <row r="1085" ht="26.75" customHeight="1" s="104">
      <c r="A1085" s="15" t="inlineStr">
        <is>
          <t>Saint Helena Unified School District</t>
        </is>
      </c>
      <c r="B1085" s="15" t="inlineStr">
        <is>
          <t>CA</t>
        </is>
      </c>
      <c r="C1085" s="15" t="inlineStr">
        <is>
          <t>Bachelor's</t>
        </is>
      </c>
      <c r="D1085" s="28" t="n">
        <v>5</v>
      </c>
      <c r="E1085" s="26" t="n">
        <v>110995</v>
      </c>
      <c r="F1085" s="15" t="inlineStr">
        <is>
          <t>2026-06-11</t>
        </is>
      </c>
    </row>
    <row r="1086" ht="26.75" customHeight="1" s="104">
      <c r="A1086" s="15" t="inlineStr">
        <is>
          <t>Saint Helena Unified School District</t>
        </is>
      </c>
      <c r="B1086" s="15" t="inlineStr">
        <is>
          <t>CA</t>
        </is>
      </c>
      <c r="C1086" s="15" t="inlineStr">
        <is>
          <t>Bachelor's</t>
        </is>
      </c>
      <c r="D1086" s="28" t="n">
        <v>6</v>
      </c>
      <c r="E1086" s="26" t="n">
        <v>113770</v>
      </c>
      <c r="F1086" s="15" t="inlineStr">
        <is>
          <t>2026-06-11</t>
        </is>
      </c>
    </row>
    <row r="1087" ht="26.75" customHeight="1" s="104">
      <c r="A1087" s="15" t="inlineStr">
        <is>
          <t>Saint Helena Unified School District</t>
        </is>
      </c>
      <c r="B1087" s="15" t="inlineStr">
        <is>
          <t>CA</t>
        </is>
      </c>
      <c r="C1087" s="15" t="inlineStr">
        <is>
          <t>Bachelor's</t>
        </is>
      </c>
      <c r="D1087" s="28" t="n">
        <v>7</v>
      </c>
      <c r="E1087" s="26" t="n">
        <v>116614</v>
      </c>
      <c r="F1087" s="15" t="inlineStr">
        <is>
          <t>2026-06-11</t>
        </is>
      </c>
    </row>
    <row r="1088" ht="26.75" customHeight="1" s="104">
      <c r="A1088" s="15" t="inlineStr">
        <is>
          <t>Saint Helena Unified School District</t>
        </is>
      </c>
      <c r="B1088" s="15" t="inlineStr">
        <is>
          <t>CA</t>
        </is>
      </c>
      <c r="C1088" s="15" t="inlineStr">
        <is>
          <t>Bachelor's</t>
        </is>
      </c>
      <c r="D1088" s="28" t="n">
        <v>8</v>
      </c>
      <c r="E1088" s="26" t="n">
        <v>119529</v>
      </c>
      <c r="F1088" s="15" t="inlineStr">
        <is>
          <t>2026-06-11</t>
        </is>
      </c>
    </row>
    <row r="1089" ht="26.75" customHeight="1" s="104">
      <c r="A1089" s="15" t="inlineStr">
        <is>
          <t>Saint Helena Unified School District</t>
        </is>
      </c>
      <c r="B1089" s="15" t="inlineStr">
        <is>
          <t>CA</t>
        </is>
      </c>
      <c r="C1089" s="15" t="inlineStr">
        <is>
          <t>Bachelor's</t>
        </is>
      </c>
      <c r="D1089" s="28" t="n">
        <v>9</v>
      </c>
      <c r="E1089" s="26" t="n">
        <v>122517</v>
      </c>
      <c r="F1089" s="15" t="inlineStr">
        <is>
          <t>2026-06-11</t>
        </is>
      </c>
    </row>
    <row r="1090" ht="26.75" customHeight="1" s="104">
      <c r="A1090" s="15" t="inlineStr">
        <is>
          <t>Saint Helena Unified School District</t>
        </is>
      </c>
      <c r="B1090" s="15" t="inlineStr">
        <is>
          <t>CA</t>
        </is>
      </c>
      <c r="C1090" s="15" t="inlineStr">
        <is>
          <t>Bachelor's</t>
        </is>
      </c>
      <c r="D1090" s="28" t="n">
        <v>10</v>
      </c>
      <c r="E1090" s="26" t="n">
        <v>125580</v>
      </c>
      <c r="F1090" s="15" t="inlineStr">
        <is>
          <t>2026-06-11</t>
        </is>
      </c>
    </row>
    <row r="1091" ht="26.75" customHeight="1" s="104">
      <c r="A1091" s="15" t="inlineStr">
        <is>
          <t>Saint Helena Unified School District</t>
        </is>
      </c>
      <c r="B1091" s="15" t="inlineStr">
        <is>
          <t>CA</t>
        </is>
      </c>
      <c r="C1091" s="15" t="inlineStr">
        <is>
          <t>Master's</t>
        </is>
      </c>
      <c r="D1091" s="28" t="n">
        <v>0</v>
      </c>
      <c r="E1091" s="26" t="n">
        <v>95786</v>
      </c>
      <c r="F1091" s="15" t="inlineStr">
        <is>
          <t>2026-06-11</t>
        </is>
      </c>
    </row>
    <row r="1092" ht="26.75" customHeight="1" s="104">
      <c r="A1092" s="15" t="inlineStr">
        <is>
          <t>Saint Helena Unified School District</t>
        </is>
      </c>
      <c r="B1092" s="15" t="inlineStr">
        <is>
          <t>CA</t>
        </is>
      </c>
      <c r="C1092" s="15" t="inlineStr">
        <is>
          <t>Master's</t>
        </is>
      </c>
      <c r="D1092" s="28" t="n">
        <v>1</v>
      </c>
      <c r="E1092" s="26" t="n">
        <v>102910</v>
      </c>
      <c r="F1092" s="15" t="inlineStr">
        <is>
          <t>2026-06-11</t>
        </is>
      </c>
    </row>
    <row r="1093" ht="26.75" customHeight="1" s="104">
      <c r="A1093" s="15" t="inlineStr">
        <is>
          <t>Saint Helena Unified School District</t>
        </is>
      </c>
      <c r="B1093" s="15" t="inlineStr">
        <is>
          <t>CA</t>
        </is>
      </c>
      <c r="C1093" s="15" t="inlineStr">
        <is>
          <t>Master's</t>
        </is>
      </c>
      <c r="D1093" s="28" t="n">
        <v>2</v>
      </c>
      <c r="E1093" s="26" t="n">
        <v>105424</v>
      </c>
      <c r="F1093" s="15" t="inlineStr">
        <is>
          <t>2026-06-11</t>
        </is>
      </c>
    </row>
    <row r="1094" ht="26.75" customHeight="1" s="104">
      <c r="A1094" s="15" t="inlineStr">
        <is>
          <t>Saint Helena Unified School District</t>
        </is>
      </c>
      <c r="B1094" s="15" t="inlineStr">
        <is>
          <t>CA</t>
        </is>
      </c>
      <c r="C1094" s="15" t="inlineStr">
        <is>
          <t>Master's</t>
        </is>
      </c>
      <c r="D1094" s="28" t="n">
        <v>3</v>
      </c>
      <c r="E1094" s="26" t="n">
        <v>108000</v>
      </c>
      <c r="F1094" s="15" t="inlineStr">
        <is>
          <t>2026-06-11</t>
        </is>
      </c>
    </row>
    <row r="1095" ht="26.75" customHeight="1" s="104">
      <c r="A1095" s="15" t="inlineStr">
        <is>
          <t>Saint Helena Unified School District</t>
        </is>
      </c>
      <c r="B1095" s="15" t="inlineStr">
        <is>
          <t>CA</t>
        </is>
      </c>
      <c r="C1095" s="15" t="inlineStr">
        <is>
          <t>Master's</t>
        </is>
      </c>
      <c r="D1095" s="28" t="n">
        <v>4</v>
      </c>
      <c r="E1095" s="26" t="n">
        <v>110641</v>
      </c>
      <c r="F1095" s="15" t="inlineStr">
        <is>
          <t>2026-06-11</t>
        </is>
      </c>
    </row>
    <row r="1096" ht="26.75" customHeight="1" s="104">
      <c r="A1096" s="15" t="inlineStr">
        <is>
          <t>Saint Helena Unified School District</t>
        </is>
      </c>
      <c r="B1096" s="15" t="inlineStr">
        <is>
          <t>CA</t>
        </is>
      </c>
      <c r="C1096" s="15" t="inlineStr">
        <is>
          <t>Master's</t>
        </is>
      </c>
      <c r="D1096" s="28" t="n">
        <v>5</v>
      </c>
      <c r="E1096" s="26" t="n">
        <v>113349</v>
      </c>
      <c r="F1096" s="15" t="inlineStr">
        <is>
          <t>2026-06-11</t>
        </is>
      </c>
    </row>
    <row r="1097" ht="26.75" customHeight="1" s="104">
      <c r="A1097" s="15" t="inlineStr">
        <is>
          <t>Saint Helena Unified School District</t>
        </is>
      </c>
      <c r="B1097" s="15" t="inlineStr">
        <is>
          <t>CA</t>
        </is>
      </c>
      <c r="C1097" s="15" t="inlineStr">
        <is>
          <t>Master's</t>
        </is>
      </c>
      <c r="D1097" s="28" t="n">
        <v>6</v>
      </c>
      <c r="E1097" s="26" t="n">
        <v>116124</v>
      </c>
      <c r="F1097" s="15" t="inlineStr">
        <is>
          <t>2026-06-11</t>
        </is>
      </c>
    </row>
    <row r="1098" ht="26.75" customHeight="1" s="104">
      <c r="A1098" s="15" t="inlineStr">
        <is>
          <t>Saint Helena Unified School District</t>
        </is>
      </c>
      <c r="B1098" s="15" t="inlineStr">
        <is>
          <t>CA</t>
        </is>
      </c>
      <c r="C1098" s="15" t="inlineStr">
        <is>
          <t>Master's</t>
        </is>
      </c>
      <c r="D1098" s="28" t="n">
        <v>7</v>
      </c>
      <c r="E1098" s="26" t="n">
        <v>118968</v>
      </c>
      <c r="F1098" s="15" t="inlineStr">
        <is>
          <t>2026-06-11</t>
        </is>
      </c>
    </row>
    <row r="1099" ht="26.75" customHeight="1" s="104">
      <c r="A1099" s="15" t="inlineStr">
        <is>
          <t>Saint Helena Unified School District</t>
        </is>
      </c>
      <c r="B1099" s="15" t="inlineStr">
        <is>
          <t>CA</t>
        </is>
      </c>
      <c r="C1099" s="15" t="inlineStr">
        <is>
          <t>Master's</t>
        </is>
      </c>
      <c r="D1099" s="28" t="n">
        <v>8</v>
      </c>
      <c r="E1099" s="26" t="n">
        <v>121883</v>
      </c>
      <c r="F1099" s="15" t="inlineStr">
        <is>
          <t>2026-06-11</t>
        </is>
      </c>
    </row>
    <row r="1100" ht="26.75" customHeight="1" s="104">
      <c r="A1100" s="15" t="inlineStr">
        <is>
          <t>Saint Helena Unified School District</t>
        </is>
      </c>
      <c r="B1100" s="15" t="inlineStr">
        <is>
          <t>CA</t>
        </is>
      </c>
      <c r="C1100" s="15" t="inlineStr">
        <is>
          <t>Master's</t>
        </is>
      </c>
      <c r="D1100" s="28" t="n">
        <v>9</v>
      </c>
      <c r="E1100" s="26" t="n">
        <v>124871</v>
      </c>
      <c r="F1100" s="15" t="inlineStr">
        <is>
          <t>2026-06-11</t>
        </is>
      </c>
    </row>
    <row r="1101" ht="26.75" customHeight="1" s="104">
      <c r="A1101" s="15" t="inlineStr">
        <is>
          <t>Saint Helena Unified School District</t>
        </is>
      </c>
      <c r="B1101" s="15" t="inlineStr">
        <is>
          <t>CA</t>
        </is>
      </c>
      <c r="C1101" s="15" t="inlineStr">
        <is>
          <t>Master's</t>
        </is>
      </c>
      <c r="D1101" s="28" t="n">
        <v>10</v>
      </c>
      <c r="E1101" s="26" t="n">
        <v>127934</v>
      </c>
      <c r="F1101" s="15" t="inlineStr">
        <is>
          <t>2026-06-11</t>
        </is>
      </c>
    </row>
    <row r="1102" ht="26.75" customHeight="1" s="104">
      <c r="A1102" s="15" t="inlineStr">
        <is>
          <t>Salt Lake School District</t>
        </is>
      </c>
      <c r="B1102" s="15" t="inlineStr">
        <is>
          <t>UT</t>
        </is>
      </c>
      <c r="C1102" s="15" t="inlineStr">
        <is>
          <t>Bachelor's</t>
        </is>
      </c>
      <c r="D1102" s="28" t="n">
        <v>0</v>
      </c>
      <c r="E1102" s="26" t="n">
        <v>62566</v>
      </c>
      <c r="F1102" s="15" t="inlineStr">
        <is>
          <t>2026-06-10</t>
        </is>
      </c>
    </row>
    <row r="1103" ht="26.75" customHeight="1" s="104">
      <c r="A1103" s="15" t="inlineStr">
        <is>
          <t>Salt Lake School District</t>
        </is>
      </c>
      <c r="B1103" s="15" t="inlineStr">
        <is>
          <t>UT</t>
        </is>
      </c>
      <c r="C1103" s="15" t="inlineStr">
        <is>
          <t>Bachelor's</t>
        </is>
      </c>
      <c r="D1103" s="28" t="n">
        <v>1</v>
      </c>
      <c r="E1103" s="26" t="n">
        <v>64785</v>
      </c>
      <c r="F1103" s="15" t="inlineStr">
        <is>
          <t>2026-06-10</t>
        </is>
      </c>
    </row>
    <row r="1104" ht="26.75" customHeight="1" s="104">
      <c r="A1104" s="15" t="inlineStr">
        <is>
          <t>Salt Lake School District</t>
        </is>
      </c>
      <c r="B1104" s="15" t="inlineStr">
        <is>
          <t>UT</t>
        </is>
      </c>
      <c r="C1104" s="15" t="inlineStr">
        <is>
          <t>Bachelor's</t>
        </is>
      </c>
      <c r="D1104" s="28" t="n">
        <v>2</v>
      </c>
      <c r="E1104" s="26" t="n">
        <v>67058</v>
      </c>
      <c r="F1104" s="15" t="inlineStr">
        <is>
          <t>2026-06-10</t>
        </is>
      </c>
    </row>
    <row r="1105" ht="26.75" customHeight="1" s="104">
      <c r="A1105" s="15" t="inlineStr">
        <is>
          <t>Salt Lake School District</t>
        </is>
      </c>
      <c r="B1105" s="15" t="inlineStr">
        <is>
          <t>UT</t>
        </is>
      </c>
      <c r="C1105" s="15" t="inlineStr">
        <is>
          <t>Bachelor's</t>
        </is>
      </c>
      <c r="D1105" s="28" t="n">
        <v>3</v>
      </c>
      <c r="E1105" s="26" t="n">
        <v>69410</v>
      </c>
      <c r="F1105" s="15" t="inlineStr">
        <is>
          <t>2026-06-10</t>
        </is>
      </c>
    </row>
    <row r="1106" ht="26.75" customHeight="1" s="104">
      <c r="A1106" s="15" t="inlineStr">
        <is>
          <t>Salt Lake School District</t>
        </is>
      </c>
      <c r="B1106" s="15" t="inlineStr">
        <is>
          <t>UT</t>
        </is>
      </c>
      <c r="C1106" s="15" t="inlineStr">
        <is>
          <t>Bachelor's</t>
        </is>
      </c>
      <c r="D1106" s="28" t="n">
        <v>4</v>
      </c>
      <c r="E1106" s="26" t="n">
        <v>71881</v>
      </c>
      <c r="F1106" s="15" t="inlineStr">
        <is>
          <t>2026-06-10</t>
        </is>
      </c>
    </row>
    <row r="1107" ht="26.75" customHeight="1" s="104">
      <c r="A1107" s="15" t="inlineStr">
        <is>
          <t>Salt Lake School District</t>
        </is>
      </c>
      <c r="B1107" s="15" t="inlineStr">
        <is>
          <t>UT</t>
        </is>
      </c>
      <c r="C1107" s="15" t="inlineStr">
        <is>
          <t>Bachelor's</t>
        </is>
      </c>
      <c r="D1107" s="28" t="n">
        <v>5</v>
      </c>
      <c r="E1107" s="26" t="n">
        <v>74460</v>
      </c>
      <c r="F1107" s="15" t="inlineStr">
        <is>
          <t>2026-06-10</t>
        </is>
      </c>
    </row>
    <row r="1108" ht="26.75" customHeight="1" s="104">
      <c r="A1108" s="15" t="inlineStr">
        <is>
          <t>Salt Lake School District</t>
        </is>
      </c>
      <c r="B1108" s="15" t="inlineStr">
        <is>
          <t>UT</t>
        </is>
      </c>
      <c r="C1108" s="15" t="inlineStr">
        <is>
          <t>Bachelor's</t>
        </is>
      </c>
      <c r="D1108" s="28" t="n">
        <v>6</v>
      </c>
      <c r="E1108" s="26" t="n">
        <v>74460</v>
      </c>
      <c r="F1108" s="15" t="inlineStr">
        <is>
          <t>2026-06-10</t>
        </is>
      </c>
    </row>
    <row r="1109" ht="26.75" customHeight="1" s="104">
      <c r="A1109" s="15" t="inlineStr">
        <is>
          <t>Salt Lake School District</t>
        </is>
      </c>
      <c r="B1109" s="15" t="inlineStr">
        <is>
          <t>UT</t>
        </is>
      </c>
      <c r="C1109" s="15" t="inlineStr">
        <is>
          <t>Bachelor's</t>
        </is>
      </c>
      <c r="D1109" s="28" t="n">
        <v>7</v>
      </c>
      <c r="E1109" s="26" t="n">
        <v>77077</v>
      </c>
      <c r="F1109" s="15" t="inlineStr">
        <is>
          <t>2026-06-10</t>
        </is>
      </c>
    </row>
    <row r="1110" ht="26.75" customHeight="1" s="104">
      <c r="A1110" s="15" t="inlineStr">
        <is>
          <t>Salt Lake School District</t>
        </is>
      </c>
      <c r="B1110" s="15" t="inlineStr">
        <is>
          <t>UT</t>
        </is>
      </c>
      <c r="C1110" s="15" t="inlineStr">
        <is>
          <t>Bachelor's</t>
        </is>
      </c>
      <c r="D1110" s="28" t="n">
        <v>8</v>
      </c>
      <c r="E1110" s="26" t="n">
        <v>77077</v>
      </c>
      <c r="F1110" s="15" t="inlineStr">
        <is>
          <t>2026-06-10</t>
        </is>
      </c>
    </row>
    <row r="1111" ht="26.75" customHeight="1" s="104">
      <c r="A1111" s="15" t="inlineStr">
        <is>
          <t>Salt Lake School District</t>
        </is>
      </c>
      <c r="B1111" s="15" t="inlineStr">
        <is>
          <t>UT</t>
        </is>
      </c>
      <c r="C1111" s="15" t="inlineStr">
        <is>
          <t>Bachelor's</t>
        </is>
      </c>
      <c r="D1111" s="28" t="n">
        <v>9</v>
      </c>
      <c r="E1111" s="26" t="n">
        <v>80826</v>
      </c>
      <c r="F1111" s="15" t="inlineStr">
        <is>
          <t>2026-06-10</t>
        </is>
      </c>
    </row>
    <row r="1112" ht="26.75" customHeight="1" s="104">
      <c r="A1112" s="15" t="inlineStr">
        <is>
          <t>Salt Lake School District</t>
        </is>
      </c>
      <c r="B1112" s="15" t="inlineStr">
        <is>
          <t>UT</t>
        </is>
      </c>
      <c r="C1112" s="15" t="inlineStr">
        <is>
          <t>Bachelor's</t>
        </is>
      </c>
      <c r="D1112" s="28" t="n">
        <v>10</v>
      </c>
      <c r="E1112" s="26" t="n">
        <v>80826</v>
      </c>
      <c r="F1112" s="15" t="inlineStr">
        <is>
          <t>2026-06-10</t>
        </is>
      </c>
    </row>
    <row r="1113" ht="26.75" customHeight="1" s="104">
      <c r="A1113" s="15" t="inlineStr">
        <is>
          <t>Salt Lake School District</t>
        </is>
      </c>
      <c r="B1113" s="15" t="inlineStr">
        <is>
          <t>UT</t>
        </is>
      </c>
      <c r="C1113" s="15" t="inlineStr">
        <is>
          <t>Master's</t>
        </is>
      </c>
      <c r="D1113" s="28" t="n">
        <v>0</v>
      </c>
      <c r="E1113" s="26" t="n">
        <v>68933</v>
      </c>
      <c r="F1113" s="15" t="inlineStr">
        <is>
          <t>2026-06-10</t>
        </is>
      </c>
    </row>
    <row r="1114" ht="26.75" customHeight="1" s="104">
      <c r="A1114" s="15" t="inlineStr">
        <is>
          <t>Salt Lake School District</t>
        </is>
      </c>
      <c r="B1114" s="15" t="inlineStr">
        <is>
          <t>UT</t>
        </is>
      </c>
      <c r="C1114" s="15" t="inlineStr">
        <is>
          <t>Master's</t>
        </is>
      </c>
      <c r="D1114" s="28" t="n">
        <v>1</v>
      </c>
      <c r="E1114" s="26" t="n">
        <v>71066</v>
      </c>
      <c r="F1114" s="15" t="inlineStr">
        <is>
          <t>2026-06-10</t>
        </is>
      </c>
    </row>
    <row r="1115" ht="26.75" customHeight="1" s="104">
      <c r="A1115" s="15" t="inlineStr">
        <is>
          <t>Salt Lake School District</t>
        </is>
      </c>
      <c r="B1115" s="15" t="inlineStr">
        <is>
          <t>UT</t>
        </is>
      </c>
      <c r="C1115" s="15" t="inlineStr">
        <is>
          <t>Master's</t>
        </is>
      </c>
      <c r="D1115" s="28" t="n">
        <v>2</v>
      </c>
      <c r="E1115" s="26" t="n">
        <v>73237</v>
      </c>
      <c r="F1115" s="15" t="inlineStr">
        <is>
          <t>2026-06-10</t>
        </is>
      </c>
    </row>
    <row r="1116" ht="26.75" customHeight="1" s="104">
      <c r="A1116" s="15" t="inlineStr">
        <is>
          <t>Salt Lake School District</t>
        </is>
      </c>
      <c r="B1116" s="15" t="inlineStr">
        <is>
          <t>UT</t>
        </is>
      </c>
      <c r="C1116" s="15" t="inlineStr">
        <is>
          <t>Master's</t>
        </is>
      </c>
      <c r="D1116" s="28" t="n">
        <v>3</v>
      </c>
      <c r="E1116" s="26" t="n">
        <v>75514</v>
      </c>
      <c r="F1116" s="15" t="inlineStr">
        <is>
          <t>2026-06-10</t>
        </is>
      </c>
    </row>
    <row r="1117" ht="26.75" customHeight="1" s="104">
      <c r="A1117" s="15" t="inlineStr">
        <is>
          <t>Salt Lake School District</t>
        </is>
      </c>
      <c r="B1117" s="15" t="inlineStr">
        <is>
          <t>UT</t>
        </is>
      </c>
      <c r="C1117" s="15" t="inlineStr">
        <is>
          <t>Master's</t>
        </is>
      </c>
      <c r="D1117" s="28" t="n">
        <v>4</v>
      </c>
      <c r="E1117" s="26" t="n">
        <v>77844</v>
      </c>
      <c r="F1117" s="15" t="inlineStr">
        <is>
          <t>2026-06-10</t>
        </is>
      </c>
    </row>
    <row r="1118" ht="26.75" customHeight="1" s="104">
      <c r="A1118" s="15" t="inlineStr">
        <is>
          <t>Salt Lake School District</t>
        </is>
      </c>
      <c r="B1118" s="15" t="inlineStr">
        <is>
          <t>UT</t>
        </is>
      </c>
      <c r="C1118" s="15" t="inlineStr">
        <is>
          <t>Master's</t>
        </is>
      </c>
      <c r="D1118" s="28" t="n">
        <v>5</v>
      </c>
      <c r="E1118" s="26" t="n">
        <v>80270</v>
      </c>
      <c r="F1118" s="15" t="inlineStr">
        <is>
          <t>2026-06-10</t>
        </is>
      </c>
    </row>
    <row r="1119" ht="26.75" customHeight="1" s="104">
      <c r="A1119" s="15" t="inlineStr">
        <is>
          <t>Salt Lake School District</t>
        </is>
      </c>
      <c r="B1119" s="15" t="inlineStr">
        <is>
          <t>UT</t>
        </is>
      </c>
      <c r="C1119" s="15" t="inlineStr">
        <is>
          <t>Master's</t>
        </is>
      </c>
      <c r="D1119" s="28" t="n">
        <v>6</v>
      </c>
      <c r="E1119" s="26" t="n">
        <v>80270</v>
      </c>
      <c r="F1119" s="15" t="inlineStr">
        <is>
          <t>2026-06-10</t>
        </is>
      </c>
    </row>
    <row r="1120" ht="26.75" customHeight="1" s="104">
      <c r="A1120" s="15" t="inlineStr">
        <is>
          <t>Salt Lake School District</t>
        </is>
      </c>
      <c r="B1120" s="15" t="inlineStr">
        <is>
          <t>UT</t>
        </is>
      </c>
      <c r="C1120" s="15" t="inlineStr">
        <is>
          <t>Master's</t>
        </is>
      </c>
      <c r="D1120" s="28" t="n">
        <v>7</v>
      </c>
      <c r="E1120" s="26" t="n">
        <v>82807</v>
      </c>
      <c r="F1120" s="15" t="inlineStr">
        <is>
          <t>2026-06-10</t>
        </is>
      </c>
    </row>
    <row r="1121" ht="26.75" customHeight="1" s="104">
      <c r="A1121" s="15" t="inlineStr">
        <is>
          <t>Salt Lake School District</t>
        </is>
      </c>
      <c r="B1121" s="15" t="inlineStr">
        <is>
          <t>UT</t>
        </is>
      </c>
      <c r="C1121" s="15" t="inlineStr">
        <is>
          <t>Master's</t>
        </is>
      </c>
      <c r="D1121" s="28" t="n">
        <v>8</v>
      </c>
      <c r="E1121" s="26" t="n">
        <v>82807</v>
      </c>
      <c r="F1121" s="15" t="inlineStr">
        <is>
          <t>2026-06-10</t>
        </is>
      </c>
    </row>
    <row r="1122" ht="26.75" customHeight="1" s="104">
      <c r="A1122" s="15" t="inlineStr">
        <is>
          <t>Salt Lake School District</t>
        </is>
      </c>
      <c r="B1122" s="15" t="inlineStr">
        <is>
          <t>UT</t>
        </is>
      </c>
      <c r="C1122" s="15" t="inlineStr">
        <is>
          <t>Master's</t>
        </is>
      </c>
      <c r="D1122" s="28" t="n">
        <v>9</v>
      </c>
      <c r="E1122" s="26" t="n">
        <v>85425</v>
      </c>
      <c r="F1122" s="15" t="inlineStr">
        <is>
          <t>2026-06-10</t>
        </is>
      </c>
    </row>
    <row r="1123" ht="26.75" customHeight="1" s="104">
      <c r="A1123" s="15" t="inlineStr">
        <is>
          <t>Salt Lake School District</t>
        </is>
      </c>
      <c r="B1123" s="15" t="inlineStr">
        <is>
          <t>UT</t>
        </is>
      </c>
      <c r="C1123" s="15" t="inlineStr">
        <is>
          <t>Master's</t>
        </is>
      </c>
      <c r="D1123" s="28" t="n">
        <v>10</v>
      </c>
      <c r="E1123" s="26" t="n">
        <v>85425</v>
      </c>
      <c r="F1123" s="15" t="inlineStr">
        <is>
          <t>2026-06-10</t>
        </is>
      </c>
    </row>
    <row r="1124" ht="26.75" customHeight="1" s="104">
      <c r="A1124" s="15" t="inlineStr">
        <is>
          <t>San Antonio ISD</t>
        </is>
      </c>
      <c r="B1124" s="15" t="inlineStr">
        <is>
          <t>TX</t>
        </is>
      </c>
      <c r="C1124" s="15" t="inlineStr">
        <is>
          <t>Bachelor's</t>
        </is>
      </c>
      <c r="D1124" s="28" t="n">
        <v>0</v>
      </c>
      <c r="E1124" s="26" t="n">
        <v>60000</v>
      </c>
      <c r="F1124" s="15" t="inlineStr">
        <is>
          <t>2026-06-10</t>
        </is>
      </c>
    </row>
    <row r="1125" ht="26.75" customHeight="1" s="104">
      <c r="A1125" s="15" t="inlineStr">
        <is>
          <t>San Antonio ISD</t>
        </is>
      </c>
      <c r="B1125" s="15" t="inlineStr">
        <is>
          <t>TX</t>
        </is>
      </c>
      <c r="C1125" s="15" t="inlineStr">
        <is>
          <t>Bachelor's</t>
        </is>
      </c>
      <c r="D1125" s="28" t="n">
        <v>1</v>
      </c>
      <c r="E1125" s="26" t="n">
        <v>60000</v>
      </c>
      <c r="F1125" s="15" t="inlineStr">
        <is>
          <t>2026-06-10</t>
        </is>
      </c>
    </row>
    <row r="1126" ht="26.75" customHeight="1" s="104">
      <c r="A1126" s="15" t="inlineStr">
        <is>
          <t>San Antonio ISD</t>
        </is>
      </c>
      <c r="B1126" s="15" t="inlineStr">
        <is>
          <t>TX</t>
        </is>
      </c>
      <c r="C1126" s="15" t="inlineStr">
        <is>
          <t>Bachelor's</t>
        </is>
      </c>
      <c r="D1126" s="28" t="n">
        <v>2</v>
      </c>
      <c r="E1126" s="26" t="n">
        <v>60152</v>
      </c>
      <c r="F1126" s="15" t="inlineStr">
        <is>
          <t>2026-06-10</t>
        </is>
      </c>
    </row>
    <row r="1127" ht="26.75" customHeight="1" s="104">
      <c r="A1127" s="15" t="inlineStr">
        <is>
          <t>San Antonio ISD</t>
        </is>
      </c>
      <c r="B1127" s="15" t="inlineStr">
        <is>
          <t>TX</t>
        </is>
      </c>
      <c r="C1127" s="15" t="inlineStr">
        <is>
          <t>Bachelor's</t>
        </is>
      </c>
      <c r="D1127" s="28" t="n">
        <v>3</v>
      </c>
      <c r="E1127" s="26" t="n">
        <v>61490</v>
      </c>
      <c r="F1127" s="15" t="inlineStr">
        <is>
          <t>2026-06-10</t>
        </is>
      </c>
    </row>
    <row r="1128" ht="26.75" customHeight="1" s="104">
      <c r="A1128" s="15" t="inlineStr">
        <is>
          <t>San Antonio ISD</t>
        </is>
      </c>
      <c r="B1128" s="15" t="inlineStr">
        <is>
          <t>TX</t>
        </is>
      </c>
      <c r="C1128" s="15" t="inlineStr">
        <is>
          <t>Bachelor's</t>
        </is>
      </c>
      <c r="D1128" s="28" t="n">
        <v>4</v>
      </c>
      <c r="E1128" s="26" t="n">
        <v>61490</v>
      </c>
      <c r="F1128" s="15" t="inlineStr">
        <is>
          <t>2026-06-10</t>
        </is>
      </c>
    </row>
    <row r="1129" ht="26.75" customHeight="1" s="104">
      <c r="A1129" s="15" t="inlineStr">
        <is>
          <t>San Antonio ISD</t>
        </is>
      </c>
      <c r="B1129" s="15" t="inlineStr">
        <is>
          <t>TX</t>
        </is>
      </c>
      <c r="C1129" s="15" t="inlineStr">
        <is>
          <t>Bachelor's</t>
        </is>
      </c>
      <c r="D1129" s="28" t="n">
        <v>5</v>
      </c>
      <c r="E1129" s="26" t="n">
        <v>64513</v>
      </c>
      <c r="F1129" s="15" t="inlineStr">
        <is>
          <t>2026-06-10</t>
        </is>
      </c>
    </row>
    <row r="1130" ht="26.75" customHeight="1" s="104">
      <c r="A1130" s="15" t="inlineStr">
        <is>
          <t>San Antonio ISD</t>
        </is>
      </c>
      <c r="B1130" s="15" t="inlineStr">
        <is>
          <t>TX</t>
        </is>
      </c>
      <c r="C1130" s="15" t="inlineStr">
        <is>
          <t>Bachelor's</t>
        </is>
      </c>
      <c r="D1130" s="28" t="n">
        <v>6</v>
      </c>
      <c r="E1130" s="26" t="n">
        <v>64513</v>
      </c>
      <c r="F1130" s="15" t="inlineStr">
        <is>
          <t>2026-06-10</t>
        </is>
      </c>
    </row>
    <row r="1131" ht="26.75" customHeight="1" s="104">
      <c r="A1131" s="15" t="inlineStr">
        <is>
          <t>San Antonio ISD</t>
        </is>
      </c>
      <c r="B1131" s="15" t="inlineStr">
        <is>
          <t>TX</t>
        </is>
      </c>
      <c r="C1131" s="15" t="inlineStr">
        <is>
          <t>Bachelor's</t>
        </is>
      </c>
      <c r="D1131" s="28" t="n">
        <v>7</v>
      </c>
      <c r="E1131" s="26" t="n">
        <v>64803</v>
      </c>
      <c r="F1131" s="15" t="inlineStr">
        <is>
          <t>2026-06-10</t>
        </is>
      </c>
    </row>
    <row r="1132" ht="26.75" customHeight="1" s="104">
      <c r="A1132" s="15" t="inlineStr">
        <is>
          <t>San Antonio ISD</t>
        </is>
      </c>
      <c r="B1132" s="15" t="inlineStr">
        <is>
          <t>TX</t>
        </is>
      </c>
      <c r="C1132" s="15" t="inlineStr">
        <is>
          <t>Bachelor's</t>
        </is>
      </c>
      <c r="D1132" s="28" t="n">
        <v>8</v>
      </c>
      <c r="E1132" s="26" t="n">
        <v>65093</v>
      </c>
      <c r="F1132" s="15" t="inlineStr">
        <is>
          <t>2026-06-10</t>
        </is>
      </c>
    </row>
    <row r="1133" ht="26.75" customHeight="1" s="104">
      <c r="A1133" s="15" t="inlineStr">
        <is>
          <t>San Antonio ISD</t>
        </is>
      </c>
      <c r="B1133" s="15" t="inlineStr">
        <is>
          <t>TX</t>
        </is>
      </c>
      <c r="C1133" s="15" t="inlineStr">
        <is>
          <t>Bachelor's</t>
        </is>
      </c>
      <c r="D1133" s="28" t="n">
        <v>9</v>
      </c>
      <c r="E1133" s="26" t="n">
        <v>65341</v>
      </c>
      <c r="F1133" s="15" t="inlineStr">
        <is>
          <t>2026-06-10</t>
        </is>
      </c>
    </row>
    <row r="1134" ht="26.75" customHeight="1" s="104">
      <c r="A1134" s="15" t="inlineStr">
        <is>
          <t>San Antonio ISD</t>
        </is>
      </c>
      <c r="B1134" s="15" t="inlineStr">
        <is>
          <t>TX</t>
        </is>
      </c>
      <c r="C1134" s="15" t="inlineStr">
        <is>
          <t>Bachelor's</t>
        </is>
      </c>
      <c r="D1134" s="28" t="n">
        <v>10</v>
      </c>
      <c r="E1134" s="26" t="n">
        <v>65590</v>
      </c>
      <c r="F1134" s="15" t="inlineStr">
        <is>
          <t>2026-06-10</t>
        </is>
      </c>
    </row>
    <row r="1135" ht="26.75" customHeight="1" s="104">
      <c r="A1135" s="15" t="inlineStr">
        <is>
          <t>San Antonio ISD</t>
        </is>
      </c>
      <c r="B1135" s="15" t="inlineStr">
        <is>
          <t>TX</t>
        </is>
      </c>
      <c r="C1135" s="15" t="inlineStr">
        <is>
          <t>Master's</t>
        </is>
      </c>
      <c r="D1135" s="28" t="n">
        <v>0</v>
      </c>
      <c r="E1135" s="26" t="n">
        <v>62000</v>
      </c>
      <c r="F1135" s="15" t="inlineStr">
        <is>
          <t>2026-06-10</t>
        </is>
      </c>
    </row>
    <row r="1136" ht="26.75" customHeight="1" s="104">
      <c r="A1136" s="15" t="inlineStr">
        <is>
          <t>San Antonio ISD</t>
        </is>
      </c>
      <c r="B1136" s="15" t="inlineStr">
        <is>
          <t>TX</t>
        </is>
      </c>
      <c r="C1136" s="15" t="inlineStr">
        <is>
          <t>Master's</t>
        </is>
      </c>
      <c r="D1136" s="28" t="n">
        <v>1</v>
      </c>
      <c r="E1136" s="26" t="n">
        <v>62000</v>
      </c>
      <c r="F1136" s="15" t="inlineStr">
        <is>
          <t>2026-06-10</t>
        </is>
      </c>
    </row>
    <row r="1137" ht="26.75" customHeight="1" s="104">
      <c r="A1137" s="15" t="inlineStr">
        <is>
          <t>San Antonio ISD</t>
        </is>
      </c>
      <c r="B1137" s="15" t="inlineStr">
        <is>
          <t>TX</t>
        </is>
      </c>
      <c r="C1137" s="15" t="inlineStr">
        <is>
          <t>Master's</t>
        </is>
      </c>
      <c r="D1137" s="28" t="n">
        <v>2</v>
      </c>
      <c r="E1137" s="26" t="n">
        <v>62152</v>
      </c>
      <c r="F1137" s="15" t="inlineStr">
        <is>
          <t>2026-06-10</t>
        </is>
      </c>
    </row>
    <row r="1138" ht="26.75" customHeight="1" s="104">
      <c r="A1138" s="15" t="inlineStr">
        <is>
          <t>San Antonio ISD</t>
        </is>
      </c>
      <c r="B1138" s="15" t="inlineStr">
        <is>
          <t>TX</t>
        </is>
      </c>
      <c r="C1138" s="15" t="inlineStr">
        <is>
          <t>Master's</t>
        </is>
      </c>
      <c r="D1138" s="28" t="n">
        <v>3</v>
      </c>
      <c r="E1138" s="26" t="n">
        <v>63490</v>
      </c>
      <c r="F1138" s="15" t="inlineStr">
        <is>
          <t>2026-06-10</t>
        </is>
      </c>
    </row>
    <row r="1139" ht="26.75" customHeight="1" s="104">
      <c r="A1139" s="15" t="inlineStr">
        <is>
          <t>San Antonio ISD</t>
        </is>
      </c>
      <c r="B1139" s="15" t="inlineStr">
        <is>
          <t>TX</t>
        </is>
      </c>
      <c r="C1139" s="15" t="inlineStr">
        <is>
          <t>Master's</t>
        </is>
      </c>
      <c r="D1139" s="28" t="n">
        <v>4</v>
      </c>
      <c r="E1139" s="26" t="n">
        <v>63490</v>
      </c>
      <c r="F1139" s="15" t="inlineStr">
        <is>
          <t>2026-06-10</t>
        </is>
      </c>
    </row>
    <row r="1140" ht="26.75" customHeight="1" s="104">
      <c r="A1140" s="15" t="inlineStr">
        <is>
          <t>San Antonio ISD</t>
        </is>
      </c>
      <c r="B1140" s="15" t="inlineStr">
        <is>
          <t>TX</t>
        </is>
      </c>
      <c r="C1140" s="15" t="inlineStr">
        <is>
          <t>Master's</t>
        </is>
      </c>
      <c r="D1140" s="28" t="n">
        <v>5</v>
      </c>
      <c r="E1140" s="26" t="n">
        <v>66513</v>
      </c>
      <c r="F1140" s="15" t="inlineStr">
        <is>
          <t>2026-06-10</t>
        </is>
      </c>
    </row>
    <row r="1141" ht="26.75" customHeight="1" s="104">
      <c r="A1141" s="15" t="inlineStr">
        <is>
          <t>San Antonio ISD</t>
        </is>
      </c>
      <c r="B1141" s="15" t="inlineStr">
        <is>
          <t>TX</t>
        </is>
      </c>
      <c r="C1141" s="15" t="inlineStr">
        <is>
          <t>Master's</t>
        </is>
      </c>
      <c r="D1141" s="28" t="n">
        <v>6</v>
      </c>
      <c r="E1141" s="26" t="n">
        <v>66513</v>
      </c>
      <c r="F1141" s="15" t="inlineStr">
        <is>
          <t>2026-06-10</t>
        </is>
      </c>
    </row>
    <row r="1142" ht="26.75" customHeight="1" s="104">
      <c r="A1142" s="15" t="inlineStr">
        <is>
          <t>San Antonio ISD</t>
        </is>
      </c>
      <c r="B1142" s="15" t="inlineStr">
        <is>
          <t>TX</t>
        </is>
      </c>
      <c r="C1142" s="15" t="inlineStr">
        <is>
          <t>Master's</t>
        </is>
      </c>
      <c r="D1142" s="28" t="n">
        <v>7</v>
      </c>
      <c r="E1142" s="26" t="n">
        <v>66803</v>
      </c>
      <c r="F1142" s="15" t="inlineStr">
        <is>
          <t>2026-06-10</t>
        </is>
      </c>
    </row>
    <row r="1143" ht="26.75" customHeight="1" s="104">
      <c r="A1143" s="15" t="inlineStr">
        <is>
          <t>San Antonio ISD</t>
        </is>
      </c>
      <c r="B1143" s="15" t="inlineStr">
        <is>
          <t>TX</t>
        </is>
      </c>
      <c r="C1143" s="15" t="inlineStr">
        <is>
          <t>Master's</t>
        </is>
      </c>
      <c r="D1143" s="28" t="n">
        <v>8</v>
      </c>
      <c r="E1143" s="26" t="n">
        <v>67093</v>
      </c>
      <c r="F1143" s="15" t="inlineStr">
        <is>
          <t>2026-06-10</t>
        </is>
      </c>
    </row>
    <row r="1144" ht="26.75" customHeight="1" s="104">
      <c r="A1144" s="15" t="inlineStr">
        <is>
          <t>San Antonio ISD</t>
        </is>
      </c>
      <c r="B1144" s="15" t="inlineStr">
        <is>
          <t>TX</t>
        </is>
      </c>
      <c r="C1144" s="15" t="inlineStr">
        <is>
          <t>Master's</t>
        </is>
      </c>
      <c r="D1144" s="28" t="n">
        <v>9</v>
      </c>
      <c r="E1144" s="26" t="n">
        <v>67341</v>
      </c>
      <c r="F1144" s="15" t="inlineStr">
        <is>
          <t>2026-06-10</t>
        </is>
      </c>
    </row>
    <row r="1145" ht="26.75" customHeight="1" s="104">
      <c r="A1145" s="15" t="inlineStr">
        <is>
          <t>San Antonio ISD</t>
        </is>
      </c>
      <c r="B1145" s="15" t="inlineStr">
        <is>
          <t>TX</t>
        </is>
      </c>
      <c r="C1145" s="15" t="inlineStr">
        <is>
          <t>Master's</t>
        </is>
      </c>
      <c r="D1145" s="28" t="n">
        <v>10</v>
      </c>
      <c r="E1145" s="26" t="n">
        <v>67590</v>
      </c>
      <c r="F1145" s="15" t="inlineStr">
        <is>
          <t>2026-06-10</t>
        </is>
      </c>
    </row>
    <row r="1146" ht="26.75" customHeight="1" s="104">
      <c r="A1146" s="15" t="inlineStr">
        <is>
          <t>San Diego Unified School District</t>
        </is>
      </c>
      <c r="B1146" s="15" t="inlineStr">
        <is>
          <t>CA</t>
        </is>
      </c>
      <c r="C1146" s="15" t="inlineStr">
        <is>
          <t>Bachelor's</t>
        </is>
      </c>
      <c r="D1146" s="28" t="n">
        <v>0</v>
      </c>
      <c r="E1146" s="26" t="n">
        <v>59490.98</v>
      </c>
      <c r="F1146" s="15" t="inlineStr">
        <is>
          <t>2026-06-10</t>
        </is>
      </c>
    </row>
    <row r="1147" ht="26.75" customHeight="1" s="104">
      <c r="A1147" s="15" t="inlineStr">
        <is>
          <t>San Diego Unified School District</t>
        </is>
      </c>
      <c r="B1147" s="15" t="inlineStr">
        <is>
          <t>CA</t>
        </is>
      </c>
      <c r="C1147" s="15" t="inlineStr">
        <is>
          <t>Bachelor's</t>
        </is>
      </c>
      <c r="D1147" s="28" t="n">
        <v>1</v>
      </c>
      <c r="E1147" s="26" t="n">
        <v>59490.98</v>
      </c>
      <c r="F1147" s="15" t="inlineStr">
        <is>
          <t>2026-06-10</t>
        </is>
      </c>
    </row>
    <row r="1148" ht="26.75" customHeight="1" s="104">
      <c r="A1148" s="15" t="inlineStr">
        <is>
          <t>San Diego Unified School District</t>
        </is>
      </c>
      <c r="B1148" s="15" t="inlineStr">
        <is>
          <t>CA</t>
        </is>
      </c>
      <c r="C1148" s="15" t="inlineStr">
        <is>
          <t>Bachelor's</t>
        </is>
      </c>
      <c r="D1148" s="28" t="n">
        <v>2</v>
      </c>
      <c r="E1148" s="26" t="n">
        <v>61724</v>
      </c>
      <c r="F1148" s="15" t="inlineStr">
        <is>
          <t>2026-06-10</t>
        </is>
      </c>
    </row>
    <row r="1149" ht="26.75" customHeight="1" s="104">
      <c r="A1149" s="15" t="inlineStr">
        <is>
          <t>San Diego Unified School District</t>
        </is>
      </c>
      <c r="B1149" s="15" t="inlineStr">
        <is>
          <t>CA</t>
        </is>
      </c>
      <c r="C1149" s="15" t="inlineStr">
        <is>
          <t>Bachelor's</t>
        </is>
      </c>
      <c r="D1149" s="28" t="n">
        <v>3</v>
      </c>
      <c r="E1149" s="26" t="n">
        <v>64048</v>
      </c>
      <c r="F1149" s="15" t="inlineStr">
        <is>
          <t>2026-06-10</t>
        </is>
      </c>
    </row>
    <row r="1150" ht="26.75" customHeight="1" s="104">
      <c r="A1150" s="15" t="inlineStr">
        <is>
          <t>San Diego Unified School District</t>
        </is>
      </c>
      <c r="B1150" s="15" t="inlineStr">
        <is>
          <t>CA</t>
        </is>
      </c>
      <c r="C1150" s="15" t="inlineStr">
        <is>
          <t>Bachelor's</t>
        </is>
      </c>
      <c r="D1150" s="28" t="n">
        <v>4</v>
      </c>
      <c r="E1150" s="26" t="n">
        <v>66467</v>
      </c>
      <c r="F1150" s="15" t="inlineStr">
        <is>
          <t>2026-06-10</t>
        </is>
      </c>
    </row>
    <row r="1151" ht="26.75" customHeight="1" s="104">
      <c r="A1151" s="15" t="inlineStr">
        <is>
          <t>San Diego Unified School District</t>
        </is>
      </c>
      <c r="B1151" s="15" t="inlineStr">
        <is>
          <t>CA</t>
        </is>
      </c>
      <c r="C1151" s="15" t="inlineStr">
        <is>
          <t>Bachelor's</t>
        </is>
      </c>
      <c r="D1151" s="28" t="n">
        <v>5</v>
      </c>
      <c r="E1151" s="26" t="n">
        <v>68980</v>
      </c>
      <c r="F1151" s="15" t="inlineStr">
        <is>
          <t>2026-06-10</t>
        </is>
      </c>
    </row>
    <row r="1152" ht="26.75" customHeight="1" s="104">
      <c r="A1152" s="15" t="inlineStr">
        <is>
          <t>San Diego Unified School District</t>
        </is>
      </c>
      <c r="B1152" s="15" t="inlineStr">
        <is>
          <t>CA</t>
        </is>
      </c>
      <c r="C1152" s="15" t="inlineStr">
        <is>
          <t>Bachelor's</t>
        </is>
      </c>
      <c r="D1152" s="28" t="n">
        <v>6</v>
      </c>
      <c r="E1152" s="26" t="n">
        <v>71594</v>
      </c>
      <c r="F1152" s="15" t="inlineStr">
        <is>
          <t>2026-06-10</t>
        </is>
      </c>
    </row>
    <row r="1153" ht="26.75" customHeight="1" s="104">
      <c r="A1153" s="15" t="inlineStr">
        <is>
          <t>San Diego Unified School District</t>
        </is>
      </c>
      <c r="B1153" s="15" t="inlineStr">
        <is>
          <t>CA</t>
        </is>
      </c>
      <c r="C1153" s="15" t="inlineStr">
        <is>
          <t>Bachelor's</t>
        </is>
      </c>
      <c r="D1153" s="28" t="n">
        <v>7</v>
      </c>
      <c r="E1153" s="26" t="n">
        <v>74314</v>
      </c>
      <c r="F1153" s="15" t="inlineStr">
        <is>
          <t>2026-06-10</t>
        </is>
      </c>
    </row>
    <row r="1154" ht="26.75" customHeight="1" s="104">
      <c r="A1154" s="15" t="inlineStr">
        <is>
          <t>San Diego Unified School District</t>
        </is>
      </c>
      <c r="B1154" s="15" t="inlineStr">
        <is>
          <t>CA</t>
        </is>
      </c>
      <c r="C1154" s="15" t="inlineStr">
        <is>
          <t>Bachelor's</t>
        </is>
      </c>
      <c r="D1154" s="28" t="n">
        <v>8</v>
      </c>
      <c r="E1154" s="26" t="n">
        <v>77141</v>
      </c>
      <c r="F1154" s="15" t="inlineStr">
        <is>
          <t>2026-06-10</t>
        </is>
      </c>
    </row>
    <row r="1155" ht="26.75" customHeight="1" s="104">
      <c r="A1155" s="15" t="inlineStr">
        <is>
          <t>San Diego Unified School District</t>
        </is>
      </c>
      <c r="B1155" s="15" t="inlineStr">
        <is>
          <t>CA</t>
        </is>
      </c>
      <c r="C1155" s="15" t="inlineStr">
        <is>
          <t>Bachelor's</t>
        </is>
      </c>
      <c r="D1155" s="28" t="n">
        <v>9</v>
      </c>
      <c r="E1155" s="26" t="n">
        <v>80078</v>
      </c>
      <c r="F1155" s="15" t="inlineStr">
        <is>
          <t>2026-06-10</t>
        </is>
      </c>
    </row>
    <row r="1156" ht="26.75" customHeight="1" s="104">
      <c r="A1156" s="15" t="inlineStr">
        <is>
          <t>San Diego Unified School District</t>
        </is>
      </c>
      <c r="B1156" s="15" t="inlineStr">
        <is>
          <t>CA</t>
        </is>
      </c>
      <c r="C1156" s="15" t="inlineStr">
        <is>
          <t>Bachelor's</t>
        </is>
      </c>
      <c r="D1156" s="28" t="n">
        <v>10</v>
      </c>
      <c r="E1156" s="26" t="n">
        <v>83135</v>
      </c>
      <c r="F1156" s="15" t="inlineStr">
        <is>
          <t>2026-06-10</t>
        </is>
      </c>
    </row>
    <row r="1157" ht="26.75" customHeight="1" s="104">
      <c r="A1157" s="15" t="inlineStr">
        <is>
          <t>San Diego Unified School District</t>
        </is>
      </c>
      <c r="B1157" s="15" t="inlineStr">
        <is>
          <t>CA</t>
        </is>
      </c>
      <c r="C1157" s="15" t="inlineStr">
        <is>
          <t>Master's</t>
        </is>
      </c>
      <c r="D1157" s="28" t="n">
        <v>0</v>
      </c>
      <c r="E1157" s="26" t="n">
        <v>63121</v>
      </c>
      <c r="F1157" s="15" t="inlineStr">
        <is>
          <t>2026-06-10</t>
        </is>
      </c>
    </row>
    <row r="1158" ht="26.75" customHeight="1" s="104">
      <c r="A1158" s="15" t="inlineStr">
        <is>
          <t>San Diego Unified School District</t>
        </is>
      </c>
      <c r="B1158" s="15" t="inlineStr">
        <is>
          <t>CA</t>
        </is>
      </c>
      <c r="C1158" s="15" t="inlineStr">
        <is>
          <t>Master's</t>
        </is>
      </c>
      <c r="D1158" s="28" t="n">
        <v>1</v>
      </c>
      <c r="E1158" s="26" t="n">
        <v>63121</v>
      </c>
      <c r="F1158" s="15" t="inlineStr">
        <is>
          <t>2026-06-10</t>
        </is>
      </c>
    </row>
    <row r="1159" ht="26.75" customHeight="1" s="104">
      <c r="A1159" s="15" t="inlineStr">
        <is>
          <t>San Diego Unified School District</t>
        </is>
      </c>
      <c r="B1159" s="15" t="inlineStr">
        <is>
          <t>CA</t>
        </is>
      </c>
      <c r="C1159" s="15" t="inlineStr">
        <is>
          <t>Master's</t>
        </is>
      </c>
      <c r="D1159" s="28" t="n">
        <v>2</v>
      </c>
      <c r="E1159" s="26" t="n">
        <v>65356</v>
      </c>
      <c r="F1159" s="15" t="inlineStr">
        <is>
          <t>2026-06-10</t>
        </is>
      </c>
    </row>
    <row r="1160" ht="26.75" customHeight="1" s="104">
      <c r="A1160" s="15" t="inlineStr">
        <is>
          <t>San Diego Unified School District</t>
        </is>
      </c>
      <c r="B1160" s="15" t="inlineStr">
        <is>
          <t>CA</t>
        </is>
      </c>
      <c r="C1160" s="15" t="inlineStr">
        <is>
          <t>Master's</t>
        </is>
      </c>
      <c r="D1160" s="28" t="n">
        <v>3</v>
      </c>
      <c r="E1160" s="26" t="n">
        <v>67678</v>
      </c>
      <c r="F1160" s="15" t="inlineStr">
        <is>
          <t>2026-06-10</t>
        </is>
      </c>
    </row>
    <row r="1161" ht="26.75" customHeight="1" s="104">
      <c r="A1161" s="15" t="inlineStr">
        <is>
          <t>San Diego Unified School District</t>
        </is>
      </c>
      <c r="B1161" s="15" t="inlineStr">
        <is>
          <t>CA</t>
        </is>
      </c>
      <c r="C1161" s="15" t="inlineStr">
        <is>
          <t>Master's</t>
        </is>
      </c>
      <c r="D1161" s="28" t="n">
        <v>4</v>
      </c>
      <c r="E1161" s="26" t="n">
        <v>70098</v>
      </c>
      <c r="F1161" s="15" t="inlineStr">
        <is>
          <t>2026-06-10</t>
        </is>
      </c>
    </row>
    <row r="1162" ht="26.75" customHeight="1" s="104">
      <c r="A1162" s="15" t="inlineStr">
        <is>
          <t>San Diego Unified School District</t>
        </is>
      </c>
      <c r="B1162" s="15" t="inlineStr">
        <is>
          <t>CA</t>
        </is>
      </c>
      <c r="C1162" s="15" t="inlineStr">
        <is>
          <t>Master's</t>
        </is>
      </c>
      <c r="D1162" s="28" t="n">
        <v>5</v>
      </c>
      <c r="E1162" s="26" t="n">
        <v>72610</v>
      </c>
      <c r="F1162" s="15" t="inlineStr">
        <is>
          <t>2026-06-10</t>
        </is>
      </c>
    </row>
    <row r="1163" ht="26.75" customHeight="1" s="104">
      <c r="A1163" s="15" t="inlineStr">
        <is>
          <t>San Diego Unified School District</t>
        </is>
      </c>
      <c r="B1163" s="15" t="inlineStr">
        <is>
          <t>CA</t>
        </is>
      </c>
      <c r="C1163" s="15" t="inlineStr">
        <is>
          <t>Master's</t>
        </is>
      </c>
      <c r="D1163" s="28" t="n">
        <v>6</v>
      </c>
      <c r="E1163" s="26" t="n">
        <v>75225</v>
      </c>
      <c r="F1163" s="15" t="inlineStr">
        <is>
          <t>2026-06-10</t>
        </is>
      </c>
    </row>
    <row r="1164" ht="26.75" customHeight="1" s="104">
      <c r="A1164" s="15" t="inlineStr">
        <is>
          <t>San Diego Unified School District</t>
        </is>
      </c>
      <c r="B1164" s="15" t="inlineStr">
        <is>
          <t>CA</t>
        </is>
      </c>
      <c r="C1164" s="15" t="inlineStr">
        <is>
          <t>Master's</t>
        </is>
      </c>
      <c r="D1164" s="28" t="n">
        <v>7</v>
      </c>
      <c r="E1164" s="26" t="n">
        <v>77946</v>
      </c>
      <c r="F1164" s="15" t="inlineStr">
        <is>
          <t>2026-06-10</t>
        </is>
      </c>
    </row>
    <row r="1165" ht="26.75" customHeight="1" s="104">
      <c r="A1165" s="15" t="inlineStr">
        <is>
          <t>San Diego Unified School District</t>
        </is>
      </c>
      <c r="B1165" s="15" t="inlineStr">
        <is>
          <t>CA</t>
        </is>
      </c>
      <c r="C1165" s="15" t="inlineStr">
        <is>
          <t>Master's</t>
        </is>
      </c>
      <c r="D1165" s="28" t="n">
        <v>8</v>
      </c>
      <c r="E1165" s="26" t="n">
        <v>80773</v>
      </c>
      <c r="F1165" s="15" t="inlineStr">
        <is>
          <t>2026-06-10</t>
        </is>
      </c>
    </row>
    <row r="1166" ht="26.75" customHeight="1" s="104">
      <c r="A1166" s="15" t="inlineStr">
        <is>
          <t>San Diego Unified School District</t>
        </is>
      </c>
      <c r="B1166" s="15" t="inlineStr">
        <is>
          <t>CA</t>
        </is>
      </c>
      <c r="C1166" s="15" t="inlineStr">
        <is>
          <t>Master's</t>
        </is>
      </c>
      <c r="D1166" s="28" t="n">
        <v>9</v>
      </c>
      <c r="E1166" s="26" t="n">
        <v>83710</v>
      </c>
      <c r="F1166" s="15" t="inlineStr">
        <is>
          <t>2026-06-10</t>
        </is>
      </c>
    </row>
    <row r="1167" ht="26.75" customHeight="1" s="104">
      <c r="A1167" s="15" t="inlineStr">
        <is>
          <t>San Diego Unified School District</t>
        </is>
      </c>
      <c r="B1167" s="15" t="inlineStr">
        <is>
          <t>CA</t>
        </is>
      </c>
      <c r="C1167" s="15" t="inlineStr">
        <is>
          <t>Master's</t>
        </is>
      </c>
      <c r="D1167" s="28" t="n">
        <v>10</v>
      </c>
      <c r="E1167" s="26" t="n">
        <v>86765</v>
      </c>
      <c r="F1167" s="15" t="inlineStr">
        <is>
          <t>2026-06-10</t>
        </is>
      </c>
    </row>
    <row r="1168" ht="26.75" customHeight="1" s="104">
      <c r="A1168" s="15" t="inlineStr">
        <is>
          <t>San Jose Unified School District</t>
        </is>
      </c>
      <c r="B1168" s="15" t="inlineStr">
        <is>
          <t>CA</t>
        </is>
      </c>
      <c r="C1168" s="15" t="inlineStr">
        <is>
          <t>Bachelor's</t>
        </is>
      </c>
      <c r="D1168" s="28" t="n">
        <v>0</v>
      </c>
      <c r="E1168" s="26" t="n">
        <v>72051</v>
      </c>
      <c r="F1168" s="15" t="inlineStr">
        <is>
          <t>2026-06-10</t>
        </is>
      </c>
    </row>
    <row r="1169" ht="26.75" customHeight="1" s="104">
      <c r="A1169" s="15" t="inlineStr">
        <is>
          <t>San Jose Unified School District</t>
        </is>
      </c>
      <c r="B1169" s="15" t="inlineStr">
        <is>
          <t>CA</t>
        </is>
      </c>
      <c r="C1169" s="15" t="inlineStr">
        <is>
          <t>Bachelor's</t>
        </is>
      </c>
      <c r="D1169" s="28" t="n">
        <v>1</v>
      </c>
      <c r="E1169" s="26" t="n">
        <v>72051</v>
      </c>
      <c r="F1169" s="15" t="inlineStr">
        <is>
          <t>2026-06-10</t>
        </is>
      </c>
    </row>
    <row r="1170" ht="26.75" customHeight="1" s="104">
      <c r="A1170" s="15" t="inlineStr">
        <is>
          <t>San Jose Unified School District</t>
        </is>
      </c>
      <c r="B1170" s="15" t="inlineStr">
        <is>
          <t>CA</t>
        </is>
      </c>
      <c r="C1170" s="15" t="inlineStr">
        <is>
          <t>Bachelor's</t>
        </is>
      </c>
      <c r="D1170" s="28" t="n">
        <v>2</v>
      </c>
      <c r="E1170" s="26" t="n">
        <v>75602</v>
      </c>
      <c r="F1170" s="15" t="inlineStr">
        <is>
          <t>2026-06-10</t>
        </is>
      </c>
    </row>
    <row r="1171" ht="26.75" customHeight="1" s="104">
      <c r="A1171" s="15" t="inlineStr">
        <is>
          <t>San Jose Unified School District</t>
        </is>
      </c>
      <c r="B1171" s="15" t="inlineStr">
        <is>
          <t>CA</t>
        </is>
      </c>
      <c r="C1171" s="15" t="inlineStr">
        <is>
          <t>Bachelor's</t>
        </is>
      </c>
      <c r="D1171" s="28" t="n">
        <v>3</v>
      </c>
      <c r="E1171" s="26" t="n">
        <v>79153</v>
      </c>
      <c r="F1171" s="15" t="inlineStr">
        <is>
          <t>2026-06-10</t>
        </is>
      </c>
    </row>
    <row r="1172" ht="26.75" customHeight="1" s="104">
      <c r="A1172" s="15" t="inlineStr">
        <is>
          <t>San Jose Unified School District</t>
        </is>
      </c>
      <c r="B1172" s="15" t="inlineStr">
        <is>
          <t>CA</t>
        </is>
      </c>
      <c r="C1172" s="15" t="inlineStr">
        <is>
          <t>Bachelor's</t>
        </is>
      </c>
      <c r="D1172" s="28" t="n">
        <v>4</v>
      </c>
      <c r="E1172" s="26" t="n">
        <v>82704</v>
      </c>
      <c r="F1172" s="15" t="inlineStr">
        <is>
          <t>2026-06-10</t>
        </is>
      </c>
    </row>
    <row r="1173" ht="26.75" customHeight="1" s="104">
      <c r="A1173" s="15" t="inlineStr">
        <is>
          <t>San Jose Unified School District</t>
        </is>
      </c>
      <c r="B1173" s="15" t="inlineStr">
        <is>
          <t>CA</t>
        </is>
      </c>
      <c r="C1173" s="15" t="inlineStr">
        <is>
          <t>Bachelor's</t>
        </is>
      </c>
      <c r="D1173" s="28" t="n">
        <v>5</v>
      </c>
      <c r="E1173" s="26" t="n">
        <v>86255</v>
      </c>
      <c r="F1173" s="15" t="inlineStr">
        <is>
          <t>2026-06-10</t>
        </is>
      </c>
    </row>
    <row r="1174" ht="26.75" customHeight="1" s="104">
      <c r="A1174" s="15" t="inlineStr">
        <is>
          <t>San Jose Unified School District</t>
        </is>
      </c>
      <c r="B1174" s="15" t="inlineStr">
        <is>
          <t>CA</t>
        </is>
      </c>
      <c r="C1174" s="15" t="inlineStr">
        <is>
          <t>Bachelor's</t>
        </is>
      </c>
      <c r="D1174" s="28" t="n">
        <v>6</v>
      </c>
      <c r="E1174" s="26" t="n">
        <v>89806</v>
      </c>
      <c r="F1174" s="15" t="inlineStr">
        <is>
          <t>2026-06-10</t>
        </is>
      </c>
    </row>
    <row r="1175" ht="26.75" customHeight="1" s="104">
      <c r="A1175" s="15" t="inlineStr">
        <is>
          <t>San Jose Unified School District</t>
        </is>
      </c>
      <c r="B1175" s="15" t="inlineStr">
        <is>
          <t>CA</t>
        </is>
      </c>
      <c r="C1175" s="15" t="inlineStr">
        <is>
          <t>Bachelor's</t>
        </is>
      </c>
      <c r="D1175" s="28" t="n">
        <v>7</v>
      </c>
      <c r="E1175" s="26" t="n">
        <v>93358</v>
      </c>
      <c r="F1175" s="15" t="inlineStr">
        <is>
          <t>2026-06-10</t>
        </is>
      </c>
    </row>
    <row r="1176" ht="26.75" customHeight="1" s="104">
      <c r="A1176" s="15" t="inlineStr">
        <is>
          <t>San Jose Unified School District</t>
        </is>
      </c>
      <c r="B1176" s="15" t="inlineStr">
        <is>
          <t>CA</t>
        </is>
      </c>
      <c r="C1176" s="15" t="inlineStr">
        <is>
          <t>Bachelor's</t>
        </is>
      </c>
      <c r="D1176" s="28" t="n">
        <v>8</v>
      </c>
      <c r="E1176" s="26" t="n">
        <v>96909</v>
      </c>
      <c r="F1176" s="15" t="inlineStr">
        <is>
          <t>2026-06-10</t>
        </is>
      </c>
    </row>
    <row r="1177" ht="26.75" customHeight="1" s="104">
      <c r="A1177" s="15" t="inlineStr">
        <is>
          <t>San Jose Unified School District</t>
        </is>
      </c>
      <c r="B1177" s="15" t="inlineStr">
        <is>
          <t>CA</t>
        </is>
      </c>
      <c r="C1177" s="15" t="inlineStr">
        <is>
          <t>Bachelor's</t>
        </is>
      </c>
      <c r="D1177" s="28" t="n">
        <v>9</v>
      </c>
      <c r="E1177" s="26" t="n">
        <v>100460</v>
      </c>
      <c r="F1177" s="15" t="inlineStr">
        <is>
          <t>2026-06-10</t>
        </is>
      </c>
    </row>
    <row r="1178" ht="26.75" customHeight="1" s="104">
      <c r="A1178" s="15" t="inlineStr">
        <is>
          <t>San Jose Unified School District</t>
        </is>
      </c>
      <c r="B1178" s="15" t="inlineStr">
        <is>
          <t>CA</t>
        </is>
      </c>
      <c r="C1178" s="15" t="inlineStr">
        <is>
          <t>Bachelor's</t>
        </is>
      </c>
      <c r="D1178" s="28" t="n">
        <v>10</v>
      </c>
      <c r="E1178" s="26" t="n">
        <v>104011</v>
      </c>
      <c r="F1178" s="15" t="inlineStr">
        <is>
          <t>2026-06-10</t>
        </is>
      </c>
    </row>
    <row r="1179" ht="26.75" customHeight="1" s="104">
      <c r="A1179" s="15" t="inlineStr">
        <is>
          <t>San Jose Unified School District</t>
        </is>
      </c>
      <c r="B1179" s="15" t="inlineStr">
        <is>
          <t>CA</t>
        </is>
      </c>
      <c r="C1179" s="15" t="inlineStr">
        <is>
          <t>Master's</t>
        </is>
      </c>
      <c r="D1179" s="28" t="n">
        <v>0</v>
      </c>
      <c r="E1179" s="26" t="n">
        <v>75051</v>
      </c>
      <c r="F1179" s="15" t="inlineStr">
        <is>
          <t>2026-06-10</t>
        </is>
      </c>
    </row>
    <row r="1180" ht="26.75" customHeight="1" s="104">
      <c r="A1180" s="15" t="inlineStr">
        <is>
          <t>San Jose Unified School District</t>
        </is>
      </c>
      <c r="B1180" s="15" t="inlineStr">
        <is>
          <t>CA</t>
        </is>
      </c>
      <c r="C1180" s="15" t="inlineStr">
        <is>
          <t>Master's</t>
        </is>
      </c>
      <c r="D1180" s="28" t="n">
        <v>1</v>
      </c>
      <c r="E1180" s="26" t="n">
        <v>75051</v>
      </c>
      <c r="F1180" s="15" t="inlineStr">
        <is>
          <t>2026-06-10</t>
        </is>
      </c>
    </row>
    <row r="1181" ht="26.75" customHeight="1" s="104">
      <c r="A1181" s="15" t="inlineStr">
        <is>
          <t>San Jose Unified School District</t>
        </is>
      </c>
      <c r="B1181" s="15" t="inlineStr">
        <is>
          <t>CA</t>
        </is>
      </c>
      <c r="C1181" s="15" t="inlineStr">
        <is>
          <t>Master's</t>
        </is>
      </c>
      <c r="D1181" s="28" t="n">
        <v>2</v>
      </c>
      <c r="E1181" s="26" t="n">
        <v>78602</v>
      </c>
      <c r="F1181" s="15" t="inlineStr">
        <is>
          <t>2026-06-10</t>
        </is>
      </c>
    </row>
    <row r="1182" ht="26.75" customHeight="1" s="104">
      <c r="A1182" s="15" t="inlineStr">
        <is>
          <t>San Jose Unified School District</t>
        </is>
      </c>
      <c r="B1182" s="15" t="inlineStr">
        <is>
          <t>CA</t>
        </is>
      </c>
      <c r="C1182" s="15" t="inlineStr">
        <is>
          <t>Master's</t>
        </is>
      </c>
      <c r="D1182" s="28" t="n">
        <v>3</v>
      </c>
      <c r="E1182" s="26" t="n">
        <v>82153</v>
      </c>
      <c r="F1182" s="15" t="inlineStr">
        <is>
          <t>2026-06-10</t>
        </is>
      </c>
    </row>
    <row r="1183" ht="26.75" customHeight="1" s="104">
      <c r="A1183" s="15" t="inlineStr">
        <is>
          <t>San Jose Unified School District</t>
        </is>
      </c>
      <c r="B1183" s="15" t="inlineStr">
        <is>
          <t>CA</t>
        </is>
      </c>
      <c r="C1183" s="15" t="inlineStr">
        <is>
          <t>Master's</t>
        </is>
      </c>
      <c r="D1183" s="28" t="n">
        <v>4</v>
      </c>
      <c r="E1183" s="26" t="n">
        <v>85704</v>
      </c>
      <c r="F1183" s="15" t="inlineStr">
        <is>
          <t>2026-06-10</t>
        </is>
      </c>
    </row>
    <row r="1184" ht="26.75" customHeight="1" s="104">
      <c r="A1184" s="15" t="inlineStr">
        <is>
          <t>San Jose Unified School District</t>
        </is>
      </c>
      <c r="B1184" s="15" t="inlineStr">
        <is>
          <t>CA</t>
        </is>
      </c>
      <c r="C1184" s="15" t="inlineStr">
        <is>
          <t>Master's</t>
        </is>
      </c>
      <c r="D1184" s="28" t="n">
        <v>5</v>
      </c>
      <c r="E1184" s="26" t="n">
        <v>89255</v>
      </c>
      <c r="F1184" s="15" t="inlineStr">
        <is>
          <t>2026-06-10</t>
        </is>
      </c>
    </row>
    <row r="1185" ht="26.75" customHeight="1" s="104">
      <c r="A1185" s="15" t="inlineStr">
        <is>
          <t>San Jose Unified School District</t>
        </is>
      </c>
      <c r="B1185" s="15" t="inlineStr">
        <is>
          <t>CA</t>
        </is>
      </c>
      <c r="C1185" s="15" t="inlineStr">
        <is>
          <t>Master's</t>
        </is>
      </c>
      <c r="D1185" s="28" t="n">
        <v>6</v>
      </c>
      <c r="E1185" s="26" t="n">
        <v>92806</v>
      </c>
      <c r="F1185" s="15" t="inlineStr">
        <is>
          <t>2026-06-10</t>
        </is>
      </c>
    </row>
    <row r="1186" ht="26.75" customHeight="1" s="104">
      <c r="A1186" s="15" t="inlineStr">
        <is>
          <t>San Jose Unified School District</t>
        </is>
      </c>
      <c r="B1186" s="15" t="inlineStr">
        <is>
          <t>CA</t>
        </is>
      </c>
      <c r="C1186" s="15" t="inlineStr">
        <is>
          <t>Master's</t>
        </is>
      </c>
      <c r="D1186" s="28" t="n">
        <v>7</v>
      </c>
      <c r="E1186" s="26" t="n">
        <v>96358</v>
      </c>
      <c r="F1186" s="15" t="inlineStr">
        <is>
          <t>2026-06-10</t>
        </is>
      </c>
    </row>
    <row r="1187" ht="26.75" customHeight="1" s="104">
      <c r="A1187" s="15" t="inlineStr">
        <is>
          <t>San Jose Unified School District</t>
        </is>
      </c>
      <c r="B1187" s="15" t="inlineStr">
        <is>
          <t>CA</t>
        </is>
      </c>
      <c r="C1187" s="15" t="inlineStr">
        <is>
          <t>Master's</t>
        </is>
      </c>
      <c r="D1187" s="28" t="n">
        <v>8</v>
      </c>
      <c r="E1187" s="26" t="n">
        <v>99909</v>
      </c>
      <c r="F1187" s="15" t="inlineStr">
        <is>
          <t>2026-06-10</t>
        </is>
      </c>
    </row>
    <row r="1188" ht="26.75" customHeight="1" s="104">
      <c r="A1188" s="15" t="inlineStr">
        <is>
          <t>San Jose Unified School District</t>
        </is>
      </c>
      <c r="B1188" s="15" t="inlineStr">
        <is>
          <t>CA</t>
        </is>
      </c>
      <c r="C1188" s="15" t="inlineStr">
        <is>
          <t>Master's</t>
        </is>
      </c>
      <c r="D1188" s="28" t="n">
        <v>9</v>
      </c>
      <c r="E1188" s="26" t="n">
        <v>103460</v>
      </c>
      <c r="F1188" s="15" t="inlineStr">
        <is>
          <t>2026-06-10</t>
        </is>
      </c>
    </row>
    <row r="1189" ht="26.75" customHeight="1" s="104">
      <c r="A1189" s="15" t="inlineStr">
        <is>
          <t>San Jose Unified School District</t>
        </is>
      </c>
      <c r="B1189" s="15" t="inlineStr">
        <is>
          <t>CA</t>
        </is>
      </c>
      <c r="C1189" s="15" t="inlineStr">
        <is>
          <t>Master's</t>
        </is>
      </c>
      <c r="D1189" s="28" t="n">
        <v>10</v>
      </c>
      <c r="E1189" s="26" t="n">
        <v>107011</v>
      </c>
      <c r="F1189" s="15" t="inlineStr">
        <is>
          <t>2026-06-10</t>
        </is>
      </c>
    </row>
    <row r="1190" ht="26.75" customHeight="1" s="104">
      <c r="A1190" s="15" t="inlineStr">
        <is>
          <t>Scarsdale Union Free School District</t>
        </is>
      </c>
      <c r="B1190" s="15" t="inlineStr">
        <is>
          <t>NY</t>
        </is>
      </c>
      <c r="C1190" s="15" t="inlineStr">
        <is>
          <t>Bachelor's</t>
        </is>
      </c>
      <c r="D1190" s="28" t="n">
        <v>0</v>
      </c>
      <c r="E1190" s="26" t="n">
        <v>69524</v>
      </c>
      <c r="F1190" s="15" t="inlineStr">
        <is>
          <t>2026-06-11</t>
        </is>
      </c>
    </row>
    <row r="1191" ht="26.75" customHeight="1" s="104">
      <c r="A1191" s="15" t="inlineStr">
        <is>
          <t>Scarsdale Union Free School District</t>
        </is>
      </c>
      <c r="B1191" s="15" t="inlineStr">
        <is>
          <t>NY</t>
        </is>
      </c>
      <c r="C1191" s="15" t="inlineStr">
        <is>
          <t>Bachelor's</t>
        </is>
      </c>
      <c r="D1191" s="28" t="n">
        <v>1</v>
      </c>
      <c r="E1191" s="26" t="n">
        <v>74331</v>
      </c>
      <c r="F1191" s="15" t="inlineStr">
        <is>
          <t>2026-06-11</t>
        </is>
      </c>
    </row>
    <row r="1192" ht="26.75" customHeight="1" s="104">
      <c r="A1192" s="15" t="inlineStr">
        <is>
          <t>Scarsdale Union Free School District</t>
        </is>
      </c>
      <c r="B1192" s="15" t="inlineStr">
        <is>
          <t>NY</t>
        </is>
      </c>
      <c r="C1192" s="15" t="inlineStr">
        <is>
          <t>Bachelor's</t>
        </is>
      </c>
      <c r="D1192" s="28" t="n">
        <v>2</v>
      </c>
      <c r="E1192" s="26" t="n">
        <v>76736</v>
      </c>
      <c r="F1192" s="15" t="inlineStr">
        <is>
          <t>2026-06-11</t>
        </is>
      </c>
    </row>
    <row r="1193" ht="26.75" customHeight="1" s="104">
      <c r="A1193" s="15" t="inlineStr">
        <is>
          <t>Scarsdale Union Free School District</t>
        </is>
      </c>
      <c r="B1193" s="15" t="inlineStr">
        <is>
          <t>NY</t>
        </is>
      </c>
      <c r="C1193" s="15" t="inlineStr">
        <is>
          <t>Bachelor's</t>
        </is>
      </c>
      <c r="D1193" s="28" t="n">
        <v>3</v>
      </c>
      <c r="E1193" s="26" t="n">
        <v>79141</v>
      </c>
      <c r="F1193" s="15" t="inlineStr">
        <is>
          <t>2026-06-11</t>
        </is>
      </c>
    </row>
    <row r="1194" ht="26.75" customHeight="1" s="104">
      <c r="A1194" s="15" t="inlineStr">
        <is>
          <t>Scarsdale Union Free School District</t>
        </is>
      </c>
      <c r="B1194" s="15" t="inlineStr">
        <is>
          <t>NY</t>
        </is>
      </c>
      <c r="C1194" s="15" t="inlineStr">
        <is>
          <t>Bachelor's</t>
        </is>
      </c>
      <c r="D1194" s="28" t="n">
        <v>4</v>
      </c>
      <c r="E1194" s="26" t="n">
        <v>84635</v>
      </c>
      <c r="F1194" s="15" t="inlineStr">
        <is>
          <t>2026-06-11</t>
        </is>
      </c>
    </row>
    <row r="1195" ht="26.75" customHeight="1" s="104">
      <c r="A1195" s="15" t="inlineStr">
        <is>
          <t>Scarsdale Union Free School District</t>
        </is>
      </c>
      <c r="B1195" s="15" t="inlineStr">
        <is>
          <t>NY</t>
        </is>
      </c>
      <c r="C1195" s="15" t="inlineStr">
        <is>
          <t>Bachelor's</t>
        </is>
      </c>
      <c r="D1195" s="28" t="n">
        <v>5</v>
      </c>
      <c r="E1195" s="26" t="n">
        <v>90131</v>
      </c>
      <c r="F1195" s="15" t="inlineStr">
        <is>
          <t>2026-06-11</t>
        </is>
      </c>
    </row>
    <row r="1196" ht="26.75" customHeight="1" s="104">
      <c r="A1196" s="15" t="inlineStr">
        <is>
          <t>Scarsdale Union Free School District</t>
        </is>
      </c>
      <c r="B1196" s="15" t="inlineStr">
        <is>
          <t>NY</t>
        </is>
      </c>
      <c r="C1196" s="15" t="inlineStr">
        <is>
          <t>Bachelor's</t>
        </is>
      </c>
      <c r="D1196" s="28" t="n">
        <v>6</v>
      </c>
      <c r="E1196" s="26" t="n">
        <v>95627</v>
      </c>
      <c r="F1196" s="15" t="inlineStr">
        <is>
          <t>2026-06-11</t>
        </is>
      </c>
    </row>
    <row r="1197" ht="26.75" customHeight="1" s="104">
      <c r="A1197" s="15" t="inlineStr">
        <is>
          <t>Scarsdale Union Free School District</t>
        </is>
      </c>
      <c r="B1197" s="15" t="inlineStr">
        <is>
          <t>NY</t>
        </is>
      </c>
      <c r="C1197" s="15" t="inlineStr">
        <is>
          <t>Bachelor's</t>
        </is>
      </c>
      <c r="D1197" s="28" t="n">
        <v>7</v>
      </c>
      <c r="E1197" s="26" t="n">
        <v>98031</v>
      </c>
      <c r="F1197" s="15" t="inlineStr">
        <is>
          <t>2026-06-11</t>
        </is>
      </c>
    </row>
    <row r="1198" ht="26.75" customHeight="1" s="104">
      <c r="A1198" s="15" t="inlineStr">
        <is>
          <t>Scarsdale Union Free School District</t>
        </is>
      </c>
      <c r="B1198" s="15" t="inlineStr">
        <is>
          <t>NY</t>
        </is>
      </c>
      <c r="C1198" s="15" t="inlineStr">
        <is>
          <t>Bachelor's</t>
        </is>
      </c>
      <c r="D1198" s="28" t="n">
        <v>8</v>
      </c>
      <c r="E1198" s="26" t="n">
        <v>100435</v>
      </c>
      <c r="F1198" s="15" t="inlineStr">
        <is>
          <t>2026-06-11</t>
        </is>
      </c>
    </row>
    <row r="1199" ht="26.75" customHeight="1" s="104">
      <c r="A1199" s="15" t="inlineStr">
        <is>
          <t>Scarsdale Union Free School District</t>
        </is>
      </c>
      <c r="B1199" s="15" t="inlineStr">
        <is>
          <t>NY</t>
        </is>
      </c>
      <c r="C1199" s="15" t="inlineStr">
        <is>
          <t>Bachelor's</t>
        </is>
      </c>
      <c r="D1199" s="28" t="n">
        <v>9</v>
      </c>
      <c r="E1199" s="26" t="n">
        <v>105244</v>
      </c>
      <c r="F1199" s="15" t="inlineStr">
        <is>
          <t>2026-06-11</t>
        </is>
      </c>
    </row>
    <row r="1200" ht="26.75" customHeight="1" s="104">
      <c r="A1200" s="15" t="inlineStr">
        <is>
          <t>Scarsdale Union Free School District</t>
        </is>
      </c>
      <c r="B1200" s="15" t="inlineStr">
        <is>
          <t>NY</t>
        </is>
      </c>
      <c r="C1200" s="15" t="inlineStr">
        <is>
          <t>Bachelor's</t>
        </is>
      </c>
      <c r="D1200" s="28" t="n">
        <v>10</v>
      </c>
      <c r="E1200" s="26" t="n">
        <v>110052</v>
      </c>
      <c r="F1200" s="15" t="inlineStr">
        <is>
          <t>2026-06-11</t>
        </is>
      </c>
    </row>
    <row r="1201" ht="26.75" customHeight="1" s="104">
      <c r="A1201" s="15" t="inlineStr">
        <is>
          <t>Scarsdale Union Free School District</t>
        </is>
      </c>
      <c r="B1201" s="15" t="inlineStr">
        <is>
          <t>NY</t>
        </is>
      </c>
      <c r="C1201" s="15" t="inlineStr">
        <is>
          <t>Master's</t>
        </is>
      </c>
      <c r="D1201" s="28" t="n">
        <v>0</v>
      </c>
      <c r="E1201" s="26" t="n">
        <v>77767</v>
      </c>
      <c r="F1201" s="15" t="inlineStr">
        <is>
          <t>2026-06-11</t>
        </is>
      </c>
    </row>
    <row r="1202" ht="26.75" customHeight="1" s="104">
      <c r="A1202" s="15" t="inlineStr">
        <is>
          <t>Scarsdale Union Free School District</t>
        </is>
      </c>
      <c r="B1202" s="15" t="inlineStr">
        <is>
          <t>NY</t>
        </is>
      </c>
      <c r="C1202" s="15" t="inlineStr">
        <is>
          <t>Master's</t>
        </is>
      </c>
      <c r="D1202" s="28" t="n">
        <v>1</v>
      </c>
      <c r="E1202" s="26" t="n">
        <v>82575</v>
      </c>
      <c r="F1202" s="15" t="inlineStr">
        <is>
          <t>2026-06-11</t>
        </is>
      </c>
    </row>
    <row r="1203" ht="26.75" customHeight="1" s="104">
      <c r="A1203" s="15" t="inlineStr">
        <is>
          <t>Scarsdale Union Free School District</t>
        </is>
      </c>
      <c r="B1203" s="15" t="inlineStr">
        <is>
          <t>NY</t>
        </is>
      </c>
      <c r="C1203" s="15" t="inlineStr">
        <is>
          <t>Master's</t>
        </is>
      </c>
      <c r="D1203" s="28" t="n">
        <v>2</v>
      </c>
      <c r="E1203" s="26" t="n">
        <v>84979</v>
      </c>
      <c r="F1203" s="15" t="inlineStr">
        <is>
          <t>2026-06-11</t>
        </is>
      </c>
    </row>
    <row r="1204" ht="26.75" customHeight="1" s="104">
      <c r="A1204" s="15" t="inlineStr">
        <is>
          <t>Scarsdale Union Free School District</t>
        </is>
      </c>
      <c r="B1204" s="15" t="inlineStr">
        <is>
          <t>NY</t>
        </is>
      </c>
      <c r="C1204" s="15" t="inlineStr">
        <is>
          <t>Master's</t>
        </is>
      </c>
      <c r="D1204" s="28" t="n">
        <v>3</v>
      </c>
      <c r="E1204" s="26" t="n">
        <v>87384</v>
      </c>
      <c r="F1204" s="15" t="inlineStr">
        <is>
          <t>2026-06-11</t>
        </is>
      </c>
    </row>
    <row r="1205" ht="26.75" customHeight="1" s="104">
      <c r="A1205" s="15" t="inlineStr">
        <is>
          <t>Scarsdale Union Free School District</t>
        </is>
      </c>
      <c r="B1205" s="15" t="inlineStr">
        <is>
          <t>NY</t>
        </is>
      </c>
      <c r="C1205" s="15" t="inlineStr">
        <is>
          <t>Master's</t>
        </is>
      </c>
      <c r="D1205" s="28" t="n">
        <v>4</v>
      </c>
      <c r="E1205" s="26" t="n">
        <v>92879</v>
      </c>
      <c r="F1205" s="15" t="inlineStr">
        <is>
          <t>2026-06-11</t>
        </is>
      </c>
    </row>
    <row r="1206" ht="26.75" customHeight="1" s="104">
      <c r="A1206" s="15" t="inlineStr">
        <is>
          <t>Scarsdale Union Free School District</t>
        </is>
      </c>
      <c r="B1206" s="15" t="inlineStr">
        <is>
          <t>NY</t>
        </is>
      </c>
      <c r="C1206" s="15" t="inlineStr">
        <is>
          <t>Master's</t>
        </is>
      </c>
      <c r="D1206" s="28" t="n">
        <v>5</v>
      </c>
      <c r="E1206" s="26" t="n">
        <v>98375</v>
      </c>
      <c r="F1206" s="15" t="inlineStr">
        <is>
          <t>2026-06-11</t>
        </is>
      </c>
    </row>
    <row r="1207" ht="26.75" customHeight="1" s="104">
      <c r="A1207" s="15" t="inlineStr">
        <is>
          <t>Scarsdale Union Free School District</t>
        </is>
      </c>
      <c r="B1207" s="15" t="inlineStr">
        <is>
          <t>NY</t>
        </is>
      </c>
      <c r="C1207" s="15" t="inlineStr">
        <is>
          <t>Master's</t>
        </is>
      </c>
      <c r="D1207" s="28" t="n">
        <v>6</v>
      </c>
      <c r="E1207" s="26" t="n">
        <v>103869</v>
      </c>
      <c r="F1207" s="15" t="inlineStr">
        <is>
          <t>2026-06-11</t>
        </is>
      </c>
    </row>
    <row r="1208" ht="26.75" customHeight="1" s="104">
      <c r="A1208" s="15" t="inlineStr">
        <is>
          <t>Scarsdale Union Free School District</t>
        </is>
      </c>
      <c r="B1208" s="15" t="inlineStr">
        <is>
          <t>NY</t>
        </is>
      </c>
      <c r="C1208" s="15" t="inlineStr">
        <is>
          <t>Master's</t>
        </is>
      </c>
      <c r="D1208" s="28" t="n">
        <v>7</v>
      </c>
      <c r="E1208" s="26" t="n">
        <v>106273</v>
      </c>
      <c r="F1208" s="15" t="inlineStr">
        <is>
          <t>2026-06-11</t>
        </is>
      </c>
    </row>
    <row r="1209" ht="26.75" customHeight="1" s="104">
      <c r="A1209" s="15" t="inlineStr">
        <is>
          <t>Scarsdale Union Free School District</t>
        </is>
      </c>
      <c r="B1209" s="15" t="inlineStr">
        <is>
          <t>NY</t>
        </is>
      </c>
      <c r="C1209" s="15" t="inlineStr">
        <is>
          <t>Master's</t>
        </is>
      </c>
      <c r="D1209" s="28" t="n">
        <v>8</v>
      </c>
      <c r="E1209" s="26" t="n">
        <v>108679</v>
      </c>
      <c r="F1209" s="15" t="inlineStr">
        <is>
          <t>2026-06-11</t>
        </is>
      </c>
    </row>
    <row r="1210" ht="26.75" customHeight="1" s="104">
      <c r="A1210" s="15" t="inlineStr">
        <is>
          <t>Scarsdale Union Free School District</t>
        </is>
      </c>
      <c r="B1210" s="15" t="inlineStr">
        <is>
          <t>NY</t>
        </is>
      </c>
      <c r="C1210" s="15" t="inlineStr">
        <is>
          <t>Master's</t>
        </is>
      </c>
      <c r="D1210" s="28" t="n">
        <v>9</v>
      </c>
      <c r="E1210" s="26" t="n">
        <v>113486</v>
      </c>
      <c r="F1210" s="15" t="inlineStr">
        <is>
          <t>2026-06-11</t>
        </is>
      </c>
    </row>
    <row r="1211" ht="26.75" customHeight="1" s="104">
      <c r="A1211" s="15" t="inlineStr">
        <is>
          <t>Scarsdale Union Free School District</t>
        </is>
      </c>
      <c r="B1211" s="15" t="inlineStr">
        <is>
          <t>NY</t>
        </is>
      </c>
      <c r="C1211" s="15" t="inlineStr">
        <is>
          <t>Master's</t>
        </is>
      </c>
      <c r="D1211" s="28" t="n">
        <v>10</v>
      </c>
      <c r="E1211" s="26" t="n">
        <v>118295</v>
      </c>
      <c r="F1211" s="15" t="inlineStr">
        <is>
          <t>2026-06-11</t>
        </is>
      </c>
    </row>
    <row r="1212" ht="26.75" customHeight="1" s="104">
      <c r="A1212" s="15" t="inlineStr">
        <is>
          <t>South Pasadena Unified School District</t>
        </is>
      </c>
      <c r="B1212" s="15" t="inlineStr">
        <is>
          <t>CA</t>
        </is>
      </c>
      <c r="C1212" s="15" t="inlineStr">
        <is>
          <t>Bachelor's</t>
        </is>
      </c>
      <c r="D1212" s="28" t="n">
        <v>0</v>
      </c>
      <c r="E1212" s="26" t="n">
        <v>54525</v>
      </c>
      <c r="F1212" s="15" t="inlineStr">
        <is>
          <t>2026-06-10</t>
        </is>
      </c>
    </row>
    <row r="1213" ht="26.75" customHeight="1" s="104">
      <c r="A1213" s="15" t="inlineStr">
        <is>
          <t>South Pasadena Unified School District</t>
        </is>
      </c>
      <c r="B1213" s="15" t="inlineStr">
        <is>
          <t>CA</t>
        </is>
      </c>
      <c r="C1213" s="15" t="inlineStr">
        <is>
          <t>Bachelor's</t>
        </is>
      </c>
      <c r="D1213" s="28" t="n">
        <v>1</v>
      </c>
      <c r="E1213" s="26" t="n">
        <v>57083</v>
      </c>
      <c r="F1213" s="15" t="inlineStr">
        <is>
          <t>2026-06-10</t>
        </is>
      </c>
    </row>
    <row r="1214" ht="26.75" customHeight="1" s="104">
      <c r="A1214" s="15" t="inlineStr">
        <is>
          <t>South Pasadena Unified School District</t>
        </is>
      </c>
      <c r="B1214" s="15" t="inlineStr">
        <is>
          <t>CA</t>
        </is>
      </c>
      <c r="C1214" s="15" t="inlineStr">
        <is>
          <t>Bachelor's</t>
        </is>
      </c>
      <c r="D1214" s="28" t="n">
        <v>2</v>
      </c>
      <c r="E1214" s="26" t="n">
        <v>59644</v>
      </c>
      <c r="F1214" s="15" t="inlineStr">
        <is>
          <t>2026-06-10</t>
        </is>
      </c>
    </row>
    <row r="1215" ht="26.75" customHeight="1" s="104">
      <c r="A1215" s="15" t="inlineStr">
        <is>
          <t>South Pasadena Unified School District</t>
        </is>
      </c>
      <c r="B1215" s="15" t="inlineStr">
        <is>
          <t>CA</t>
        </is>
      </c>
      <c r="C1215" s="15" t="inlineStr">
        <is>
          <t>Bachelor's</t>
        </is>
      </c>
      <c r="D1215" s="28" t="n">
        <v>3</v>
      </c>
      <c r="E1215" s="26" t="n">
        <v>62205</v>
      </c>
      <c r="F1215" s="15" t="inlineStr">
        <is>
          <t>2026-06-10</t>
        </is>
      </c>
    </row>
    <row r="1216" ht="26.75" customHeight="1" s="104">
      <c r="A1216" s="15" t="inlineStr">
        <is>
          <t>South Pasadena Unified School District</t>
        </is>
      </c>
      <c r="B1216" s="15" t="inlineStr">
        <is>
          <t>CA</t>
        </is>
      </c>
      <c r="C1216" s="15" t="inlineStr">
        <is>
          <t>Bachelor's</t>
        </is>
      </c>
      <c r="D1216" s="28" t="n">
        <v>4</v>
      </c>
      <c r="E1216" s="26" t="n">
        <v>64778</v>
      </c>
      <c r="F1216" s="15" t="inlineStr">
        <is>
          <t>2026-06-10</t>
        </is>
      </c>
    </row>
    <row r="1217" ht="26.75" customHeight="1" s="104">
      <c r="A1217" s="15" t="inlineStr">
        <is>
          <t>South Pasadena Unified School District</t>
        </is>
      </c>
      <c r="B1217" s="15" t="inlineStr">
        <is>
          <t>CA</t>
        </is>
      </c>
      <c r="C1217" s="15" t="inlineStr">
        <is>
          <t>Bachelor's</t>
        </is>
      </c>
      <c r="D1217" s="28" t="n">
        <v>5</v>
      </c>
      <c r="E1217" s="26" t="n">
        <v>67339</v>
      </c>
      <c r="F1217" s="15" t="inlineStr">
        <is>
          <t>2026-06-10</t>
        </is>
      </c>
    </row>
    <row r="1218" ht="26.75" customHeight="1" s="104">
      <c r="A1218" s="15" t="inlineStr">
        <is>
          <t>South Pasadena Unified School District</t>
        </is>
      </c>
      <c r="B1218" s="15" t="inlineStr">
        <is>
          <t>CA</t>
        </is>
      </c>
      <c r="C1218" s="15" t="inlineStr">
        <is>
          <t>Bachelor's</t>
        </is>
      </c>
      <c r="D1218" s="28" t="n">
        <v>6</v>
      </c>
      <c r="E1218" s="26" t="n">
        <v>69900</v>
      </c>
      <c r="F1218" s="15" t="inlineStr">
        <is>
          <t>2026-06-10</t>
        </is>
      </c>
    </row>
    <row r="1219" ht="26.75" customHeight="1" s="104">
      <c r="A1219" s="15" t="inlineStr">
        <is>
          <t>South Pasadena Unified School District</t>
        </is>
      </c>
      <c r="B1219" s="15" t="inlineStr">
        <is>
          <t>CA</t>
        </is>
      </c>
      <c r="C1219" s="15" t="inlineStr">
        <is>
          <t>Bachelor's</t>
        </is>
      </c>
      <c r="D1219" s="28" t="n">
        <v>7</v>
      </c>
      <c r="E1219" s="26" t="n">
        <v>72459</v>
      </c>
      <c r="F1219" s="15" t="inlineStr">
        <is>
          <t>2026-06-10</t>
        </is>
      </c>
    </row>
    <row r="1220" ht="26.75" customHeight="1" s="104">
      <c r="A1220" s="15" t="inlineStr">
        <is>
          <t>South Pasadena Unified School District</t>
        </is>
      </c>
      <c r="B1220" s="15" t="inlineStr">
        <is>
          <t>CA</t>
        </is>
      </c>
      <c r="C1220" s="15" t="inlineStr">
        <is>
          <t>Bachelor's</t>
        </is>
      </c>
      <c r="D1220" s="28" t="n">
        <v>8</v>
      </c>
      <c r="E1220" s="26" t="n">
        <v>75017</v>
      </c>
      <c r="F1220" s="15" t="inlineStr">
        <is>
          <t>2026-06-10</t>
        </is>
      </c>
    </row>
    <row r="1221" ht="26.75" customHeight="1" s="104">
      <c r="A1221" s="15" t="inlineStr">
        <is>
          <t>South Pasadena Unified School District</t>
        </is>
      </c>
      <c r="B1221" s="15" t="inlineStr">
        <is>
          <t>CA</t>
        </is>
      </c>
      <c r="C1221" s="15" t="inlineStr">
        <is>
          <t>Bachelor's</t>
        </is>
      </c>
      <c r="D1221" s="28" t="n">
        <v>9</v>
      </c>
      <c r="E1221" s="26" t="n">
        <v>77577</v>
      </c>
      <c r="F1221" s="15" t="inlineStr">
        <is>
          <t>2026-06-10</t>
        </is>
      </c>
    </row>
    <row r="1222" ht="26.75" customHeight="1" s="104">
      <c r="A1222" s="15" t="inlineStr">
        <is>
          <t>South Pasadena Unified School District</t>
        </is>
      </c>
      <c r="B1222" s="15" t="inlineStr">
        <is>
          <t>CA</t>
        </is>
      </c>
      <c r="C1222" s="15" t="inlineStr">
        <is>
          <t>Bachelor's</t>
        </is>
      </c>
      <c r="D1222" s="28" t="n">
        <v>10</v>
      </c>
      <c r="E1222" s="26" t="n">
        <v>77577</v>
      </c>
      <c r="F1222" s="15" t="inlineStr">
        <is>
          <t>2026-06-10</t>
        </is>
      </c>
    </row>
    <row r="1223" ht="26.75" customHeight="1" s="104">
      <c r="A1223" s="15" t="inlineStr">
        <is>
          <t>South Pasadena Unified School District</t>
        </is>
      </c>
      <c r="B1223" s="15" t="inlineStr">
        <is>
          <t>CA</t>
        </is>
      </c>
      <c r="C1223" s="15" t="inlineStr">
        <is>
          <t>Master's</t>
        </is>
      </c>
      <c r="D1223" s="28" t="n">
        <v>0</v>
      </c>
      <c r="E1223" s="26" t="n">
        <v>62698</v>
      </c>
      <c r="F1223" s="15" t="inlineStr">
        <is>
          <t>2026-06-10</t>
        </is>
      </c>
    </row>
    <row r="1224" ht="26.75" customHeight="1" s="104">
      <c r="A1224" s="15" t="inlineStr">
        <is>
          <t>South Pasadena Unified School District</t>
        </is>
      </c>
      <c r="B1224" s="15" t="inlineStr">
        <is>
          <t>CA</t>
        </is>
      </c>
      <c r="C1224" s="15" t="inlineStr">
        <is>
          <t>Master's</t>
        </is>
      </c>
      <c r="D1224" s="28" t="n">
        <v>1</v>
      </c>
      <c r="E1224" s="26" t="n">
        <v>65571</v>
      </c>
      <c r="F1224" s="15" t="inlineStr">
        <is>
          <t>2026-06-10</t>
        </is>
      </c>
    </row>
    <row r="1225" ht="26.75" customHeight="1" s="104">
      <c r="A1225" s="15" t="inlineStr">
        <is>
          <t>South Pasadena Unified School District</t>
        </is>
      </c>
      <c r="B1225" s="15" t="inlineStr">
        <is>
          <t>CA</t>
        </is>
      </c>
      <c r="C1225" s="15" t="inlineStr">
        <is>
          <t>Master's</t>
        </is>
      </c>
      <c r="D1225" s="28" t="n">
        <v>2</v>
      </c>
      <c r="E1225" s="26" t="n">
        <v>68441</v>
      </c>
      <c r="F1225" s="15" t="inlineStr">
        <is>
          <t>2026-06-10</t>
        </is>
      </c>
    </row>
    <row r="1226" ht="26.75" customHeight="1" s="104">
      <c r="A1226" s="15" t="inlineStr">
        <is>
          <t>South Pasadena Unified School District</t>
        </is>
      </c>
      <c r="B1226" s="15" t="inlineStr">
        <is>
          <t>CA</t>
        </is>
      </c>
      <c r="C1226" s="15" t="inlineStr">
        <is>
          <t>Master's</t>
        </is>
      </c>
      <c r="D1226" s="28" t="n">
        <v>3</v>
      </c>
      <c r="E1226" s="26" t="n">
        <v>71298</v>
      </c>
      <c r="F1226" s="15" t="inlineStr">
        <is>
          <t>2026-06-10</t>
        </is>
      </c>
    </row>
    <row r="1227" ht="26.75" customHeight="1" s="104">
      <c r="A1227" s="15" t="inlineStr">
        <is>
          <t>South Pasadena Unified School District</t>
        </is>
      </c>
      <c r="B1227" s="15" t="inlineStr">
        <is>
          <t>CA</t>
        </is>
      </c>
      <c r="C1227" s="15" t="inlineStr">
        <is>
          <t>Master's</t>
        </is>
      </c>
      <c r="D1227" s="28" t="n">
        <v>4</v>
      </c>
      <c r="E1227" s="26" t="n">
        <v>74169</v>
      </c>
      <c r="F1227" s="15" t="inlineStr">
        <is>
          <t>2026-06-10</t>
        </is>
      </c>
    </row>
    <row r="1228" ht="26.75" customHeight="1" s="104">
      <c r="A1228" s="15" t="inlineStr">
        <is>
          <t>South Pasadena Unified School District</t>
        </is>
      </c>
      <c r="B1228" s="15" t="inlineStr">
        <is>
          <t>CA</t>
        </is>
      </c>
      <c r="C1228" s="15" t="inlineStr">
        <is>
          <t>Master's</t>
        </is>
      </c>
      <c r="D1228" s="28" t="n">
        <v>5</v>
      </c>
      <c r="E1228" s="26" t="n">
        <v>77040</v>
      </c>
      <c r="F1228" s="15" t="inlineStr">
        <is>
          <t>2026-06-10</t>
        </is>
      </c>
    </row>
    <row r="1229" ht="26.75" customHeight="1" s="104">
      <c r="A1229" s="15" t="inlineStr">
        <is>
          <t>South Pasadena Unified School District</t>
        </is>
      </c>
      <c r="B1229" s="15" t="inlineStr">
        <is>
          <t>CA</t>
        </is>
      </c>
      <c r="C1229" s="15" t="inlineStr">
        <is>
          <t>Master's</t>
        </is>
      </c>
      <c r="D1229" s="28" t="n">
        <v>6</v>
      </c>
      <c r="E1229" s="26" t="n">
        <v>79913</v>
      </c>
      <c r="F1229" s="15" t="inlineStr">
        <is>
          <t>2026-06-10</t>
        </is>
      </c>
    </row>
    <row r="1230" ht="26.75" customHeight="1" s="104">
      <c r="A1230" s="15" t="inlineStr">
        <is>
          <t>South Pasadena Unified School District</t>
        </is>
      </c>
      <c r="B1230" s="15" t="inlineStr">
        <is>
          <t>CA</t>
        </is>
      </c>
      <c r="C1230" s="15" t="inlineStr">
        <is>
          <t>Master's</t>
        </is>
      </c>
      <c r="D1230" s="28" t="n">
        <v>7</v>
      </c>
      <c r="E1230" s="26" t="n">
        <v>82768</v>
      </c>
      <c r="F1230" s="15" t="inlineStr">
        <is>
          <t>2026-06-10</t>
        </is>
      </c>
    </row>
    <row r="1231" ht="26.75" customHeight="1" s="104">
      <c r="A1231" s="15" t="inlineStr">
        <is>
          <t>South Pasadena Unified School District</t>
        </is>
      </c>
      <c r="B1231" s="15" t="inlineStr">
        <is>
          <t>CA</t>
        </is>
      </c>
      <c r="C1231" s="15" t="inlineStr">
        <is>
          <t>Master's</t>
        </is>
      </c>
      <c r="D1231" s="28" t="n">
        <v>8</v>
      </c>
      <c r="E1231" s="26" t="n">
        <v>85640</v>
      </c>
      <c r="F1231" s="15" t="inlineStr">
        <is>
          <t>2026-06-10</t>
        </is>
      </c>
    </row>
    <row r="1232" ht="26.75" customHeight="1" s="104">
      <c r="A1232" s="15" t="inlineStr">
        <is>
          <t>South Pasadena Unified School District</t>
        </is>
      </c>
      <c r="B1232" s="15" t="inlineStr">
        <is>
          <t>CA</t>
        </is>
      </c>
      <c r="C1232" s="15" t="inlineStr">
        <is>
          <t>Master's</t>
        </is>
      </c>
      <c r="D1232" s="28" t="n">
        <v>9</v>
      </c>
      <c r="E1232" s="26" t="n">
        <v>88510</v>
      </c>
      <c r="F1232" s="15" t="inlineStr">
        <is>
          <t>2026-06-10</t>
        </is>
      </c>
    </row>
    <row r="1233" ht="26.75" customHeight="1" s="104">
      <c r="A1233" s="15" t="inlineStr">
        <is>
          <t>South Pasadena Unified School District</t>
        </is>
      </c>
      <c r="B1233" s="15" t="inlineStr">
        <is>
          <t>CA</t>
        </is>
      </c>
      <c r="C1233" s="15" t="inlineStr">
        <is>
          <t>Master's</t>
        </is>
      </c>
      <c r="D1233" s="28" t="n">
        <v>10</v>
      </c>
      <c r="E1233" s="26" t="n">
        <v>91381</v>
      </c>
      <c r="F1233" s="15" t="inlineStr">
        <is>
          <t>2026-06-10</t>
        </is>
      </c>
    </row>
    <row r="1234" ht="26.75" customHeight="1" s="104">
      <c r="A1234" s="15" t="inlineStr">
        <is>
          <t>Sun Prairie Area School District</t>
        </is>
      </c>
      <c r="B1234" s="15" t="inlineStr">
        <is>
          <t>WI</t>
        </is>
      </c>
      <c r="C1234" s="15" t="inlineStr">
        <is>
          <t>Bachelor's</t>
        </is>
      </c>
      <c r="D1234" s="28" t="n">
        <v>0</v>
      </c>
      <c r="E1234" s="26" t="n">
        <v>52918</v>
      </c>
      <c r="F1234" s="15" t="inlineStr">
        <is>
          <t>2026-06-15</t>
        </is>
      </c>
    </row>
    <row r="1235" ht="26.75" customHeight="1" s="104">
      <c r="A1235" s="15" t="inlineStr">
        <is>
          <t>Sun Prairie Area School District</t>
        </is>
      </c>
      <c r="B1235" s="15" t="inlineStr">
        <is>
          <t>WI</t>
        </is>
      </c>
      <c r="C1235" s="15" t="inlineStr">
        <is>
          <t>Bachelor's</t>
        </is>
      </c>
      <c r="D1235" s="28" t="n">
        <v>1</v>
      </c>
      <c r="E1235" s="26" t="n">
        <v>54318</v>
      </c>
      <c r="F1235" s="15" t="inlineStr">
        <is>
          <t>2026-06-15</t>
        </is>
      </c>
    </row>
    <row r="1236" ht="26.75" customHeight="1" s="104">
      <c r="A1236" s="15" t="inlineStr">
        <is>
          <t>Sun Prairie Area School District</t>
        </is>
      </c>
      <c r="B1236" s="15" t="inlineStr">
        <is>
          <t>WI</t>
        </is>
      </c>
      <c r="C1236" s="15" t="inlineStr">
        <is>
          <t>Bachelor's</t>
        </is>
      </c>
      <c r="D1236" s="28" t="n">
        <v>2</v>
      </c>
      <c r="E1236" s="26" t="n">
        <v>55718</v>
      </c>
      <c r="F1236" s="15" t="inlineStr">
        <is>
          <t>2026-06-15</t>
        </is>
      </c>
    </row>
    <row r="1237" ht="26.75" customHeight="1" s="104">
      <c r="A1237" s="15" t="inlineStr">
        <is>
          <t>Sun Prairie Area School District</t>
        </is>
      </c>
      <c r="B1237" s="15" t="inlineStr">
        <is>
          <t>WI</t>
        </is>
      </c>
      <c r="C1237" s="15" t="inlineStr">
        <is>
          <t>Bachelor's</t>
        </is>
      </c>
      <c r="D1237" s="28" t="n">
        <v>3</v>
      </c>
      <c r="E1237" s="26" t="n">
        <v>57118</v>
      </c>
      <c r="F1237" s="15" t="inlineStr">
        <is>
          <t>2026-06-15</t>
        </is>
      </c>
    </row>
    <row r="1238" ht="26.75" customHeight="1" s="104">
      <c r="A1238" s="15" t="inlineStr">
        <is>
          <t>Sun Prairie Area School District</t>
        </is>
      </c>
      <c r="B1238" s="15" t="inlineStr">
        <is>
          <t>WI</t>
        </is>
      </c>
      <c r="C1238" s="15" t="inlineStr">
        <is>
          <t>Bachelor's</t>
        </is>
      </c>
      <c r="D1238" s="28" t="n">
        <v>4</v>
      </c>
      <c r="E1238" s="26" t="n">
        <v>58518</v>
      </c>
      <c r="F1238" s="15" t="inlineStr">
        <is>
          <t>2026-06-15</t>
        </is>
      </c>
    </row>
    <row r="1239" ht="26.75" customHeight="1" s="104">
      <c r="A1239" s="15" t="inlineStr">
        <is>
          <t>Sun Prairie Area School District</t>
        </is>
      </c>
      <c r="B1239" s="15" t="inlineStr">
        <is>
          <t>WI</t>
        </is>
      </c>
      <c r="C1239" s="15" t="inlineStr">
        <is>
          <t>Bachelor's</t>
        </is>
      </c>
      <c r="D1239" s="28" t="n">
        <v>5</v>
      </c>
      <c r="E1239" s="26" t="n">
        <v>59918</v>
      </c>
      <c r="F1239" s="15" t="inlineStr">
        <is>
          <t>2026-06-15</t>
        </is>
      </c>
    </row>
    <row r="1240" ht="26.75" customHeight="1" s="104">
      <c r="A1240" s="15" t="inlineStr">
        <is>
          <t>Sun Prairie Area School District</t>
        </is>
      </c>
      <c r="B1240" s="15" t="inlineStr">
        <is>
          <t>WI</t>
        </is>
      </c>
      <c r="C1240" s="15" t="inlineStr">
        <is>
          <t>Bachelor's</t>
        </is>
      </c>
      <c r="D1240" s="28" t="n">
        <v>6</v>
      </c>
      <c r="E1240" s="26" t="n">
        <v>61318</v>
      </c>
      <c r="F1240" s="15" t="inlineStr">
        <is>
          <t>2026-06-15</t>
        </is>
      </c>
    </row>
    <row r="1241" ht="26.75" customHeight="1" s="104">
      <c r="A1241" s="15" t="inlineStr">
        <is>
          <t>Sun Prairie Area School District</t>
        </is>
      </c>
      <c r="B1241" s="15" t="inlineStr">
        <is>
          <t>WI</t>
        </is>
      </c>
      <c r="C1241" s="15" t="inlineStr">
        <is>
          <t>Bachelor's</t>
        </is>
      </c>
      <c r="D1241" s="28" t="n">
        <v>7</v>
      </c>
      <c r="E1241" s="26" t="n">
        <v>62718</v>
      </c>
      <c r="F1241" s="15" t="inlineStr">
        <is>
          <t>2026-06-15</t>
        </is>
      </c>
    </row>
    <row r="1242" ht="26.75" customHeight="1" s="104">
      <c r="A1242" s="15" t="inlineStr">
        <is>
          <t>Sun Prairie Area School District</t>
        </is>
      </c>
      <c r="B1242" s="15" t="inlineStr">
        <is>
          <t>WI</t>
        </is>
      </c>
      <c r="C1242" s="15" t="inlineStr">
        <is>
          <t>Bachelor's</t>
        </is>
      </c>
      <c r="D1242" s="28" t="n">
        <v>8</v>
      </c>
      <c r="E1242" s="26" t="n">
        <v>64118</v>
      </c>
      <c r="F1242" s="15" t="inlineStr">
        <is>
          <t>2026-06-15</t>
        </is>
      </c>
    </row>
    <row r="1243" ht="26.75" customHeight="1" s="104">
      <c r="A1243" s="15" t="inlineStr">
        <is>
          <t>Sun Prairie Area School District</t>
        </is>
      </c>
      <c r="B1243" s="15" t="inlineStr">
        <is>
          <t>WI</t>
        </is>
      </c>
      <c r="C1243" s="15" t="inlineStr">
        <is>
          <t>Bachelor's</t>
        </is>
      </c>
      <c r="D1243" s="28" t="n">
        <v>9</v>
      </c>
      <c r="E1243" s="26" t="n">
        <v>65518</v>
      </c>
      <c r="F1243" s="15" t="inlineStr">
        <is>
          <t>2026-06-15</t>
        </is>
      </c>
    </row>
    <row r="1244" ht="26.75" customHeight="1" s="104">
      <c r="A1244" s="15" t="inlineStr">
        <is>
          <t>Sun Prairie Area School District</t>
        </is>
      </c>
      <c r="B1244" s="15" t="inlineStr">
        <is>
          <t>WI</t>
        </is>
      </c>
      <c r="C1244" s="15" t="inlineStr">
        <is>
          <t>Bachelor's</t>
        </is>
      </c>
      <c r="D1244" s="28" t="n">
        <v>10</v>
      </c>
      <c r="E1244" s="26" t="n">
        <v>66918</v>
      </c>
      <c r="F1244" s="15" t="inlineStr">
        <is>
          <t>2026-06-15</t>
        </is>
      </c>
    </row>
    <row r="1245" ht="26.75" customHeight="1" s="104">
      <c r="A1245" s="15" t="inlineStr">
        <is>
          <t>Sun Prairie Area School District</t>
        </is>
      </c>
      <c r="B1245" s="15" t="inlineStr">
        <is>
          <t>WI</t>
        </is>
      </c>
      <c r="C1245" s="15" t="inlineStr">
        <is>
          <t>Master's</t>
        </is>
      </c>
      <c r="D1245" s="28" t="n">
        <v>0</v>
      </c>
      <c r="E1245" s="26" t="n">
        <v>56918</v>
      </c>
      <c r="F1245" s="15" t="inlineStr">
        <is>
          <t>2026-06-15</t>
        </is>
      </c>
    </row>
    <row r="1246" ht="26.75" customHeight="1" s="104">
      <c r="A1246" s="15" t="inlineStr">
        <is>
          <t>Sun Prairie Area School District</t>
        </is>
      </c>
      <c r="B1246" s="15" t="inlineStr">
        <is>
          <t>WI</t>
        </is>
      </c>
      <c r="C1246" s="15" t="inlineStr">
        <is>
          <t>Master's</t>
        </is>
      </c>
      <c r="D1246" s="28" t="n">
        <v>1</v>
      </c>
      <c r="E1246" s="26" t="n">
        <v>58318</v>
      </c>
      <c r="F1246" s="15" t="inlineStr">
        <is>
          <t>2026-06-15</t>
        </is>
      </c>
    </row>
    <row r="1247" ht="26.75" customHeight="1" s="104">
      <c r="A1247" s="15" t="inlineStr">
        <is>
          <t>Sun Prairie Area School District</t>
        </is>
      </c>
      <c r="B1247" s="15" t="inlineStr">
        <is>
          <t>WI</t>
        </is>
      </c>
      <c r="C1247" s="15" t="inlineStr">
        <is>
          <t>Master's</t>
        </is>
      </c>
      <c r="D1247" s="28" t="n">
        <v>2</v>
      </c>
      <c r="E1247" s="26" t="n">
        <v>59718</v>
      </c>
      <c r="F1247" s="15" t="inlineStr">
        <is>
          <t>2026-06-15</t>
        </is>
      </c>
    </row>
    <row r="1248" ht="26.75" customHeight="1" s="104">
      <c r="A1248" s="15" t="inlineStr">
        <is>
          <t>Sun Prairie Area School District</t>
        </is>
      </c>
      <c r="B1248" s="15" t="inlineStr">
        <is>
          <t>WI</t>
        </is>
      </c>
      <c r="C1248" s="15" t="inlineStr">
        <is>
          <t>Master's</t>
        </is>
      </c>
      <c r="D1248" s="28" t="n">
        <v>3</v>
      </c>
      <c r="E1248" s="26" t="n">
        <v>61118</v>
      </c>
      <c r="F1248" s="15" t="inlineStr">
        <is>
          <t>2026-06-15</t>
        </is>
      </c>
    </row>
    <row r="1249" ht="26.75" customHeight="1" s="104">
      <c r="A1249" s="15" t="inlineStr">
        <is>
          <t>Sun Prairie Area School District</t>
        </is>
      </c>
      <c r="B1249" s="15" t="inlineStr">
        <is>
          <t>WI</t>
        </is>
      </c>
      <c r="C1249" s="15" t="inlineStr">
        <is>
          <t>Master's</t>
        </is>
      </c>
      <c r="D1249" s="28" t="n">
        <v>4</v>
      </c>
      <c r="E1249" s="26" t="n">
        <v>62518</v>
      </c>
      <c r="F1249" s="15" t="inlineStr">
        <is>
          <t>2026-06-15</t>
        </is>
      </c>
    </row>
    <row r="1250" ht="26.75" customHeight="1" s="104">
      <c r="A1250" s="15" t="inlineStr">
        <is>
          <t>Sun Prairie Area School District</t>
        </is>
      </c>
      <c r="B1250" s="15" t="inlineStr">
        <is>
          <t>WI</t>
        </is>
      </c>
      <c r="C1250" s="15" t="inlineStr">
        <is>
          <t>Master's</t>
        </is>
      </c>
      <c r="D1250" s="28" t="n">
        <v>5</v>
      </c>
      <c r="E1250" s="26" t="n">
        <v>63918</v>
      </c>
      <c r="F1250" s="15" t="inlineStr">
        <is>
          <t>2026-06-15</t>
        </is>
      </c>
    </row>
    <row r="1251" ht="26.75" customHeight="1" s="104">
      <c r="A1251" s="15" t="inlineStr">
        <is>
          <t>Sun Prairie Area School District</t>
        </is>
      </c>
      <c r="B1251" s="15" t="inlineStr">
        <is>
          <t>WI</t>
        </is>
      </c>
      <c r="C1251" s="15" t="inlineStr">
        <is>
          <t>Master's</t>
        </is>
      </c>
      <c r="D1251" s="28" t="n">
        <v>6</v>
      </c>
      <c r="E1251" s="26" t="n">
        <v>65318</v>
      </c>
      <c r="F1251" s="15" t="inlineStr">
        <is>
          <t>2026-06-15</t>
        </is>
      </c>
    </row>
    <row r="1252" ht="26.75" customHeight="1" s="104">
      <c r="A1252" s="15" t="inlineStr">
        <is>
          <t>Sun Prairie Area School District</t>
        </is>
      </c>
      <c r="B1252" s="15" t="inlineStr">
        <is>
          <t>WI</t>
        </is>
      </c>
      <c r="C1252" s="15" t="inlineStr">
        <is>
          <t>Master's</t>
        </is>
      </c>
      <c r="D1252" s="28" t="n">
        <v>7</v>
      </c>
      <c r="E1252" s="26" t="n">
        <v>66718</v>
      </c>
      <c r="F1252" s="15" t="inlineStr">
        <is>
          <t>2026-06-15</t>
        </is>
      </c>
    </row>
    <row r="1253" ht="26.75" customHeight="1" s="104">
      <c r="A1253" s="15" t="inlineStr">
        <is>
          <t>Sun Prairie Area School District</t>
        </is>
      </c>
      <c r="B1253" s="15" t="inlineStr">
        <is>
          <t>WI</t>
        </is>
      </c>
      <c r="C1253" s="15" t="inlineStr">
        <is>
          <t>Master's</t>
        </is>
      </c>
      <c r="D1253" s="28" t="n">
        <v>8</v>
      </c>
      <c r="E1253" s="26" t="n">
        <v>68118</v>
      </c>
      <c r="F1253" s="15" t="inlineStr">
        <is>
          <t>2026-06-15</t>
        </is>
      </c>
    </row>
    <row r="1254" ht="26.75" customHeight="1" s="104">
      <c r="A1254" s="15" t="inlineStr">
        <is>
          <t>Sun Prairie Area School District</t>
        </is>
      </c>
      <c r="B1254" s="15" t="inlineStr">
        <is>
          <t>WI</t>
        </is>
      </c>
      <c r="C1254" s="15" t="inlineStr">
        <is>
          <t>Master's</t>
        </is>
      </c>
      <c r="D1254" s="28" t="n">
        <v>9</v>
      </c>
      <c r="E1254" s="26" t="n">
        <v>69518</v>
      </c>
      <c r="F1254" s="15" t="inlineStr">
        <is>
          <t>2026-06-15</t>
        </is>
      </c>
    </row>
    <row r="1255" ht="26.75" customHeight="1" s="104">
      <c r="A1255" s="15" t="inlineStr">
        <is>
          <t>Sun Prairie Area School District</t>
        </is>
      </c>
      <c r="B1255" s="15" t="inlineStr">
        <is>
          <t>WI</t>
        </is>
      </c>
      <c r="C1255" s="15" t="inlineStr">
        <is>
          <t>Master's</t>
        </is>
      </c>
      <c r="D1255" s="28" t="n">
        <v>10</v>
      </c>
      <c r="E1255" s="26" t="n">
        <v>70918</v>
      </c>
      <c r="F1255" s="15" t="inlineStr">
        <is>
          <t>2026-06-15</t>
        </is>
      </c>
    </row>
    <row r="1256" ht="26.75" customHeight="1" s="104">
      <c r="A1256" s="15" t="inlineStr">
        <is>
          <t>Syosset Central School District</t>
        </is>
      </c>
      <c r="B1256" s="15" t="inlineStr">
        <is>
          <t>NY</t>
        </is>
      </c>
      <c r="C1256" s="15" t="inlineStr">
        <is>
          <t>Bachelor's</t>
        </is>
      </c>
      <c r="D1256" s="28" t="n">
        <v>0</v>
      </c>
      <c r="E1256" s="26" t="n">
        <v>68687</v>
      </c>
      <c r="F1256" s="15" t="inlineStr">
        <is>
          <t>2026-06-10</t>
        </is>
      </c>
    </row>
    <row r="1257" ht="26.75" customHeight="1" s="104">
      <c r="A1257" s="15" t="inlineStr">
        <is>
          <t>Syosset Central School District</t>
        </is>
      </c>
      <c r="B1257" s="15" t="inlineStr">
        <is>
          <t>NY</t>
        </is>
      </c>
      <c r="C1257" s="15" t="inlineStr">
        <is>
          <t>Bachelor's</t>
        </is>
      </c>
      <c r="D1257" s="28" t="n">
        <v>1</v>
      </c>
      <c r="E1257" s="26" t="n">
        <v>71732</v>
      </c>
      <c r="F1257" s="15" t="inlineStr">
        <is>
          <t>2026-06-10</t>
        </is>
      </c>
    </row>
    <row r="1258" ht="26.75" customHeight="1" s="104">
      <c r="A1258" s="15" t="inlineStr">
        <is>
          <t>Syosset Central School District</t>
        </is>
      </c>
      <c r="B1258" s="15" t="inlineStr">
        <is>
          <t>NY</t>
        </is>
      </c>
      <c r="C1258" s="15" t="inlineStr">
        <is>
          <t>Bachelor's</t>
        </is>
      </c>
      <c r="D1258" s="28" t="n">
        <v>2</v>
      </c>
      <c r="E1258" s="26" t="n">
        <v>74766</v>
      </c>
      <c r="F1258" s="15" t="inlineStr">
        <is>
          <t>2026-06-10</t>
        </is>
      </c>
    </row>
    <row r="1259" ht="26.75" customHeight="1" s="104">
      <c r="A1259" s="15" t="inlineStr">
        <is>
          <t>Syosset Central School District</t>
        </is>
      </c>
      <c r="B1259" s="15" t="inlineStr">
        <is>
          <t>NY</t>
        </is>
      </c>
      <c r="C1259" s="15" t="inlineStr">
        <is>
          <t>Bachelor's</t>
        </is>
      </c>
      <c r="D1259" s="28" t="n">
        <v>3</v>
      </c>
      <c r="E1259" s="26" t="n">
        <v>77752</v>
      </c>
      <c r="F1259" s="15" t="inlineStr">
        <is>
          <t>2026-06-10</t>
        </is>
      </c>
    </row>
    <row r="1260" ht="26.75" customHeight="1" s="104">
      <c r="A1260" s="15" t="inlineStr">
        <is>
          <t>Syosset Central School District</t>
        </is>
      </c>
      <c r="B1260" s="15" t="inlineStr">
        <is>
          <t>NY</t>
        </is>
      </c>
      <c r="C1260" s="15" t="inlineStr">
        <is>
          <t>Bachelor's</t>
        </is>
      </c>
      <c r="D1260" s="28" t="n">
        <v>4</v>
      </c>
      <c r="E1260" s="26" t="n">
        <v>80994</v>
      </c>
      <c r="F1260" s="15" t="inlineStr">
        <is>
          <t>2026-06-10</t>
        </is>
      </c>
    </row>
    <row r="1261" ht="26.75" customHeight="1" s="104">
      <c r="A1261" s="15" t="inlineStr">
        <is>
          <t>Syosset Central School District</t>
        </is>
      </c>
      <c r="B1261" s="15" t="inlineStr">
        <is>
          <t>NY</t>
        </is>
      </c>
      <c r="C1261" s="15" t="inlineStr">
        <is>
          <t>Bachelor's</t>
        </is>
      </c>
      <c r="D1261" s="28" t="n">
        <v>5</v>
      </c>
      <c r="E1261" s="26" t="n">
        <v>84471</v>
      </c>
      <c r="F1261" s="15" t="inlineStr">
        <is>
          <t>2026-06-10</t>
        </is>
      </c>
    </row>
    <row r="1262" ht="26.75" customHeight="1" s="104">
      <c r="A1262" s="15" t="inlineStr">
        <is>
          <t>Syosset Central School District</t>
        </is>
      </c>
      <c r="B1262" s="15" t="inlineStr">
        <is>
          <t>NY</t>
        </is>
      </c>
      <c r="C1262" s="15" t="inlineStr">
        <is>
          <t>Bachelor's</t>
        </is>
      </c>
      <c r="D1262" s="28" t="n">
        <v>6</v>
      </c>
      <c r="E1262" s="26" t="n">
        <v>88365</v>
      </c>
      <c r="F1262" s="15" t="inlineStr">
        <is>
          <t>2026-06-10</t>
        </is>
      </c>
    </row>
    <row r="1263" ht="26.75" customHeight="1" s="104">
      <c r="A1263" s="15" t="inlineStr">
        <is>
          <t>Syosset Central School District</t>
        </is>
      </c>
      <c r="B1263" s="15" t="inlineStr">
        <is>
          <t>NY</t>
        </is>
      </c>
      <c r="C1263" s="15" t="inlineStr">
        <is>
          <t>Bachelor's</t>
        </is>
      </c>
      <c r="D1263" s="28" t="n">
        <v>7</v>
      </c>
      <c r="E1263" s="26" t="n">
        <v>92271</v>
      </c>
      <c r="F1263" s="15" t="inlineStr">
        <is>
          <t>2026-06-10</t>
        </is>
      </c>
    </row>
    <row r="1264" ht="26.75" customHeight="1" s="104">
      <c r="A1264" s="15" t="inlineStr">
        <is>
          <t>Syosset Central School District</t>
        </is>
      </c>
      <c r="B1264" s="15" t="inlineStr">
        <is>
          <t>NY</t>
        </is>
      </c>
      <c r="C1264" s="15" t="inlineStr">
        <is>
          <t>Bachelor's</t>
        </is>
      </c>
      <c r="D1264" s="28" t="n">
        <v>8</v>
      </c>
      <c r="E1264" s="26" t="n">
        <v>96385</v>
      </c>
      <c r="F1264" s="15" t="inlineStr">
        <is>
          <t>2026-06-10</t>
        </is>
      </c>
    </row>
    <row r="1265" ht="26.75" customHeight="1" s="104">
      <c r="A1265" s="15" t="inlineStr">
        <is>
          <t>Syosset Central School District</t>
        </is>
      </c>
      <c r="B1265" s="15" t="inlineStr">
        <is>
          <t>NY</t>
        </is>
      </c>
      <c r="C1265" s="15" t="inlineStr">
        <is>
          <t>Bachelor's</t>
        </is>
      </c>
      <c r="D1265" s="28" t="n">
        <v>9</v>
      </c>
      <c r="E1265" s="26" t="n">
        <v>100511</v>
      </c>
      <c r="F1265" s="15" t="inlineStr">
        <is>
          <t>2026-06-10</t>
        </is>
      </c>
    </row>
    <row r="1266" ht="26.75" customHeight="1" s="104">
      <c r="A1266" s="15" t="inlineStr">
        <is>
          <t>Syosset Central School District</t>
        </is>
      </c>
      <c r="B1266" s="15" t="inlineStr">
        <is>
          <t>NY</t>
        </is>
      </c>
      <c r="C1266" s="15" t="inlineStr">
        <is>
          <t>Bachelor's</t>
        </is>
      </c>
      <c r="D1266" s="28" t="n">
        <v>10</v>
      </c>
      <c r="E1266" s="26" t="n">
        <v>103885</v>
      </c>
      <c r="F1266" s="15" t="inlineStr">
        <is>
          <t>2026-06-10</t>
        </is>
      </c>
    </row>
    <row r="1267" ht="26.75" customHeight="1" s="104">
      <c r="A1267" s="15" t="inlineStr">
        <is>
          <t>Syosset Central School District</t>
        </is>
      </c>
      <c r="B1267" s="15" t="inlineStr">
        <is>
          <t>NY</t>
        </is>
      </c>
      <c r="C1267" s="15" t="inlineStr">
        <is>
          <t>Master's</t>
        </is>
      </c>
      <c r="D1267" s="28" t="n">
        <v>0</v>
      </c>
      <c r="E1267" s="26" t="n">
        <v>79562</v>
      </c>
      <c r="F1267" s="15" t="inlineStr">
        <is>
          <t>2026-06-10</t>
        </is>
      </c>
    </row>
    <row r="1268" ht="26.75" customHeight="1" s="104">
      <c r="A1268" s="15" t="inlineStr">
        <is>
          <t>Syosset Central School District</t>
        </is>
      </c>
      <c r="B1268" s="15" t="inlineStr">
        <is>
          <t>NY</t>
        </is>
      </c>
      <c r="C1268" s="15" t="inlineStr">
        <is>
          <t>Master's</t>
        </is>
      </c>
      <c r="D1268" s="28" t="n">
        <v>1</v>
      </c>
      <c r="E1268" s="26" t="n">
        <v>82599</v>
      </c>
      <c r="F1268" s="15" t="inlineStr">
        <is>
          <t>2026-06-10</t>
        </is>
      </c>
    </row>
    <row r="1269" ht="26.75" customHeight="1" s="104">
      <c r="A1269" s="15" t="inlineStr">
        <is>
          <t>Syosset Central School District</t>
        </is>
      </c>
      <c r="B1269" s="15" t="inlineStr">
        <is>
          <t>NY</t>
        </is>
      </c>
      <c r="C1269" s="15" t="inlineStr">
        <is>
          <t>Master's</t>
        </is>
      </c>
      <c r="D1269" s="28" t="n">
        <v>2</v>
      </c>
      <c r="E1269" s="26" t="n">
        <v>85649</v>
      </c>
      <c r="F1269" s="15" t="inlineStr">
        <is>
          <t>2026-06-10</t>
        </is>
      </c>
    </row>
    <row r="1270" ht="26.75" customHeight="1" s="104">
      <c r="A1270" s="15" t="inlineStr">
        <is>
          <t>Syosset Central School District</t>
        </is>
      </c>
      <c r="B1270" s="15" t="inlineStr">
        <is>
          <t>NY</t>
        </is>
      </c>
      <c r="C1270" s="15" t="inlineStr">
        <is>
          <t>Master's</t>
        </is>
      </c>
      <c r="D1270" s="28" t="n">
        <v>3</v>
      </c>
      <c r="E1270" s="26" t="n">
        <v>88589</v>
      </c>
      <c r="F1270" s="15" t="inlineStr">
        <is>
          <t>2026-06-10</t>
        </is>
      </c>
    </row>
    <row r="1271" ht="26.75" customHeight="1" s="104">
      <c r="A1271" s="15" t="inlineStr">
        <is>
          <t>Syosset Central School District</t>
        </is>
      </c>
      <c r="B1271" s="15" t="inlineStr">
        <is>
          <t>NY</t>
        </is>
      </c>
      <c r="C1271" s="15" t="inlineStr">
        <is>
          <t>Master's</t>
        </is>
      </c>
      <c r="D1271" s="28" t="n">
        <v>4</v>
      </c>
      <c r="E1271" s="26" t="n">
        <v>91836</v>
      </c>
      <c r="F1271" s="15" t="inlineStr">
        <is>
          <t>2026-06-10</t>
        </is>
      </c>
    </row>
    <row r="1272" ht="26.75" customHeight="1" s="104">
      <c r="A1272" s="15" t="inlineStr">
        <is>
          <t>Syosset Central School District</t>
        </is>
      </c>
      <c r="B1272" s="15" t="inlineStr">
        <is>
          <t>NY</t>
        </is>
      </c>
      <c r="C1272" s="15" t="inlineStr">
        <is>
          <t>Master's</t>
        </is>
      </c>
      <c r="D1272" s="28" t="n">
        <v>5</v>
      </c>
      <c r="E1272" s="26" t="n">
        <v>95313</v>
      </c>
      <c r="F1272" s="15" t="inlineStr">
        <is>
          <t>2026-06-10</t>
        </is>
      </c>
    </row>
    <row r="1273" ht="26.75" customHeight="1" s="104">
      <c r="A1273" s="15" t="inlineStr">
        <is>
          <t>Syosset Central School District</t>
        </is>
      </c>
      <c r="B1273" s="15" t="inlineStr">
        <is>
          <t>NY</t>
        </is>
      </c>
      <c r="C1273" s="15" t="inlineStr">
        <is>
          <t>Master's</t>
        </is>
      </c>
      <c r="D1273" s="28" t="n">
        <v>6</v>
      </c>
      <c r="E1273" s="26" t="n">
        <v>99204</v>
      </c>
      <c r="F1273" s="15" t="inlineStr">
        <is>
          <t>2026-06-10</t>
        </is>
      </c>
    </row>
    <row r="1274" ht="26.75" customHeight="1" s="104">
      <c r="A1274" s="15" t="inlineStr">
        <is>
          <t>Syosset Central School District</t>
        </is>
      </c>
      <c r="B1274" s="15" t="inlineStr">
        <is>
          <t>NY</t>
        </is>
      </c>
      <c r="C1274" s="15" t="inlineStr">
        <is>
          <t>Master's</t>
        </is>
      </c>
      <c r="D1274" s="28" t="n">
        <v>7</v>
      </c>
      <c r="E1274" s="26" t="n">
        <v>103113</v>
      </c>
      <c r="F1274" s="15" t="inlineStr">
        <is>
          <t>2026-06-10</t>
        </is>
      </c>
    </row>
    <row r="1275" ht="26.75" customHeight="1" s="104">
      <c r="A1275" s="15" t="inlineStr">
        <is>
          <t>Syosset Central School District</t>
        </is>
      </c>
      <c r="B1275" s="15" t="inlineStr">
        <is>
          <t>NY</t>
        </is>
      </c>
      <c r="C1275" s="15" t="inlineStr">
        <is>
          <t>Master's</t>
        </is>
      </c>
      <c r="D1275" s="28" t="n">
        <v>8</v>
      </c>
      <c r="E1275" s="26" t="n">
        <v>107225</v>
      </c>
      <c r="F1275" s="15" t="inlineStr">
        <is>
          <t>2026-06-10</t>
        </is>
      </c>
    </row>
    <row r="1276" ht="26.75" customHeight="1" s="104">
      <c r="A1276" s="15" t="inlineStr">
        <is>
          <t>Syosset Central School District</t>
        </is>
      </c>
      <c r="B1276" s="15" t="inlineStr">
        <is>
          <t>NY</t>
        </is>
      </c>
      <c r="C1276" s="15" t="inlineStr">
        <is>
          <t>Master's</t>
        </is>
      </c>
      <c r="D1276" s="28" t="n">
        <v>9</v>
      </c>
      <c r="E1276" s="26" t="n">
        <v>111343</v>
      </c>
      <c r="F1276" s="15" t="inlineStr">
        <is>
          <t>2026-06-10</t>
        </is>
      </c>
    </row>
    <row r="1277" ht="26.75" customHeight="1" s="104">
      <c r="A1277" s="15" t="inlineStr">
        <is>
          <t>Syosset Central School District</t>
        </is>
      </c>
      <c r="B1277" s="15" t="inlineStr">
        <is>
          <t>NY</t>
        </is>
      </c>
      <c r="C1277" s="15" t="inlineStr">
        <is>
          <t>Master's</t>
        </is>
      </c>
      <c r="D1277" s="28" t="n">
        <v>10</v>
      </c>
      <c r="E1277" s="26" t="n">
        <v>115460</v>
      </c>
      <c r="F1277" s="15" t="inlineStr">
        <is>
          <t>2026-06-10</t>
        </is>
      </c>
    </row>
    <row r="1278" ht="26.75" customHeight="1" s="104">
      <c r="A1278" t="inlineStr">
        <is>
          <t>Tahoe-Truckee Unified School District</t>
        </is>
      </c>
      <c r="B1278" t="inlineStr">
        <is>
          <t>CA</t>
        </is>
      </c>
      <c r="C1278" t="inlineStr">
        <is>
          <t>Bachelor's</t>
        </is>
      </c>
      <c r="D1278" t="n">
        <v>0</v>
      </c>
      <c r="E1278" t="n">
        <v>71086</v>
      </c>
      <c r="F1278" t="inlineStr">
        <is>
          <t>2026-06-16</t>
        </is>
      </c>
    </row>
    <row r="1279" ht="26.75" customHeight="1" s="104">
      <c r="A1279" t="inlineStr">
        <is>
          <t>Tahoe-Truckee Unified School District</t>
        </is>
      </c>
      <c r="B1279" t="inlineStr">
        <is>
          <t>CA</t>
        </is>
      </c>
      <c r="C1279" t="inlineStr">
        <is>
          <t>Bachelor's</t>
        </is>
      </c>
      <c r="D1279" t="n">
        <v>1</v>
      </c>
      <c r="E1279" t="n">
        <v>73926</v>
      </c>
      <c r="F1279" t="inlineStr">
        <is>
          <t>2026-06-16</t>
        </is>
      </c>
    </row>
    <row r="1280" ht="26.75" customHeight="1" s="104">
      <c r="A1280" t="inlineStr">
        <is>
          <t>Tahoe-Truckee Unified School District</t>
        </is>
      </c>
      <c r="B1280" t="inlineStr">
        <is>
          <t>CA</t>
        </is>
      </c>
      <c r="C1280" t="inlineStr">
        <is>
          <t>Bachelor's</t>
        </is>
      </c>
      <c r="D1280" t="n">
        <v>2</v>
      </c>
      <c r="E1280" t="n">
        <v>76885</v>
      </c>
      <c r="F1280" t="inlineStr">
        <is>
          <t>2026-06-16</t>
        </is>
      </c>
    </row>
    <row r="1281" ht="26.75" customHeight="1" s="104">
      <c r="A1281" t="inlineStr">
        <is>
          <t>Tahoe-Truckee Unified School District</t>
        </is>
      </c>
      <c r="B1281" t="inlineStr">
        <is>
          <t>CA</t>
        </is>
      </c>
      <c r="C1281" t="inlineStr">
        <is>
          <t>Bachelor's</t>
        </is>
      </c>
      <c r="D1281" t="n">
        <v>3</v>
      </c>
      <c r="E1281" t="n">
        <v>79960</v>
      </c>
      <c r="F1281" t="inlineStr">
        <is>
          <t>2026-06-16</t>
        </is>
      </c>
    </row>
    <row r="1282" ht="26.75" customHeight="1" s="104">
      <c r="A1282" t="inlineStr">
        <is>
          <t>Tahoe-Truckee Unified School District</t>
        </is>
      </c>
      <c r="B1282" t="inlineStr">
        <is>
          <t>CA</t>
        </is>
      </c>
      <c r="C1282" t="inlineStr">
        <is>
          <t>Bachelor's</t>
        </is>
      </c>
      <c r="D1282" t="n">
        <v>4</v>
      </c>
      <c r="E1282" t="n">
        <v>85931</v>
      </c>
      <c r="F1282" t="inlineStr">
        <is>
          <t>2026-06-16</t>
        </is>
      </c>
    </row>
    <row r="1283" ht="26.75" customHeight="1" s="104">
      <c r="A1283" t="inlineStr">
        <is>
          <t>Tahoe-Truckee Unified School District</t>
        </is>
      </c>
      <c r="B1283" t="inlineStr">
        <is>
          <t>CA</t>
        </is>
      </c>
      <c r="C1283" t="inlineStr">
        <is>
          <t>Bachelor's</t>
        </is>
      </c>
      <c r="D1283" t="n">
        <v>5</v>
      </c>
      <c r="E1283" t="n">
        <v>85931</v>
      </c>
      <c r="F1283" t="inlineStr">
        <is>
          <t>2026-06-16</t>
        </is>
      </c>
    </row>
    <row r="1284" ht="26.75" customHeight="1" s="104">
      <c r="A1284" t="inlineStr">
        <is>
          <t>Tahoe-Truckee Unified School District</t>
        </is>
      </c>
      <c r="B1284" t="inlineStr">
        <is>
          <t>CA</t>
        </is>
      </c>
      <c r="C1284" t="inlineStr">
        <is>
          <t>Bachelor's</t>
        </is>
      </c>
      <c r="D1284" t="n">
        <v>6</v>
      </c>
      <c r="E1284" t="n">
        <v>85931</v>
      </c>
      <c r="F1284" t="inlineStr">
        <is>
          <t>2026-06-16</t>
        </is>
      </c>
    </row>
    <row r="1285" ht="26.75" customHeight="1" s="104">
      <c r="A1285" t="inlineStr">
        <is>
          <t>Tahoe-Truckee Unified School District</t>
        </is>
      </c>
      <c r="B1285" t="inlineStr">
        <is>
          <t>CA</t>
        </is>
      </c>
      <c r="C1285" t="inlineStr">
        <is>
          <t>Bachelor's</t>
        </is>
      </c>
      <c r="D1285" t="n">
        <v>7</v>
      </c>
      <c r="E1285" t="n">
        <v>85931</v>
      </c>
      <c r="F1285" t="inlineStr">
        <is>
          <t>2026-06-16</t>
        </is>
      </c>
    </row>
    <row r="1286" ht="26.75" customHeight="1" s="104">
      <c r="A1286" t="inlineStr">
        <is>
          <t>Tahoe-Truckee Unified School District</t>
        </is>
      </c>
      <c r="B1286" t="inlineStr">
        <is>
          <t>CA</t>
        </is>
      </c>
      <c r="C1286" t="inlineStr">
        <is>
          <t>Bachelor's</t>
        </is>
      </c>
      <c r="D1286" t="n">
        <v>8</v>
      </c>
      <c r="E1286" t="n">
        <v>85931</v>
      </c>
      <c r="F1286" t="inlineStr">
        <is>
          <t>2026-06-16</t>
        </is>
      </c>
    </row>
    <row r="1287" ht="26.75" customHeight="1" s="104">
      <c r="A1287" t="inlineStr">
        <is>
          <t>Tahoe-Truckee Unified School District</t>
        </is>
      </c>
      <c r="B1287" t="inlineStr">
        <is>
          <t>CA</t>
        </is>
      </c>
      <c r="C1287" t="inlineStr">
        <is>
          <t>Bachelor's</t>
        </is>
      </c>
      <c r="D1287" t="n">
        <v>9</v>
      </c>
      <c r="E1287" t="n">
        <v>85931</v>
      </c>
      <c r="F1287" t="inlineStr">
        <is>
          <t>2026-06-16</t>
        </is>
      </c>
    </row>
    <row r="1288" ht="26.75" customHeight="1" s="104">
      <c r="A1288" t="inlineStr">
        <is>
          <t>Tahoe-Truckee Unified School District</t>
        </is>
      </c>
      <c r="B1288" t="inlineStr">
        <is>
          <t>CA</t>
        </is>
      </c>
      <c r="C1288" t="inlineStr">
        <is>
          <t>Bachelor's</t>
        </is>
      </c>
      <c r="D1288" t="n">
        <v>10</v>
      </c>
      <c r="E1288" t="n">
        <v>85931</v>
      </c>
      <c r="F1288" t="inlineStr">
        <is>
          <t>2026-06-16</t>
        </is>
      </c>
    </row>
    <row r="1289" ht="26.75" customHeight="1" s="104">
      <c r="A1289" t="inlineStr">
        <is>
          <t>Tahoe-Truckee Unified School District</t>
        </is>
      </c>
      <c r="B1289" t="inlineStr">
        <is>
          <t>CA</t>
        </is>
      </c>
      <c r="C1289" t="inlineStr">
        <is>
          <t>Master's</t>
        </is>
      </c>
      <c r="D1289" t="n">
        <v>0</v>
      </c>
      <c r="E1289" t="n">
        <v>72086</v>
      </c>
      <c r="F1289" t="inlineStr">
        <is>
          <t>2026-06-16</t>
        </is>
      </c>
    </row>
    <row r="1290" ht="26.75" customHeight="1" s="104">
      <c r="A1290" t="inlineStr">
        <is>
          <t>Tahoe-Truckee Unified School District</t>
        </is>
      </c>
      <c r="B1290" t="inlineStr">
        <is>
          <t>CA</t>
        </is>
      </c>
      <c r="C1290" t="inlineStr">
        <is>
          <t>Master's</t>
        </is>
      </c>
      <c r="D1290" t="n">
        <v>1</v>
      </c>
      <c r="E1290" t="n">
        <v>74926</v>
      </c>
      <c r="F1290" t="inlineStr">
        <is>
          <t>2026-06-16</t>
        </is>
      </c>
    </row>
    <row r="1291" ht="26.75" customHeight="1" s="104">
      <c r="A1291" t="inlineStr">
        <is>
          <t>Tahoe-Truckee Unified School District</t>
        </is>
      </c>
      <c r="B1291" t="inlineStr">
        <is>
          <t>CA</t>
        </is>
      </c>
      <c r="C1291" t="inlineStr">
        <is>
          <t>Master's</t>
        </is>
      </c>
      <c r="D1291" t="n">
        <v>2</v>
      </c>
      <c r="E1291" t="n">
        <v>77885</v>
      </c>
      <c r="F1291" t="inlineStr">
        <is>
          <t>2026-06-16</t>
        </is>
      </c>
    </row>
    <row r="1292" ht="26.75" customHeight="1" s="104">
      <c r="A1292" t="inlineStr">
        <is>
          <t>Tahoe-Truckee Unified School District</t>
        </is>
      </c>
      <c r="B1292" t="inlineStr">
        <is>
          <t>CA</t>
        </is>
      </c>
      <c r="C1292" t="inlineStr">
        <is>
          <t>Master's</t>
        </is>
      </c>
      <c r="D1292" t="n">
        <v>3</v>
      </c>
      <c r="E1292" t="n">
        <v>80960</v>
      </c>
      <c r="F1292" t="inlineStr">
        <is>
          <t>2026-06-16</t>
        </is>
      </c>
    </row>
    <row r="1293" ht="26.75" customHeight="1" s="104">
      <c r="A1293" t="inlineStr">
        <is>
          <t>Tahoe-Truckee Unified School District</t>
        </is>
      </c>
      <c r="B1293" t="inlineStr">
        <is>
          <t>CA</t>
        </is>
      </c>
      <c r="C1293" t="inlineStr">
        <is>
          <t>Master's</t>
        </is>
      </c>
      <c r="D1293" t="n">
        <v>4</v>
      </c>
      <c r="E1293" t="n">
        <v>86931</v>
      </c>
      <c r="F1293" t="inlineStr">
        <is>
          <t>2026-06-16</t>
        </is>
      </c>
    </row>
    <row r="1294" ht="26.75" customHeight="1" s="104">
      <c r="A1294" t="inlineStr">
        <is>
          <t>Tahoe-Truckee Unified School District</t>
        </is>
      </c>
      <c r="B1294" t="inlineStr">
        <is>
          <t>CA</t>
        </is>
      </c>
      <c r="C1294" t="inlineStr">
        <is>
          <t>Master's</t>
        </is>
      </c>
      <c r="D1294" t="n">
        <v>5</v>
      </c>
      <c r="E1294" t="n">
        <v>86931</v>
      </c>
      <c r="F1294" t="inlineStr">
        <is>
          <t>2026-06-16</t>
        </is>
      </c>
    </row>
    <row r="1295" ht="26.75" customHeight="1" s="104">
      <c r="A1295" t="inlineStr">
        <is>
          <t>Tahoe-Truckee Unified School District</t>
        </is>
      </c>
      <c r="B1295" t="inlineStr">
        <is>
          <t>CA</t>
        </is>
      </c>
      <c r="C1295" t="inlineStr">
        <is>
          <t>Master's</t>
        </is>
      </c>
      <c r="D1295" t="n">
        <v>6</v>
      </c>
      <c r="E1295" t="n">
        <v>86931</v>
      </c>
      <c r="F1295" t="inlineStr">
        <is>
          <t>2026-06-16</t>
        </is>
      </c>
    </row>
    <row r="1296" ht="26.75" customHeight="1" s="104">
      <c r="A1296" t="inlineStr">
        <is>
          <t>Tahoe-Truckee Unified School District</t>
        </is>
      </c>
      <c r="B1296" t="inlineStr">
        <is>
          <t>CA</t>
        </is>
      </c>
      <c r="C1296" t="inlineStr">
        <is>
          <t>Master's</t>
        </is>
      </c>
      <c r="D1296" t="n">
        <v>7</v>
      </c>
      <c r="E1296" t="n">
        <v>86931</v>
      </c>
      <c r="F1296" t="inlineStr">
        <is>
          <t>2026-06-16</t>
        </is>
      </c>
    </row>
    <row r="1297" ht="26.75" customHeight="1" s="104">
      <c r="A1297" t="inlineStr">
        <is>
          <t>Tahoe-Truckee Unified School District</t>
        </is>
      </c>
      <c r="B1297" t="inlineStr">
        <is>
          <t>CA</t>
        </is>
      </c>
      <c r="C1297" t="inlineStr">
        <is>
          <t>Master's</t>
        </is>
      </c>
      <c r="D1297" t="n">
        <v>8</v>
      </c>
      <c r="E1297" t="n">
        <v>86931</v>
      </c>
      <c r="F1297" t="inlineStr">
        <is>
          <t>2026-06-16</t>
        </is>
      </c>
    </row>
    <row r="1298" ht="26.75" customHeight="1" s="104">
      <c r="A1298" t="inlineStr">
        <is>
          <t>Tahoe-Truckee Unified School District</t>
        </is>
      </c>
      <c r="B1298" t="inlineStr">
        <is>
          <t>CA</t>
        </is>
      </c>
      <c r="C1298" t="inlineStr">
        <is>
          <t>Master's</t>
        </is>
      </c>
      <c r="D1298" t="n">
        <v>9</v>
      </c>
      <c r="E1298" t="n">
        <v>86931</v>
      </c>
      <c r="F1298" t="inlineStr">
        <is>
          <t>2026-06-16</t>
        </is>
      </c>
    </row>
    <row r="1299" ht="26.75" customHeight="1" s="104">
      <c r="A1299" t="inlineStr">
        <is>
          <t>Tahoe-Truckee Unified School District</t>
        </is>
      </c>
      <c r="B1299" t="inlineStr">
        <is>
          <t>CA</t>
        </is>
      </c>
      <c r="C1299" t="inlineStr">
        <is>
          <t>Master's</t>
        </is>
      </c>
      <c r="D1299" t="n">
        <v>10</v>
      </c>
      <c r="E1299" t="n">
        <v>86931</v>
      </c>
      <c r="F1299" t="inlineStr">
        <is>
          <t>2026-06-16</t>
        </is>
      </c>
    </row>
    <row r="1300" ht="26.75" customHeight="1" s="104">
      <c r="A1300" s="15" t="inlineStr">
        <is>
          <t>Verona Area School District</t>
        </is>
      </c>
      <c r="B1300" s="15" t="inlineStr">
        <is>
          <t>WI</t>
        </is>
      </c>
      <c r="C1300" s="15" t="inlineStr">
        <is>
          <t>Bachelor's</t>
        </is>
      </c>
      <c r="D1300" s="28" t="n">
        <v>0</v>
      </c>
      <c r="E1300" s="26" t="n">
        <v>56698</v>
      </c>
      <c r="F1300" s="15" t="inlineStr">
        <is>
          <t>2026-06-15</t>
        </is>
      </c>
    </row>
    <row r="1301" ht="26.75" customHeight="1" s="104">
      <c r="A1301" s="15" t="inlineStr">
        <is>
          <t>Verona Area School District</t>
        </is>
      </c>
      <c r="B1301" s="15" t="inlineStr">
        <is>
          <t>WI</t>
        </is>
      </c>
      <c r="C1301" s="15" t="inlineStr">
        <is>
          <t>Bachelor's</t>
        </is>
      </c>
      <c r="D1301" s="28" t="n">
        <v>1</v>
      </c>
      <c r="E1301" s="26" t="n">
        <v>57676</v>
      </c>
      <c r="F1301" s="15" t="inlineStr">
        <is>
          <t>2026-06-15</t>
        </is>
      </c>
    </row>
    <row r="1302" ht="26.75" customHeight="1" s="104">
      <c r="A1302" s="15" t="inlineStr">
        <is>
          <t>Verona Area School District</t>
        </is>
      </c>
      <c r="B1302" s="15" t="inlineStr">
        <is>
          <t>WI</t>
        </is>
      </c>
      <c r="C1302" s="15" t="inlineStr">
        <is>
          <t>Bachelor's</t>
        </is>
      </c>
      <c r="D1302" s="28" t="n">
        <v>2</v>
      </c>
      <c r="E1302" s="26" t="n">
        <v>58654</v>
      </c>
      <c r="F1302" s="15" t="inlineStr">
        <is>
          <t>2026-06-15</t>
        </is>
      </c>
    </row>
    <row r="1303" ht="26.75" customHeight="1" s="104">
      <c r="A1303" s="15" t="inlineStr">
        <is>
          <t>Verona Area School District</t>
        </is>
      </c>
      <c r="B1303" s="15" t="inlineStr">
        <is>
          <t>WI</t>
        </is>
      </c>
      <c r="C1303" s="15" t="inlineStr">
        <is>
          <t>Bachelor's</t>
        </is>
      </c>
      <c r="D1303" s="28" t="n">
        <v>3</v>
      </c>
      <c r="E1303" s="26" t="n">
        <v>59632</v>
      </c>
      <c r="F1303" s="15" t="inlineStr">
        <is>
          <t>2026-06-15</t>
        </is>
      </c>
    </row>
    <row r="1304" ht="26.75" customHeight="1" s="104">
      <c r="A1304" s="15" t="inlineStr">
        <is>
          <t>Verona Area School District</t>
        </is>
      </c>
      <c r="B1304" s="15" t="inlineStr">
        <is>
          <t>WI</t>
        </is>
      </c>
      <c r="C1304" s="15" t="inlineStr">
        <is>
          <t>Bachelor's</t>
        </is>
      </c>
      <c r="D1304" s="28" t="n">
        <v>4</v>
      </c>
      <c r="E1304" s="26" t="n">
        <v>60610</v>
      </c>
      <c r="F1304" s="15" t="inlineStr">
        <is>
          <t>2026-06-15</t>
        </is>
      </c>
    </row>
    <row r="1305" ht="26.75" customHeight="1" s="104">
      <c r="A1305" s="15" t="inlineStr">
        <is>
          <t>Verona Area School District</t>
        </is>
      </c>
      <c r="B1305" s="15" t="inlineStr">
        <is>
          <t>WI</t>
        </is>
      </c>
      <c r="C1305" s="15" t="inlineStr">
        <is>
          <t>Bachelor's</t>
        </is>
      </c>
      <c r="D1305" s="28" t="n">
        <v>5</v>
      </c>
      <c r="E1305" s="26" t="n">
        <v>61588</v>
      </c>
      <c r="F1305" s="15" t="inlineStr">
        <is>
          <t>2026-06-15</t>
        </is>
      </c>
    </row>
    <row r="1306" ht="26.75" customHeight="1" s="104">
      <c r="A1306" s="15" t="inlineStr">
        <is>
          <t>Verona Area School District</t>
        </is>
      </c>
      <c r="B1306" s="15" t="inlineStr">
        <is>
          <t>WI</t>
        </is>
      </c>
      <c r="C1306" s="15" t="inlineStr">
        <is>
          <t>Bachelor's</t>
        </is>
      </c>
      <c r="D1306" s="28" t="n">
        <v>6</v>
      </c>
      <c r="E1306" s="26" t="n">
        <v>62557</v>
      </c>
      <c r="F1306" s="15" t="inlineStr">
        <is>
          <t>2026-06-15</t>
        </is>
      </c>
    </row>
    <row r="1307" ht="26.75" customHeight="1" s="104">
      <c r="A1307" s="15" t="inlineStr">
        <is>
          <t>Verona Area School District</t>
        </is>
      </c>
      <c r="B1307" s="15" t="inlineStr">
        <is>
          <t>WI</t>
        </is>
      </c>
      <c r="C1307" s="15" t="inlineStr">
        <is>
          <t>Bachelor's</t>
        </is>
      </c>
      <c r="D1307" s="28" t="n">
        <v>7</v>
      </c>
      <c r="E1307" s="26" t="n">
        <v>63526</v>
      </c>
      <c r="F1307" s="15" t="inlineStr">
        <is>
          <t>2026-06-15</t>
        </is>
      </c>
    </row>
    <row r="1308" ht="26.75" customHeight="1" s="104">
      <c r="A1308" s="15" t="inlineStr">
        <is>
          <t>Verona Area School District</t>
        </is>
      </c>
      <c r="B1308" s="15" t="inlineStr">
        <is>
          <t>WI</t>
        </is>
      </c>
      <c r="C1308" s="15" t="inlineStr">
        <is>
          <t>Bachelor's</t>
        </is>
      </c>
      <c r="D1308" s="28" t="n">
        <v>8</v>
      </c>
      <c r="E1308" s="26" t="n">
        <v>64495</v>
      </c>
      <c r="F1308" s="15" t="inlineStr">
        <is>
          <t>2026-06-15</t>
        </is>
      </c>
    </row>
    <row r="1309" ht="26.75" customHeight="1" s="104">
      <c r="A1309" s="15" t="inlineStr">
        <is>
          <t>Verona Area School District</t>
        </is>
      </c>
      <c r="B1309" s="15" t="inlineStr">
        <is>
          <t>WI</t>
        </is>
      </c>
      <c r="C1309" s="15" t="inlineStr">
        <is>
          <t>Bachelor's</t>
        </is>
      </c>
      <c r="D1309" s="28" t="n">
        <v>9</v>
      </c>
      <c r="E1309" s="26" t="n">
        <v>65464</v>
      </c>
      <c r="F1309" s="15" t="inlineStr">
        <is>
          <t>2026-06-15</t>
        </is>
      </c>
    </row>
    <row r="1310" ht="26.75" customHeight="1" s="104">
      <c r="A1310" s="15" t="inlineStr">
        <is>
          <t>Verona Area School District</t>
        </is>
      </c>
      <c r="B1310" s="15" t="inlineStr">
        <is>
          <t>WI</t>
        </is>
      </c>
      <c r="C1310" s="15" t="inlineStr">
        <is>
          <t>Bachelor's</t>
        </is>
      </c>
      <c r="D1310" s="28" t="n">
        <v>10</v>
      </c>
      <c r="E1310" s="26" t="n">
        <v>66431</v>
      </c>
      <c r="F1310" s="15" t="inlineStr">
        <is>
          <t>2026-06-15</t>
        </is>
      </c>
    </row>
    <row r="1311" ht="26.75" customHeight="1" s="104">
      <c r="A1311" s="15" t="inlineStr">
        <is>
          <t>Verona Area School District</t>
        </is>
      </c>
      <c r="B1311" s="15" t="inlineStr">
        <is>
          <t>WI</t>
        </is>
      </c>
      <c r="C1311" s="15" t="inlineStr">
        <is>
          <t>Master's</t>
        </is>
      </c>
      <c r="D1311" s="28" t="n">
        <v>0</v>
      </c>
      <c r="E1311" s="26" t="n">
        <v>62280</v>
      </c>
      <c r="F1311" s="15" t="inlineStr">
        <is>
          <t>2026-06-15</t>
        </is>
      </c>
    </row>
    <row r="1312" ht="26.75" customHeight="1" s="104">
      <c r="A1312" s="15" t="inlineStr">
        <is>
          <t>Verona Area School District</t>
        </is>
      </c>
      <c r="B1312" s="15" t="inlineStr">
        <is>
          <t>WI</t>
        </is>
      </c>
      <c r="C1312" s="15" t="inlineStr">
        <is>
          <t>Master's</t>
        </is>
      </c>
      <c r="D1312" s="28" t="n">
        <v>1</v>
      </c>
      <c r="E1312" s="26" t="n">
        <v>63349</v>
      </c>
      <c r="F1312" s="15" t="inlineStr">
        <is>
          <t>2026-06-15</t>
        </is>
      </c>
    </row>
    <row r="1313" ht="26.75" customHeight="1" s="104">
      <c r="A1313" s="15" t="inlineStr">
        <is>
          <t>Verona Area School District</t>
        </is>
      </c>
      <c r="B1313" s="15" t="inlineStr">
        <is>
          <t>WI</t>
        </is>
      </c>
      <c r="C1313" s="15" t="inlineStr">
        <is>
          <t>Master's</t>
        </is>
      </c>
      <c r="D1313" s="28" t="n">
        <v>2</v>
      </c>
      <c r="E1313" s="26" t="n">
        <v>64418</v>
      </c>
      <c r="F1313" s="15" t="inlineStr">
        <is>
          <t>2026-06-15</t>
        </is>
      </c>
    </row>
    <row r="1314" ht="26.75" customHeight="1" s="104">
      <c r="A1314" s="15" t="inlineStr">
        <is>
          <t>Verona Area School District</t>
        </is>
      </c>
      <c r="B1314" s="15" t="inlineStr">
        <is>
          <t>WI</t>
        </is>
      </c>
      <c r="C1314" s="15" t="inlineStr">
        <is>
          <t>Master's</t>
        </is>
      </c>
      <c r="D1314" s="28" t="n">
        <v>3</v>
      </c>
      <c r="E1314" s="26" t="n">
        <v>65487</v>
      </c>
      <c r="F1314" s="15" t="inlineStr">
        <is>
          <t>2026-06-15</t>
        </is>
      </c>
    </row>
    <row r="1315" ht="26.75" customHeight="1" s="104">
      <c r="A1315" s="15" t="inlineStr">
        <is>
          <t>Verona Area School District</t>
        </is>
      </c>
      <c r="B1315" s="15" t="inlineStr">
        <is>
          <t>WI</t>
        </is>
      </c>
      <c r="C1315" s="15" t="inlineStr">
        <is>
          <t>Master's</t>
        </is>
      </c>
      <c r="D1315" s="28" t="n">
        <v>4</v>
      </c>
      <c r="E1315" s="26" t="n">
        <v>66556</v>
      </c>
      <c r="F1315" s="15" t="inlineStr">
        <is>
          <t>2026-06-15</t>
        </is>
      </c>
    </row>
    <row r="1316" ht="26.75" customHeight="1" s="104">
      <c r="A1316" s="15" t="inlineStr">
        <is>
          <t>Verona Area School District</t>
        </is>
      </c>
      <c r="B1316" s="15" t="inlineStr">
        <is>
          <t>WI</t>
        </is>
      </c>
      <c r="C1316" s="15" t="inlineStr">
        <is>
          <t>Master's</t>
        </is>
      </c>
      <c r="D1316" s="28" t="n">
        <v>5</v>
      </c>
      <c r="E1316" s="26" t="n">
        <v>67625</v>
      </c>
      <c r="F1316" s="15" t="inlineStr">
        <is>
          <t>2026-06-15</t>
        </is>
      </c>
    </row>
    <row r="1317" ht="26.75" customHeight="1" s="104">
      <c r="A1317" s="15" t="inlineStr">
        <is>
          <t>Verona Area School District</t>
        </is>
      </c>
      <c r="B1317" s="15" t="inlineStr">
        <is>
          <t>WI</t>
        </is>
      </c>
      <c r="C1317" s="15" t="inlineStr">
        <is>
          <t>Master's</t>
        </is>
      </c>
      <c r="D1317" s="28" t="n">
        <v>6</v>
      </c>
      <c r="E1317" s="26" t="n">
        <v>68694</v>
      </c>
      <c r="F1317" s="15" t="inlineStr">
        <is>
          <t>2026-06-15</t>
        </is>
      </c>
    </row>
    <row r="1318" ht="26.75" customHeight="1" s="104">
      <c r="A1318" s="15" t="inlineStr">
        <is>
          <t>Verona Area School District</t>
        </is>
      </c>
      <c r="B1318" s="15" t="inlineStr">
        <is>
          <t>WI</t>
        </is>
      </c>
      <c r="C1318" s="15" t="inlineStr">
        <is>
          <t>Master's</t>
        </is>
      </c>
      <c r="D1318" s="28" t="n">
        <v>7</v>
      </c>
      <c r="E1318" s="26" t="n">
        <v>69763</v>
      </c>
      <c r="F1318" s="15" t="inlineStr">
        <is>
          <t>2026-06-15</t>
        </is>
      </c>
    </row>
    <row r="1319" ht="26.75" customHeight="1" s="104">
      <c r="A1319" s="15" t="inlineStr">
        <is>
          <t>Verona Area School District</t>
        </is>
      </c>
      <c r="B1319" s="15" t="inlineStr">
        <is>
          <t>WI</t>
        </is>
      </c>
      <c r="C1319" s="15" t="inlineStr">
        <is>
          <t>Master's</t>
        </is>
      </c>
      <c r="D1319" s="28" t="n">
        <v>8</v>
      </c>
      <c r="E1319" s="26" t="n">
        <v>70832</v>
      </c>
      <c r="F1319" s="15" t="inlineStr">
        <is>
          <t>2026-06-15</t>
        </is>
      </c>
    </row>
    <row r="1320" ht="26.75" customHeight="1" s="104">
      <c r="A1320" s="15" t="inlineStr">
        <is>
          <t>Verona Area School District</t>
        </is>
      </c>
      <c r="B1320" s="15" t="inlineStr">
        <is>
          <t>WI</t>
        </is>
      </c>
      <c r="C1320" s="15" t="inlineStr">
        <is>
          <t>Master's</t>
        </is>
      </c>
      <c r="D1320" s="28" t="n">
        <v>9</v>
      </c>
      <c r="E1320" s="26" t="n">
        <v>71901</v>
      </c>
      <c r="F1320" s="15" t="inlineStr">
        <is>
          <t>2026-06-15</t>
        </is>
      </c>
    </row>
    <row r="1321" ht="26.75" customHeight="1" s="104">
      <c r="A1321" s="15" t="inlineStr">
        <is>
          <t>Verona Area School District</t>
        </is>
      </c>
      <c r="B1321" s="15" t="inlineStr">
        <is>
          <t>WI</t>
        </is>
      </c>
      <c r="C1321" s="15" t="inlineStr">
        <is>
          <t>Master's</t>
        </is>
      </c>
      <c r="D1321" s="28" t="n">
        <v>10</v>
      </c>
      <c r="E1321" s="26" t="n">
        <v>72971</v>
      </c>
      <c r="F1321" s="15" t="inlineStr">
        <is>
          <t>2026-06-15</t>
        </is>
      </c>
    </row>
    <row r="1322" ht="26.75" customHeight="1" s="104">
      <c r="A1322" s="15" t="inlineStr">
        <is>
          <t>Waunakee Community School District</t>
        </is>
      </c>
      <c r="B1322" s="15" t="inlineStr">
        <is>
          <t>WI</t>
        </is>
      </c>
      <c r="C1322" s="15" t="inlineStr">
        <is>
          <t>Bachelor's</t>
        </is>
      </c>
      <c r="D1322" s="28" t="n">
        <v>0</v>
      </c>
      <c r="E1322" s="26" t="n">
        <v>52000</v>
      </c>
      <c r="F1322" s="15" t="inlineStr">
        <is>
          <t>2026-06-15</t>
        </is>
      </c>
    </row>
    <row r="1323" ht="26.75" customHeight="1" s="104">
      <c r="A1323" s="15" t="inlineStr">
        <is>
          <t>Waunakee Community School District</t>
        </is>
      </c>
      <c r="B1323" s="15" t="inlineStr">
        <is>
          <t>WI</t>
        </is>
      </c>
      <c r="C1323" s="15" t="inlineStr">
        <is>
          <t>Bachelor's</t>
        </is>
      </c>
      <c r="D1323" s="28" t="n">
        <v>1</v>
      </c>
      <c r="E1323" s="26" t="n">
        <v>53600</v>
      </c>
      <c r="F1323" s="15" t="inlineStr">
        <is>
          <t>2026-06-15</t>
        </is>
      </c>
    </row>
    <row r="1324" ht="26.75" customHeight="1" s="104">
      <c r="A1324" s="15" t="inlineStr">
        <is>
          <t>Waunakee Community School District</t>
        </is>
      </c>
      <c r="B1324" s="15" t="inlineStr">
        <is>
          <t>WI</t>
        </is>
      </c>
      <c r="C1324" s="15" t="inlineStr">
        <is>
          <t>Bachelor's</t>
        </is>
      </c>
      <c r="D1324" s="28" t="n">
        <v>2</v>
      </c>
      <c r="E1324" s="26" t="n">
        <v>55200</v>
      </c>
      <c r="F1324" s="15" t="inlineStr">
        <is>
          <t>2026-06-15</t>
        </is>
      </c>
    </row>
    <row r="1325" ht="26.75" customHeight="1" s="104">
      <c r="A1325" s="15" t="inlineStr">
        <is>
          <t>Waunakee Community School District</t>
        </is>
      </c>
      <c r="B1325" s="15" t="inlineStr">
        <is>
          <t>WI</t>
        </is>
      </c>
      <c r="C1325" s="15" t="inlineStr">
        <is>
          <t>Bachelor's</t>
        </is>
      </c>
      <c r="D1325" s="28" t="n">
        <v>3</v>
      </c>
      <c r="E1325" s="26" t="n">
        <v>56800</v>
      </c>
      <c r="F1325" s="15" t="inlineStr">
        <is>
          <t>2026-06-15</t>
        </is>
      </c>
    </row>
    <row r="1326" ht="26.75" customHeight="1" s="104">
      <c r="A1326" s="15" t="inlineStr">
        <is>
          <t>Waunakee Community School District</t>
        </is>
      </c>
      <c r="B1326" s="15" t="inlineStr">
        <is>
          <t>WI</t>
        </is>
      </c>
      <c r="C1326" s="15" t="inlineStr">
        <is>
          <t>Bachelor's</t>
        </is>
      </c>
      <c r="D1326" s="28" t="n">
        <v>4</v>
      </c>
      <c r="E1326" s="26" t="n">
        <v>58400</v>
      </c>
      <c r="F1326" s="15" t="inlineStr">
        <is>
          <t>2026-06-15</t>
        </is>
      </c>
    </row>
    <row r="1327" ht="26.75" customHeight="1" s="104">
      <c r="A1327" s="15" t="inlineStr">
        <is>
          <t>Waunakee Community School District</t>
        </is>
      </c>
      <c r="B1327" s="15" t="inlineStr">
        <is>
          <t>WI</t>
        </is>
      </c>
      <c r="C1327" s="15" t="inlineStr">
        <is>
          <t>Bachelor's</t>
        </is>
      </c>
      <c r="D1327" s="28" t="n">
        <v>5</v>
      </c>
      <c r="E1327" s="26" t="n">
        <v>60000</v>
      </c>
      <c r="F1327" s="15" t="inlineStr">
        <is>
          <t>2026-06-15</t>
        </is>
      </c>
    </row>
    <row r="1328" ht="26.75" customHeight="1" s="104">
      <c r="A1328" s="15" t="inlineStr">
        <is>
          <t>Waunakee Community School District</t>
        </is>
      </c>
      <c r="B1328" s="15" t="inlineStr">
        <is>
          <t>WI</t>
        </is>
      </c>
      <c r="C1328" s="15" t="inlineStr">
        <is>
          <t>Bachelor's</t>
        </is>
      </c>
      <c r="D1328" s="28" t="n">
        <v>6</v>
      </c>
      <c r="E1328" s="26" t="n">
        <v>62400</v>
      </c>
      <c r="F1328" s="15" t="inlineStr">
        <is>
          <t>2026-06-15</t>
        </is>
      </c>
    </row>
    <row r="1329" ht="26.75" customHeight="1" s="104">
      <c r="A1329" s="15" t="inlineStr">
        <is>
          <t>Waunakee Community School District</t>
        </is>
      </c>
      <c r="B1329" s="15" t="inlineStr">
        <is>
          <t>WI</t>
        </is>
      </c>
      <c r="C1329" s="15" t="inlineStr">
        <is>
          <t>Bachelor's</t>
        </is>
      </c>
      <c r="D1329" s="28" t="n">
        <v>7</v>
      </c>
      <c r="E1329" s="26" t="n">
        <v>64800</v>
      </c>
      <c r="F1329" s="15" t="inlineStr">
        <is>
          <t>2026-06-15</t>
        </is>
      </c>
    </row>
    <row r="1330" ht="26.75" customHeight="1" s="104">
      <c r="A1330" s="15" t="inlineStr">
        <is>
          <t>Waunakee Community School District</t>
        </is>
      </c>
      <c r="B1330" s="15" t="inlineStr">
        <is>
          <t>WI</t>
        </is>
      </c>
      <c r="C1330" s="15" t="inlineStr">
        <is>
          <t>Bachelor's</t>
        </is>
      </c>
      <c r="D1330" s="28" t="n">
        <v>8</v>
      </c>
      <c r="E1330" s="26" t="n">
        <v>67200</v>
      </c>
      <c r="F1330" s="15" t="inlineStr">
        <is>
          <t>2026-06-15</t>
        </is>
      </c>
    </row>
    <row r="1331" ht="26.75" customHeight="1" s="104">
      <c r="A1331" s="15" t="inlineStr">
        <is>
          <t>Waunakee Community School District</t>
        </is>
      </c>
      <c r="B1331" s="15" t="inlineStr">
        <is>
          <t>WI</t>
        </is>
      </c>
      <c r="C1331" s="15" t="inlineStr">
        <is>
          <t>Bachelor's</t>
        </is>
      </c>
      <c r="D1331" s="28" t="n">
        <v>9</v>
      </c>
      <c r="E1331" s="26" t="n">
        <v>69600</v>
      </c>
      <c r="F1331" s="15" t="inlineStr">
        <is>
          <t>2026-06-15</t>
        </is>
      </c>
    </row>
    <row r="1332" ht="26.75" customHeight="1" s="104">
      <c r="A1332" s="15" t="inlineStr">
        <is>
          <t>Waunakee Community School District</t>
        </is>
      </c>
      <c r="B1332" s="15" t="inlineStr">
        <is>
          <t>WI</t>
        </is>
      </c>
      <c r="C1332" s="15" t="inlineStr">
        <is>
          <t>Bachelor's</t>
        </is>
      </c>
      <c r="D1332" s="28" t="n">
        <v>10</v>
      </c>
      <c r="E1332" s="26" t="n">
        <v>72000</v>
      </c>
      <c r="F1332" s="15" t="inlineStr">
        <is>
          <t>2026-06-15</t>
        </is>
      </c>
    </row>
    <row r="1333" ht="26.75" customHeight="1" s="104">
      <c r="A1333" s="15" t="inlineStr">
        <is>
          <t>Waunakee Community School District</t>
        </is>
      </c>
      <c r="B1333" s="15" t="inlineStr">
        <is>
          <t>WI</t>
        </is>
      </c>
      <c r="C1333" s="15" t="inlineStr">
        <is>
          <t>Master's</t>
        </is>
      </c>
      <c r="D1333" s="28" t="n">
        <v>0</v>
      </c>
      <c r="E1333" s="26" t="n">
        <v>56000</v>
      </c>
      <c r="F1333" s="15" t="inlineStr">
        <is>
          <t>2026-06-15</t>
        </is>
      </c>
    </row>
    <row r="1334" ht="26.75" customHeight="1" s="104">
      <c r="A1334" s="15" t="inlineStr">
        <is>
          <t>Waunakee Community School District</t>
        </is>
      </c>
      <c r="B1334" s="15" t="inlineStr">
        <is>
          <t>WI</t>
        </is>
      </c>
      <c r="C1334" s="15" t="inlineStr">
        <is>
          <t>Master's</t>
        </is>
      </c>
      <c r="D1334" s="28" t="n">
        <v>1</v>
      </c>
      <c r="E1334" s="26" t="n">
        <v>57800</v>
      </c>
      <c r="F1334" s="15" t="inlineStr">
        <is>
          <t>2026-06-15</t>
        </is>
      </c>
    </row>
    <row r="1335" ht="26.75" customHeight="1" s="104">
      <c r="A1335" s="15" t="inlineStr">
        <is>
          <t>Waunakee Community School District</t>
        </is>
      </c>
      <c r="B1335" s="15" t="inlineStr">
        <is>
          <t>WI</t>
        </is>
      </c>
      <c r="C1335" s="15" t="inlineStr">
        <is>
          <t>Master's</t>
        </is>
      </c>
      <c r="D1335" s="28" t="n">
        <v>2</v>
      </c>
      <c r="E1335" s="26" t="n">
        <v>59600</v>
      </c>
      <c r="F1335" s="15" t="inlineStr">
        <is>
          <t>2026-06-15</t>
        </is>
      </c>
    </row>
    <row r="1336" ht="26.75" customHeight="1" s="104">
      <c r="A1336" s="15" t="inlineStr">
        <is>
          <t>Waunakee Community School District</t>
        </is>
      </c>
      <c r="B1336" s="15" t="inlineStr">
        <is>
          <t>WI</t>
        </is>
      </c>
      <c r="C1336" s="15" t="inlineStr">
        <is>
          <t>Master's</t>
        </is>
      </c>
      <c r="D1336" s="28" t="n">
        <v>3</v>
      </c>
      <c r="E1336" s="26" t="n">
        <v>61400</v>
      </c>
      <c r="F1336" s="15" t="inlineStr">
        <is>
          <t>2026-06-15</t>
        </is>
      </c>
    </row>
    <row r="1337" ht="26.75" customHeight="1" s="104">
      <c r="A1337" s="15" t="inlineStr">
        <is>
          <t>Waunakee Community School District</t>
        </is>
      </c>
      <c r="B1337" s="15" t="inlineStr">
        <is>
          <t>WI</t>
        </is>
      </c>
      <c r="C1337" s="15" t="inlineStr">
        <is>
          <t>Master's</t>
        </is>
      </c>
      <c r="D1337" s="28" t="n">
        <v>4</v>
      </c>
      <c r="E1337" s="26" t="n">
        <v>63200</v>
      </c>
      <c r="F1337" s="15" t="inlineStr">
        <is>
          <t>2026-06-15</t>
        </is>
      </c>
    </row>
    <row r="1338" ht="26.75" customHeight="1" s="104">
      <c r="A1338" s="15" t="inlineStr">
        <is>
          <t>Waunakee Community School District</t>
        </is>
      </c>
      <c r="B1338" s="15" t="inlineStr">
        <is>
          <t>WI</t>
        </is>
      </c>
      <c r="C1338" s="15" t="inlineStr">
        <is>
          <t>Master's</t>
        </is>
      </c>
      <c r="D1338" s="28" t="n">
        <v>5</v>
      </c>
      <c r="E1338" s="26" t="n">
        <v>65000</v>
      </c>
      <c r="F1338" s="15" t="inlineStr">
        <is>
          <t>2026-06-15</t>
        </is>
      </c>
    </row>
    <row r="1339" ht="26.75" customHeight="1" s="104">
      <c r="A1339" s="15" t="inlineStr">
        <is>
          <t>Waunakee Community School District</t>
        </is>
      </c>
      <c r="B1339" s="15" t="inlineStr">
        <is>
          <t>WI</t>
        </is>
      </c>
      <c r="C1339" s="15" t="inlineStr">
        <is>
          <t>Master's</t>
        </is>
      </c>
      <c r="D1339" s="28" t="n">
        <v>6</v>
      </c>
      <c r="E1339" s="26" t="n">
        <v>67600</v>
      </c>
      <c r="F1339" s="15" t="inlineStr">
        <is>
          <t>2026-06-15</t>
        </is>
      </c>
    </row>
    <row r="1340" ht="26.75" customHeight="1" s="104">
      <c r="A1340" s="15" t="inlineStr">
        <is>
          <t>Waunakee Community School District</t>
        </is>
      </c>
      <c r="B1340" s="15" t="inlineStr">
        <is>
          <t>WI</t>
        </is>
      </c>
      <c r="C1340" s="15" t="inlineStr">
        <is>
          <t>Master's</t>
        </is>
      </c>
      <c r="D1340" s="28" t="n">
        <v>7</v>
      </c>
      <c r="E1340" s="26" t="n">
        <v>70200</v>
      </c>
      <c r="F1340" s="15" t="inlineStr">
        <is>
          <t>2026-06-15</t>
        </is>
      </c>
    </row>
    <row r="1341" ht="26.75" customHeight="1" s="104">
      <c r="A1341" s="15" t="inlineStr">
        <is>
          <t>Waunakee Community School District</t>
        </is>
      </c>
      <c r="B1341" s="15" t="inlineStr">
        <is>
          <t>WI</t>
        </is>
      </c>
      <c r="C1341" s="15" t="inlineStr">
        <is>
          <t>Master's</t>
        </is>
      </c>
      <c r="D1341" s="28" t="n">
        <v>8</v>
      </c>
      <c r="E1341" s="26" t="n">
        <v>72800</v>
      </c>
      <c r="F1341" s="15" t="inlineStr">
        <is>
          <t>2026-06-15</t>
        </is>
      </c>
    </row>
    <row r="1342" ht="26.75" customHeight="1" s="104">
      <c r="A1342" s="15" t="inlineStr">
        <is>
          <t>Waunakee Community School District</t>
        </is>
      </c>
      <c r="B1342" s="15" t="inlineStr">
        <is>
          <t>WI</t>
        </is>
      </c>
      <c r="C1342" s="15" t="inlineStr">
        <is>
          <t>Master's</t>
        </is>
      </c>
      <c r="D1342" s="28" t="n">
        <v>9</v>
      </c>
      <c r="E1342" s="26" t="n">
        <v>75400</v>
      </c>
      <c r="F1342" s="15" t="inlineStr">
        <is>
          <t>2026-06-15</t>
        </is>
      </c>
    </row>
    <row r="1343" ht="26.75" customHeight="1" s="104">
      <c r="A1343" s="15" t="inlineStr">
        <is>
          <t>Waunakee Community School District</t>
        </is>
      </c>
      <c r="B1343" s="15" t="inlineStr">
        <is>
          <t>WI</t>
        </is>
      </c>
      <c r="C1343" s="15" t="inlineStr">
        <is>
          <t>Master's</t>
        </is>
      </c>
      <c r="D1343" s="28" t="n">
        <v>10</v>
      </c>
      <c r="E1343" s="26" t="n">
        <v>78000</v>
      </c>
      <c r="F1343" s="15" t="inlineStr">
        <is>
          <t>2026-06-15</t>
        </is>
      </c>
    </row>
    <row r="1344" ht="26.75" customHeight="1" s="104">
      <c r="A1344" t="inlineStr">
        <is>
          <t>Wayzata Public Schools</t>
        </is>
      </c>
      <c r="B1344" t="inlineStr">
        <is>
          <t>MN</t>
        </is>
      </c>
      <c r="C1344" t="inlineStr">
        <is>
          <t>Bachelor's</t>
        </is>
      </c>
      <c r="D1344" t="n">
        <v>0</v>
      </c>
      <c r="E1344" s="1" t="n">
        <v>52308</v>
      </c>
      <c r="F1344" t="inlineStr">
        <is>
          <t>2026-06-16</t>
        </is>
      </c>
    </row>
    <row r="1345" ht="26.75" customHeight="1" s="104">
      <c r="A1345" t="inlineStr">
        <is>
          <t>Wayzata Public Schools</t>
        </is>
      </c>
      <c r="B1345" t="inlineStr">
        <is>
          <t>MN</t>
        </is>
      </c>
      <c r="C1345" t="inlineStr">
        <is>
          <t>Bachelor's</t>
        </is>
      </c>
      <c r="D1345" t="n">
        <v>1</v>
      </c>
      <c r="E1345" s="1" t="n">
        <v>55053</v>
      </c>
      <c r="F1345" t="inlineStr">
        <is>
          <t>2026-06-16</t>
        </is>
      </c>
    </row>
    <row r="1346" ht="26.75" customHeight="1" s="104">
      <c r="A1346" t="inlineStr">
        <is>
          <t>Wayzata Public Schools</t>
        </is>
      </c>
      <c r="B1346" t="inlineStr">
        <is>
          <t>MN</t>
        </is>
      </c>
      <c r="C1346" t="inlineStr">
        <is>
          <t>Bachelor's</t>
        </is>
      </c>
      <c r="D1346" t="n">
        <v>2</v>
      </c>
      <c r="E1346" s="1" t="n">
        <v>57798</v>
      </c>
      <c r="F1346" t="inlineStr">
        <is>
          <t>2026-06-16</t>
        </is>
      </c>
    </row>
    <row r="1347" ht="26.75" customHeight="1" s="104">
      <c r="A1347" t="inlineStr">
        <is>
          <t>Wayzata Public Schools</t>
        </is>
      </c>
      <c r="B1347" t="inlineStr">
        <is>
          <t>MN</t>
        </is>
      </c>
      <c r="C1347" t="inlineStr">
        <is>
          <t>Bachelor's</t>
        </is>
      </c>
      <c r="D1347" t="n">
        <v>3</v>
      </c>
      <c r="E1347" s="1" t="n">
        <v>60543</v>
      </c>
      <c r="F1347" t="inlineStr">
        <is>
          <t>2026-06-16</t>
        </is>
      </c>
    </row>
    <row r="1348" ht="26.75" customHeight="1" s="104">
      <c r="A1348" t="inlineStr">
        <is>
          <t>Wayzata Public Schools</t>
        </is>
      </c>
      <c r="B1348" t="inlineStr">
        <is>
          <t>MN</t>
        </is>
      </c>
      <c r="C1348" t="inlineStr">
        <is>
          <t>Bachelor's</t>
        </is>
      </c>
      <c r="D1348" t="n">
        <v>4</v>
      </c>
      <c r="E1348" s="1" t="n">
        <v>63288</v>
      </c>
      <c r="F1348" t="inlineStr">
        <is>
          <t>2026-06-16</t>
        </is>
      </c>
    </row>
    <row r="1349" ht="26.75" customHeight="1" s="104">
      <c r="A1349" t="inlineStr">
        <is>
          <t>Wayzata Public Schools</t>
        </is>
      </c>
      <c r="B1349" t="inlineStr">
        <is>
          <t>MN</t>
        </is>
      </c>
      <c r="C1349" t="inlineStr">
        <is>
          <t>Bachelor's</t>
        </is>
      </c>
      <c r="D1349" t="n">
        <v>5</v>
      </c>
      <c r="E1349" s="1" t="n">
        <v>66033</v>
      </c>
      <c r="F1349" t="inlineStr">
        <is>
          <t>2026-06-16</t>
        </is>
      </c>
    </row>
    <row r="1350" ht="26.75" customHeight="1" s="104">
      <c r="A1350" t="inlineStr">
        <is>
          <t>Wayzata Public Schools</t>
        </is>
      </c>
      <c r="B1350" t="inlineStr">
        <is>
          <t>MN</t>
        </is>
      </c>
      <c r="C1350" t="inlineStr">
        <is>
          <t>Bachelor's</t>
        </is>
      </c>
      <c r="D1350" t="n">
        <v>6</v>
      </c>
      <c r="E1350" s="1" t="n">
        <v>68778</v>
      </c>
      <c r="F1350" t="inlineStr">
        <is>
          <t>2026-06-16</t>
        </is>
      </c>
    </row>
    <row r="1351" ht="26.75" customHeight="1" s="104">
      <c r="A1351" t="inlineStr">
        <is>
          <t>Wayzata Public Schools</t>
        </is>
      </c>
      <c r="B1351" t="inlineStr">
        <is>
          <t>MN</t>
        </is>
      </c>
      <c r="C1351" t="inlineStr">
        <is>
          <t>Bachelor's</t>
        </is>
      </c>
      <c r="D1351" t="n">
        <v>7</v>
      </c>
      <c r="E1351" s="1" t="n">
        <v>71523</v>
      </c>
      <c r="F1351" t="inlineStr">
        <is>
          <t>2026-06-16</t>
        </is>
      </c>
    </row>
    <row r="1352" ht="26.75" customHeight="1" s="104">
      <c r="A1352" t="inlineStr">
        <is>
          <t>Wayzata Public Schools</t>
        </is>
      </c>
      <c r="B1352" t="inlineStr">
        <is>
          <t>MN</t>
        </is>
      </c>
      <c r="C1352" t="inlineStr">
        <is>
          <t>Bachelor's</t>
        </is>
      </c>
      <c r="D1352" t="n">
        <v>8</v>
      </c>
      <c r="E1352" s="1" t="n">
        <v>74268</v>
      </c>
      <c r="F1352" t="inlineStr">
        <is>
          <t>2026-06-16</t>
        </is>
      </c>
    </row>
    <row r="1353" ht="26.75" customHeight="1" s="104">
      <c r="A1353" t="inlineStr">
        <is>
          <t>Wayzata Public Schools</t>
        </is>
      </c>
      <c r="B1353" t="inlineStr">
        <is>
          <t>MN</t>
        </is>
      </c>
      <c r="C1353" t="inlineStr">
        <is>
          <t>Bachelor's</t>
        </is>
      </c>
      <c r="D1353" t="n">
        <v>9</v>
      </c>
      <c r="E1353" s="1" t="n">
        <v>77013</v>
      </c>
      <c r="F1353" t="inlineStr">
        <is>
          <t>2026-06-16</t>
        </is>
      </c>
    </row>
    <row r="1354" ht="26.75" customHeight="1" s="104">
      <c r="A1354" t="inlineStr">
        <is>
          <t>Wayzata Public Schools</t>
        </is>
      </c>
      <c r="B1354" t="inlineStr">
        <is>
          <t>MN</t>
        </is>
      </c>
      <c r="C1354" t="inlineStr">
        <is>
          <t>Bachelor's</t>
        </is>
      </c>
      <c r="D1354" t="n">
        <v>10</v>
      </c>
      <c r="E1354" s="1" t="n">
        <v>79758</v>
      </c>
      <c r="F1354" t="inlineStr">
        <is>
          <t>2026-06-16</t>
        </is>
      </c>
    </row>
    <row r="1355" ht="26.75" customHeight="1" s="104">
      <c r="A1355" t="inlineStr">
        <is>
          <t>Wayzata Public Schools</t>
        </is>
      </c>
      <c r="B1355" t="inlineStr">
        <is>
          <t>MN</t>
        </is>
      </c>
      <c r="C1355" t="inlineStr">
        <is>
          <t>Master's</t>
        </is>
      </c>
      <c r="D1355" t="n">
        <v>0</v>
      </c>
      <c r="E1355" s="1" t="n">
        <v>64000</v>
      </c>
      <c r="F1355" t="inlineStr">
        <is>
          <t>2026-06-16</t>
        </is>
      </c>
    </row>
    <row r="1356" ht="26.75" customHeight="1" s="104">
      <c r="A1356" t="inlineStr">
        <is>
          <t>Wayzata Public Schools</t>
        </is>
      </c>
      <c r="B1356" t="inlineStr">
        <is>
          <t>MN</t>
        </is>
      </c>
      <c r="C1356" t="inlineStr">
        <is>
          <t>Master's</t>
        </is>
      </c>
      <c r="D1356" t="n">
        <v>1</v>
      </c>
      <c r="E1356" s="1" t="n">
        <v>67000</v>
      </c>
      <c r="F1356" t="inlineStr">
        <is>
          <t>2026-06-16</t>
        </is>
      </c>
    </row>
    <row r="1357" ht="26.75" customHeight="1" s="104">
      <c r="A1357" t="inlineStr">
        <is>
          <t>Wayzata Public Schools</t>
        </is>
      </c>
      <c r="B1357" t="inlineStr">
        <is>
          <t>MN</t>
        </is>
      </c>
      <c r="C1357" t="inlineStr">
        <is>
          <t>Master's</t>
        </is>
      </c>
      <c r="D1357" t="n">
        <v>2</v>
      </c>
      <c r="E1357" s="1" t="n">
        <v>70000</v>
      </c>
      <c r="F1357" t="inlineStr">
        <is>
          <t>2026-06-16</t>
        </is>
      </c>
    </row>
    <row r="1358" ht="26.75" customHeight="1" s="104">
      <c r="A1358" t="inlineStr">
        <is>
          <t>Wayzata Public Schools</t>
        </is>
      </c>
      <c r="B1358" t="inlineStr">
        <is>
          <t>MN</t>
        </is>
      </c>
      <c r="C1358" t="inlineStr">
        <is>
          <t>Master's</t>
        </is>
      </c>
      <c r="D1358" t="n">
        <v>3</v>
      </c>
      <c r="E1358" s="1" t="n">
        <v>73000</v>
      </c>
      <c r="F1358" t="inlineStr">
        <is>
          <t>2026-06-16</t>
        </is>
      </c>
    </row>
    <row r="1359" ht="26.75" customHeight="1" s="104">
      <c r="A1359" t="inlineStr">
        <is>
          <t>Wayzata Public Schools</t>
        </is>
      </c>
      <c r="B1359" t="inlineStr">
        <is>
          <t>MN</t>
        </is>
      </c>
      <c r="C1359" t="inlineStr">
        <is>
          <t>Master's</t>
        </is>
      </c>
      <c r="D1359" t="n">
        <v>4</v>
      </c>
      <c r="E1359" s="1" t="n">
        <v>76000</v>
      </c>
      <c r="F1359" t="inlineStr">
        <is>
          <t>2026-06-16</t>
        </is>
      </c>
    </row>
    <row r="1360" ht="26.75" customHeight="1" s="104">
      <c r="A1360" t="inlineStr">
        <is>
          <t>Wayzata Public Schools</t>
        </is>
      </c>
      <c r="B1360" t="inlineStr">
        <is>
          <t>MN</t>
        </is>
      </c>
      <c r="C1360" t="inlineStr">
        <is>
          <t>Master's</t>
        </is>
      </c>
      <c r="D1360" t="n">
        <v>5</v>
      </c>
      <c r="E1360" s="1" t="n">
        <v>79000</v>
      </c>
      <c r="F1360" t="inlineStr">
        <is>
          <t>2026-06-16</t>
        </is>
      </c>
    </row>
    <row r="1361" ht="26.75" customHeight="1" s="104">
      <c r="A1361" t="inlineStr">
        <is>
          <t>Wayzata Public Schools</t>
        </is>
      </c>
      <c r="B1361" t="inlineStr">
        <is>
          <t>MN</t>
        </is>
      </c>
      <c r="C1361" t="inlineStr">
        <is>
          <t>Master's</t>
        </is>
      </c>
      <c r="D1361" t="n">
        <v>6</v>
      </c>
      <c r="E1361" s="1" t="n">
        <v>82000</v>
      </c>
      <c r="F1361" t="inlineStr">
        <is>
          <t>2026-06-16</t>
        </is>
      </c>
    </row>
    <row r="1362" ht="26.75" customHeight="1" s="104">
      <c r="A1362" t="inlineStr">
        <is>
          <t>Wayzata Public Schools</t>
        </is>
      </c>
      <c r="B1362" t="inlineStr">
        <is>
          <t>MN</t>
        </is>
      </c>
      <c r="C1362" t="inlineStr">
        <is>
          <t>Master's</t>
        </is>
      </c>
      <c r="D1362" t="n">
        <v>7</v>
      </c>
      <c r="E1362" s="1" t="n">
        <v>85000</v>
      </c>
      <c r="F1362" t="inlineStr">
        <is>
          <t>2026-06-16</t>
        </is>
      </c>
    </row>
    <row r="1363" ht="26.75" customHeight="1" s="104">
      <c r="A1363" t="inlineStr">
        <is>
          <t>Wayzata Public Schools</t>
        </is>
      </c>
      <c r="B1363" t="inlineStr">
        <is>
          <t>MN</t>
        </is>
      </c>
      <c r="C1363" t="inlineStr">
        <is>
          <t>Master's</t>
        </is>
      </c>
      <c r="D1363" t="n">
        <v>8</v>
      </c>
      <c r="E1363" s="1" t="n">
        <v>88000</v>
      </c>
      <c r="F1363" t="inlineStr">
        <is>
          <t>2026-06-16</t>
        </is>
      </c>
    </row>
    <row r="1364" ht="26.75" customHeight="1" s="104">
      <c r="A1364" t="inlineStr">
        <is>
          <t>Wayzata Public Schools</t>
        </is>
      </c>
      <c r="B1364" t="inlineStr">
        <is>
          <t>MN</t>
        </is>
      </c>
      <c r="C1364" t="inlineStr">
        <is>
          <t>Master's</t>
        </is>
      </c>
      <c r="D1364" t="n">
        <v>9</v>
      </c>
      <c r="E1364" s="1" t="n">
        <v>91000</v>
      </c>
      <c r="F1364" t="inlineStr">
        <is>
          <t>2026-06-16</t>
        </is>
      </c>
    </row>
    <row r="1365" ht="26.75" customHeight="1" s="104">
      <c r="A1365" t="inlineStr">
        <is>
          <t>Wayzata Public Schools</t>
        </is>
      </c>
      <c r="B1365" t="inlineStr">
        <is>
          <t>MN</t>
        </is>
      </c>
      <c r="C1365" t="inlineStr">
        <is>
          <t>Master's</t>
        </is>
      </c>
      <c r="D1365" t="n">
        <v>10</v>
      </c>
      <c r="E1365" s="1" t="n">
        <v>94000</v>
      </c>
      <c r="F1365" t="inlineStr">
        <is>
          <t>2026-06-16</t>
        </is>
      </c>
    </row>
    <row r="1366" ht="26.75" customHeight="1" s="104">
      <c r="A1366" s="14" t="inlineStr">
        <is>
          <t>West Des Moines Community Schools</t>
        </is>
      </c>
      <c r="B1366" s="14" t="inlineStr">
        <is>
          <t>IA</t>
        </is>
      </c>
      <c r="C1366" s="14" t="inlineStr">
        <is>
          <t>Bachelor's</t>
        </is>
      </c>
      <c r="D1366" s="27" t="n">
        <v>0</v>
      </c>
      <c r="E1366" s="25" t="n">
        <v>51584</v>
      </c>
      <c r="F1366" s="14" t="inlineStr">
        <is>
          <t>2026-06-13</t>
        </is>
      </c>
    </row>
    <row r="1367" ht="26.75" customHeight="1" s="104">
      <c r="A1367" s="14" t="inlineStr">
        <is>
          <t>West Des Moines Community Schools</t>
        </is>
      </c>
      <c r="B1367" s="14" t="inlineStr">
        <is>
          <t>IA</t>
        </is>
      </c>
      <c r="C1367" s="14" t="inlineStr">
        <is>
          <t>Bachelor's</t>
        </is>
      </c>
      <c r="D1367" s="27" t="n">
        <v>1</v>
      </c>
      <c r="E1367" s="25" t="n">
        <v>52037</v>
      </c>
      <c r="F1367" s="14" t="inlineStr">
        <is>
          <t>2026-06-13</t>
        </is>
      </c>
    </row>
    <row r="1368" ht="26.75" customHeight="1" s="104">
      <c r="A1368" s="14" t="inlineStr">
        <is>
          <t>West Des Moines Community Schools</t>
        </is>
      </c>
      <c r="B1368" s="14" t="inlineStr">
        <is>
          <t>IA</t>
        </is>
      </c>
      <c r="C1368" s="14" t="inlineStr">
        <is>
          <t>Bachelor's</t>
        </is>
      </c>
      <c r="D1368" s="27" t="n">
        <v>2</v>
      </c>
      <c r="E1368" s="25" t="n">
        <v>52489</v>
      </c>
      <c r="F1368" s="14" t="inlineStr">
        <is>
          <t>2026-06-13</t>
        </is>
      </c>
    </row>
    <row r="1369" ht="26.75" customHeight="1" s="104">
      <c r="A1369" s="14" t="inlineStr">
        <is>
          <t>West Des Moines Community Schools</t>
        </is>
      </c>
      <c r="B1369" s="14" t="inlineStr">
        <is>
          <t>IA</t>
        </is>
      </c>
      <c r="C1369" s="14" t="inlineStr">
        <is>
          <t>Bachelor's</t>
        </is>
      </c>
      <c r="D1369" s="27" t="n">
        <v>3</v>
      </c>
      <c r="E1369" s="25" t="n">
        <v>53224</v>
      </c>
      <c r="F1369" s="14" t="inlineStr">
        <is>
          <t>2026-06-13</t>
        </is>
      </c>
    </row>
    <row r="1370" ht="26.75" customHeight="1" s="104">
      <c r="A1370" s="14" t="inlineStr">
        <is>
          <t>West Des Moines Community Schools</t>
        </is>
      </c>
      <c r="B1370" s="14" t="inlineStr">
        <is>
          <t>IA</t>
        </is>
      </c>
      <c r="C1370" s="14" t="inlineStr">
        <is>
          <t>Bachelor's</t>
        </is>
      </c>
      <c r="D1370" s="27" t="n">
        <v>4</v>
      </c>
      <c r="E1370" s="25" t="n">
        <v>53968</v>
      </c>
      <c r="F1370" s="14" t="inlineStr">
        <is>
          <t>2026-06-13</t>
        </is>
      </c>
    </row>
    <row r="1371" ht="26.75" customHeight="1" s="104">
      <c r="A1371" s="14" t="inlineStr">
        <is>
          <t>West Des Moines Community Schools</t>
        </is>
      </c>
      <c r="B1371" s="14" t="inlineStr">
        <is>
          <t>IA</t>
        </is>
      </c>
      <c r="C1371" s="14" t="inlineStr">
        <is>
          <t>Bachelor's</t>
        </is>
      </c>
      <c r="D1371" s="27" t="n">
        <v>5</v>
      </c>
      <c r="E1371" s="25" t="n">
        <v>55017</v>
      </c>
      <c r="F1371" s="14" t="inlineStr">
        <is>
          <t>2026-06-13</t>
        </is>
      </c>
    </row>
    <row r="1372" ht="26.75" customHeight="1" s="104">
      <c r="A1372" s="14" t="inlineStr">
        <is>
          <t>West Des Moines Community Schools</t>
        </is>
      </c>
      <c r="B1372" s="14" t="inlineStr">
        <is>
          <t>IA</t>
        </is>
      </c>
      <c r="C1372" s="14" t="inlineStr">
        <is>
          <t>Bachelor's</t>
        </is>
      </c>
      <c r="D1372" s="27" t="n">
        <v>6</v>
      </c>
      <c r="E1372" s="25" t="n">
        <v>56010</v>
      </c>
      <c r="F1372" s="14" t="inlineStr">
        <is>
          <t>2026-06-13</t>
        </is>
      </c>
    </row>
    <row r="1373" ht="26.75" customHeight="1" s="104">
      <c r="A1373" s="14" t="inlineStr">
        <is>
          <t>West Des Moines Community Schools</t>
        </is>
      </c>
      <c r="B1373" s="14" t="inlineStr">
        <is>
          <t>IA</t>
        </is>
      </c>
      <c r="C1373" s="14" t="inlineStr">
        <is>
          <t>Bachelor's</t>
        </is>
      </c>
      <c r="D1373" s="27" t="n">
        <v>7</v>
      </c>
      <c r="E1373" s="25" t="n">
        <v>57418</v>
      </c>
      <c r="F1373" s="14" t="inlineStr">
        <is>
          <t>2026-06-13</t>
        </is>
      </c>
    </row>
    <row r="1374" ht="26.75" customHeight="1" s="104">
      <c r="A1374" s="14" t="inlineStr">
        <is>
          <t>West Des Moines Community Schools</t>
        </is>
      </c>
      <c r="B1374" s="14" t="inlineStr">
        <is>
          <t>IA</t>
        </is>
      </c>
      <c r="C1374" s="14" t="inlineStr">
        <is>
          <t>Bachelor's</t>
        </is>
      </c>
      <c r="D1374" s="27" t="n">
        <v>8</v>
      </c>
      <c r="E1374" s="25" t="n">
        <v>59001</v>
      </c>
      <c r="F1374" s="14" t="inlineStr">
        <is>
          <t>2026-06-13</t>
        </is>
      </c>
    </row>
    <row r="1375" ht="26.75" customHeight="1" s="104">
      <c r="A1375" s="14" t="inlineStr">
        <is>
          <t>West Des Moines Community Schools</t>
        </is>
      </c>
      <c r="B1375" s="14" t="inlineStr">
        <is>
          <t>IA</t>
        </is>
      </c>
      <c r="C1375" s="14" t="inlineStr">
        <is>
          <t>Bachelor's</t>
        </is>
      </c>
      <c r="D1375" s="27" t="n">
        <v>9</v>
      </c>
      <c r="E1375" s="25" t="n">
        <v>60582</v>
      </c>
      <c r="F1375" s="14" t="inlineStr">
        <is>
          <t>2026-06-13</t>
        </is>
      </c>
    </row>
    <row r="1376" ht="26.75" customHeight="1" s="104">
      <c r="A1376" s="14" t="inlineStr">
        <is>
          <t>West Des Moines Community Schools</t>
        </is>
      </c>
      <c r="B1376" s="14" t="inlineStr">
        <is>
          <t>IA</t>
        </is>
      </c>
      <c r="C1376" s="14" t="inlineStr">
        <is>
          <t>Bachelor's</t>
        </is>
      </c>
      <c r="D1376" s="27" t="n">
        <v>10</v>
      </c>
      <c r="E1376" s="25" t="n">
        <v>62175</v>
      </c>
      <c r="F1376" s="14" t="inlineStr">
        <is>
          <t>2026-06-13</t>
        </is>
      </c>
    </row>
    <row r="1377" ht="26.75" customHeight="1" s="104">
      <c r="A1377" s="14" t="inlineStr">
        <is>
          <t>West Des Moines Community Schools</t>
        </is>
      </c>
      <c r="B1377" s="14" t="inlineStr">
        <is>
          <t>IA</t>
        </is>
      </c>
      <c r="C1377" s="14" t="inlineStr">
        <is>
          <t>Master's</t>
        </is>
      </c>
      <c r="D1377" s="27" t="n">
        <v>0</v>
      </c>
      <c r="E1377" s="25" t="n">
        <v>54411</v>
      </c>
      <c r="F1377" s="14" t="inlineStr">
        <is>
          <t>2026-06-13</t>
        </is>
      </c>
    </row>
    <row r="1378" ht="26.75" customHeight="1" s="104">
      <c r="A1378" s="14" t="inlineStr">
        <is>
          <t>West Des Moines Community Schools</t>
        </is>
      </c>
      <c r="B1378" s="14" t="inlineStr">
        <is>
          <t>IA</t>
        </is>
      </c>
      <c r="C1378" s="14" t="inlineStr">
        <is>
          <t>Master's</t>
        </is>
      </c>
      <c r="D1378" s="27" t="n">
        <v>1</v>
      </c>
      <c r="E1378" s="25" t="n">
        <v>54863</v>
      </c>
      <c r="F1378" s="14" t="inlineStr">
        <is>
          <t>2026-06-13</t>
        </is>
      </c>
    </row>
    <row r="1379" ht="26.75" customHeight="1" s="104">
      <c r="A1379" s="14" t="inlineStr">
        <is>
          <t>West Des Moines Community Schools</t>
        </is>
      </c>
      <c r="B1379" s="14" t="inlineStr">
        <is>
          <t>IA</t>
        </is>
      </c>
      <c r="C1379" s="14" t="inlineStr">
        <is>
          <t>Master's</t>
        </is>
      </c>
      <c r="D1379" s="27" t="n">
        <v>2</v>
      </c>
      <c r="E1379" s="25" t="n">
        <v>55315</v>
      </c>
      <c r="F1379" s="14" t="inlineStr">
        <is>
          <t>2026-06-13</t>
        </is>
      </c>
    </row>
    <row r="1380" ht="26.75" customHeight="1" s="104">
      <c r="A1380" s="14" t="inlineStr">
        <is>
          <t>West Des Moines Community Schools</t>
        </is>
      </c>
      <c r="B1380" s="14" t="inlineStr">
        <is>
          <t>IA</t>
        </is>
      </c>
      <c r="C1380" s="14" t="inlineStr">
        <is>
          <t>Master's</t>
        </is>
      </c>
      <c r="D1380" s="27" t="n">
        <v>3</v>
      </c>
      <c r="E1380" s="25" t="n">
        <v>56096</v>
      </c>
      <c r="F1380" s="14" t="inlineStr">
        <is>
          <t>2026-06-13</t>
        </is>
      </c>
    </row>
    <row r="1381" ht="26.75" customHeight="1" s="104">
      <c r="A1381" s="14" t="inlineStr">
        <is>
          <t>West Des Moines Community Schools</t>
        </is>
      </c>
      <c r="B1381" s="14" t="inlineStr">
        <is>
          <t>IA</t>
        </is>
      </c>
      <c r="C1381" s="14" t="inlineStr">
        <is>
          <t>Master's</t>
        </is>
      </c>
      <c r="D1381" s="27" t="n">
        <v>4</v>
      </c>
      <c r="E1381" s="25" t="n">
        <v>56892</v>
      </c>
      <c r="F1381" s="14" t="inlineStr">
        <is>
          <t>2026-06-13</t>
        </is>
      </c>
    </row>
    <row r="1382" ht="26.75" customHeight="1" s="104">
      <c r="A1382" s="14" t="inlineStr">
        <is>
          <t>West Des Moines Community Schools</t>
        </is>
      </c>
      <c r="B1382" s="14" t="inlineStr">
        <is>
          <t>IA</t>
        </is>
      </c>
      <c r="C1382" s="14" t="inlineStr">
        <is>
          <t>Master's</t>
        </is>
      </c>
      <c r="D1382" s="27" t="n">
        <v>5</v>
      </c>
      <c r="E1382" s="25" t="n">
        <v>58011</v>
      </c>
      <c r="F1382" s="14" t="inlineStr">
        <is>
          <t>2026-06-13</t>
        </is>
      </c>
    </row>
    <row r="1383" ht="26.75" customHeight="1" s="104">
      <c r="A1383" s="14" t="inlineStr">
        <is>
          <t>West Des Moines Community Schools</t>
        </is>
      </c>
      <c r="B1383" s="14" t="inlineStr">
        <is>
          <t>IA</t>
        </is>
      </c>
      <c r="C1383" s="14" t="inlineStr">
        <is>
          <t>Master's</t>
        </is>
      </c>
      <c r="D1383" s="27" t="n">
        <v>6</v>
      </c>
      <c r="E1383" s="25" t="n">
        <v>59067</v>
      </c>
      <c r="F1383" s="14" t="inlineStr">
        <is>
          <t>2026-06-13</t>
        </is>
      </c>
    </row>
    <row r="1384" ht="26.75" customHeight="1" s="104">
      <c r="A1384" s="14" t="inlineStr">
        <is>
          <t>West Des Moines Community Schools</t>
        </is>
      </c>
      <c r="B1384" s="14" t="inlineStr">
        <is>
          <t>IA</t>
        </is>
      </c>
      <c r="C1384" s="14" t="inlineStr">
        <is>
          <t>Master's</t>
        </is>
      </c>
      <c r="D1384" s="27" t="n">
        <v>7</v>
      </c>
      <c r="E1384" s="25" t="n">
        <v>60554</v>
      </c>
      <c r="F1384" s="14" t="inlineStr">
        <is>
          <t>2026-06-13</t>
        </is>
      </c>
    </row>
    <row r="1385" ht="26.75" customHeight="1" s="104">
      <c r="A1385" s="14" t="inlineStr">
        <is>
          <t>West Des Moines Community Schools</t>
        </is>
      </c>
      <c r="B1385" s="14" t="inlineStr">
        <is>
          <t>IA</t>
        </is>
      </c>
      <c r="C1385" s="14" t="inlineStr">
        <is>
          <t>Master's</t>
        </is>
      </c>
      <c r="D1385" s="27" t="n">
        <v>8</v>
      </c>
      <c r="E1385" s="25" t="n">
        <v>62202</v>
      </c>
      <c r="F1385" s="14" t="inlineStr">
        <is>
          <t>2026-06-13</t>
        </is>
      </c>
    </row>
    <row r="1386" ht="26.75" customHeight="1" s="104">
      <c r="A1386" s="14" t="inlineStr">
        <is>
          <t>West Des Moines Community Schools</t>
        </is>
      </c>
      <c r="B1386" s="14" t="inlineStr">
        <is>
          <t>IA</t>
        </is>
      </c>
      <c r="C1386" s="14" t="inlineStr">
        <is>
          <t>Master's</t>
        </is>
      </c>
      <c r="D1386" s="27" t="n">
        <v>9</v>
      </c>
      <c r="E1386" s="25" t="n">
        <v>63855</v>
      </c>
      <c r="F1386" s="14" t="inlineStr">
        <is>
          <t>2026-06-13</t>
        </is>
      </c>
    </row>
    <row r="1387" ht="26.75" customHeight="1" s="104">
      <c r="A1387" s="14" t="inlineStr">
        <is>
          <t>West Des Moines Community Schools</t>
        </is>
      </c>
      <c r="B1387" s="14" t="inlineStr">
        <is>
          <t>IA</t>
        </is>
      </c>
      <c r="C1387" s="14" t="inlineStr">
        <is>
          <t>Master's</t>
        </is>
      </c>
      <c r="D1387" s="27" t="n">
        <v>10</v>
      </c>
      <c r="E1387" s="25" t="n">
        <v>65512</v>
      </c>
      <c r="F1387" s="14" t="inlineStr">
        <is>
          <t>2026-06-13</t>
        </is>
      </c>
    </row>
    <row r="1388" ht="26.75" customHeight="1" s="104">
      <c r="A1388" s="14" t="inlineStr">
        <is>
          <t>Dublin City Schools</t>
        </is>
      </c>
      <c r="B1388" s="14" t="inlineStr">
        <is>
          <t>OH</t>
        </is>
      </c>
      <c r="C1388" s="14" t="inlineStr">
        <is>
          <t>Bachelor's</t>
        </is>
      </c>
      <c r="D1388" s="27" t="n">
        <v>0</v>
      </c>
      <c r="E1388" s="25" t="n">
        <v>52078</v>
      </c>
      <c r="F1388" s="14" t="inlineStr">
        <is>
          <t>2026-06-16</t>
        </is>
      </c>
    </row>
    <row r="1389" ht="26.75" customHeight="1" s="104">
      <c r="A1389" s="14" t="inlineStr">
        <is>
          <t>Dublin City Schools</t>
        </is>
      </c>
      <c r="B1389" s="14" t="inlineStr">
        <is>
          <t>OH</t>
        </is>
      </c>
      <c r="C1389" s="14" t="inlineStr">
        <is>
          <t>Bachelor's</t>
        </is>
      </c>
      <c r="D1389" s="27" t="n">
        <v>1</v>
      </c>
      <c r="E1389" s="25" t="n">
        <v>56850</v>
      </c>
      <c r="F1389" s="14" t="inlineStr">
        <is>
          <t>2026-06-16</t>
        </is>
      </c>
    </row>
    <row r="1390" ht="26.75" customHeight="1" s="104">
      <c r="A1390" s="14" t="inlineStr">
        <is>
          <t>Dublin City Schools</t>
        </is>
      </c>
      <c r="B1390" s="14" t="inlineStr">
        <is>
          <t>OH</t>
        </is>
      </c>
      <c r="C1390" s="14" t="inlineStr">
        <is>
          <t>Bachelor's</t>
        </is>
      </c>
      <c r="D1390" s="27" t="n">
        <v>2</v>
      </c>
      <c r="E1390" s="25" t="n">
        <v>61600</v>
      </c>
      <c r="F1390" s="14" t="inlineStr">
        <is>
          <t>2026-06-16</t>
        </is>
      </c>
    </row>
    <row r="1391" ht="26.75" customHeight="1" s="104">
      <c r="A1391" s="14" t="inlineStr">
        <is>
          <t>Dublin City Schools</t>
        </is>
      </c>
      <c r="B1391" s="14" t="inlineStr">
        <is>
          <t>OH</t>
        </is>
      </c>
      <c r="C1391" s="14" t="inlineStr">
        <is>
          <t>Bachelor's</t>
        </is>
      </c>
      <c r="D1391" s="27" t="n">
        <v>3</v>
      </c>
      <c r="E1391" s="25" t="n">
        <v>65500</v>
      </c>
      <c r="F1391" s="14" t="inlineStr">
        <is>
          <t>2026-06-16</t>
        </is>
      </c>
    </row>
    <row r="1392" ht="26.75" customHeight="1" s="104">
      <c r="A1392" s="14" t="inlineStr">
        <is>
          <t>Dublin City Schools</t>
        </is>
      </c>
      <c r="B1392" s="14" t="inlineStr">
        <is>
          <t>OH</t>
        </is>
      </c>
      <c r="C1392" s="14" t="inlineStr">
        <is>
          <t>Bachelor's</t>
        </is>
      </c>
      <c r="D1392" s="27" t="n">
        <v>4</v>
      </c>
      <c r="E1392" s="25" t="n">
        <v>69000</v>
      </c>
      <c r="F1392" s="14" t="inlineStr">
        <is>
          <t>2026-06-16</t>
        </is>
      </c>
    </row>
    <row r="1393" ht="26.75" customHeight="1" s="104">
      <c r="A1393" s="14" t="inlineStr">
        <is>
          <t>Dublin City Schools</t>
        </is>
      </c>
      <c r="B1393" s="14" t="inlineStr">
        <is>
          <t>OH</t>
        </is>
      </c>
      <c r="C1393" s="14" t="inlineStr">
        <is>
          <t>Bachelor's</t>
        </is>
      </c>
      <c r="D1393" s="27" t="n">
        <v>5</v>
      </c>
      <c r="E1393" s="25" t="n">
        <v>72000</v>
      </c>
      <c r="F1393" s="14" t="inlineStr">
        <is>
          <t>2026-06-16</t>
        </is>
      </c>
    </row>
    <row r="1394" ht="26.75" customHeight="1" s="104">
      <c r="A1394" s="14" t="inlineStr">
        <is>
          <t>Dublin City Schools</t>
        </is>
      </c>
      <c r="B1394" s="14" t="inlineStr">
        <is>
          <t>OH</t>
        </is>
      </c>
      <c r="C1394" s="14" t="inlineStr">
        <is>
          <t>Bachelor's</t>
        </is>
      </c>
      <c r="D1394" s="27" t="n">
        <v>6</v>
      </c>
      <c r="E1394" s="25" t="n">
        <v>74000</v>
      </c>
      <c r="F1394" s="14" t="inlineStr">
        <is>
          <t>2026-06-16</t>
        </is>
      </c>
    </row>
    <row r="1395" ht="26.75" customHeight="1" s="104">
      <c r="A1395" s="14" t="inlineStr">
        <is>
          <t>Dublin City Schools</t>
        </is>
      </c>
      <c r="B1395" s="14" t="inlineStr">
        <is>
          <t>OH</t>
        </is>
      </c>
      <c r="C1395" s="14" t="inlineStr">
        <is>
          <t>Bachelor's</t>
        </is>
      </c>
      <c r="D1395" s="27" t="n">
        <v>7</v>
      </c>
      <c r="E1395" s="25" t="n">
        <v>75500</v>
      </c>
      <c r="F1395" s="14" t="inlineStr">
        <is>
          <t>2026-06-16</t>
        </is>
      </c>
    </row>
    <row r="1396" ht="26.75" customHeight="1" s="104">
      <c r="A1396" s="14" t="inlineStr">
        <is>
          <t>Dublin City Schools</t>
        </is>
      </c>
      <c r="B1396" s="14" t="inlineStr">
        <is>
          <t>OH</t>
        </is>
      </c>
      <c r="C1396" s="14" t="inlineStr">
        <is>
          <t>Bachelor's</t>
        </is>
      </c>
      <c r="D1396" s="27" t="n">
        <v>8</v>
      </c>
      <c r="E1396" s="25" t="n">
        <v>76500</v>
      </c>
      <c r="F1396" s="14" t="inlineStr">
        <is>
          <t>2026-06-16</t>
        </is>
      </c>
    </row>
    <row r="1397" ht="26.75" customHeight="1" s="104">
      <c r="A1397" s="14" t="inlineStr">
        <is>
          <t>Dublin City Schools</t>
        </is>
      </c>
      <c r="B1397" s="14" t="inlineStr">
        <is>
          <t>OH</t>
        </is>
      </c>
      <c r="C1397" s="14" t="inlineStr">
        <is>
          <t>Bachelor's</t>
        </is>
      </c>
      <c r="D1397" s="27" t="n">
        <v>9</v>
      </c>
      <c r="E1397" s="25" t="n">
        <v>77250</v>
      </c>
      <c r="F1397" s="14" t="inlineStr">
        <is>
          <t>2026-06-16</t>
        </is>
      </c>
    </row>
    <row r="1398" ht="26.75" customHeight="1" s="104">
      <c r="A1398" s="14" t="inlineStr">
        <is>
          <t>Dublin City Schools</t>
        </is>
      </c>
      <c r="B1398" s="14" t="inlineStr">
        <is>
          <t>OH</t>
        </is>
      </c>
      <c r="C1398" s="14" t="inlineStr">
        <is>
          <t>Bachelor's</t>
        </is>
      </c>
      <c r="D1398" s="27" t="n">
        <v>10</v>
      </c>
      <c r="E1398" s="25" t="n">
        <v>78000</v>
      </c>
      <c r="F1398" s="14" t="inlineStr">
        <is>
          <t>2026-06-16</t>
        </is>
      </c>
    </row>
    <row r="1399" ht="26.75" customHeight="1" s="104">
      <c r="A1399" s="14" t="inlineStr">
        <is>
          <t>Dublin City Schools</t>
        </is>
      </c>
      <c r="B1399" s="14" t="inlineStr">
        <is>
          <t>OH</t>
        </is>
      </c>
      <c r="C1399" s="14" t="inlineStr">
        <is>
          <t>Master's</t>
        </is>
      </c>
      <c r="D1399" s="27" t="n">
        <v>0</v>
      </c>
      <c r="E1399" s="25" t="n">
        <v>57286</v>
      </c>
      <c r="F1399" s="14" t="inlineStr">
        <is>
          <t>2026-06-16</t>
        </is>
      </c>
    </row>
    <row r="1400" ht="26.75" customHeight="1" s="104">
      <c r="A1400" s="14" t="inlineStr">
        <is>
          <t>Dublin City Schools</t>
        </is>
      </c>
      <c r="B1400" s="14" t="inlineStr">
        <is>
          <t>OH</t>
        </is>
      </c>
      <c r="C1400" s="14" t="inlineStr">
        <is>
          <t>Master's</t>
        </is>
      </c>
      <c r="D1400" s="27" t="n">
        <v>1</v>
      </c>
      <c r="E1400" s="25" t="n">
        <v>62000</v>
      </c>
      <c r="F1400" s="14" t="inlineStr">
        <is>
          <t>2026-06-16</t>
        </is>
      </c>
    </row>
    <row r="1401" ht="26.75" customHeight="1" s="104">
      <c r="A1401" s="14" t="inlineStr">
        <is>
          <t>Dublin City Schools</t>
        </is>
      </c>
      <c r="B1401" s="14" t="inlineStr">
        <is>
          <t>OH</t>
        </is>
      </c>
      <c r="C1401" s="14" t="inlineStr">
        <is>
          <t>Master's</t>
        </is>
      </c>
      <c r="D1401" s="27" t="n">
        <v>2</v>
      </c>
      <c r="E1401" s="25" t="n">
        <v>66500</v>
      </c>
      <c r="F1401" s="14" t="inlineStr">
        <is>
          <t>2026-06-16</t>
        </is>
      </c>
    </row>
    <row r="1402" ht="26.75" customHeight="1" s="104">
      <c r="A1402" s="14" t="inlineStr">
        <is>
          <t>Dublin City Schools</t>
        </is>
      </c>
      <c r="B1402" s="14" t="inlineStr">
        <is>
          <t>OH</t>
        </is>
      </c>
      <c r="C1402" s="14" t="inlineStr">
        <is>
          <t>Master's</t>
        </is>
      </c>
      <c r="D1402" s="27" t="n">
        <v>3</v>
      </c>
      <c r="E1402" s="25" t="n">
        <v>70000</v>
      </c>
      <c r="F1402" s="14" t="inlineStr">
        <is>
          <t>2026-06-16</t>
        </is>
      </c>
    </row>
    <row r="1403" ht="26.75" customHeight="1" s="104">
      <c r="A1403" s="14" t="inlineStr">
        <is>
          <t>Dublin City Schools</t>
        </is>
      </c>
      <c r="B1403" s="14" t="inlineStr">
        <is>
          <t>OH</t>
        </is>
      </c>
      <c r="C1403" s="14" t="inlineStr">
        <is>
          <t>Master's</t>
        </is>
      </c>
      <c r="D1403" s="27" t="n">
        <v>4</v>
      </c>
      <c r="E1403" s="25" t="n">
        <v>73500</v>
      </c>
      <c r="F1403" s="14" t="inlineStr">
        <is>
          <t>2026-06-16</t>
        </is>
      </c>
    </row>
    <row r="1404" ht="26.75" customHeight="1" s="104">
      <c r="A1404" s="14" t="inlineStr">
        <is>
          <t>Dublin City Schools</t>
        </is>
      </c>
      <c r="B1404" s="14" t="inlineStr">
        <is>
          <t>OH</t>
        </is>
      </c>
      <c r="C1404" s="14" t="inlineStr">
        <is>
          <t>Master's</t>
        </is>
      </c>
      <c r="D1404" s="27" t="n">
        <v>5</v>
      </c>
      <c r="E1404" s="25" t="n">
        <v>76500</v>
      </c>
      <c r="F1404" s="14" t="inlineStr">
        <is>
          <t>2026-06-16</t>
        </is>
      </c>
    </row>
    <row r="1405" ht="26.75" customHeight="1" s="104">
      <c r="A1405" s="14" t="inlineStr">
        <is>
          <t>Dublin City Schools</t>
        </is>
      </c>
      <c r="B1405" s="14" t="inlineStr">
        <is>
          <t>OH</t>
        </is>
      </c>
      <c r="C1405" s="14" t="inlineStr">
        <is>
          <t>Master's</t>
        </is>
      </c>
      <c r="D1405" s="27" t="n">
        <v>6</v>
      </c>
      <c r="E1405" s="25" t="n">
        <v>79000</v>
      </c>
      <c r="F1405" s="14" t="inlineStr">
        <is>
          <t>2026-06-16</t>
        </is>
      </c>
    </row>
    <row r="1406" ht="26.75" customHeight="1" s="104">
      <c r="A1406" s="14" t="inlineStr">
        <is>
          <t>Dublin City Schools</t>
        </is>
      </c>
      <c r="B1406" s="14" t="inlineStr">
        <is>
          <t>OH</t>
        </is>
      </c>
      <c r="C1406" s="14" t="inlineStr">
        <is>
          <t>Master's</t>
        </is>
      </c>
      <c r="D1406" s="27" t="n">
        <v>7</v>
      </c>
      <c r="E1406" s="25" t="n">
        <v>81500</v>
      </c>
      <c r="F1406" s="14" t="inlineStr">
        <is>
          <t>2026-06-16</t>
        </is>
      </c>
    </row>
    <row r="1407" ht="26.75" customHeight="1" s="104">
      <c r="A1407" s="14" t="inlineStr">
        <is>
          <t>Dublin City Schools</t>
        </is>
      </c>
      <c r="B1407" s="14" t="inlineStr">
        <is>
          <t>OH</t>
        </is>
      </c>
      <c r="C1407" s="14" t="inlineStr">
        <is>
          <t>Master's</t>
        </is>
      </c>
      <c r="D1407" s="27" t="n">
        <v>8</v>
      </c>
      <c r="E1407" s="25" t="n">
        <v>83000</v>
      </c>
      <c r="F1407" s="14" t="inlineStr">
        <is>
          <t>2026-06-16</t>
        </is>
      </c>
    </row>
    <row r="1408" ht="26.75" customHeight="1" s="104">
      <c r="A1408" s="14" t="inlineStr">
        <is>
          <t>Dublin City Schools</t>
        </is>
      </c>
      <c r="B1408" s="14" t="inlineStr">
        <is>
          <t>OH</t>
        </is>
      </c>
      <c r="C1408" s="14" t="inlineStr">
        <is>
          <t>Master's</t>
        </is>
      </c>
      <c r="D1408" s="27" t="n">
        <v>9</v>
      </c>
      <c r="E1408" s="25" t="n">
        <v>84500</v>
      </c>
      <c r="F1408" s="14" t="inlineStr">
        <is>
          <t>2026-06-16</t>
        </is>
      </c>
    </row>
    <row r="1409" ht="26.75" customHeight="1" s="104">
      <c r="A1409" s="14" t="inlineStr">
        <is>
          <t>Dublin City Schools</t>
        </is>
      </c>
      <c r="B1409" s="14" t="inlineStr">
        <is>
          <t>OH</t>
        </is>
      </c>
      <c r="C1409" s="14" t="inlineStr">
        <is>
          <t>Master's</t>
        </is>
      </c>
      <c r="D1409" s="27" t="n">
        <v>10</v>
      </c>
      <c r="E1409" s="25" t="n">
        <v>86000</v>
      </c>
      <c r="F1409" s="14" t="inlineStr">
        <is>
          <t>2026-06-16</t>
        </is>
      </c>
    </row>
    <row r="1410">
      <c r="A1410" t="inlineStr">
        <is>
          <t>Mariemont City Schools</t>
        </is>
      </c>
      <c r="B1410" t="inlineStr">
        <is>
          <t>OH</t>
        </is>
      </c>
      <c r="C1410" t="inlineStr">
        <is>
          <t>Bachelor's</t>
        </is>
      </c>
      <c r="D1410" t="n">
        <v>0</v>
      </c>
      <c r="E1410" t="n">
        <v>51000</v>
      </c>
      <c r="F1410" t="inlineStr">
        <is>
          <t>2026-06-16</t>
        </is>
      </c>
    </row>
    <row r="1411">
      <c r="A1411" t="inlineStr">
        <is>
          <t>Mariemont City Schools</t>
        </is>
      </c>
      <c r="B1411" t="inlineStr">
        <is>
          <t>OH</t>
        </is>
      </c>
      <c r="C1411" t="inlineStr">
        <is>
          <t>Bachelor's</t>
        </is>
      </c>
      <c r="D1411" t="n">
        <v>1</v>
      </c>
      <c r="E1411" t="n">
        <v>53200</v>
      </c>
      <c r="F1411" t="inlineStr">
        <is>
          <t>2026-06-16</t>
        </is>
      </c>
    </row>
    <row r="1412">
      <c r="A1412" t="inlineStr">
        <is>
          <t>Mariemont City Schools</t>
        </is>
      </c>
      <c r="B1412" t="inlineStr">
        <is>
          <t>OH</t>
        </is>
      </c>
      <c r="C1412" t="inlineStr">
        <is>
          <t>Bachelor's</t>
        </is>
      </c>
      <c r="D1412" t="n">
        <v>2</v>
      </c>
      <c r="E1412" t="n">
        <v>55500</v>
      </c>
      <c r="F1412" t="inlineStr">
        <is>
          <t>2026-06-16</t>
        </is>
      </c>
    </row>
    <row r="1413">
      <c r="A1413" t="inlineStr">
        <is>
          <t>Mariemont City Schools</t>
        </is>
      </c>
      <c r="B1413" t="inlineStr">
        <is>
          <t>OH</t>
        </is>
      </c>
      <c r="C1413" t="inlineStr">
        <is>
          <t>Bachelor's</t>
        </is>
      </c>
      <c r="D1413" t="n">
        <v>3</v>
      </c>
      <c r="E1413" t="n">
        <v>57800</v>
      </c>
      <c r="F1413" t="inlineStr">
        <is>
          <t>2026-06-16</t>
        </is>
      </c>
    </row>
    <row r="1414">
      <c r="A1414" t="inlineStr">
        <is>
          <t>Mariemont City Schools</t>
        </is>
      </c>
      <c r="B1414" t="inlineStr">
        <is>
          <t>OH</t>
        </is>
      </c>
      <c r="C1414" t="inlineStr">
        <is>
          <t>Bachelor's</t>
        </is>
      </c>
      <c r="D1414" t="n">
        <v>4</v>
      </c>
      <c r="E1414" t="n">
        <v>60000</v>
      </c>
      <c r="F1414" t="inlineStr">
        <is>
          <t>2026-06-16</t>
        </is>
      </c>
    </row>
    <row r="1415">
      <c r="A1415" t="inlineStr">
        <is>
          <t>Mariemont City Schools</t>
        </is>
      </c>
      <c r="B1415" t="inlineStr">
        <is>
          <t>OH</t>
        </is>
      </c>
      <c r="C1415" t="inlineStr">
        <is>
          <t>Bachelor's</t>
        </is>
      </c>
      <c r="D1415" t="n">
        <v>5</v>
      </c>
      <c r="E1415" t="n">
        <v>62000</v>
      </c>
      <c r="F1415" t="inlineStr">
        <is>
          <t>2026-06-16</t>
        </is>
      </c>
    </row>
    <row r="1416">
      <c r="A1416" t="inlineStr">
        <is>
          <t>Mariemont City Schools</t>
        </is>
      </c>
      <c r="B1416" t="inlineStr">
        <is>
          <t>OH</t>
        </is>
      </c>
      <c r="C1416" t="inlineStr">
        <is>
          <t>Bachelor's</t>
        </is>
      </c>
      <c r="D1416" t="n">
        <v>6</v>
      </c>
      <c r="E1416" t="n">
        <v>64500</v>
      </c>
      <c r="F1416" t="inlineStr">
        <is>
          <t>2026-06-16</t>
        </is>
      </c>
    </row>
    <row r="1417">
      <c r="A1417" t="inlineStr">
        <is>
          <t>Mariemont City Schools</t>
        </is>
      </c>
      <c r="B1417" t="inlineStr">
        <is>
          <t>OH</t>
        </is>
      </c>
      <c r="C1417" t="inlineStr">
        <is>
          <t>Bachelor's</t>
        </is>
      </c>
      <c r="D1417" t="n">
        <v>7</v>
      </c>
      <c r="E1417" t="n">
        <v>67000</v>
      </c>
      <c r="F1417" t="inlineStr">
        <is>
          <t>2026-06-16</t>
        </is>
      </c>
    </row>
    <row r="1418">
      <c r="A1418" t="inlineStr">
        <is>
          <t>Mariemont City Schools</t>
        </is>
      </c>
      <c r="B1418" t="inlineStr">
        <is>
          <t>OH</t>
        </is>
      </c>
      <c r="C1418" t="inlineStr">
        <is>
          <t>Bachelor's</t>
        </is>
      </c>
      <c r="D1418" t="n">
        <v>8</v>
      </c>
      <c r="E1418" t="n">
        <v>69500</v>
      </c>
      <c r="F1418" t="inlineStr">
        <is>
          <t>2026-06-16</t>
        </is>
      </c>
    </row>
    <row r="1419">
      <c r="A1419" t="inlineStr">
        <is>
          <t>Mariemont City Schools</t>
        </is>
      </c>
      <c r="B1419" t="inlineStr">
        <is>
          <t>OH</t>
        </is>
      </c>
      <c r="C1419" t="inlineStr">
        <is>
          <t>Bachelor's</t>
        </is>
      </c>
      <c r="D1419" t="n">
        <v>9</v>
      </c>
      <c r="E1419" t="n">
        <v>72000</v>
      </c>
      <c r="F1419" t="inlineStr">
        <is>
          <t>2026-06-16</t>
        </is>
      </c>
    </row>
    <row r="1420">
      <c r="A1420" t="inlineStr">
        <is>
          <t>Mariemont City Schools</t>
        </is>
      </c>
      <c r="B1420" t="inlineStr">
        <is>
          <t>OH</t>
        </is>
      </c>
      <c r="C1420" t="inlineStr">
        <is>
          <t>Bachelor's</t>
        </is>
      </c>
      <c r="D1420" t="n">
        <v>10</v>
      </c>
      <c r="E1420" t="n">
        <v>74000</v>
      </c>
      <c r="F1420" t="inlineStr">
        <is>
          <t>2026-06-16</t>
        </is>
      </c>
    </row>
    <row r="1421">
      <c r="A1421" t="inlineStr">
        <is>
          <t>Mariemont City Schools</t>
        </is>
      </c>
      <c r="B1421" t="inlineStr">
        <is>
          <t>OH</t>
        </is>
      </c>
      <c r="C1421" t="inlineStr">
        <is>
          <t>Master's</t>
        </is>
      </c>
      <c r="D1421" t="n">
        <v>0</v>
      </c>
      <c r="E1421" t="n">
        <v>56000</v>
      </c>
      <c r="F1421" t="inlineStr">
        <is>
          <t>2026-06-16</t>
        </is>
      </c>
    </row>
    <row r="1422">
      <c r="A1422" t="inlineStr">
        <is>
          <t>Mariemont City Schools</t>
        </is>
      </c>
      <c r="B1422" t="inlineStr">
        <is>
          <t>OH</t>
        </is>
      </c>
      <c r="C1422" t="inlineStr">
        <is>
          <t>Master's</t>
        </is>
      </c>
      <c r="D1422" t="n">
        <v>1</v>
      </c>
      <c r="E1422" t="n">
        <v>58500</v>
      </c>
      <c r="F1422" t="inlineStr">
        <is>
          <t>2026-06-16</t>
        </is>
      </c>
    </row>
    <row r="1423">
      <c r="A1423" t="inlineStr">
        <is>
          <t>Mariemont City Schools</t>
        </is>
      </c>
      <c r="B1423" t="inlineStr">
        <is>
          <t>OH</t>
        </is>
      </c>
      <c r="C1423" t="inlineStr">
        <is>
          <t>Master's</t>
        </is>
      </c>
      <c r="D1423" t="n">
        <v>2</v>
      </c>
      <c r="E1423" t="n">
        <v>61000</v>
      </c>
      <c r="F1423" t="inlineStr">
        <is>
          <t>2026-06-16</t>
        </is>
      </c>
    </row>
    <row r="1424">
      <c r="A1424" t="inlineStr">
        <is>
          <t>Mariemont City Schools</t>
        </is>
      </c>
      <c r="B1424" t="inlineStr">
        <is>
          <t>OH</t>
        </is>
      </c>
      <c r="C1424" t="inlineStr">
        <is>
          <t>Master's</t>
        </is>
      </c>
      <c r="D1424" t="n">
        <v>3</v>
      </c>
      <c r="E1424" t="n">
        <v>63500</v>
      </c>
      <c r="F1424" t="inlineStr">
        <is>
          <t>2026-06-16</t>
        </is>
      </c>
    </row>
    <row r="1425">
      <c r="A1425" t="inlineStr">
        <is>
          <t>Mariemont City Schools</t>
        </is>
      </c>
      <c r="B1425" t="inlineStr">
        <is>
          <t>OH</t>
        </is>
      </c>
      <c r="C1425" t="inlineStr">
        <is>
          <t>Master's</t>
        </is>
      </c>
      <c r="D1425" t="n">
        <v>4</v>
      </c>
      <c r="E1425" t="n">
        <v>66000</v>
      </c>
      <c r="F1425" t="inlineStr">
        <is>
          <t>2026-06-16</t>
        </is>
      </c>
    </row>
    <row r="1426">
      <c r="A1426" t="inlineStr">
        <is>
          <t>Mariemont City Schools</t>
        </is>
      </c>
      <c r="B1426" t="inlineStr">
        <is>
          <t>OH</t>
        </is>
      </c>
      <c r="C1426" t="inlineStr">
        <is>
          <t>Master's</t>
        </is>
      </c>
      <c r="D1426" t="n">
        <v>5</v>
      </c>
      <c r="E1426" t="n">
        <v>68500</v>
      </c>
      <c r="F1426" t="inlineStr">
        <is>
          <t>2026-06-16</t>
        </is>
      </c>
    </row>
    <row r="1427">
      <c r="A1427" t="inlineStr">
        <is>
          <t>Mariemont City Schools</t>
        </is>
      </c>
      <c r="B1427" t="inlineStr">
        <is>
          <t>OH</t>
        </is>
      </c>
      <c r="C1427" t="inlineStr">
        <is>
          <t>Master's</t>
        </is>
      </c>
      <c r="D1427" t="n">
        <v>6</v>
      </c>
      <c r="E1427" t="n">
        <v>71000</v>
      </c>
      <c r="F1427" t="inlineStr">
        <is>
          <t>2026-06-16</t>
        </is>
      </c>
    </row>
    <row r="1428">
      <c r="A1428" t="inlineStr">
        <is>
          <t>Mariemont City Schools</t>
        </is>
      </c>
      <c r="B1428" t="inlineStr">
        <is>
          <t>OH</t>
        </is>
      </c>
      <c r="C1428" t="inlineStr">
        <is>
          <t>Master's</t>
        </is>
      </c>
      <c r="D1428" t="n">
        <v>7</v>
      </c>
      <c r="E1428" t="n">
        <v>73500</v>
      </c>
      <c r="F1428" t="inlineStr">
        <is>
          <t>2026-06-16</t>
        </is>
      </c>
    </row>
    <row r="1429">
      <c r="A1429" t="inlineStr">
        <is>
          <t>Mariemont City Schools</t>
        </is>
      </c>
      <c r="B1429" t="inlineStr">
        <is>
          <t>OH</t>
        </is>
      </c>
      <c r="C1429" t="inlineStr">
        <is>
          <t>Master's</t>
        </is>
      </c>
      <c r="D1429" t="n">
        <v>8</v>
      </c>
      <c r="E1429" t="n">
        <v>76500</v>
      </c>
      <c r="F1429" t="inlineStr">
        <is>
          <t>2026-06-16</t>
        </is>
      </c>
    </row>
    <row r="1430">
      <c r="A1430" t="inlineStr">
        <is>
          <t>Mariemont City Schools</t>
        </is>
      </c>
      <c r="B1430" t="inlineStr">
        <is>
          <t>OH</t>
        </is>
      </c>
      <c r="C1430" t="inlineStr">
        <is>
          <t>Master's</t>
        </is>
      </c>
      <c r="D1430" t="n">
        <v>9</v>
      </c>
      <c r="E1430" t="n">
        <v>79500</v>
      </c>
      <c r="F1430" t="inlineStr">
        <is>
          <t>2026-06-16</t>
        </is>
      </c>
    </row>
    <row r="1431">
      <c r="A1431" t="inlineStr">
        <is>
          <t>Mariemont City Schools</t>
        </is>
      </c>
      <c r="B1431" t="inlineStr">
        <is>
          <t>OH</t>
        </is>
      </c>
      <c r="C1431" t="inlineStr">
        <is>
          <t>Master's</t>
        </is>
      </c>
      <c r="D1431" t="n">
        <v>10</v>
      </c>
      <c r="E1431" t="n">
        <v>82000</v>
      </c>
      <c r="F1431" t="inlineStr">
        <is>
          <t>2026-06-16</t>
        </is>
      </c>
    </row>
    <row r="1432">
      <c r="A1432" t="inlineStr">
        <is>
          <t>Las Cruces Public Schools</t>
        </is>
      </c>
      <c r="B1432" t="inlineStr">
        <is>
          <t>NM</t>
        </is>
      </c>
      <c r="C1432" t="inlineStr">
        <is>
          <t>Bachelor's</t>
        </is>
      </c>
      <c r="D1432" t="n">
        <v>0</v>
      </c>
      <c r="E1432" t="n">
        <v>55000</v>
      </c>
      <c r="F1432" t="inlineStr">
        <is>
          <t>2026-06-16</t>
        </is>
      </c>
    </row>
    <row r="1433">
      <c r="A1433" t="inlineStr">
        <is>
          <t>Las Cruces Public Schools</t>
        </is>
      </c>
      <c r="B1433" t="inlineStr">
        <is>
          <t>NM</t>
        </is>
      </c>
      <c r="C1433" t="inlineStr">
        <is>
          <t>Bachelor's</t>
        </is>
      </c>
      <c r="D1433" t="n">
        <v>1</v>
      </c>
      <c r="E1433" t="n">
        <v>58000</v>
      </c>
      <c r="F1433" t="inlineStr">
        <is>
          <t>2026-06-16</t>
        </is>
      </c>
    </row>
    <row r="1434">
      <c r="A1434" t="inlineStr">
        <is>
          <t>Las Cruces Public Schools</t>
        </is>
      </c>
      <c r="B1434" t="inlineStr">
        <is>
          <t>NM</t>
        </is>
      </c>
      <c r="C1434" t="inlineStr">
        <is>
          <t>Bachelor's</t>
        </is>
      </c>
      <c r="D1434" t="n">
        <v>2</v>
      </c>
      <c r="E1434" t="n">
        <v>61000</v>
      </c>
      <c r="F1434" t="inlineStr">
        <is>
          <t>2026-06-16</t>
        </is>
      </c>
    </row>
    <row r="1435">
      <c r="A1435" t="inlineStr">
        <is>
          <t>Las Cruces Public Schools</t>
        </is>
      </c>
      <c r="B1435" t="inlineStr">
        <is>
          <t>NM</t>
        </is>
      </c>
      <c r="C1435" t="inlineStr">
        <is>
          <t>Bachelor's</t>
        </is>
      </c>
      <c r="D1435" t="n">
        <v>3</v>
      </c>
      <c r="E1435" t="n">
        <v>63000</v>
      </c>
      <c r="F1435" t="inlineStr">
        <is>
          <t>2026-06-16</t>
        </is>
      </c>
    </row>
    <row r="1436">
      <c r="A1436" t="inlineStr">
        <is>
          <t>Las Cruces Public Schools</t>
        </is>
      </c>
      <c r="B1436" t="inlineStr">
        <is>
          <t>NM</t>
        </is>
      </c>
      <c r="C1436" t="inlineStr">
        <is>
          <t>Bachelor's</t>
        </is>
      </c>
      <c r="D1436" t="n">
        <v>4</v>
      </c>
      <c r="E1436" t="n">
        <v>64500</v>
      </c>
      <c r="F1436" t="inlineStr">
        <is>
          <t>2026-06-16</t>
        </is>
      </c>
    </row>
    <row r="1437">
      <c r="A1437" t="inlineStr">
        <is>
          <t>Las Cruces Public Schools</t>
        </is>
      </c>
      <c r="B1437" t="inlineStr">
        <is>
          <t>NM</t>
        </is>
      </c>
      <c r="C1437" t="inlineStr">
        <is>
          <t>Bachelor's</t>
        </is>
      </c>
      <c r="D1437" t="n">
        <v>5</v>
      </c>
      <c r="E1437" t="n">
        <v>66000</v>
      </c>
      <c r="F1437" t="inlineStr">
        <is>
          <t>2026-06-16</t>
        </is>
      </c>
    </row>
    <row r="1438">
      <c r="A1438" t="inlineStr">
        <is>
          <t>Las Cruces Public Schools</t>
        </is>
      </c>
      <c r="B1438" t="inlineStr">
        <is>
          <t>NM</t>
        </is>
      </c>
      <c r="C1438" t="inlineStr">
        <is>
          <t>Bachelor's</t>
        </is>
      </c>
      <c r="D1438" t="n">
        <v>6</v>
      </c>
      <c r="E1438" t="n">
        <v>68000</v>
      </c>
      <c r="F1438" t="inlineStr">
        <is>
          <t>2026-06-16</t>
        </is>
      </c>
    </row>
    <row r="1439">
      <c r="A1439" t="inlineStr">
        <is>
          <t>Las Cruces Public Schools</t>
        </is>
      </c>
      <c r="B1439" t="inlineStr">
        <is>
          <t>NM</t>
        </is>
      </c>
      <c r="C1439" t="inlineStr">
        <is>
          <t>Bachelor's</t>
        </is>
      </c>
      <c r="D1439" t="n">
        <v>7</v>
      </c>
      <c r="E1439" t="n">
        <v>70000</v>
      </c>
      <c r="F1439" t="inlineStr">
        <is>
          <t>2026-06-16</t>
        </is>
      </c>
    </row>
    <row r="1440">
      <c r="A1440" t="inlineStr">
        <is>
          <t>Las Cruces Public Schools</t>
        </is>
      </c>
      <c r="B1440" t="inlineStr">
        <is>
          <t>NM</t>
        </is>
      </c>
      <c r="C1440" t="inlineStr">
        <is>
          <t>Bachelor's</t>
        </is>
      </c>
      <c r="D1440" t="n">
        <v>8</v>
      </c>
      <c r="E1440" t="n">
        <v>72000</v>
      </c>
      <c r="F1440" t="inlineStr">
        <is>
          <t>2026-06-16</t>
        </is>
      </c>
    </row>
    <row r="1441">
      <c r="A1441" t="inlineStr">
        <is>
          <t>Las Cruces Public Schools</t>
        </is>
      </c>
      <c r="B1441" t="inlineStr">
        <is>
          <t>NM</t>
        </is>
      </c>
      <c r="C1441" t="inlineStr">
        <is>
          <t>Bachelor's</t>
        </is>
      </c>
      <c r="D1441" t="n">
        <v>9</v>
      </c>
      <c r="E1441" t="n">
        <v>73500</v>
      </c>
      <c r="F1441" t="inlineStr">
        <is>
          <t>2026-06-16</t>
        </is>
      </c>
    </row>
    <row r="1442">
      <c r="A1442" t="inlineStr">
        <is>
          <t>Las Cruces Public Schools</t>
        </is>
      </c>
      <c r="B1442" t="inlineStr">
        <is>
          <t>NM</t>
        </is>
      </c>
      <c r="C1442" t="inlineStr">
        <is>
          <t>Bachelor's</t>
        </is>
      </c>
      <c r="D1442" t="n">
        <v>10</v>
      </c>
      <c r="E1442" t="n">
        <v>75000</v>
      </c>
      <c r="F1442" t="inlineStr">
        <is>
          <t>2026-06-16</t>
        </is>
      </c>
    </row>
    <row r="1443">
      <c r="A1443" t="inlineStr">
        <is>
          <t>Las Cruces Public Schools</t>
        </is>
      </c>
      <c r="B1443" t="inlineStr">
        <is>
          <t>NM</t>
        </is>
      </c>
      <c r="C1443" t="inlineStr">
        <is>
          <t>Master's</t>
        </is>
      </c>
      <c r="D1443" t="n">
        <v>0</v>
      </c>
      <c r="E1443" t="n">
        <v>59000</v>
      </c>
      <c r="F1443" t="inlineStr">
        <is>
          <t>2026-06-16</t>
        </is>
      </c>
    </row>
    <row r="1444">
      <c r="A1444" t="inlineStr">
        <is>
          <t>Las Cruces Public Schools</t>
        </is>
      </c>
      <c r="B1444" t="inlineStr">
        <is>
          <t>NM</t>
        </is>
      </c>
      <c r="C1444" t="inlineStr">
        <is>
          <t>Master's</t>
        </is>
      </c>
      <c r="D1444" t="n">
        <v>1</v>
      </c>
      <c r="E1444" t="n">
        <v>62000</v>
      </c>
      <c r="F1444" t="inlineStr">
        <is>
          <t>2026-06-16</t>
        </is>
      </c>
    </row>
    <row r="1445">
      <c r="A1445" t="inlineStr">
        <is>
          <t>Las Cruces Public Schools</t>
        </is>
      </c>
      <c r="B1445" t="inlineStr">
        <is>
          <t>NM</t>
        </is>
      </c>
      <c r="C1445" t="inlineStr">
        <is>
          <t>Master's</t>
        </is>
      </c>
      <c r="D1445" t="n">
        <v>2</v>
      </c>
      <c r="E1445" t="n">
        <v>65000</v>
      </c>
      <c r="F1445" t="inlineStr">
        <is>
          <t>2026-06-16</t>
        </is>
      </c>
    </row>
    <row r="1446">
      <c r="A1446" t="inlineStr">
        <is>
          <t>Las Cruces Public Schools</t>
        </is>
      </c>
      <c r="B1446" t="inlineStr">
        <is>
          <t>NM</t>
        </is>
      </c>
      <c r="C1446" t="inlineStr">
        <is>
          <t>Master's</t>
        </is>
      </c>
      <c r="D1446" t="n">
        <v>3</v>
      </c>
      <c r="E1446" t="n">
        <v>67000</v>
      </c>
      <c r="F1446" t="inlineStr">
        <is>
          <t>2026-06-16</t>
        </is>
      </c>
    </row>
    <row r="1447">
      <c r="A1447" t="inlineStr">
        <is>
          <t>Las Cruces Public Schools</t>
        </is>
      </c>
      <c r="B1447" t="inlineStr">
        <is>
          <t>NM</t>
        </is>
      </c>
      <c r="C1447" t="inlineStr">
        <is>
          <t>Master's</t>
        </is>
      </c>
      <c r="D1447" t="n">
        <v>4</v>
      </c>
      <c r="E1447" t="n">
        <v>68500</v>
      </c>
      <c r="F1447" t="inlineStr">
        <is>
          <t>2026-06-16</t>
        </is>
      </c>
    </row>
    <row r="1448">
      <c r="A1448" t="inlineStr">
        <is>
          <t>Las Cruces Public Schools</t>
        </is>
      </c>
      <c r="B1448" t="inlineStr">
        <is>
          <t>NM</t>
        </is>
      </c>
      <c r="C1448" t="inlineStr">
        <is>
          <t>Master's</t>
        </is>
      </c>
      <c r="D1448" t="n">
        <v>5</v>
      </c>
      <c r="E1448" t="n">
        <v>70000</v>
      </c>
      <c r="F1448" t="inlineStr">
        <is>
          <t>2026-06-16</t>
        </is>
      </c>
    </row>
    <row r="1449">
      <c r="A1449" t="inlineStr">
        <is>
          <t>Las Cruces Public Schools</t>
        </is>
      </c>
      <c r="B1449" t="inlineStr">
        <is>
          <t>NM</t>
        </is>
      </c>
      <c r="C1449" t="inlineStr">
        <is>
          <t>Master's</t>
        </is>
      </c>
      <c r="D1449" t="n">
        <v>6</v>
      </c>
      <c r="E1449" t="n">
        <v>72000</v>
      </c>
      <c r="F1449" t="inlineStr">
        <is>
          <t>2026-06-16</t>
        </is>
      </c>
    </row>
    <row r="1450">
      <c r="A1450" t="inlineStr">
        <is>
          <t>Las Cruces Public Schools</t>
        </is>
      </c>
      <c r="B1450" t="inlineStr">
        <is>
          <t>NM</t>
        </is>
      </c>
      <c r="C1450" t="inlineStr">
        <is>
          <t>Master's</t>
        </is>
      </c>
      <c r="D1450" t="n">
        <v>7</v>
      </c>
      <c r="E1450" t="n">
        <v>74000</v>
      </c>
      <c r="F1450" t="inlineStr">
        <is>
          <t>2026-06-16</t>
        </is>
      </c>
    </row>
    <row r="1451">
      <c r="A1451" t="inlineStr">
        <is>
          <t>Las Cruces Public Schools</t>
        </is>
      </c>
      <c r="B1451" t="inlineStr">
        <is>
          <t>NM</t>
        </is>
      </c>
      <c r="C1451" t="inlineStr">
        <is>
          <t>Master's</t>
        </is>
      </c>
      <c r="D1451" t="n">
        <v>8</v>
      </c>
      <c r="E1451" t="n">
        <v>76000</v>
      </c>
      <c r="F1451" t="inlineStr">
        <is>
          <t>2026-06-16</t>
        </is>
      </c>
    </row>
    <row r="1452">
      <c r="A1452" t="inlineStr">
        <is>
          <t>Las Cruces Public Schools</t>
        </is>
      </c>
      <c r="B1452" t="inlineStr">
        <is>
          <t>NM</t>
        </is>
      </c>
      <c r="C1452" t="inlineStr">
        <is>
          <t>Master's</t>
        </is>
      </c>
      <c r="D1452" t="n">
        <v>9</v>
      </c>
      <c r="E1452" t="n">
        <v>77500</v>
      </c>
      <c r="F1452" t="inlineStr">
        <is>
          <t>2026-06-16</t>
        </is>
      </c>
    </row>
    <row r="1453">
      <c r="A1453" t="inlineStr">
        <is>
          <t>Las Cruces Public Schools</t>
        </is>
      </c>
      <c r="B1453" t="inlineStr">
        <is>
          <t>NM</t>
        </is>
      </c>
      <c r="C1453" t="inlineStr">
        <is>
          <t>Master's</t>
        </is>
      </c>
      <c r="D1453" t="n">
        <v>10</v>
      </c>
      <c r="E1453" t="n">
        <v>79000</v>
      </c>
      <c r="F1453" t="inlineStr">
        <is>
          <t>2026-06-16</t>
        </is>
      </c>
    </row>
    <row r="1454">
      <c r="A1454" t="inlineStr">
        <is>
          <t>Rio Rancho Public Schools</t>
        </is>
      </c>
      <c r="B1454" t="inlineStr">
        <is>
          <t>NM</t>
        </is>
      </c>
      <c r="C1454" t="inlineStr">
        <is>
          <t>Bachelor's</t>
        </is>
      </c>
      <c r="D1454" t="n">
        <v>0</v>
      </c>
      <c r="E1454" t="n">
        <v>56000</v>
      </c>
      <c r="F1454" t="inlineStr">
        <is>
          <t>2026-06-16</t>
        </is>
      </c>
    </row>
    <row r="1455">
      <c r="A1455" t="inlineStr">
        <is>
          <t>Rio Rancho Public Schools</t>
        </is>
      </c>
      <c r="B1455" t="inlineStr">
        <is>
          <t>NM</t>
        </is>
      </c>
      <c r="C1455" t="inlineStr">
        <is>
          <t>Bachelor's</t>
        </is>
      </c>
      <c r="D1455" t="n">
        <v>1</v>
      </c>
      <c r="E1455" t="n">
        <v>59000</v>
      </c>
      <c r="F1455" t="inlineStr">
        <is>
          <t>2026-06-16</t>
        </is>
      </c>
    </row>
    <row r="1456">
      <c r="A1456" t="inlineStr">
        <is>
          <t>Rio Rancho Public Schools</t>
        </is>
      </c>
      <c r="B1456" t="inlineStr">
        <is>
          <t>NM</t>
        </is>
      </c>
      <c r="C1456" t="inlineStr">
        <is>
          <t>Bachelor's</t>
        </is>
      </c>
      <c r="D1456" t="n">
        <v>2</v>
      </c>
      <c r="E1456" t="n">
        <v>62000</v>
      </c>
      <c r="F1456" t="inlineStr">
        <is>
          <t>2026-06-16</t>
        </is>
      </c>
    </row>
    <row r="1457">
      <c r="A1457" t="inlineStr">
        <is>
          <t>Rio Rancho Public Schools</t>
        </is>
      </c>
      <c r="B1457" t="inlineStr">
        <is>
          <t>NM</t>
        </is>
      </c>
      <c r="C1457" t="inlineStr">
        <is>
          <t>Bachelor's</t>
        </is>
      </c>
      <c r="D1457" t="n">
        <v>3</v>
      </c>
      <c r="E1457" t="n">
        <v>64000</v>
      </c>
      <c r="F1457" t="inlineStr">
        <is>
          <t>2026-06-16</t>
        </is>
      </c>
    </row>
    <row r="1458">
      <c r="A1458" t="inlineStr">
        <is>
          <t>Rio Rancho Public Schools</t>
        </is>
      </c>
      <c r="B1458" t="inlineStr">
        <is>
          <t>NM</t>
        </is>
      </c>
      <c r="C1458" t="inlineStr">
        <is>
          <t>Bachelor's</t>
        </is>
      </c>
      <c r="D1458" t="n">
        <v>4</v>
      </c>
      <c r="E1458" t="n">
        <v>65500</v>
      </c>
      <c r="F1458" t="inlineStr">
        <is>
          <t>2026-06-16</t>
        </is>
      </c>
    </row>
    <row r="1459">
      <c r="A1459" t="inlineStr">
        <is>
          <t>Rio Rancho Public Schools</t>
        </is>
      </c>
      <c r="B1459" t="inlineStr">
        <is>
          <t>NM</t>
        </is>
      </c>
      <c r="C1459" t="inlineStr">
        <is>
          <t>Bachelor's</t>
        </is>
      </c>
      <c r="D1459" t="n">
        <v>5</v>
      </c>
      <c r="E1459" t="n">
        <v>67000</v>
      </c>
      <c r="F1459" t="inlineStr">
        <is>
          <t>2026-06-16</t>
        </is>
      </c>
    </row>
    <row r="1460">
      <c r="A1460" t="inlineStr">
        <is>
          <t>Rio Rancho Public Schools</t>
        </is>
      </c>
      <c r="B1460" t="inlineStr">
        <is>
          <t>NM</t>
        </is>
      </c>
      <c r="C1460" t="inlineStr">
        <is>
          <t>Bachelor's</t>
        </is>
      </c>
      <c r="D1460" t="n">
        <v>6</v>
      </c>
      <c r="E1460" t="n">
        <v>69000</v>
      </c>
      <c r="F1460" t="inlineStr">
        <is>
          <t>2026-06-16</t>
        </is>
      </c>
    </row>
    <row r="1461">
      <c r="A1461" t="inlineStr">
        <is>
          <t>Rio Rancho Public Schools</t>
        </is>
      </c>
      <c r="B1461" t="inlineStr">
        <is>
          <t>NM</t>
        </is>
      </c>
      <c r="C1461" t="inlineStr">
        <is>
          <t>Bachelor's</t>
        </is>
      </c>
      <c r="D1461" t="n">
        <v>7</v>
      </c>
      <c r="E1461" t="n">
        <v>71000</v>
      </c>
      <c r="F1461" t="inlineStr">
        <is>
          <t>2026-06-16</t>
        </is>
      </c>
    </row>
    <row r="1462">
      <c r="A1462" t="inlineStr">
        <is>
          <t>Rio Rancho Public Schools</t>
        </is>
      </c>
      <c r="B1462" t="inlineStr">
        <is>
          <t>NM</t>
        </is>
      </c>
      <c r="C1462" t="inlineStr">
        <is>
          <t>Bachelor's</t>
        </is>
      </c>
      <c r="D1462" t="n">
        <v>8</v>
      </c>
      <c r="E1462" t="n">
        <v>73000</v>
      </c>
      <c r="F1462" t="inlineStr">
        <is>
          <t>2026-06-16</t>
        </is>
      </c>
    </row>
    <row r="1463">
      <c r="A1463" t="inlineStr">
        <is>
          <t>Rio Rancho Public Schools</t>
        </is>
      </c>
      <c r="B1463" t="inlineStr">
        <is>
          <t>NM</t>
        </is>
      </c>
      <c r="C1463" t="inlineStr">
        <is>
          <t>Bachelor's</t>
        </is>
      </c>
      <c r="D1463" t="n">
        <v>9</v>
      </c>
      <c r="E1463" t="n">
        <v>74500</v>
      </c>
      <c r="F1463" t="inlineStr">
        <is>
          <t>2026-06-16</t>
        </is>
      </c>
    </row>
    <row r="1464">
      <c r="A1464" t="inlineStr">
        <is>
          <t>Rio Rancho Public Schools</t>
        </is>
      </c>
      <c r="B1464" t="inlineStr">
        <is>
          <t>NM</t>
        </is>
      </c>
      <c r="C1464" t="inlineStr">
        <is>
          <t>Bachelor's</t>
        </is>
      </c>
      <c r="D1464" t="n">
        <v>10</v>
      </c>
      <c r="E1464" t="n">
        <v>76000</v>
      </c>
      <c r="F1464" t="inlineStr">
        <is>
          <t>2026-06-16</t>
        </is>
      </c>
    </row>
    <row r="1465">
      <c r="A1465" t="inlineStr">
        <is>
          <t>Rio Rancho Public Schools</t>
        </is>
      </c>
      <c r="B1465" t="inlineStr">
        <is>
          <t>NM</t>
        </is>
      </c>
      <c r="C1465" t="inlineStr">
        <is>
          <t>Master's</t>
        </is>
      </c>
      <c r="D1465" t="n">
        <v>0</v>
      </c>
      <c r="E1465" t="n">
        <v>60000</v>
      </c>
      <c r="F1465" t="inlineStr">
        <is>
          <t>2026-06-16</t>
        </is>
      </c>
    </row>
    <row r="1466">
      <c r="A1466" t="inlineStr">
        <is>
          <t>Rio Rancho Public Schools</t>
        </is>
      </c>
      <c r="B1466" t="inlineStr">
        <is>
          <t>NM</t>
        </is>
      </c>
      <c r="C1466" t="inlineStr">
        <is>
          <t>Master's</t>
        </is>
      </c>
      <c r="D1466" t="n">
        <v>1</v>
      </c>
      <c r="E1466" t="n">
        <v>63000</v>
      </c>
      <c r="F1466" t="inlineStr">
        <is>
          <t>2026-06-16</t>
        </is>
      </c>
    </row>
    <row r="1467">
      <c r="A1467" t="inlineStr">
        <is>
          <t>Rio Rancho Public Schools</t>
        </is>
      </c>
      <c r="B1467" t="inlineStr">
        <is>
          <t>NM</t>
        </is>
      </c>
      <c r="C1467" t="inlineStr">
        <is>
          <t>Master's</t>
        </is>
      </c>
      <c r="D1467" t="n">
        <v>2</v>
      </c>
      <c r="E1467" t="n">
        <v>66000</v>
      </c>
      <c r="F1467" t="inlineStr">
        <is>
          <t>2026-06-16</t>
        </is>
      </c>
    </row>
    <row r="1468">
      <c r="A1468" t="inlineStr">
        <is>
          <t>Rio Rancho Public Schools</t>
        </is>
      </c>
      <c r="B1468" t="inlineStr">
        <is>
          <t>NM</t>
        </is>
      </c>
      <c r="C1468" t="inlineStr">
        <is>
          <t>Master's</t>
        </is>
      </c>
      <c r="D1468" t="n">
        <v>3</v>
      </c>
      <c r="E1468" t="n">
        <v>68000</v>
      </c>
      <c r="F1468" t="inlineStr">
        <is>
          <t>2026-06-16</t>
        </is>
      </c>
    </row>
    <row r="1469">
      <c r="A1469" t="inlineStr">
        <is>
          <t>Rio Rancho Public Schools</t>
        </is>
      </c>
      <c r="B1469" t="inlineStr">
        <is>
          <t>NM</t>
        </is>
      </c>
      <c r="C1469" t="inlineStr">
        <is>
          <t>Master's</t>
        </is>
      </c>
      <c r="D1469" t="n">
        <v>4</v>
      </c>
      <c r="E1469" t="n">
        <v>70000</v>
      </c>
      <c r="F1469" t="inlineStr">
        <is>
          <t>2026-06-16</t>
        </is>
      </c>
    </row>
    <row r="1470">
      <c r="A1470" t="inlineStr">
        <is>
          <t>Rio Rancho Public Schools</t>
        </is>
      </c>
      <c r="B1470" t="inlineStr">
        <is>
          <t>NM</t>
        </is>
      </c>
      <c r="C1470" t="inlineStr">
        <is>
          <t>Master's</t>
        </is>
      </c>
      <c r="D1470" t="n">
        <v>5</v>
      </c>
      <c r="E1470" t="n">
        <v>72000</v>
      </c>
      <c r="F1470" t="inlineStr">
        <is>
          <t>2026-06-16</t>
        </is>
      </c>
    </row>
    <row r="1471">
      <c r="A1471" t="inlineStr">
        <is>
          <t>Rio Rancho Public Schools</t>
        </is>
      </c>
      <c r="B1471" t="inlineStr">
        <is>
          <t>NM</t>
        </is>
      </c>
      <c r="C1471" t="inlineStr">
        <is>
          <t>Master's</t>
        </is>
      </c>
      <c r="D1471" t="n">
        <v>6</v>
      </c>
      <c r="E1471" t="n">
        <v>74000</v>
      </c>
      <c r="F1471" t="inlineStr">
        <is>
          <t>2026-06-16</t>
        </is>
      </c>
    </row>
    <row r="1472">
      <c r="A1472" t="inlineStr">
        <is>
          <t>Rio Rancho Public Schools</t>
        </is>
      </c>
      <c r="B1472" t="inlineStr">
        <is>
          <t>NM</t>
        </is>
      </c>
      <c r="C1472" t="inlineStr">
        <is>
          <t>Master's</t>
        </is>
      </c>
      <c r="D1472" t="n">
        <v>7</v>
      </c>
      <c r="E1472" t="n">
        <v>76000</v>
      </c>
      <c r="F1472" t="inlineStr">
        <is>
          <t>2026-06-16</t>
        </is>
      </c>
    </row>
    <row r="1473">
      <c r="A1473" t="inlineStr">
        <is>
          <t>Rio Rancho Public Schools</t>
        </is>
      </c>
      <c r="B1473" t="inlineStr">
        <is>
          <t>NM</t>
        </is>
      </c>
      <c r="C1473" t="inlineStr">
        <is>
          <t>Master's</t>
        </is>
      </c>
      <c r="D1473" t="n">
        <v>8</v>
      </c>
      <c r="E1473" t="n">
        <v>78000</v>
      </c>
      <c r="F1473" t="inlineStr">
        <is>
          <t>2026-06-16</t>
        </is>
      </c>
    </row>
    <row r="1474">
      <c r="A1474" t="inlineStr">
        <is>
          <t>Rio Rancho Public Schools</t>
        </is>
      </c>
      <c r="B1474" t="inlineStr">
        <is>
          <t>NM</t>
        </is>
      </c>
      <c r="C1474" t="inlineStr">
        <is>
          <t>Master's</t>
        </is>
      </c>
      <c r="D1474" t="n">
        <v>9</v>
      </c>
      <c r="E1474" t="n">
        <v>79500</v>
      </c>
      <c r="F1474" t="inlineStr">
        <is>
          <t>2026-06-16</t>
        </is>
      </c>
    </row>
    <row r="1475">
      <c r="A1475" t="inlineStr">
        <is>
          <t>Rio Rancho Public Schools</t>
        </is>
      </c>
      <c r="B1475" t="inlineStr">
        <is>
          <t>NM</t>
        </is>
      </c>
      <c r="C1475" t="inlineStr">
        <is>
          <t>Master's</t>
        </is>
      </c>
      <c r="D1475" t="n">
        <v>10</v>
      </c>
      <c r="E1475" t="n">
        <v>81000</v>
      </c>
      <c r="F1475" t="inlineStr">
        <is>
          <t>2026-06-16</t>
        </is>
      </c>
    </row>
    <row r="1476">
      <c r="A1476" t="inlineStr">
        <is>
          <t>Gilbert Public Schools</t>
        </is>
      </c>
      <c r="B1476" t="inlineStr">
        <is>
          <t>AZ</t>
        </is>
      </c>
      <c r="C1476" t="inlineStr">
        <is>
          <t>Bachelor's</t>
        </is>
      </c>
      <c r="D1476" t="n">
        <v>0</v>
      </c>
      <c r="E1476" t="n">
        <v>53530</v>
      </c>
      <c r="F1476" t="inlineStr">
        <is>
          <t>2026-06-16</t>
        </is>
      </c>
    </row>
    <row r="1477">
      <c r="A1477" t="inlineStr">
        <is>
          <t>Gilbert Public Schools</t>
        </is>
      </c>
      <c r="B1477" t="inlineStr">
        <is>
          <t>AZ</t>
        </is>
      </c>
      <c r="C1477" t="inlineStr">
        <is>
          <t>Bachelor's</t>
        </is>
      </c>
      <c r="D1477" t="n">
        <v>1</v>
      </c>
      <c r="E1477" t="n">
        <v>56000</v>
      </c>
      <c r="F1477" t="inlineStr">
        <is>
          <t>2026-06-16</t>
        </is>
      </c>
    </row>
    <row r="1478">
      <c r="A1478" t="inlineStr">
        <is>
          <t>Gilbert Public Schools</t>
        </is>
      </c>
      <c r="B1478" t="inlineStr">
        <is>
          <t>AZ</t>
        </is>
      </c>
      <c r="C1478" t="inlineStr">
        <is>
          <t>Bachelor's</t>
        </is>
      </c>
      <c r="D1478" t="n">
        <v>2</v>
      </c>
      <c r="E1478" t="n">
        <v>58500</v>
      </c>
      <c r="F1478" t="inlineStr">
        <is>
          <t>2026-06-16</t>
        </is>
      </c>
    </row>
    <row r="1479">
      <c r="A1479" t="inlineStr">
        <is>
          <t>Gilbert Public Schools</t>
        </is>
      </c>
      <c r="B1479" t="inlineStr">
        <is>
          <t>AZ</t>
        </is>
      </c>
      <c r="C1479" t="inlineStr">
        <is>
          <t>Bachelor's</t>
        </is>
      </c>
      <c r="D1479" t="n">
        <v>3</v>
      </c>
      <c r="E1479" t="n">
        <v>61000</v>
      </c>
      <c r="F1479" t="inlineStr">
        <is>
          <t>2026-06-16</t>
        </is>
      </c>
    </row>
    <row r="1480">
      <c r="A1480" t="inlineStr">
        <is>
          <t>Gilbert Public Schools</t>
        </is>
      </c>
      <c r="B1480" t="inlineStr">
        <is>
          <t>AZ</t>
        </is>
      </c>
      <c r="C1480" t="inlineStr">
        <is>
          <t>Bachelor's</t>
        </is>
      </c>
      <c r="D1480" t="n">
        <v>4</v>
      </c>
      <c r="E1480" t="n">
        <v>63000</v>
      </c>
      <c r="F1480" t="inlineStr">
        <is>
          <t>2026-06-16</t>
        </is>
      </c>
    </row>
    <row r="1481">
      <c r="A1481" t="inlineStr">
        <is>
          <t>Gilbert Public Schools</t>
        </is>
      </c>
      <c r="B1481" t="inlineStr">
        <is>
          <t>AZ</t>
        </is>
      </c>
      <c r="C1481" t="inlineStr">
        <is>
          <t>Bachelor's</t>
        </is>
      </c>
      <c r="D1481" t="n">
        <v>5</v>
      </c>
      <c r="E1481" t="n">
        <v>65000</v>
      </c>
      <c r="F1481" t="inlineStr">
        <is>
          <t>2026-06-16</t>
        </is>
      </c>
    </row>
    <row r="1482">
      <c r="A1482" t="inlineStr">
        <is>
          <t>Gilbert Public Schools</t>
        </is>
      </c>
      <c r="B1482" t="inlineStr">
        <is>
          <t>AZ</t>
        </is>
      </c>
      <c r="C1482" t="inlineStr">
        <is>
          <t>Bachelor's</t>
        </is>
      </c>
      <c r="D1482" t="n">
        <v>6</v>
      </c>
      <c r="E1482" t="n">
        <v>66000</v>
      </c>
      <c r="F1482" t="inlineStr">
        <is>
          <t>2026-06-16</t>
        </is>
      </c>
    </row>
    <row r="1483">
      <c r="A1483" t="inlineStr">
        <is>
          <t>Gilbert Public Schools</t>
        </is>
      </c>
      <c r="B1483" t="inlineStr">
        <is>
          <t>AZ</t>
        </is>
      </c>
      <c r="C1483" t="inlineStr">
        <is>
          <t>Bachelor's</t>
        </is>
      </c>
      <c r="D1483" t="n">
        <v>7</v>
      </c>
      <c r="E1483" t="n">
        <v>67000</v>
      </c>
      <c r="F1483" t="inlineStr">
        <is>
          <t>2026-06-16</t>
        </is>
      </c>
    </row>
    <row r="1484">
      <c r="A1484" t="inlineStr">
        <is>
          <t>Gilbert Public Schools</t>
        </is>
      </c>
      <c r="B1484" t="inlineStr">
        <is>
          <t>AZ</t>
        </is>
      </c>
      <c r="C1484" t="inlineStr">
        <is>
          <t>Bachelor's</t>
        </is>
      </c>
      <c r="D1484" t="n">
        <v>8</v>
      </c>
      <c r="E1484" t="n">
        <v>68000</v>
      </c>
      <c r="F1484" t="inlineStr">
        <is>
          <t>2026-06-16</t>
        </is>
      </c>
    </row>
    <row r="1485">
      <c r="A1485" t="inlineStr">
        <is>
          <t>Gilbert Public Schools</t>
        </is>
      </c>
      <c r="B1485" t="inlineStr">
        <is>
          <t>AZ</t>
        </is>
      </c>
      <c r="C1485" t="inlineStr">
        <is>
          <t>Bachelor's</t>
        </is>
      </c>
      <c r="D1485" t="n">
        <v>9</v>
      </c>
      <c r="E1485" t="n">
        <v>69000</v>
      </c>
      <c r="F1485" t="inlineStr">
        <is>
          <t>2026-06-16</t>
        </is>
      </c>
    </row>
    <row r="1486">
      <c r="A1486" t="inlineStr">
        <is>
          <t>Gilbert Public Schools</t>
        </is>
      </c>
      <c r="B1486" t="inlineStr">
        <is>
          <t>AZ</t>
        </is>
      </c>
      <c r="C1486" t="inlineStr">
        <is>
          <t>Bachelor's</t>
        </is>
      </c>
      <c r="D1486" t="n">
        <v>10</v>
      </c>
      <c r="E1486" t="n">
        <v>70000</v>
      </c>
      <c r="F1486" t="inlineStr">
        <is>
          <t>2026-06-16</t>
        </is>
      </c>
    </row>
    <row r="1487">
      <c r="A1487" t="inlineStr">
        <is>
          <t>Gilbert Public Schools</t>
        </is>
      </c>
      <c r="B1487" t="inlineStr">
        <is>
          <t>AZ</t>
        </is>
      </c>
      <c r="C1487" t="inlineStr">
        <is>
          <t>Master's</t>
        </is>
      </c>
      <c r="D1487" t="n">
        <v>0</v>
      </c>
      <c r="E1487" t="n">
        <v>58500</v>
      </c>
      <c r="F1487" t="inlineStr">
        <is>
          <t>2026-06-16</t>
        </is>
      </c>
    </row>
    <row r="1488">
      <c r="A1488" t="inlineStr">
        <is>
          <t>Gilbert Public Schools</t>
        </is>
      </c>
      <c r="B1488" t="inlineStr">
        <is>
          <t>AZ</t>
        </is>
      </c>
      <c r="C1488" t="inlineStr">
        <is>
          <t>Master's</t>
        </is>
      </c>
      <c r="D1488" t="n">
        <v>1</v>
      </c>
      <c r="E1488" t="n">
        <v>61000</v>
      </c>
      <c r="F1488" t="inlineStr">
        <is>
          <t>2026-06-16</t>
        </is>
      </c>
    </row>
    <row r="1489">
      <c r="A1489" t="inlineStr">
        <is>
          <t>Gilbert Public Schools</t>
        </is>
      </c>
      <c r="B1489" t="inlineStr">
        <is>
          <t>AZ</t>
        </is>
      </c>
      <c r="C1489" t="inlineStr">
        <is>
          <t>Master's</t>
        </is>
      </c>
      <c r="D1489" t="n">
        <v>2</v>
      </c>
      <c r="E1489" t="n">
        <v>63500</v>
      </c>
      <c r="F1489" t="inlineStr">
        <is>
          <t>2026-06-16</t>
        </is>
      </c>
    </row>
    <row r="1490">
      <c r="A1490" t="inlineStr">
        <is>
          <t>Gilbert Public Schools</t>
        </is>
      </c>
      <c r="B1490" t="inlineStr">
        <is>
          <t>AZ</t>
        </is>
      </c>
      <c r="C1490" t="inlineStr">
        <is>
          <t>Master's</t>
        </is>
      </c>
      <c r="D1490" t="n">
        <v>3</v>
      </c>
      <c r="E1490" t="n">
        <v>66000</v>
      </c>
      <c r="F1490" t="inlineStr">
        <is>
          <t>2026-06-16</t>
        </is>
      </c>
    </row>
    <row r="1491">
      <c r="A1491" t="inlineStr">
        <is>
          <t>Gilbert Public Schools</t>
        </is>
      </c>
      <c r="B1491" t="inlineStr">
        <is>
          <t>AZ</t>
        </is>
      </c>
      <c r="C1491" t="inlineStr">
        <is>
          <t>Master's</t>
        </is>
      </c>
      <c r="D1491" t="n">
        <v>4</v>
      </c>
      <c r="E1491" t="n">
        <v>68000</v>
      </c>
      <c r="F1491" t="inlineStr">
        <is>
          <t>2026-06-16</t>
        </is>
      </c>
    </row>
    <row r="1492">
      <c r="A1492" t="inlineStr">
        <is>
          <t>Gilbert Public Schools</t>
        </is>
      </c>
      <c r="B1492" t="inlineStr">
        <is>
          <t>AZ</t>
        </is>
      </c>
      <c r="C1492" t="inlineStr">
        <is>
          <t>Master's</t>
        </is>
      </c>
      <c r="D1492" t="n">
        <v>5</v>
      </c>
      <c r="E1492" t="n">
        <v>70000</v>
      </c>
      <c r="F1492" t="inlineStr">
        <is>
          <t>2026-06-16</t>
        </is>
      </c>
    </row>
    <row r="1493">
      <c r="A1493" t="inlineStr">
        <is>
          <t>Gilbert Public Schools</t>
        </is>
      </c>
      <c r="B1493" t="inlineStr">
        <is>
          <t>AZ</t>
        </is>
      </c>
      <c r="C1493" t="inlineStr">
        <is>
          <t>Master's</t>
        </is>
      </c>
      <c r="D1493" t="n">
        <v>6</v>
      </c>
      <c r="E1493" t="n">
        <v>71500</v>
      </c>
      <c r="F1493" t="inlineStr">
        <is>
          <t>2026-06-16</t>
        </is>
      </c>
    </row>
    <row r="1494">
      <c r="A1494" t="inlineStr">
        <is>
          <t>Gilbert Public Schools</t>
        </is>
      </c>
      <c r="B1494" t="inlineStr">
        <is>
          <t>AZ</t>
        </is>
      </c>
      <c r="C1494" t="inlineStr">
        <is>
          <t>Master's</t>
        </is>
      </c>
      <c r="D1494" t="n">
        <v>7</v>
      </c>
      <c r="E1494" t="n">
        <v>72500</v>
      </c>
      <c r="F1494" t="inlineStr">
        <is>
          <t>2026-06-16</t>
        </is>
      </c>
    </row>
    <row r="1495">
      <c r="A1495" t="inlineStr">
        <is>
          <t>Gilbert Public Schools</t>
        </is>
      </c>
      <c r="B1495" t="inlineStr">
        <is>
          <t>AZ</t>
        </is>
      </c>
      <c r="C1495" t="inlineStr">
        <is>
          <t>Master's</t>
        </is>
      </c>
      <c r="D1495" t="n">
        <v>8</v>
      </c>
      <c r="E1495" t="n">
        <v>73500</v>
      </c>
      <c r="F1495" t="inlineStr">
        <is>
          <t>2026-06-16</t>
        </is>
      </c>
    </row>
    <row r="1496">
      <c r="A1496" t="inlineStr">
        <is>
          <t>Gilbert Public Schools</t>
        </is>
      </c>
      <c r="B1496" t="inlineStr">
        <is>
          <t>AZ</t>
        </is>
      </c>
      <c r="C1496" t="inlineStr">
        <is>
          <t>Master's</t>
        </is>
      </c>
      <c r="D1496" t="n">
        <v>9</v>
      </c>
      <c r="E1496" t="n">
        <v>74500</v>
      </c>
      <c r="F1496" t="inlineStr">
        <is>
          <t>2026-06-16</t>
        </is>
      </c>
    </row>
    <row r="1497">
      <c r="A1497" t="inlineStr">
        <is>
          <t>Gilbert Public Schools</t>
        </is>
      </c>
      <c r="B1497" t="inlineStr">
        <is>
          <t>AZ</t>
        </is>
      </c>
      <c r="C1497" t="inlineStr">
        <is>
          <t>Master's</t>
        </is>
      </c>
      <c r="D1497" t="n">
        <v>10</v>
      </c>
      <c r="E1497" t="n">
        <v>75500</v>
      </c>
      <c r="F1497" t="inlineStr">
        <is>
          <t>2026-06-16</t>
        </is>
      </c>
    </row>
    <row r="1498">
      <c r="A1498" t="inlineStr">
        <is>
          <t>Queen Creek Unified School District</t>
        </is>
      </c>
      <c r="B1498" t="inlineStr">
        <is>
          <t>AZ</t>
        </is>
      </c>
      <c r="C1498" t="inlineStr">
        <is>
          <t>Bachelor's</t>
        </is>
      </c>
      <c r="D1498" t="n">
        <v>0</v>
      </c>
      <c r="E1498" t="n">
        <v>52000</v>
      </c>
      <c r="F1498" t="inlineStr">
        <is>
          <t>2026-06-16</t>
        </is>
      </c>
    </row>
    <row r="1499">
      <c r="A1499" t="inlineStr">
        <is>
          <t>Queen Creek Unified School District</t>
        </is>
      </c>
      <c r="B1499" t="inlineStr">
        <is>
          <t>AZ</t>
        </is>
      </c>
      <c r="C1499" t="inlineStr">
        <is>
          <t>Bachelor's</t>
        </is>
      </c>
      <c r="D1499" t="n">
        <v>1</v>
      </c>
      <c r="E1499" t="n">
        <v>54500</v>
      </c>
      <c r="F1499" t="inlineStr">
        <is>
          <t>2026-06-16</t>
        </is>
      </c>
    </row>
    <row r="1500">
      <c r="A1500" t="inlineStr">
        <is>
          <t>Queen Creek Unified School District</t>
        </is>
      </c>
      <c r="B1500" t="inlineStr">
        <is>
          <t>AZ</t>
        </is>
      </c>
      <c r="C1500" t="inlineStr">
        <is>
          <t>Bachelor's</t>
        </is>
      </c>
      <c r="D1500" t="n">
        <v>2</v>
      </c>
      <c r="E1500" t="n">
        <v>57000</v>
      </c>
      <c r="F1500" t="inlineStr">
        <is>
          <t>2026-06-16</t>
        </is>
      </c>
    </row>
    <row r="1501">
      <c r="A1501" t="inlineStr">
        <is>
          <t>Queen Creek Unified School District</t>
        </is>
      </c>
      <c r="B1501" t="inlineStr">
        <is>
          <t>AZ</t>
        </is>
      </c>
      <c r="C1501" t="inlineStr">
        <is>
          <t>Bachelor's</t>
        </is>
      </c>
      <c r="D1501" t="n">
        <v>3</v>
      </c>
      <c r="E1501" t="n">
        <v>59500</v>
      </c>
      <c r="F1501" t="inlineStr">
        <is>
          <t>2026-06-16</t>
        </is>
      </c>
    </row>
    <row r="1502">
      <c r="A1502" t="inlineStr">
        <is>
          <t>Queen Creek Unified School District</t>
        </is>
      </c>
      <c r="B1502" t="inlineStr">
        <is>
          <t>AZ</t>
        </is>
      </c>
      <c r="C1502" t="inlineStr">
        <is>
          <t>Bachelor's</t>
        </is>
      </c>
      <c r="D1502" t="n">
        <v>4</v>
      </c>
      <c r="E1502" t="n">
        <v>61500</v>
      </c>
      <c r="F1502" t="inlineStr">
        <is>
          <t>2026-06-16</t>
        </is>
      </c>
    </row>
    <row r="1503">
      <c r="A1503" t="inlineStr">
        <is>
          <t>Queen Creek Unified School District</t>
        </is>
      </c>
      <c r="B1503" t="inlineStr">
        <is>
          <t>AZ</t>
        </is>
      </c>
      <c r="C1503" t="inlineStr">
        <is>
          <t>Bachelor's</t>
        </is>
      </c>
      <c r="D1503" t="n">
        <v>5</v>
      </c>
      <c r="E1503" t="n">
        <v>63500</v>
      </c>
      <c r="F1503" t="inlineStr">
        <is>
          <t>2026-06-16</t>
        </is>
      </c>
    </row>
    <row r="1504">
      <c r="A1504" t="inlineStr">
        <is>
          <t>Queen Creek Unified School District</t>
        </is>
      </c>
      <c r="B1504" t="inlineStr">
        <is>
          <t>AZ</t>
        </is>
      </c>
      <c r="C1504" t="inlineStr">
        <is>
          <t>Bachelor's</t>
        </is>
      </c>
      <c r="D1504" t="n">
        <v>6</v>
      </c>
      <c r="E1504" t="n">
        <v>65000</v>
      </c>
      <c r="F1504" t="inlineStr">
        <is>
          <t>2026-06-16</t>
        </is>
      </c>
    </row>
    <row r="1505">
      <c r="A1505" t="inlineStr">
        <is>
          <t>Queen Creek Unified School District</t>
        </is>
      </c>
      <c r="B1505" t="inlineStr">
        <is>
          <t>AZ</t>
        </is>
      </c>
      <c r="C1505" t="inlineStr">
        <is>
          <t>Bachelor's</t>
        </is>
      </c>
      <c r="D1505" t="n">
        <v>7</v>
      </c>
      <c r="E1505" t="n">
        <v>66250</v>
      </c>
      <c r="F1505" t="inlineStr">
        <is>
          <t>2026-06-16</t>
        </is>
      </c>
    </row>
    <row r="1506">
      <c r="A1506" t="inlineStr">
        <is>
          <t>Queen Creek Unified School District</t>
        </is>
      </c>
      <c r="B1506" t="inlineStr">
        <is>
          <t>AZ</t>
        </is>
      </c>
      <c r="C1506" t="inlineStr">
        <is>
          <t>Bachelor's</t>
        </is>
      </c>
      <c r="D1506" t="n">
        <v>8</v>
      </c>
      <c r="E1506" t="n">
        <v>67500</v>
      </c>
      <c r="F1506" t="inlineStr">
        <is>
          <t>2026-06-16</t>
        </is>
      </c>
    </row>
    <row r="1507">
      <c r="A1507" t="inlineStr">
        <is>
          <t>Queen Creek Unified School District</t>
        </is>
      </c>
      <c r="B1507" t="inlineStr">
        <is>
          <t>AZ</t>
        </is>
      </c>
      <c r="C1507" t="inlineStr">
        <is>
          <t>Bachelor's</t>
        </is>
      </c>
      <c r="D1507" t="n">
        <v>9</v>
      </c>
      <c r="E1507" t="n">
        <v>68750</v>
      </c>
      <c r="F1507" t="inlineStr">
        <is>
          <t>2026-06-16</t>
        </is>
      </c>
    </row>
    <row r="1508">
      <c r="A1508" t="inlineStr">
        <is>
          <t>Queen Creek Unified School District</t>
        </is>
      </c>
      <c r="B1508" t="inlineStr">
        <is>
          <t>AZ</t>
        </is>
      </c>
      <c r="C1508" t="inlineStr">
        <is>
          <t>Bachelor's</t>
        </is>
      </c>
      <c r="D1508" t="n">
        <v>10</v>
      </c>
      <c r="E1508" t="n">
        <v>70000</v>
      </c>
      <c r="F1508" t="inlineStr">
        <is>
          <t>2026-06-16</t>
        </is>
      </c>
    </row>
    <row r="1509">
      <c r="A1509" t="inlineStr">
        <is>
          <t>Queen Creek Unified School District</t>
        </is>
      </c>
      <c r="B1509" t="inlineStr">
        <is>
          <t>AZ</t>
        </is>
      </c>
      <c r="C1509" t="inlineStr">
        <is>
          <t>Master's</t>
        </is>
      </c>
      <c r="D1509" t="n">
        <v>0</v>
      </c>
      <c r="E1509" t="n">
        <v>57000</v>
      </c>
      <c r="F1509" t="inlineStr">
        <is>
          <t>2026-06-16</t>
        </is>
      </c>
    </row>
    <row r="1510">
      <c r="A1510" t="inlineStr">
        <is>
          <t>Queen Creek Unified School District</t>
        </is>
      </c>
      <c r="B1510" t="inlineStr">
        <is>
          <t>AZ</t>
        </is>
      </c>
      <c r="C1510" t="inlineStr">
        <is>
          <t>Master's</t>
        </is>
      </c>
      <c r="D1510" t="n">
        <v>1</v>
      </c>
      <c r="E1510" t="n">
        <v>59500</v>
      </c>
      <c r="F1510" t="inlineStr">
        <is>
          <t>2026-06-16</t>
        </is>
      </c>
    </row>
    <row r="1511">
      <c r="A1511" t="inlineStr">
        <is>
          <t>Queen Creek Unified School District</t>
        </is>
      </c>
      <c r="B1511" t="inlineStr">
        <is>
          <t>AZ</t>
        </is>
      </c>
      <c r="C1511" t="inlineStr">
        <is>
          <t>Master's</t>
        </is>
      </c>
      <c r="D1511" t="n">
        <v>2</v>
      </c>
      <c r="E1511" t="n">
        <v>62000</v>
      </c>
      <c r="F1511" t="inlineStr">
        <is>
          <t>2026-06-16</t>
        </is>
      </c>
    </row>
    <row r="1512">
      <c r="A1512" t="inlineStr">
        <is>
          <t>Queen Creek Unified School District</t>
        </is>
      </c>
      <c r="B1512" t="inlineStr">
        <is>
          <t>AZ</t>
        </is>
      </c>
      <c r="C1512" t="inlineStr">
        <is>
          <t>Master's</t>
        </is>
      </c>
      <c r="D1512" t="n">
        <v>3</v>
      </c>
      <c r="E1512" t="n">
        <v>64500</v>
      </c>
      <c r="F1512" t="inlineStr">
        <is>
          <t>2026-06-16</t>
        </is>
      </c>
    </row>
    <row r="1513">
      <c r="A1513" t="inlineStr">
        <is>
          <t>Queen Creek Unified School District</t>
        </is>
      </c>
      <c r="B1513" t="inlineStr">
        <is>
          <t>AZ</t>
        </is>
      </c>
      <c r="C1513" t="inlineStr">
        <is>
          <t>Master's</t>
        </is>
      </c>
      <c r="D1513" t="n">
        <v>4</v>
      </c>
      <c r="E1513" t="n">
        <v>66500</v>
      </c>
      <c r="F1513" t="inlineStr">
        <is>
          <t>2026-06-16</t>
        </is>
      </c>
    </row>
    <row r="1514">
      <c r="A1514" t="inlineStr">
        <is>
          <t>Queen Creek Unified School District</t>
        </is>
      </c>
      <c r="B1514" t="inlineStr">
        <is>
          <t>AZ</t>
        </is>
      </c>
      <c r="C1514" t="inlineStr">
        <is>
          <t>Master's</t>
        </is>
      </c>
      <c r="D1514" t="n">
        <v>5</v>
      </c>
      <c r="E1514" t="n">
        <v>68500</v>
      </c>
      <c r="F1514" t="inlineStr">
        <is>
          <t>2026-06-16</t>
        </is>
      </c>
    </row>
    <row r="1515">
      <c r="A1515" t="inlineStr">
        <is>
          <t>Queen Creek Unified School District</t>
        </is>
      </c>
      <c r="B1515" t="inlineStr">
        <is>
          <t>AZ</t>
        </is>
      </c>
      <c r="C1515" t="inlineStr">
        <is>
          <t>Master's</t>
        </is>
      </c>
      <c r="D1515" t="n">
        <v>6</v>
      </c>
      <c r="E1515" t="n">
        <v>70000</v>
      </c>
      <c r="F1515" t="inlineStr">
        <is>
          <t>2026-06-16</t>
        </is>
      </c>
    </row>
    <row r="1516">
      <c r="A1516" t="inlineStr">
        <is>
          <t>Queen Creek Unified School District</t>
        </is>
      </c>
      <c r="B1516" t="inlineStr">
        <is>
          <t>AZ</t>
        </is>
      </c>
      <c r="C1516" t="inlineStr">
        <is>
          <t>Master's</t>
        </is>
      </c>
      <c r="D1516" t="n">
        <v>7</v>
      </c>
      <c r="E1516" t="n">
        <v>71250</v>
      </c>
      <c r="F1516" t="inlineStr">
        <is>
          <t>2026-06-16</t>
        </is>
      </c>
    </row>
    <row r="1517">
      <c r="A1517" t="inlineStr">
        <is>
          <t>Queen Creek Unified School District</t>
        </is>
      </c>
      <c r="B1517" t="inlineStr">
        <is>
          <t>AZ</t>
        </is>
      </c>
      <c r="C1517" t="inlineStr">
        <is>
          <t>Master's</t>
        </is>
      </c>
      <c r="D1517" t="n">
        <v>8</v>
      </c>
      <c r="E1517" t="n">
        <v>72500</v>
      </c>
      <c r="F1517" t="inlineStr">
        <is>
          <t>2026-06-16</t>
        </is>
      </c>
    </row>
    <row r="1518">
      <c r="A1518" t="inlineStr">
        <is>
          <t>Queen Creek Unified School District</t>
        </is>
      </c>
      <c r="B1518" t="inlineStr">
        <is>
          <t>AZ</t>
        </is>
      </c>
      <c r="C1518" t="inlineStr">
        <is>
          <t>Master's</t>
        </is>
      </c>
      <c r="D1518" t="n">
        <v>9</v>
      </c>
      <c r="E1518" t="n">
        <v>73750</v>
      </c>
      <c r="F1518" t="inlineStr">
        <is>
          <t>2026-06-16</t>
        </is>
      </c>
    </row>
    <row r="1519">
      <c r="A1519" t="inlineStr">
        <is>
          <t>Queen Creek Unified School District</t>
        </is>
      </c>
      <c r="B1519" t="inlineStr">
        <is>
          <t>AZ</t>
        </is>
      </c>
      <c r="C1519" t="inlineStr">
        <is>
          <t>Master's</t>
        </is>
      </c>
      <c r="D1519" t="n">
        <v>10</v>
      </c>
      <c r="E1519" t="n">
        <v>75000</v>
      </c>
      <c r="F1519" t="inlineStr">
        <is>
          <t>2026-06-16</t>
        </is>
      </c>
    </row>
    <row r="1520">
      <c r="A1520" t="inlineStr">
        <is>
          <t>Vail School District</t>
        </is>
      </c>
      <c r="B1520" t="inlineStr">
        <is>
          <t>AZ</t>
        </is>
      </c>
      <c r="C1520" t="inlineStr">
        <is>
          <t>Bachelor's</t>
        </is>
      </c>
      <c r="D1520" t="n">
        <v>0</v>
      </c>
      <c r="E1520" t="n">
        <v>50250</v>
      </c>
      <c r="F1520" t="inlineStr">
        <is>
          <t>2026-06-16</t>
        </is>
      </c>
    </row>
    <row r="1521">
      <c r="A1521" t="inlineStr">
        <is>
          <t>Vail School District</t>
        </is>
      </c>
      <c r="B1521" t="inlineStr">
        <is>
          <t>AZ</t>
        </is>
      </c>
      <c r="C1521" t="inlineStr">
        <is>
          <t>Bachelor's</t>
        </is>
      </c>
      <c r="D1521" t="n">
        <v>1</v>
      </c>
      <c r="E1521" t="n">
        <v>52500</v>
      </c>
      <c r="F1521" t="inlineStr">
        <is>
          <t>2026-06-16</t>
        </is>
      </c>
    </row>
    <row r="1522">
      <c r="A1522" t="inlineStr">
        <is>
          <t>Vail School District</t>
        </is>
      </c>
      <c r="B1522" t="inlineStr">
        <is>
          <t>AZ</t>
        </is>
      </c>
      <c r="C1522" t="inlineStr">
        <is>
          <t>Bachelor's</t>
        </is>
      </c>
      <c r="D1522" t="n">
        <v>2</v>
      </c>
      <c r="E1522" t="n">
        <v>55000</v>
      </c>
      <c r="F1522" t="inlineStr">
        <is>
          <t>2026-06-16</t>
        </is>
      </c>
    </row>
    <row r="1523">
      <c r="A1523" t="inlineStr">
        <is>
          <t>Vail School District</t>
        </is>
      </c>
      <c r="B1523" t="inlineStr">
        <is>
          <t>AZ</t>
        </is>
      </c>
      <c r="C1523" t="inlineStr">
        <is>
          <t>Bachelor's</t>
        </is>
      </c>
      <c r="D1523" t="n">
        <v>3</v>
      </c>
      <c r="E1523" t="n">
        <v>57500</v>
      </c>
      <c r="F1523" t="inlineStr">
        <is>
          <t>2026-06-16</t>
        </is>
      </c>
    </row>
    <row r="1524">
      <c r="A1524" t="inlineStr">
        <is>
          <t>Vail School District</t>
        </is>
      </c>
      <c r="B1524" t="inlineStr">
        <is>
          <t>AZ</t>
        </is>
      </c>
      <c r="C1524" t="inlineStr">
        <is>
          <t>Bachelor's</t>
        </is>
      </c>
      <c r="D1524" t="n">
        <v>4</v>
      </c>
      <c r="E1524" t="n">
        <v>60000</v>
      </c>
      <c r="F1524" t="inlineStr">
        <is>
          <t>2026-06-16</t>
        </is>
      </c>
    </row>
    <row r="1525">
      <c r="A1525" t="inlineStr">
        <is>
          <t>Vail School District</t>
        </is>
      </c>
      <c r="B1525" t="inlineStr">
        <is>
          <t>AZ</t>
        </is>
      </c>
      <c r="C1525" t="inlineStr">
        <is>
          <t>Bachelor's</t>
        </is>
      </c>
      <c r="D1525" t="n">
        <v>5</v>
      </c>
      <c r="E1525" t="n">
        <v>62000</v>
      </c>
      <c r="F1525" t="inlineStr">
        <is>
          <t>2026-06-16</t>
        </is>
      </c>
    </row>
    <row r="1526">
      <c r="A1526" t="inlineStr">
        <is>
          <t>Vail School District</t>
        </is>
      </c>
      <c r="B1526" t="inlineStr">
        <is>
          <t>AZ</t>
        </is>
      </c>
      <c r="C1526" t="inlineStr">
        <is>
          <t>Bachelor's</t>
        </is>
      </c>
      <c r="D1526" t="n">
        <v>6</v>
      </c>
      <c r="E1526" t="n">
        <v>63500</v>
      </c>
      <c r="F1526" t="inlineStr">
        <is>
          <t>2026-06-16</t>
        </is>
      </c>
    </row>
    <row r="1527">
      <c r="A1527" t="inlineStr">
        <is>
          <t>Vail School District</t>
        </is>
      </c>
      <c r="B1527" t="inlineStr">
        <is>
          <t>AZ</t>
        </is>
      </c>
      <c r="C1527" t="inlineStr">
        <is>
          <t>Bachelor's</t>
        </is>
      </c>
      <c r="D1527" t="n">
        <v>7</v>
      </c>
      <c r="E1527" t="n">
        <v>65000</v>
      </c>
      <c r="F1527" t="inlineStr">
        <is>
          <t>2026-06-16</t>
        </is>
      </c>
    </row>
    <row r="1528">
      <c r="A1528" t="inlineStr">
        <is>
          <t>Vail School District</t>
        </is>
      </c>
      <c r="B1528" t="inlineStr">
        <is>
          <t>AZ</t>
        </is>
      </c>
      <c r="C1528" t="inlineStr">
        <is>
          <t>Bachelor's</t>
        </is>
      </c>
      <c r="D1528" t="n">
        <v>8</v>
      </c>
      <c r="E1528" t="n">
        <v>66500</v>
      </c>
      <c r="F1528" t="inlineStr">
        <is>
          <t>2026-06-16</t>
        </is>
      </c>
    </row>
    <row r="1529">
      <c r="A1529" t="inlineStr">
        <is>
          <t>Vail School District</t>
        </is>
      </c>
      <c r="B1529" t="inlineStr">
        <is>
          <t>AZ</t>
        </is>
      </c>
      <c r="C1529" t="inlineStr">
        <is>
          <t>Bachelor's</t>
        </is>
      </c>
      <c r="D1529" t="n">
        <v>9</v>
      </c>
      <c r="E1529" t="n">
        <v>68000</v>
      </c>
      <c r="F1529" t="inlineStr">
        <is>
          <t>2026-06-16</t>
        </is>
      </c>
    </row>
    <row r="1530">
      <c r="A1530" t="inlineStr">
        <is>
          <t>Vail School District</t>
        </is>
      </c>
      <c r="B1530" t="inlineStr">
        <is>
          <t>AZ</t>
        </is>
      </c>
      <c r="C1530" t="inlineStr">
        <is>
          <t>Bachelor's</t>
        </is>
      </c>
      <c r="D1530" t="n">
        <v>10</v>
      </c>
      <c r="E1530" t="n">
        <v>69500</v>
      </c>
      <c r="F1530" t="inlineStr">
        <is>
          <t>2026-06-16</t>
        </is>
      </c>
    </row>
    <row r="1531">
      <c r="A1531" t="inlineStr">
        <is>
          <t>Vail School District</t>
        </is>
      </c>
      <c r="B1531" t="inlineStr">
        <is>
          <t>AZ</t>
        </is>
      </c>
      <c r="C1531" t="inlineStr">
        <is>
          <t>Master's</t>
        </is>
      </c>
      <c r="D1531" t="n">
        <v>0</v>
      </c>
      <c r="E1531" t="n">
        <v>55250</v>
      </c>
      <c r="F1531" t="inlineStr">
        <is>
          <t>2026-06-16</t>
        </is>
      </c>
    </row>
    <row r="1532">
      <c r="A1532" t="inlineStr">
        <is>
          <t>Vail School District</t>
        </is>
      </c>
      <c r="B1532" t="inlineStr">
        <is>
          <t>AZ</t>
        </is>
      </c>
      <c r="C1532" t="inlineStr">
        <is>
          <t>Master's</t>
        </is>
      </c>
      <c r="D1532" t="n">
        <v>1</v>
      </c>
      <c r="E1532" t="n">
        <v>57500</v>
      </c>
      <c r="F1532" t="inlineStr">
        <is>
          <t>2026-06-16</t>
        </is>
      </c>
    </row>
    <row r="1533">
      <c r="A1533" t="inlineStr">
        <is>
          <t>Vail School District</t>
        </is>
      </c>
      <c r="B1533" t="inlineStr">
        <is>
          <t>AZ</t>
        </is>
      </c>
      <c r="C1533" t="inlineStr">
        <is>
          <t>Master's</t>
        </is>
      </c>
      <c r="D1533" t="n">
        <v>2</v>
      </c>
      <c r="E1533" t="n">
        <v>60000</v>
      </c>
      <c r="F1533" t="inlineStr">
        <is>
          <t>2026-06-16</t>
        </is>
      </c>
    </row>
    <row r="1534">
      <c r="A1534" t="inlineStr">
        <is>
          <t>Vail School District</t>
        </is>
      </c>
      <c r="B1534" t="inlineStr">
        <is>
          <t>AZ</t>
        </is>
      </c>
      <c r="C1534" t="inlineStr">
        <is>
          <t>Master's</t>
        </is>
      </c>
      <c r="D1534" t="n">
        <v>3</v>
      </c>
      <c r="E1534" t="n">
        <v>62500</v>
      </c>
      <c r="F1534" t="inlineStr">
        <is>
          <t>2026-06-16</t>
        </is>
      </c>
    </row>
    <row r="1535">
      <c r="A1535" t="inlineStr">
        <is>
          <t>Vail School District</t>
        </is>
      </c>
      <c r="B1535" t="inlineStr">
        <is>
          <t>AZ</t>
        </is>
      </c>
      <c r="C1535" t="inlineStr">
        <is>
          <t>Master's</t>
        </is>
      </c>
      <c r="D1535" t="n">
        <v>4</v>
      </c>
      <c r="E1535" t="n">
        <v>65000</v>
      </c>
      <c r="F1535" t="inlineStr">
        <is>
          <t>2026-06-16</t>
        </is>
      </c>
    </row>
    <row r="1536">
      <c r="A1536" t="inlineStr">
        <is>
          <t>Vail School District</t>
        </is>
      </c>
      <c r="B1536" t="inlineStr">
        <is>
          <t>AZ</t>
        </is>
      </c>
      <c r="C1536" t="inlineStr">
        <is>
          <t>Master's</t>
        </is>
      </c>
      <c r="D1536" t="n">
        <v>5</v>
      </c>
      <c r="E1536" t="n">
        <v>67000</v>
      </c>
      <c r="F1536" t="inlineStr">
        <is>
          <t>2026-06-16</t>
        </is>
      </c>
    </row>
    <row r="1537">
      <c r="A1537" t="inlineStr">
        <is>
          <t>Vail School District</t>
        </is>
      </c>
      <c r="B1537" t="inlineStr">
        <is>
          <t>AZ</t>
        </is>
      </c>
      <c r="C1537" t="inlineStr">
        <is>
          <t>Master's</t>
        </is>
      </c>
      <c r="D1537" t="n">
        <v>6</v>
      </c>
      <c r="E1537" t="n">
        <v>69000</v>
      </c>
      <c r="F1537" t="inlineStr">
        <is>
          <t>2026-06-16</t>
        </is>
      </c>
    </row>
    <row r="1538">
      <c r="A1538" t="inlineStr">
        <is>
          <t>Vail School District</t>
        </is>
      </c>
      <c r="B1538" t="inlineStr">
        <is>
          <t>AZ</t>
        </is>
      </c>
      <c r="C1538" t="inlineStr">
        <is>
          <t>Master's</t>
        </is>
      </c>
      <c r="D1538" t="n">
        <v>7</v>
      </c>
      <c r="E1538" t="n">
        <v>71000</v>
      </c>
      <c r="F1538" t="inlineStr">
        <is>
          <t>2026-06-16</t>
        </is>
      </c>
    </row>
    <row r="1539">
      <c r="A1539" t="inlineStr">
        <is>
          <t>Vail School District</t>
        </is>
      </c>
      <c r="B1539" t="inlineStr">
        <is>
          <t>AZ</t>
        </is>
      </c>
      <c r="C1539" t="inlineStr">
        <is>
          <t>Master's</t>
        </is>
      </c>
      <c r="D1539" t="n">
        <v>8</v>
      </c>
      <c r="E1539" t="n">
        <v>72500</v>
      </c>
      <c r="F1539" t="inlineStr">
        <is>
          <t>2026-06-16</t>
        </is>
      </c>
    </row>
    <row r="1540">
      <c r="A1540" t="inlineStr">
        <is>
          <t>Vail School District</t>
        </is>
      </c>
      <c r="B1540" t="inlineStr">
        <is>
          <t>AZ</t>
        </is>
      </c>
      <c r="C1540" t="inlineStr">
        <is>
          <t>Master's</t>
        </is>
      </c>
      <c r="D1540" t="n">
        <v>9</v>
      </c>
      <c r="E1540" t="n">
        <v>74000</v>
      </c>
      <c r="F1540" t="inlineStr">
        <is>
          <t>2026-06-16</t>
        </is>
      </c>
    </row>
    <row r="1541">
      <c r="A1541" t="inlineStr">
        <is>
          <t>Vail School District</t>
        </is>
      </c>
      <c r="B1541" t="inlineStr">
        <is>
          <t>AZ</t>
        </is>
      </c>
      <c r="C1541" t="inlineStr">
        <is>
          <t>Master's</t>
        </is>
      </c>
      <c r="D1541" t="n">
        <v>10</v>
      </c>
      <c r="E1541" t="n">
        <v>75500</v>
      </c>
      <c r="F1541" t="inlineStr">
        <is>
          <t>2026-06-16</t>
        </is>
      </c>
    </row>
    <row r="1542">
      <c r="A1542" t="inlineStr">
        <is>
          <t>West Ada School District</t>
        </is>
      </c>
      <c r="B1542" t="inlineStr">
        <is>
          <t>ID</t>
        </is>
      </c>
      <c r="C1542" t="inlineStr">
        <is>
          <t>Bachelor's</t>
        </is>
      </c>
      <c r="D1542" t="n">
        <v>0</v>
      </c>
      <c r="E1542" t="n">
        <v>50252</v>
      </c>
      <c r="F1542" t="inlineStr">
        <is>
          <t>2026-06-16</t>
        </is>
      </c>
    </row>
    <row r="1543">
      <c r="A1543" t="inlineStr">
        <is>
          <t>West Ada School District</t>
        </is>
      </c>
      <c r="B1543" t="inlineStr">
        <is>
          <t>ID</t>
        </is>
      </c>
      <c r="C1543" t="inlineStr">
        <is>
          <t>Bachelor's</t>
        </is>
      </c>
      <c r="D1543" t="n">
        <v>1</v>
      </c>
      <c r="E1543" t="n">
        <v>52500</v>
      </c>
      <c r="F1543" t="inlineStr">
        <is>
          <t>2026-06-16</t>
        </is>
      </c>
    </row>
    <row r="1544">
      <c r="A1544" t="inlineStr">
        <is>
          <t>West Ada School District</t>
        </is>
      </c>
      <c r="B1544" t="inlineStr">
        <is>
          <t>ID</t>
        </is>
      </c>
      <c r="C1544" t="inlineStr">
        <is>
          <t>Bachelor's</t>
        </is>
      </c>
      <c r="D1544" t="n">
        <v>2</v>
      </c>
      <c r="E1544" t="n">
        <v>55000</v>
      </c>
      <c r="F1544" t="inlineStr">
        <is>
          <t>2026-06-16</t>
        </is>
      </c>
    </row>
    <row r="1545">
      <c r="A1545" t="inlineStr">
        <is>
          <t>West Ada School District</t>
        </is>
      </c>
      <c r="B1545" t="inlineStr">
        <is>
          <t>ID</t>
        </is>
      </c>
      <c r="C1545" t="inlineStr">
        <is>
          <t>Bachelor's</t>
        </is>
      </c>
      <c r="D1545" t="n">
        <v>3</v>
      </c>
      <c r="E1545" t="n">
        <v>57000</v>
      </c>
      <c r="F1545" t="inlineStr">
        <is>
          <t>2026-06-16</t>
        </is>
      </c>
    </row>
    <row r="1546">
      <c r="A1546" t="inlineStr">
        <is>
          <t>West Ada School District</t>
        </is>
      </c>
      <c r="B1546" t="inlineStr">
        <is>
          <t>ID</t>
        </is>
      </c>
      <c r="C1546" t="inlineStr">
        <is>
          <t>Bachelor's</t>
        </is>
      </c>
      <c r="D1546" t="n">
        <v>4</v>
      </c>
      <c r="E1546" t="n">
        <v>59000</v>
      </c>
      <c r="F1546" t="inlineStr">
        <is>
          <t>2026-06-16</t>
        </is>
      </c>
    </row>
    <row r="1547">
      <c r="A1547" t="inlineStr">
        <is>
          <t>West Ada School District</t>
        </is>
      </c>
      <c r="B1547" t="inlineStr">
        <is>
          <t>ID</t>
        </is>
      </c>
      <c r="C1547" t="inlineStr">
        <is>
          <t>Bachelor's</t>
        </is>
      </c>
      <c r="D1547" t="n">
        <v>5</v>
      </c>
      <c r="E1547" t="n">
        <v>61000</v>
      </c>
      <c r="F1547" t="inlineStr">
        <is>
          <t>2026-06-16</t>
        </is>
      </c>
    </row>
    <row r="1548">
      <c r="A1548" t="inlineStr">
        <is>
          <t>West Ada School District</t>
        </is>
      </c>
      <c r="B1548" t="inlineStr">
        <is>
          <t>ID</t>
        </is>
      </c>
      <c r="C1548" t="inlineStr">
        <is>
          <t>Bachelor's</t>
        </is>
      </c>
      <c r="D1548" t="n">
        <v>6</v>
      </c>
      <c r="E1548" t="n">
        <v>62500</v>
      </c>
      <c r="F1548" t="inlineStr">
        <is>
          <t>2026-06-16</t>
        </is>
      </c>
    </row>
    <row r="1549">
      <c r="A1549" t="inlineStr">
        <is>
          <t>West Ada School District</t>
        </is>
      </c>
      <c r="B1549" t="inlineStr">
        <is>
          <t>ID</t>
        </is>
      </c>
      <c r="C1549" t="inlineStr">
        <is>
          <t>Bachelor's</t>
        </is>
      </c>
      <c r="D1549" t="n">
        <v>7</v>
      </c>
      <c r="E1549" t="n">
        <v>64000</v>
      </c>
      <c r="F1549" t="inlineStr">
        <is>
          <t>2026-06-16</t>
        </is>
      </c>
    </row>
    <row r="1550">
      <c r="A1550" t="inlineStr">
        <is>
          <t>West Ada School District</t>
        </is>
      </c>
      <c r="B1550" t="inlineStr">
        <is>
          <t>ID</t>
        </is>
      </c>
      <c r="C1550" t="inlineStr">
        <is>
          <t>Bachelor's</t>
        </is>
      </c>
      <c r="D1550" t="n">
        <v>8</v>
      </c>
      <c r="E1550" t="n">
        <v>65500</v>
      </c>
      <c r="F1550" t="inlineStr">
        <is>
          <t>2026-06-16</t>
        </is>
      </c>
    </row>
    <row r="1551">
      <c r="A1551" t="inlineStr">
        <is>
          <t>West Ada School District</t>
        </is>
      </c>
      <c r="B1551" t="inlineStr">
        <is>
          <t>ID</t>
        </is>
      </c>
      <c r="C1551" t="inlineStr">
        <is>
          <t>Bachelor's</t>
        </is>
      </c>
      <c r="D1551" t="n">
        <v>9</v>
      </c>
      <c r="E1551" t="n">
        <v>67000</v>
      </c>
      <c r="F1551" t="inlineStr">
        <is>
          <t>2026-06-16</t>
        </is>
      </c>
    </row>
    <row r="1552">
      <c r="A1552" t="inlineStr">
        <is>
          <t>West Ada School District</t>
        </is>
      </c>
      <c r="B1552" t="inlineStr">
        <is>
          <t>ID</t>
        </is>
      </c>
      <c r="C1552" t="inlineStr">
        <is>
          <t>Bachelor's</t>
        </is>
      </c>
      <c r="D1552" t="n">
        <v>10</v>
      </c>
      <c r="E1552" t="n">
        <v>68500</v>
      </c>
      <c r="F1552" t="inlineStr">
        <is>
          <t>2026-06-16</t>
        </is>
      </c>
    </row>
    <row r="1553">
      <c r="A1553" t="inlineStr">
        <is>
          <t>West Ada School District</t>
        </is>
      </c>
      <c r="B1553" t="inlineStr">
        <is>
          <t>ID</t>
        </is>
      </c>
      <c r="C1553" t="inlineStr">
        <is>
          <t>Master's</t>
        </is>
      </c>
      <c r="D1553" t="n">
        <v>0</v>
      </c>
      <c r="E1553" t="n">
        <v>56000</v>
      </c>
      <c r="F1553" t="inlineStr">
        <is>
          <t>2026-06-16</t>
        </is>
      </c>
    </row>
    <row r="1554">
      <c r="A1554" t="inlineStr">
        <is>
          <t>West Ada School District</t>
        </is>
      </c>
      <c r="B1554" t="inlineStr">
        <is>
          <t>ID</t>
        </is>
      </c>
      <c r="C1554" t="inlineStr">
        <is>
          <t>Master's</t>
        </is>
      </c>
      <c r="D1554" t="n">
        <v>1</v>
      </c>
      <c r="E1554" t="n">
        <v>58500</v>
      </c>
      <c r="F1554" t="inlineStr">
        <is>
          <t>2026-06-16</t>
        </is>
      </c>
    </row>
    <row r="1555">
      <c r="A1555" t="inlineStr">
        <is>
          <t>West Ada School District</t>
        </is>
      </c>
      <c r="B1555" t="inlineStr">
        <is>
          <t>ID</t>
        </is>
      </c>
      <c r="C1555" t="inlineStr">
        <is>
          <t>Master's</t>
        </is>
      </c>
      <c r="D1555" t="n">
        <v>2</v>
      </c>
      <c r="E1555" t="n">
        <v>61000</v>
      </c>
      <c r="F1555" t="inlineStr">
        <is>
          <t>2026-06-16</t>
        </is>
      </c>
    </row>
    <row r="1556">
      <c r="A1556" t="inlineStr">
        <is>
          <t>West Ada School District</t>
        </is>
      </c>
      <c r="B1556" t="inlineStr">
        <is>
          <t>ID</t>
        </is>
      </c>
      <c r="C1556" t="inlineStr">
        <is>
          <t>Master's</t>
        </is>
      </c>
      <c r="D1556" t="n">
        <v>3</v>
      </c>
      <c r="E1556" t="n">
        <v>63500</v>
      </c>
      <c r="F1556" t="inlineStr">
        <is>
          <t>2026-06-16</t>
        </is>
      </c>
    </row>
    <row r="1557">
      <c r="A1557" t="inlineStr">
        <is>
          <t>West Ada School District</t>
        </is>
      </c>
      <c r="B1557" t="inlineStr">
        <is>
          <t>ID</t>
        </is>
      </c>
      <c r="C1557" t="inlineStr">
        <is>
          <t>Master's</t>
        </is>
      </c>
      <c r="D1557" t="n">
        <v>4</v>
      </c>
      <c r="E1557" t="n">
        <v>65500</v>
      </c>
      <c r="F1557" t="inlineStr">
        <is>
          <t>2026-06-16</t>
        </is>
      </c>
    </row>
    <row r="1558">
      <c r="A1558" t="inlineStr">
        <is>
          <t>West Ada School District</t>
        </is>
      </c>
      <c r="B1558" t="inlineStr">
        <is>
          <t>ID</t>
        </is>
      </c>
      <c r="C1558" t="inlineStr">
        <is>
          <t>Master's</t>
        </is>
      </c>
      <c r="D1558" t="n">
        <v>5</v>
      </c>
      <c r="E1558" t="n">
        <v>67500</v>
      </c>
      <c r="F1558" t="inlineStr">
        <is>
          <t>2026-06-16</t>
        </is>
      </c>
    </row>
    <row r="1559">
      <c r="A1559" t="inlineStr">
        <is>
          <t>West Ada School District</t>
        </is>
      </c>
      <c r="B1559" t="inlineStr">
        <is>
          <t>ID</t>
        </is>
      </c>
      <c r="C1559" t="inlineStr">
        <is>
          <t>Master's</t>
        </is>
      </c>
      <c r="D1559" t="n">
        <v>6</v>
      </c>
      <c r="E1559" t="n">
        <v>69500</v>
      </c>
      <c r="F1559" t="inlineStr">
        <is>
          <t>2026-06-16</t>
        </is>
      </c>
    </row>
    <row r="1560">
      <c r="A1560" t="inlineStr">
        <is>
          <t>West Ada School District</t>
        </is>
      </c>
      <c r="B1560" t="inlineStr">
        <is>
          <t>ID</t>
        </is>
      </c>
      <c r="C1560" t="inlineStr">
        <is>
          <t>Master's</t>
        </is>
      </c>
      <c r="D1560" t="n">
        <v>7</v>
      </c>
      <c r="E1560" t="n">
        <v>71500</v>
      </c>
      <c r="F1560" t="inlineStr">
        <is>
          <t>2026-06-16</t>
        </is>
      </c>
    </row>
    <row r="1561">
      <c r="A1561" t="inlineStr">
        <is>
          <t>West Ada School District</t>
        </is>
      </c>
      <c r="B1561" t="inlineStr">
        <is>
          <t>ID</t>
        </is>
      </c>
      <c r="C1561" t="inlineStr">
        <is>
          <t>Master's</t>
        </is>
      </c>
      <c r="D1561" t="n">
        <v>8</v>
      </c>
      <c r="E1561" t="n">
        <v>73500</v>
      </c>
      <c r="F1561" t="inlineStr">
        <is>
          <t>2026-06-16</t>
        </is>
      </c>
    </row>
    <row r="1562">
      <c r="A1562" t="inlineStr">
        <is>
          <t>West Ada School District</t>
        </is>
      </c>
      <c r="B1562" t="inlineStr">
        <is>
          <t>ID</t>
        </is>
      </c>
      <c r="C1562" t="inlineStr">
        <is>
          <t>Master's</t>
        </is>
      </c>
      <c r="D1562" t="n">
        <v>9</v>
      </c>
      <c r="E1562" t="n">
        <v>75500</v>
      </c>
      <c r="F1562" t="inlineStr">
        <is>
          <t>2026-06-16</t>
        </is>
      </c>
    </row>
    <row r="1563">
      <c r="A1563" t="inlineStr">
        <is>
          <t>West Ada School District</t>
        </is>
      </c>
      <c r="B1563" t="inlineStr">
        <is>
          <t>ID</t>
        </is>
      </c>
      <c r="C1563" t="inlineStr">
        <is>
          <t>Master's</t>
        </is>
      </c>
      <c r="D1563" t="n">
        <v>10</v>
      </c>
      <c r="E1563" t="n">
        <v>77500</v>
      </c>
      <c r="F1563" t="inlineStr">
        <is>
          <t>2026-06-16</t>
        </is>
      </c>
    </row>
    <row r="1564">
      <c r="A1564" t="inlineStr">
        <is>
          <t>Twin Falls School District</t>
        </is>
      </c>
      <c r="B1564" t="inlineStr">
        <is>
          <t>ID</t>
        </is>
      </c>
      <c r="C1564" t="inlineStr">
        <is>
          <t>Bachelor's</t>
        </is>
      </c>
      <c r="D1564" t="n">
        <v>0</v>
      </c>
      <c r="E1564" t="n">
        <v>50252</v>
      </c>
      <c r="F1564" t="inlineStr">
        <is>
          <t>2026-06-16</t>
        </is>
      </c>
    </row>
    <row r="1565">
      <c r="A1565" t="inlineStr">
        <is>
          <t>Twin Falls School District</t>
        </is>
      </c>
      <c r="B1565" t="inlineStr">
        <is>
          <t>ID</t>
        </is>
      </c>
      <c r="C1565" t="inlineStr">
        <is>
          <t>Bachelor's</t>
        </is>
      </c>
      <c r="D1565" t="n">
        <v>1</v>
      </c>
      <c r="E1565" t="n">
        <v>52000</v>
      </c>
      <c r="F1565" t="inlineStr">
        <is>
          <t>2026-06-16</t>
        </is>
      </c>
    </row>
    <row r="1566">
      <c r="A1566" t="inlineStr">
        <is>
          <t>Twin Falls School District</t>
        </is>
      </c>
      <c r="B1566" t="inlineStr">
        <is>
          <t>ID</t>
        </is>
      </c>
      <c r="C1566" t="inlineStr">
        <is>
          <t>Bachelor's</t>
        </is>
      </c>
      <c r="D1566" t="n">
        <v>2</v>
      </c>
      <c r="E1566" t="n">
        <v>53800</v>
      </c>
      <c r="F1566" t="inlineStr">
        <is>
          <t>2026-06-16</t>
        </is>
      </c>
    </row>
    <row r="1567">
      <c r="A1567" t="inlineStr">
        <is>
          <t>Twin Falls School District</t>
        </is>
      </c>
      <c r="B1567" t="inlineStr">
        <is>
          <t>ID</t>
        </is>
      </c>
      <c r="C1567" t="inlineStr">
        <is>
          <t>Bachelor's</t>
        </is>
      </c>
      <c r="D1567" t="n">
        <v>3</v>
      </c>
      <c r="E1567" t="n">
        <v>55600</v>
      </c>
      <c r="F1567" t="inlineStr">
        <is>
          <t>2026-06-16</t>
        </is>
      </c>
    </row>
    <row r="1568">
      <c r="A1568" t="inlineStr">
        <is>
          <t>Twin Falls School District</t>
        </is>
      </c>
      <c r="B1568" t="inlineStr">
        <is>
          <t>ID</t>
        </is>
      </c>
      <c r="C1568" t="inlineStr">
        <is>
          <t>Bachelor's</t>
        </is>
      </c>
      <c r="D1568" t="n">
        <v>4</v>
      </c>
      <c r="E1568" t="n">
        <v>57400</v>
      </c>
      <c r="F1568" t="inlineStr">
        <is>
          <t>2026-06-16</t>
        </is>
      </c>
    </row>
    <row r="1569">
      <c r="A1569" t="inlineStr">
        <is>
          <t>Twin Falls School District</t>
        </is>
      </c>
      <c r="B1569" t="inlineStr">
        <is>
          <t>ID</t>
        </is>
      </c>
      <c r="C1569" t="inlineStr">
        <is>
          <t>Bachelor's</t>
        </is>
      </c>
      <c r="D1569" t="n">
        <v>5</v>
      </c>
      <c r="E1569" t="n">
        <v>59000</v>
      </c>
      <c r="F1569" t="inlineStr">
        <is>
          <t>2026-06-16</t>
        </is>
      </c>
    </row>
    <row r="1570">
      <c r="A1570" t="inlineStr">
        <is>
          <t>Twin Falls School District</t>
        </is>
      </c>
      <c r="B1570" t="inlineStr">
        <is>
          <t>ID</t>
        </is>
      </c>
      <c r="C1570" t="inlineStr">
        <is>
          <t>Bachelor's</t>
        </is>
      </c>
      <c r="D1570" t="n">
        <v>6</v>
      </c>
      <c r="E1570" t="n">
        <v>60400</v>
      </c>
      <c r="F1570" t="inlineStr">
        <is>
          <t>2026-06-16</t>
        </is>
      </c>
    </row>
    <row r="1571">
      <c r="A1571" t="inlineStr">
        <is>
          <t>Twin Falls School District</t>
        </is>
      </c>
      <c r="B1571" t="inlineStr">
        <is>
          <t>ID</t>
        </is>
      </c>
      <c r="C1571" t="inlineStr">
        <is>
          <t>Bachelor's</t>
        </is>
      </c>
      <c r="D1571" t="n">
        <v>7</v>
      </c>
      <c r="E1571" t="n">
        <v>61800</v>
      </c>
      <c r="F1571" t="inlineStr">
        <is>
          <t>2026-06-16</t>
        </is>
      </c>
    </row>
    <row r="1572">
      <c r="A1572" t="inlineStr">
        <is>
          <t>Twin Falls School District</t>
        </is>
      </c>
      <c r="B1572" t="inlineStr">
        <is>
          <t>ID</t>
        </is>
      </c>
      <c r="C1572" t="inlineStr">
        <is>
          <t>Bachelor's</t>
        </is>
      </c>
      <c r="D1572" t="n">
        <v>8</v>
      </c>
      <c r="E1572" t="n">
        <v>63200</v>
      </c>
      <c r="F1572" t="inlineStr">
        <is>
          <t>2026-06-16</t>
        </is>
      </c>
    </row>
    <row r="1573">
      <c r="A1573" t="inlineStr">
        <is>
          <t>Twin Falls School District</t>
        </is>
      </c>
      <c r="B1573" t="inlineStr">
        <is>
          <t>ID</t>
        </is>
      </c>
      <c r="C1573" t="inlineStr">
        <is>
          <t>Bachelor's</t>
        </is>
      </c>
      <c r="D1573" t="n">
        <v>9</v>
      </c>
      <c r="E1573" t="n">
        <v>64600</v>
      </c>
      <c r="F1573" t="inlineStr">
        <is>
          <t>2026-06-16</t>
        </is>
      </c>
    </row>
    <row r="1574">
      <c r="A1574" t="inlineStr">
        <is>
          <t>Twin Falls School District</t>
        </is>
      </c>
      <c r="B1574" t="inlineStr">
        <is>
          <t>ID</t>
        </is>
      </c>
      <c r="C1574" t="inlineStr">
        <is>
          <t>Bachelor's</t>
        </is>
      </c>
      <c r="D1574" t="n">
        <v>10</v>
      </c>
      <c r="E1574" t="n">
        <v>66000</v>
      </c>
      <c r="F1574" t="inlineStr">
        <is>
          <t>2026-06-16</t>
        </is>
      </c>
    </row>
    <row r="1575">
      <c r="A1575" t="inlineStr">
        <is>
          <t>Twin Falls School District</t>
        </is>
      </c>
      <c r="B1575" t="inlineStr">
        <is>
          <t>ID</t>
        </is>
      </c>
      <c r="C1575" t="inlineStr">
        <is>
          <t>Master's</t>
        </is>
      </c>
      <c r="D1575" t="n">
        <v>0</v>
      </c>
      <c r="E1575" t="n">
        <v>56000</v>
      </c>
      <c r="F1575" t="inlineStr">
        <is>
          <t>2026-06-16</t>
        </is>
      </c>
    </row>
    <row r="1576">
      <c r="A1576" t="inlineStr">
        <is>
          <t>Twin Falls School District</t>
        </is>
      </c>
      <c r="B1576" t="inlineStr">
        <is>
          <t>ID</t>
        </is>
      </c>
      <c r="C1576" t="inlineStr">
        <is>
          <t>Master's</t>
        </is>
      </c>
      <c r="D1576" t="n">
        <v>1</v>
      </c>
      <c r="E1576" t="n">
        <v>58000</v>
      </c>
      <c r="F1576" t="inlineStr">
        <is>
          <t>2026-06-16</t>
        </is>
      </c>
    </row>
    <row r="1577">
      <c r="A1577" t="inlineStr">
        <is>
          <t>Twin Falls School District</t>
        </is>
      </c>
      <c r="B1577" t="inlineStr">
        <is>
          <t>ID</t>
        </is>
      </c>
      <c r="C1577" t="inlineStr">
        <is>
          <t>Master's</t>
        </is>
      </c>
      <c r="D1577" t="n">
        <v>2</v>
      </c>
      <c r="E1577" t="n">
        <v>60000</v>
      </c>
      <c r="F1577" t="inlineStr">
        <is>
          <t>2026-06-16</t>
        </is>
      </c>
    </row>
    <row r="1578">
      <c r="A1578" t="inlineStr">
        <is>
          <t>Twin Falls School District</t>
        </is>
      </c>
      <c r="B1578" t="inlineStr">
        <is>
          <t>ID</t>
        </is>
      </c>
      <c r="C1578" t="inlineStr">
        <is>
          <t>Master's</t>
        </is>
      </c>
      <c r="D1578" t="n">
        <v>3</v>
      </c>
      <c r="E1578" t="n">
        <v>62000</v>
      </c>
      <c r="F1578" t="inlineStr">
        <is>
          <t>2026-06-16</t>
        </is>
      </c>
    </row>
    <row r="1579">
      <c r="A1579" t="inlineStr">
        <is>
          <t>Twin Falls School District</t>
        </is>
      </c>
      <c r="B1579" t="inlineStr">
        <is>
          <t>ID</t>
        </is>
      </c>
      <c r="C1579" t="inlineStr">
        <is>
          <t>Master's</t>
        </is>
      </c>
      <c r="D1579" t="n">
        <v>4</v>
      </c>
      <c r="E1579" t="n">
        <v>64000</v>
      </c>
      <c r="F1579" t="inlineStr">
        <is>
          <t>2026-06-16</t>
        </is>
      </c>
    </row>
    <row r="1580">
      <c r="A1580" t="inlineStr">
        <is>
          <t>Twin Falls School District</t>
        </is>
      </c>
      <c r="B1580" t="inlineStr">
        <is>
          <t>ID</t>
        </is>
      </c>
      <c r="C1580" t="inlineStr">
        <is>
          <t>Master's</t>
        </is>
      </c>
      <c r="D1580" t="n">
        <v>5</v>
      </c>
      <c r="E1580" t="n">
        <v>66000</v>
      </c>
      <c r="F1580" t="inlineStr">
        <is>
          <t>2026-06-16</t>
        </is>
      </c>
    </row>
    <row r="1581">
      <c r="A1581" t="inlineStr">
        <is>
          <t>Twin Falls School District</t>
        </is>
      </c>
      <c r="B1581" t="inlineStr">
        <is>
          <t>ID</t>
        </is>
      </c>
      <c r="C1581" t="inlineStr">
        <is>
          <t>Master's</t>
        </is>
      </c>
      <c r="D1581" t="n">
        <v>6</v>
      </c>
      <c r="E1581" t="n">
        <v>67500</v>
      </c>
      <c r="F1581" t="inlineStr">
        <is>
          <t>2026-06-16</t>
        </is>
      </c>
    </row>
    <row r="1582">
      <c r="A1582" t="inlineStr">
        <is>
          <t>Twin Falls School District</t>
        </is>
      </c>
      <c r="B1582" t="inlineStr">
        <is>
          <t>ID</t>
        </is>
      </c>
      <c r="C1582" t="inlineStr">
        <is>
          <t>Master's</t>
        </is>
      </c>
      <c r="D1582" t="n">
        <v>7</v>
      </c>
      <c r="E1582" t="n">
        <v>69000</v>
      </c>
      <c r="F1582" t="inlineStr">
        <is>
          <t>2026-06-16</t>
        </is>
      </c>
    </row>
    <row r="1583">
      <c r="A1583" t="inlineStr">
        <is>
          <t>Twin Falls School District</t>
        </is>
      </c>
      <c r="B1583" t="inlineStr">
        <is>
          <t>ID</t>
        </is>
      </c>
      <c r="C1583" t="inlineStr">
        <is>
          <t>Master's</t>
        </is>
      </c>
      <c r="D1583" t="n">
        <v>8</v>
      </c>
      <c r="E1583" t="n">
        <v>70500</v>
      </c>
      <c r="F1583" t="inlineStr">
        <is>
          <t>2026-06-16</t>
        </is>
      </c>
    </row>
    <row r="1584">
      <c r="A1584" t="inlineStr">
        <is>
          <t>Twin Falls School District</t>
        </is>
      </c>
      <c r="B1584" t="inlineStr">
        <is>
          <t>ID</t>
        </is>
      </c>
      <c r="C1584" t="inlineStr">
        <is>
          <t>Master's</t>
        </is>
      </c>
      <c r="D1584" t="n">
        <v>9</v>
      </c>
      <c r="E1584" t="n">
        <v>72000</v>
      </c>
      <c r="F1584" t="inlineStr">
        <is>
          <t>2026-06-16</t>
        </is>
      </c>
    </row>
    <row r="1585">
      <c r="A1585" t="inlineStr">
        <is>
          <t>Twin Falls School District</t>
        </is>
      </c>
      <c r="B1585" t="inlineStr">
        <is>
          <t>ID</t>
        </is>
      </c>
      <c r="C1585" t="inlineStr">
        <is>
          <t>Master's</t>
        </is>
      </c>
      <c r="D1585" t="n">
        <v>10</v>
      </c>
      <c r="E1585" t="n">
        <v>73500</v>
      </c>
      <c r="F1585" t="inlineStr">
        <is>
          <t>2026-06-16</t>
        </is>
      </c>
    </row>
    <row r="1586">
      <c r="A1586" t="inlineStr">
        <is>
          <t>Washoe County School District</t>
        </is>
      </c>
      <c r="B1586" t="inlineStr">
        <is>
          <t>NV</t>
        </is>
      </c>
      <c r="C1586" t="inlineStr">
        <is>
          <t>Bachelor's</t>
        </is>
      </c>
      <c r="D1586" t="n">
        <v>0</v>
      </c>
      <c r="E1586" t="n">
        <v>63000</v>
      </c>
      <c r="F1586" t="inlineStr">
        <is>
          <t>2026-06-16</t>
        </is>
      </c>
    </row>
    <row r="1587">
      <c r="A1587" t="inlineStr">
        <is>
          <t>Washoe County School District</t>
        </is>
      </c>
      <c r="B1587" t="inlineStr">
        <is>
          <t>NV</t>
        </is>
      </c>
      <c r="C1587" t="inlineStr">
        <is>
          <t>Bachelor's</t>
        </is>
      </c>
      <c r="D1587" t="n">
        <v>1</v>
      </c>
      <c r="E1587" t="n">
        <v>64500</v>
      </c>
      <c r="F1587" t="inlineStr">
        <is>
          <t>2026-06-16</t>
        </is>
      </c>
    </row>
    <row r="1588">
      <c r="A1588" t="inlineStr">
        <is>
          <t>Washoe County School District</t>
        </is>
      </c>
      <c r="B1588" t="inlineStr">
        <is>
          <t>NV</t>
        </is>
      </c>
      <c r="C1588" t="inlineStr">
        <is>
          <t>Bachelor's</t>
        </is>
      </c>
      <c r="D1588" t="n">
        <v>2</v>
      </c>
      <c r="E1588" t="n">
        <v>66000</v>
      </c>
      <c r="F1588" t="inlineStr">
        <is>
          <t>2026-06-16</t>
        </is>
      </c>
    </row>
    <row r="1589">
      <c r="A1589" t="inlineStr">
        <is>
          <t>Washoe County School District</t>
        </is>
      </c>
      <c r="B1589" t="inlineStr">
        <is>
          <t>NV</t>
        </is>
      </c>
      <c r="C1589" t="inlineStr">
        <is>
          <t>Bachelor's</t>
        </is>
      </c>
      <c r="D1589" t="n">
        <v>3</v>
      </c>
      <c r="E1589" t="n">
        <v>67500</v>
      </c>
      <c r="F1589" t="inlineStr">
        <is>
          <t>2026-06-16</t>
        </is>
      </c>
    </row>
    <row r="1590">
      <c r="A1590" t="inlineStr">
        <is>
          <t>Washoe County School District</t>
        </is>
      </c>
      <c r="B1590" t="inlineStr">
        <is>
          <t>NV</t>
        </is>
      </c>
      <c r="C1590" t="inlineStr">
        <is>
          <t>Bachelor's</t>
        </is>
      </c>
      <c r="D1590" t="n">
        <v>4</v>
      </c>
      <c r="E1590" t="n">
        <v>69000</v>
      </c>
      <c r="F1590" t="inlineStr">
        <is>
          <t>2026-06-16</t>
        </is>
      </c>
    </row>
    <row r="1591">
      <c r="A1591" t="inlineStr">
        <is>
          <t>Washoe County School District</t>
        </is>
      </c>
      <c r="B1591" t="inlineStr">
        <is>
          <t>NV</t>
        </is>
      </c>
      <c r="C1591" t="inlineStr">
        <is>
          <t>Bachelor's</t>
        </is>
      </c>
      <c r="D1591" t="n">
        <v>5</v>
      </c>
      <c r="E1591" t="n">
        <v>70500</v>
      </c>
      <c r="F1591" t="inlineStr">
        <is>
          <t>2026-06-16</t>
        </is>
      </c>
    </row>
    <row r="1592">
      <c r="A1592" t="inlineStr">
        <is>
          <t>Washoe County School District</t>
        </is>
      </c>
      <c r="B1592" t="inlineStr">
        <is>
          <t>NV</t>
        </is>
      </c>
      <c r="C1592" t="inlineStr">
        <is>
          <t>Bachelor's</t>
        </is>
      </c>
      <c r="D1592" t="n">
        <v>6</v>
      </c>
      <c r="E1592" t="n">
        <v>72000</v>
      </c>
      <c r="F1592" t="inlineStr">
        <is>
          <t>2026-06-16</t>
        </is>
      </c>
    </row>
    <row r="1593">
      <c r="A1593" t="inlineStr">
        <is>
          <t>Washoe County School District</t>
        </is>
      </c>
      <c r="B1593" t="inlineStr">
        <is>
          <t>NV</t>
        </is>
      </c>
      <c r="C1593" t="inlineStr">
        <is>
          <t>Bachelor's</t>
        </is>
      </c>
      <c r="D1593" t="n">
        <v>7</v>
      </c>
      <c r="E1593" t="n">
        <v>73500</v>
      </c>
      <c r="F1593" t="inlineStr">
        <is>
          <t>2026-06-16</t>
        </is>
      </c>
    </row>
    <row r="1594">
      <c r="A1594" t="inlineStr">
        <is>
          <t>Washoe County School District</t>
        </is>
      </c>
      <c r="B1594" t="inlineStr">
        <is>
          <t>NV</t>
        </is>
      </c>
      <c r="C1594" t="inlineStr">
        <is>
          <t>Bachelor's</t>
        </is>
      </c>
      <c r="D1594" t="n">
        <v>8</v>
      </c>
      <c r="E1594" t="n">
        <v>75000</v>
      </c>
      <c r="F1594" t="inlineStr">
        <is>
          <t>2026-06-16</t>
        </is>
      </c>
    </row>
    <row r="1595">
      <c r="A1595" t="inlineStr">
        <is>
          <t>Washoe County School District</t>
        </is>
      </c>
      <c r="B1595" t="inlineStr">
        <is>
          <t>NV</t>
        </is>
      </c>
      <c r="C1595" t="inlineStr">
        <is>
          <t>Bachelor's</t>
        </is>
      </c>
      <c r="D1595" t="n">
        <v>9</v>
      </c>
      <c r="E1595" t="n">
        <v>76500</v>
      </c>
      <c r="F1595" t="inlineStr">
        <is>
          <t>2026-06-16</t>
        </is>
      </c>
    </row>
    <row r="1596">
      <c r="A1596" t="inlineStr">
        <is>
          <t>Washoe County School District</t>
        </is>
      </c>
      <c r="B1596" t="inlineStr">
        <is>
          <t>NV</t>
        </is>
      </c>
      <c r="C1596" t="inlineStr">
        <is>
          <t>Bachelor's</t>
        </is>
      </c>
      <c r="D1596" t="n">
        <v>10</v>
      </c>
      <c r="E1596" t="n">
        <v>78000</v>
      </c>
      <c r="F1596" t="inlineStr">
        <is>
          <t>2026-06-16</t>
        </is>
      </c>
    </row>
    <row r="1597">
      <c r="A1597" t="inlineStr">
        <is>
          <t>Washoe County School District</t>
        </is>
      </c>
      <c r="B1597" t="inlineStr">
        <is>
          <t>NV</t>
        </is>
      </c>
      <c r="C1597" t="inlineStr">
        <is>
          <t>Master's</t>
        </is>
      </c>
      <c r="D1597" t="n">
        <v>0</v>
      </c>
      <c r="E1597" t="n">
        <v>68000</v>
      </c>
      <c r="F1597" t="inlineStr">
        <is>
          <t>2026-06-16</t>
        </is>
      </c>
    </row>
    <row r="1598">
      <c r="A1598" t="inlineStr">
        <is>
          <t>Washoe County School District</t>
        </is>
      </c>
      <c r="B1598" t="inlineStr">
        <is>
          <t>NV</t>
        </is>
      </c>
      <c r="C1598" t="inlineStr">
        <is>
          <t>Master's</t>
        </is>
      </c>
      <c r="D1598" t="n">
        <v>1</v>
      </c>
      <c r="E1598" t="n">
        <v>70000</v>
      </c>
      <c r="F1598" t="inlineStr">
        <is>
          <t>2026-06-16</t>
        </is>
      </c>
    </row>
    <row r="1599">
      <c r="A1599" t="inlineStr">
        <is>
          <t>Washoe County School District</t>
        </is>
      </c>
      <c r="B1599" t="inlineStr">
        <is>
          <t>NV</t>
        </is>
      </c>
      <c r="C1599" t="inlineStr">
        <is>
          <t>Master's</t>
        </is>
      </c>
      <c r="D1599" t="n">
        <v>2</v>
      </c>
      <c r="E1599" t="n">
        <v>72000</v>
      </c>
      <c r="F1599" t="inlineStr">
        <is>
          <t>2026-06-16</t>
        </is>
      </c>
    </row>
    <row r="1600">
      <c r="A1600" t="inlineStr">
        <is>
          <t>Washoe County School District</t>
        </is>
      </c>
      <c r="B1600" t="inlineStr">
        <is>
          <t>NV</t>
        </is>
      </c>
      <c r="C1600" t="inlineStr">
        <is>
          <t>Master's</t>
        </is>
      </c>
      <c r="D1600" t="n">
        <v>3</v>
      </c>
      <c r="E1600" t="n">
        <v>74000</v>
      </c>
      <c r="F1600" t="inlineStr">
        <is>
          <t>2026-06-16</t>
        </is>
      </c>
    </row>
    <row r="1601">
      <c r="A1601" t="inlineStr">
        <is>
          <t>Washoe County School District</t>
        </is>
      </c>
      <c r="B1601" t="inlineStr">
        <is>
          <t>NV</t>
        </is>
      </c>
      <c r="C1601" t="inlineStr">
        <is>
          <t>Master's</t>
        </is>
      </c>
      <c r="D1601" t="n">
        <v>4</v>
      </c>
      <c r="E1601" t="n">
        <v>76000</v>
      </c>
      <c r="F1601" t="inlineStr">
        <is>
          <t>2026-06-16</t>
        </is>
      </c>
    </row>
    <row r="1602">
      <c r="A1602" t="inlineStr">
        <is>
          <t>Washoe County School District</t>
        </is>
      </c>
      <c r="B1602" t="inlineStr">
        <is>
          <t>NV</t>
        </is>
      </c>
      <c r="C1602" t="inlineStr">
        <is>
          <t>Master's</t>
        </is>
      </c>
      <c r="D1602" t="n">
        <v>5</v>
      </c>
      <c r="E1602" t="n">
        <v>78000</v>
      </c>
      <c r="F1602" t="inlineStr">
        <is>
          <t>2026-06-16</t>
        </is>
      </c>
    </row>
    <row r="1603">
      <c r="A1603" t="inlineStr">
        <is>
          <t>Washoe County School District</t>
        </is>
      </c>
      <c r="B1603" t="inlineStr">
        <is>
          <t>NV</t>
        </is>
      </c>
      <c r="C1603" t="inlineStr">
        <is>
          <t>Master's</t>
        </is>
      </c>
      <c r="D1603" t="n">
        <v>6</v>
      </c>
      <c r="E1603" t="n">
        <v>80000</v>
      </c>
      <c r="F1603" t="inlineStr">
        <is>
          <t>2026-06-16</t>
        </is>
      </c>
    </row>
    <row r="1604">
      <c r="A1604" t="inlineStr">
        <is>
          <t>Washoe County School District</t>
        </is>
      </c>
      <c r="B1604" t="inlineStr">
        <is>
          <t>NV</t>
        </is>
      </c>
      <c r="C1604" t="inlineStr">
        <is>
          <t>Master's</t>
        </is>
      </c>
      <c r="D1604" t="n">
        <v>7</v>
      </c>
      <c r="E1604" t="n">
        <v>82000</v>
      </c>
      <c r="F1604" t="inlineStr">
        <is>
          <t>2026-06-16</t>
        </is>
      </c>
    </row>
    <row r="1605">
      <c r="A1605" t="inlineStr">
        <is>
          <t>Washoe County School District</t>
        </is>
      </c>
      <c r="B1605" t="inlineStr">
        <is>
          <t>NV</t>
        </is>
      </c>
      <c r="C1605" t="inlineStr">
        <is>
          <t>Master's</t>
        </is>
      </c>
      <c r="D1605" t="n">
        <v>8</v>
      </c>
      <c r="E1605" t="n">
        <v>84000</v>
      </c>
      <c r="F1605" t="inlineStr">
        <is>
          <t>2026-06-16</t>
        </is>
      </c>
    </row>
    <row r="1606">
      <c r="A1606" t="inlineStr">
        <is>
          <t>Washoe County School District</t>
        </is>
      </c>
      <c r="B1606" t="inlineStr">
        <is>
          <t>NV</t>
        </is>
      </c>
      <c r="C1606" t="inlineStr">
        <is>
          <t>Master's</t>
        </is>
      </c>
      <c r="D1606" t="n">
        <v>9</v>
      </c>
      <c r="E1606" t="n">
        <v>86000</v>
      </c>
      <c r="F1606" t="inlineStr">
        <is>
          <t>2026-06-16</t>
        </is>
      </c>
    </row>
    <row r="1607">
      <c r="A1607" t="inlineStr">
        <is>
          <t>Washoe County School District</t>
        </is>
      </c>
      <c r="B1607" t="inlineStr">
        <is>
          <t>NV</t>
        </is>
      </c>
      <c r="C1607" t="inlineStr">
        <is>
          <t>Master's</t>
        </is>
      </c>
      <c r="D1607" t="n">
        <v>10</v>
      </c>
      <c r="E1607" t="n">
        <v>88000</v>
      </c>
      <c r="F1607" t="inlineStr">
        <is>
          <t>2026-06-16</t>
        </is>
      </c>
    </row>
    <row r="1608">
      <c r="A1608" t="inlineStr">
        <is>
          <t>Kern High School District</t>
        </is>
      </c>
      <c r="B1608" t="inlineStr">
        <is>
          <t>CA</t>
        </is>
      </c>
      <c r="C1608" t="inlineStr">
        <is>
          <t>Bachelor's</t>
        </is>
      </c>
      <c r="D1608" t="n">
        <v>0</v>
      </c>
      <c r="E1608" t="n">
        <v>64147</v>
      </c>
      <c r="F1608" t="inlineStr">
        <is>
          <t>2026-06-17</t>
        </is>
      </c>
    </row>
    <row r="1609">
      <c r="A1609" t="inlineStr">
        <is>
          <t>Kern High School District</t>
        </is>
      </c>
      <c r="B1609" t="inlineStr">
        <is>
          <t>CA</t>
        </is>
      </c>
      <c r="C1609" t="inlineStr">
        <is>
          <t>Bachelor's</t>
        </is>
      </c>
      <c r="D1609" t="n">
        <v>1</v>
      </c>
      <c r="E1609" t="n">
        <v>64147</v>
      </c>
      <c r="F1609" t="inlineStr">
        <is>
          <t>2026-06-17</t>
        </is>
      </c>
    </row>
    <row r="1610">
      <c r="A1610" t="inlineStr">
        <is>
          <t>Kern High School District</t>
        </is>
      </c>
      <c r="B1610" t="inlineStr">
        <is>
          <t>CA</t>
        </is>
      </c>
      <c r="C1610" t="inlineStr">
        <is>
          <t>Bachelor's</t>
        </is>
      </c>
      <c r="D1610" t="n">
        <v>2</v>
      </c>
      <c r="E1610" t="n">
        <v>64147</v>
      </c>
      <c r="F1610" t="inlineStr">
        <is>
          <t>2026-06-17</t>
        </is>
      </c>
    </row>
    <row r="1611">
      <c r="A1611" t="inlineStr">
        <is>
          <t>Kern High School District</t>
        </is>
      </c>
      <c r="B1611" t="inlineStr">
        <is>
          <t>CA</t>
        </is>
      </c>
      <c r="C1611" t="inlineStr">
        <is>
          <t>Bachelor's</t>
        </is>
      </c>
      <c r="D1611" t="n">
        <v>3</v>
      </c>
      <c r="E1611" t="n">
        <v>64147</v>
      </c>
      <c r="F1611" t="inlineStr">
        <is>
          <t>2026-06-17</t>
        </is>
      </c>
    </row>
    <row r="1612">
      <c r="A1612" t="inlineStr">
        <is>
          <t>Kern High School District</t>
        </is>
      </c>
      <c r="B1612" t="inlineStr">
        <is>
          <t>CA</t>
        </is>
      </c>
      <c r="C1612" t="inlineStr">
        <is>
          <t>Bachelor's</t>
        </is>
      </c>
      <c r="D1612" t="n">
        <v>4</v>
      </c>
      <c r="E1612" t="n">
        <v>65124</v>
      </c>
      <c r="F1612" t="inlineStr">
        <is>
          <t>2026-06-17</t>
        </is>
      </c>
    </row>
    <row r="1613">
      <c r="A1613" t="inlineStr">
        <is>
          <t>Kern High School District</t>
        </is>
      </c>
      <c r="B1613" t="inlineStr">
        <is>
          <t>CA</t>
        </is>
      </c>
      <c r="C1613" t="inlineStr">
        <is>
          <t>Bachelor's</t>
        </is>
      </c>
      <c r="D1613" t="n">
        <v>5</v>
      </c>
      <c r="E1613" t="n">
        <v>67705</v>
      </c>
      <c r="F1613" t="inlineStr">
        <is>
          <t>2026-06-17</t>
        </is>
      </c>
    </row>
    <row r="1614">
      <c r="A1614" t="inlineStr">
        <is>
          <t>Kern High School District</t>
        </is>
      </c>
      <c r="B1614" t="inlineStr">
        <is>
          <t>CA</t>
        </is>
      </c>
      <c r="C1614" t="inlineStr">
        <is>
          <t>Bachelor's</t>
        </is>
      </c>
      <c r="D1614" t="n">
        <v>6</v>
      </c>
      <c r="E1614" t="n">
        <v>70285</v>
      </c>
      <c r="F1614" t="inlineStr">
        <is>
          <t>2026-06-17</t>
        </is>
      </c>
    </row>
    <row r="1615">
      <c r="A1615" t="inlineStr">
        <is>
          <t>Kern High School District</t>
        </is>
      </c>
      <c r="B1615" t="inlineStr">
        <is>
          <t>CA</t>
        </is>
      </c>
      <c r="C1615" t="inlineStr">
        <is>
          <t>Bachelor's</t>
        </is>
      </c>
      <c r="D1615" t="n">
        <v>7</v>
      </c>
      <c r="E1615" t="n">
        <v>72862</v>
      </c>
      <c r="F1615" t="inlineStr">
        <is>
          <t>2026-06-17</t>
        </is>
      </c>
    </row>
    <row r="1616">
      <c r="A1616" t="inlineStr">
        <is>
          <t>Kern High School District</t>
        </is>
      </c>
      <c r="B1616" t="inlineStr">
        <is>
          <t>CA</t>
        </is>
      </c>
      <c r="C1616" t="inlineStr">
        <is>
          <t>Bachelor's</t>
        </is>
      </c>
      <c r="D1616" t="n">
        <v>8</v>
      </c>
      <c r="E1616" t="n">
        <v>75442</v>
      </c>
      <c r="F1616" t="inlineStr">
        <is>
          <t>2026-06-17</t>
        </is>
      </c>
    </row>
    <row r="1617">
      <c r="A1617" t="inlineStr">
        <is>
          <t>Kern High School District</t>
        </is>
      </c>
      <c r="B1617" t="inlineStr">
        <is>
          <t>CA</t>
        </is>
      </c>
      <c r="C1617" t="inlineStr">
        <is>
          <t>Bachelor's</t>
        </is>
      </c>
      <c r="D1617" t="n">
        <v>9</v>
      </c>
      <c r="E1617" t="n">
        <v>78022</v>
      </c>
      <c r="F1617" t="inlineStr">
        <is>
          <t>2026-06-17</t>
        </is>
      </c>
    </row>
    <row r="1618">
      <c r="A1618" t="inlineStr">
        <is>
          <t>Kern High School District</t>
        </is>
      </c>
      <c r="B1618" t="inlineStr">
        <is>
          <t>CA</t>
        </is>
      </c>
      <c r="C1618" t="inlineStr">
        <is>
          <t>Bachelor's</t>
        </is>
      </c>
      <c r="D1618" t="n">
        <v>10</v>
      </c>
      <c r="E1618" t="n">
        <v>80601</v>
      </c>
      <c r="F1618" t="inlineStr">
        <is>
          <t>2026-06-17</t>
        </is>
      </c>
    </row>
    <row r="1619">
      <c r="A1619" t="inlineStr">
        <is>
          <t>Kern High School District</t>
        </is>
      </c>
      <c r="B1619" t="inlineStr">
        <is>
          <t>CA</t>
        </is>
      </c>
      <c r="C1619" t="inlineStr">
        <is>
          <t>Master's</t>
        </is>
      </c>
      <c r="D1619" t="n">
        <v>0</v>
      </c>
      <c r="E1619" t="n">
        <v>68844</v>
      </c>
      <c r="F1619" t="inlineStr">
        <is>
          <t>2026-06-17</t>
        </is>
      </c>
    </row>
    <row r="1620">
      <c r="A1620" t="inlineStr">
        <is>
          <t>Kern High School District</t>
        </is>
      </c>
      <c r="B1620" t="inlineStr">
        <is>
          <t>CA</t>
        </is>
      </c>
      <c r="C1620" t="inlineStr">
        <is>
          <t>Master's</t>
        </is>
      </c>
      <c r="D1620" t="n">
        <v>1</v>
      </c>
      <c r="E1620" t="n">
        <v>71426</v>
      </c>
      <c r="F1620" t="inlineStr">
        <is>
          <t>2026-06-17</t>
        </is>
      </c>
    </row>
    <row r="1621">
      <c r="A1621" t="inlineStr">
        <is>
          <t>Kern High School District</t>
        </is>
      </c>
      <c r="B1621" t="inlineStr">
        <is>
          <t>CA</t>
        </is>
      </c>
      <c r="C1621" t="inlineStr">
        <is>
          <t>Master's</t>
        </is>
      </c>
      <c r="D1621" t="n">
        <v>2</v>
      </c>
      <c r="E1621" t="n">
        <v>74002</v>
      </c>
      <c r="F1621" t="inlineStr">
        <is>
          <t>2026-06-17</t>
        </is>
      </c>
    </row>
    <row r="1622">
      <c r="A1622" t="inlineStr">
        <is>
          <t>Kern High School District</t>
        </is>
      </c>
      <c r="B1622" t="inlineStr">
        <is>
          <t>CA</t>
        </is>
      </c>
      <c r="C1622" t="inlineStr">
        <is>
          <t>Master's</t>
        </is>
      </c>
      <c r="D1622" t="n">
        <v>3</v>
      </c>
      <c r="E1622" t="n">
        <v>76583</v>
      </c>
      <c r="F1622" t="inlineStr">
        <is>
          <t>2026-06-17</t>
        </is>
      </c>
    </row>
    <row r="1623">
      <c r="A1623" t="inlineStr">
        <is>
          <t>Kern High School District</t>
        </is>
      </c>
      <c r="B1623" t="inlineStr">
        <is>
          <t>CA</t>
        </is>
      </c>
      <c r="C1623" t="inlineStr">
        <is>
          <t>Master's</t>
        </is>
      </c>
      <c r="D1623" t="n">
        <v>4</v>
      </c>
      <c r="E1623" t="n">
        <v>79164</v>
      </c>
      <c r="F1623" t="inlineStr">
        <is>
          <t>2026-06-17</t>
        </is>
      </c>
    </row>
    <row r="1624">
      <c r="A1624" t="inlineStr">
        <is>
          <t>Kern High School District</t>
        </is>
      </c>
      <c r="B1624" t="inlineStr">
        <is>
          <t>CA</t>
        </is>
      </c>
      <c r="C1624" t="inlineStr">
        <is>
          <t>Master's</t>
        </is>
      </c>
      <c r="D1624" t="n">
        <v>5</v>
      </c>
      <c r="E1624" t="n">
        <v>81740</v>
      </c>
      <c r="F1624" t="inlineStr">
        <is>
          <t>2026-06-17</t>
        </is>
      </c>
    </row>
    <row r="1625">
      <c r="A1625" t="inlineStr">
        <is>
          <t>Kern High School District</t>
        </is>
      </c>
      <c r="B1625" t="inlineStr">
        <is>
          <t>CA</t>
        </is>
      </c>
      <c r="C1625" t="inlineStr">
        <is>
          <t>Master's</t>
        </is>
      </c>
      <c r="D1625" t="n">
        <v>6</v>
      </c>
      <c r="E1625" t="n">
        <v>84321</v>
      </c>
      <c r="F1625" t="inlineStr">
        <is>
          <t>2026-06-17</t>
        </is>
      </c>
    </row>
    <row r="1626">
      <c r="A1626" t="inlineStr">
        <is>
          <t>Kern High School District</t>
        </is>
      </c>
      <c r="B1626" t="inlineStr">
        <is>
          <t>CA</t>
        </is>
      </c>
      <c r="C1626" t="inlineStr">
        <is>
          <t>Master's</t>
        </is>
      </c>
      <c r="D1626" t="n">
        <v>7</v>
      </c>
      <c r="E1626" t="n">
        <v>86902</v>
      </c>
      <c r="F1626" t="inlineStr">
        <is>
          <t>2026-06-17</t>
        </is>
      </c>
    </row>
    <row r="1627">
      <c r="A1627" t="inlineStr">
        <is>
          <t>Kern High School District</t>
        </is>
      </c>
      <c r="B1627" t="inlineStr">
        <is>
          <t>CA</t>
        </is>
      </c>
      <c r="C1627" t="inlineStr">
        <is>
          <t>Master's</t>
        </is>
      </c>
      <c r="D1627" t="n">
        <v>8</v>
      </c>
      <c r="E1627" t="n">
        <v>89480</v>
      </c>
      <c r="F1627" t="inlineStr">
        <is>
          <t>2026-06-17</t>
        </is>
      </c>
    </row>
    <row r="1628">
      <c r="A1628" t="inlineStr">
        <is>
          <t>Kern High School District</t>
        </is>
      </c>
      <c r="B1628" t="inlineStr">
        <is>
          <t>CA</t>
        </is>
      </c>
      <c r="C1628" t="inlineStr">
        <is>
          <t>Master's</t>
        </is>
      </c>
      <c r="D1628" t="n">
        <v>9</v>
      </c>
      <c r="E1628" t="n">
        <v>92059</v>
      </c>
      <c r="F1628" t="inlineStr">
        <is>
          <t>2026-06-17</t>
        </is>
      </c>
    </row>
    <row r="1629">
      <c r="A1629" t="inlineStr">
        <is>
          <t>Kern High School District</t>
        </is>
      </c>
      <c r="B1629" t="inlineStr">
        <is>
          <t>CA</t>
        </is>
      </c>
      <c r="C1629" t="inlineStr">
        <is>
          <t>Master's</t>
        </is>
      </c>
      <c r="D1629" t="n">
        <v>10</v>
      </c>
      <c r="E1629" t="n">
        <v>94638</v>
      </c>
      <c r="F1629" t="inlineStr">
        <is>
          <t>2026-06-17</t>
        </is>
      </c>
    </row>
    <row r="1630">
      <c r="A1630" t="inlineStr">
        <is>
          <t>Clovis Unified School District</t>
        </is>
      </c>
      <c r="B1630" t="inlineStr">
        <is>
          <t>CA</t>
        </is>
      </c>
      <c r="C1630" t="inlineStr">
        <is>
          <t>Bachelor's</t>
        </is>
      </c>
      <c r="D1630" t="n">
        <v>0</v>
      </c>
      <c r="E1630" t="n">
        <v>60822</v>
      </c>
      <c r="F1630" t="inlineStr">
        <is>
          <t>2026-06-16</t>
        </is>
      </c>
    </row>
    <row r="1631">
      <c r="A1631" t="inlineStr">
        <is>
          <t>Clovis Unified School District</t>
        </is>
      </c>
      <c r="B1631" t="inlineStr">
        <is>
          <t>CA</t>
        </is>
      </c>
      <c r="C1631" t="inlineStr">
        <is>
          <t>Bachelor's</t>
        </is>
      </c>
      <c r="D1631" t="n">
        <v>1</v>
      </c>
      <c r="E1631" t="n">
        <v>64000</v>
      </c>
      <c r="F1631" t="inlineStr">
        <is>
          <t>2026-06-16</t>
        </is>
      </c>
    </row>
    <row r="1632">
      <c r="A1632" t="inlineStr">
        <is>
          <t>Clovis Unified School District</t>
        </is>
      </c>
      <c r="B1632" t="inlineStr">
        <is>
          <t>CA</t>
        </is>
      </c>
      <c r="C1632" t="inlineStr">
        <is>
          <t>Bachelor's</t>
        </is>
      </c>
      <c r="D1632" t="n">
        <v>2</v>
      </c>
      <c r="E1632" t="n">
        <v>67200</v>
      </c>
      <c r="F1632" t="inlineStr">
        <is>
          <t>2026-06-16</t>
        </is>
      </c>
    </row>
    <row r="1633">
      <c r="A1633" t="inlineStr">
        <is>
          <t>Clovis Unified School District</t>
        </is>
      </c>
      <c r="B1633" t="inlineStr">
        <is>
          <t>CA</t>
        </is>
      </c>
      <c r="C1633" t="inlineStr">
        <is>
          <t>Bachelor's</t>
        </is>
      </c>
      <c r="D1633" t="n">
        <v>3</v>
      </c>
      <c r="E1633" t="n">
        <v>70400</v>
      </c>
      <c r="F1633" t="inlineStr">
        <is>
          <t>2026-06-16</t>
        </is>
      </c>
    </row>
    <row r="1634">
      <c r="A1634" t="inlineStr">
        <is>
          <t>Clovis Unified School District</t>
        </is>
      </c>
      <c r="B1634" t="inlineStr">
        <is>
          <t>CA</t>
        </is>
      </c>
      <c r="C1634" t="inlineStr">
        <is>
          <t>Bachelor's</t>
        </is>
      </c>
      <c r="D1634" t="n">
        <v>4</v>
      </c>
      <c r="E1634" t="n">
        <v>73600</v>
      </c>
      <c r="F1634" t="inlineStr">
        <is>
          <t>2026-06-16</t>
        </is>
      </c>
    </row>
    <row r="1635">
      <c r="A1635" t="inlineStr">
        <is>
          <t>Clovis Unified School District</t>
        </is>
      </c>
      <c r="B1635" t="inlineStr">
        <is>
          <t>CA</t>
        </is>
      </c>
      <c r="C1635" t="inlineStr">
        <is>
          <t>Bachelor's</t>
        </is>
      </c>
      <c r="D1635" t="n">
        <v>5</v>
      </c>
      <c r="E1635" t="n">
        <v>76800</v>
      </c>
      <c r="F1635" t="inlineStr">
        <is>
          <t>2026-06-16</t>
        </is>
      </c>
    </row>
    <row r="1636">
      <c r="A1636" t="inlineStr">
        <is>
          <t>Clovis Unified School District</t>
        </is>
      </c>
      <c r="B1636" t="inlineStr">
        <is>
          <t>CA</t>
        </is>
      </c>
      <c r="C1636" t="inlineStr">
        <is>
          <t>Bachelor's</t>
        </is>
      </c>
      <c r="D1636" t="n">
        <v>6</v>
      </c>
      <c r="E1636" t="n">
        <v>80000</v>
      </c>
      <c r="F1636" t="inlineStr">
        <is>
          <t>2026-06-16</t>
        </is>
      </c>
    </row>
    <row r="1637">
      <c r="A1637" t="inlineStr">
        <is>
          <t>Clovis Unified School District</t>
        </is>
      </c>
      <c r="B1637" t="inlineStr">
        <is>
          <t>CA</t>
        </is>
      </c>
      <c r="C1637" t="inlineStr">
        <is>
          <t>Bachelor's</t>
        </is>
      </c>
      <c r="D1637" t="n">
        <v>7</v>
      </c>
      <c r="E1637" t="n">
        <v>83200</v>
      </c>
      <c r="F1637" t="inlineStr">
        <is>
          <t>2026-06-16</t>
        </is>
      </c>
    </row>
    <row r="1638">
      <c r="A1638" t="inlineStr">
        <is>
          <t>Clovis Unified School District</t>
        </is>
      </c>
      <c r="B1638" t="inlineStr">
        <is>
          <t>CA</t>
        </is>
      </c>
      <c r="C1638" t="inlineStr">
        <is>
          <t>Bachelor's</t>
        </is>
      </c>
      <c r="D1638" t="n">
        <v>8</v>
      </c>
      <c r="E1638" t="n">
        <v>86400</v>
      </c>
      <c r="F1638" t="inlineStr">
        <is>
          <t>2026-06-16</t>
        </is>
      </c>
    </row>
    <row r="1639">
      <c r="A1639" t="inlineStr">
        <is>
          <t>Clovis Unified School District</t>
        </is>
      </c>
      <c r="B1639" t="inlineStr">
        <is>
          <t>CA</t>
        </is>
      </c>
      <c r="C1639" t="inlineStr">
        <is>
          <t>Bachelor's</t>
        </is>
      </c>
      <c r="D1639" t="n">
        <v>9</v>
      </c>
      <c r="E1639" t="n">
        <v>89600</v>
      </c>
      <c r="F1639" t="inlineStr">
        <is>
          <t>2026-06-16</t>
        </is>
      </c>
    </row>
    <row r="1640">
      <c r="A1640" t="inlineStr">
        <is>
          <t>Clovis Unified School District</t>
        </is>
      </c>
      <c r="B1640" t="inlineStr">
        <is>
          <t>CA</t>
        </is>
      </c>
      <c r="C1640" t="inlineStr">
        <is>
          <t>Bachelor's</t>
        </is>
      </c>
      <c r="D1640" t="n">
        <v>10</v>
      </c>
      <c r="E1640" t="n">
        <v>92800</v>
      </c>
      <c r="F1640" t="inlineStr">
        <is>
          <t>2026-06-16</t>
        </is>
      </c>
    </row>
    <row r="1641">
      <c r="A1641" t="inlineStr">
        <is>
          <t>Clovis Unified School District</t>
        </is>
      </c>
      <c r="B1641" t="inlineStr">
        <is>
          <t>CA</t>
        </is>
      </c>
      <c r="C1641" t="inlineStr">
        <is>
          <t>Master's</t>
        </is>
      </c>
      <c r="D1641" t="n">
        <v>0</v>
      </c>
      <c r="E1641" t="n">
        <v>65822</v>
      </c>
      <c r="F1641" t="inlineStr">
        <is>
          <t>2026-06-16</t>
        </is>
      </c>
    </row>
    <row r="1642">
      <c r="A1642" t="inlineStr">
        <is>
          <t>Clovis Unified School District</t>
        </is>
      </c>
      <c r="B1642" t="inlineStr">
        <is>
          <t>CA</t>
        </is>
      </c>
      <c r="C1642" t="inlineStr">
        <is>
          <t>Master's</t>
        </is>
      </c>
      <c r="D1642" t="n">
        <v>1</v>
      </c>
      <c r="E1642" t="n">
        <v>69500</v>
      </c>
      <c r="F1642" t="inlineStr">
        <is>
          <t>2026-06-16</t>
        </is>
      </c>
    </row>
    <row r="1643">
      <c r="A1643" t="inlineStr">
        <is>
          <t>Clovis Unified School District</t>
        </is>
      </c>
      <c r="B1643" t="inlineStr">
        <is>
          <t>CA</t>
        </is>
      </c>
      <c r="C1643" t="inlineStr">
        <is>
          <t>Master's</t>
        </is>
      </c>
      <c r="D1643" t="n">
        <v>2</v>
      </c>
      <c r="E1643" t="n">
        <v>73200</v>
      </c>
      <c r="F1643" t="inlineStr">
        <is>
          <t>2026-06-16</t>
        </is>
      </c>
    </row>
    <row r="1644">
      <c r="A1644" t="inlineStr">
        <is>
          <t>Clovis Unified School District</t>
        </is>
      </c>
      <c r="B1644" t="inlineStr">
        <is>
          <t>CA</t>
        </is>
      </c>
      <c r="C1644" t="inlineStr">
        <is>
          <t>Master's</t>
        </is>
      </c>
      <c r="D1644" t="n">
        <v>3</v>
      </c>
      <c r="E1644" t="n">
        <v>76900</v>
      </c>
      <c r="F1644" t="inlineStr">
        <is>
          <t>2026-06-16</t>
        </is>
      </c>
    </row>
    <row r="1645">
      <c r="A1645" t="inlineStr">
        <is>
          <t>Clovis Unified School District</t>
        </is>
      </c>
      <c r="B1645" t="inlineStr">
        <is>
          <t>CA</t>
        </is>
      </c>
      <c r="C1645" t="inlineStr">
        <is>
          <t>Master's</t>
        </is>
      </c>
      <c r="D1645" t="n">
        <v>4</v>
      </c>
      <c r="E1645" t="n">
        <v>80600</v>
      </c>
      <c r="F1645" t="inlineStr">
        <is>
          <t>2026-06-16</t>
        </is>
      </c>
    </row>
    <row r="1646">
      <c r="A1646" t="inlineStr">
        <is>
          <t>Clovis Unified School District</t>
        </is>
      </c>
      <c r="B1646" t="inlineStr">
        <is>
          <t>CA</t>
        </is>
      </c>
      <c r="C1646" t="inlineStr">
        <is>
          <t>Master's</t>
        </is>
      </c>
      <c r="D1646" t="n">
        <v>5</v>
      </c>
      <c r="E1646" t="n">
        <v>84300</v>
      </c>
      <c r="F1646" t="inlineStr">
        <is>
          <t>2026-06-16</t>
        </is>
      </c>
    </row>
    <row r="1647">
      <c r="A1647" t="inlineStr">
        <is>
          <t>Clovis Unified School District</t>
        </is>
      </c>
      <c r="B1647" t="inlineStr">
        <is>
          <t>CA</t>
        </is>
      </c>
      <c r="C1647" t="inlineStr">
        <is>
          <t>Master's</t>
        </is>
      </c>
      <c r="D1647" t="n">
        <v>6</v>
      </c>
      <c r="E1647" t="n">
        <v>88000</v>
      </c>
      <c r="F1647" t="inlineStr">
        <is>
          <t>2026-06-16</t>
        </is>
      </c>
    </row>
    <row r="1648">
      <c r="A1648" t="inlineStr">
        <is>
          <t>Clovis Unified School District</t>
        </is>
      </c>
      <c r="B1648" t="inlineStr">
        <is>
          <t>CA</t>
        </is>
      </c>
      <c r="C1648" t="inlineStr">
        <is>
          <t>Master's</t>
        </is>
      </c>
      <c r="D1648" t="n">
        <v>7</v>
      </c>
      <c r="E1648" t="n">
        <v>91700</v>
      </c>
      <c r="F1648" t="inlineStr">
        <is>
          <t>2026-06-16</t>
        </is>
      </c>
    </row>
    <row r="1649">
      <c r="A1649" t="inlineStr">
        <is>
          <t>Clovis Unified School District</t>
        </is>
      </c>
      <c r="B1649" t="inlineStr">
        <is>
          <t>CA</t>
        </is>
      </c>
      <c r="C1649" t="inlineStr">
        <is>
          <t>Master's</t>
        </is>
      </c>
      <c r="D1649" t="n">
        <v>8</v>
      </c>
      <c r="E1649" t="n">
        <v>95400</v>
      </c>
      <c r="F1649" t="inlineStr">
        <is>
          <t>2026-06-16</t>
        </is>
      </c>
    </row>
    <row r="1650">
      <c r="A1650" t="inlineStr">
        <is>
          <t>Clovis Unified School District</t>
        </is>
      </c>
      <c r="B1650" t="inlineStr">
        <is>
          <t>CA</t>
        </is>
      </c>
      <c r="C1650" t="inlineStr">
        <is>
          <t>Master's</t>
        </is>
      </c>
      <c r="D1650" t="n">
        <v>9</v>
      </c>
      <c r="E1650" t="n">
        <v>99100</v>
      </c>
      <c r="F1650" t="inlineStr">
        <is>
          <t>2026-06-16</t>
        </is>
      </c>
    </row>
    <row r="1651">
      <c r="A1651" t="inlineStr">
        <is>
          <t>Clovis Unified School District</t>
        </is>
      </c>
      <c r="B1651" t="inlineStr">
        <is>
          <t>CA</t>
        </is>
      </c>
      <c r="C1651" t="inlineStr">
        <is>
          <t>Master's</t>
        </is>
      </c>
      <c r="D1651" t="n">
        <v>10</v>
      </c>
      <c r="E1651" t="n">
        <v>102800</v>
      </c>
      <c r="F1651" t="inlineStr">
        <is>
          <t>2026-06-16</t>
        </is>
      </c>
    </row>
    <row r="1652">
      <c r="A1652" t="inlineStr">
        <is>
          <t>Hobbs Municipal Schools</t>
        </is>
      </c>
      <c r="B1652" t="inlineStr">
        <is>
          <t>NM</t>
        </is>
      </c>
      <c r="C1652" t="inlineStr">
        <is>
          <t>Bachelor's</t>
        </is>
      </c>
      <c r="D1652" t="n">
        <v>0</v>
      </c>
      <c r="E1652" t="n">
        <v>63024</v>
      </c>
      <c r="F1652" t="inlineStr">
        <is>
          <t>2026-06-17</t>
        </is>
      </c>
    </row>
    <row r="1653">
      <c r="A1653" t="inlineStr">
        <is>
          <t>Hobbs Municipal Schools</t>
        </is>
      </c>
      <c r="B1653" t="inlineStr">
        <is>
          <t>NM</t>
        </is>
      </c>
      <c r="C1653" t="inlineStr">
        <is>
          <t>Bachelor's</t>
        </is>
      </c>
      <c r="D1653" t="n">
        <v>1</v>
      </c>
      <c r="E1653" t="n">
        <v>63292</v>
      </c>
      <c r="F1653" t="inlineStr">
        <is>
          <t>2026-06-17</t>
        </is>
      </c>
    </row>
    <row r="1654">
      <c r="A1654" t="inlineStr">
        <is>
          <t>Hobbs Municipal Schools</t>
        </is>
      </c>
      <c r="B1654" t="inlineStr">
        <is>
          <t>NM</t>
        </is>
      </c>
      <c r="C1654" t="inlineStr">
        <is>
          <t>Bachelor's</t>
        </is>
      </c>
      <c r="D1654" t="n">
        <v>2</v>
      </c>
      <c r="E1654" t="n">
        <v>63606</v>
      </c>
      <c r="F1654" t="inlineStr">
        <is>
          <t>2026-06-17</t>
        </is>
      </c>
    </row>
    <row r="1655">
      <c r="A1655" t="inlineStr">
        <is>
          <t>Hobbs Municipal Schools</t>
        </is>
      </c>
      <c r="B1655" t="inlineStr">
        <is>
          <t>NM</t>
        </is>
      </c>
      <c r="C1655" t="inlineStr">
        <is>
          <t>Bachelor's</t>
        </is>
      </c>
      <c r="D1655" t="n">
        <v>3</v>
      </c>
      <c r="E1655" t="n">
        <v>63921</v>
      </c>
      <c r="F1655" t="inlineStr">
        <is>
          <t>2026-06-17</t>
        </is>
      </c>
    </row>
    <row r="1656">
      <c r="A1656" t="inlineStr">
        <is>
          <t>Hobbs Municipal Schools</t>
        </is>
      </c>
      <c r="B1656" t="inlineStr">
        <is>
          <t>NM</t>
        </is>
      </c>
      <c r="C1656" t="inlineStr">
        <is>
          <t>Bachelor's</t>
        </is>
      </c>
      <c r="D1656" t="n">
        <v>4</v>
      </c>
      <c r="E1656" t="n">
        <v>64423</v>
      </c>
      <c r="F1656" t="inlineStr">
        <is>
          <t>2026-06-17</t>
        </is>
      </c>
    </row>
    <row r="1657">
      <c r="A1657" t="inlineStr">
        <is>
          <t>Hobbs Municipal Schools</t>
        </is>
      </c>
      <c r="B1657" t="inlineStr">
        <is>
          <t>NM</t>
        </is>
      </c>
      <c r="C1657" t="inlineStr">
        <is>
          <t>Bachelor's</t>
        </is>
      </c>
      <c r="D1657" t="n">
        <v>5</v>
      </c>
      <c r="E1657" t="n">
        <v>65178</v>
      </c>
      <c r="F1657" t="inlineStr">
        <is>
          <t>2026-06-17</t>
        </is>
      </c>
    </row>
    <row r="1658">
      <c r="A1658" t="inlineStr">
        <is>
          <t>Hobbs Municipal Schools</t>
        </is>
      </c>
      <c r="B1658" t="inlineStr">
        <is>
          <t>NM</t>
        </is>
      </c>
      <c r="C1658" t="inlineStr">
        <is>
          <t>Bachelor's</t>
        </is>
      </c>
      <c r="D1658" t="n">
        <v>6</v>
      </c>
      <c r="E1658" t="n">
        <v>66435</v>
      </c>
      <c r="F1658" t="inlineStr">
        <is>
          <t>2026-06-17</t>
        </is>
      </c>
    </row>
    <row r="1659">
      <c r="A1659" t="inlineStr">
        <is>
          <t>Hobbs Municipal Schools</t>
        </is>
      </c>
      <c r="B1659" t="inlineStr">
        <is>
          <t>NM</t>
        </is>
      </c>
      <c r="C1659" t="inlineStr">
        <is>
          <t>Bachelor's</t>
        </is>
      </c>
      <c r="D1659" t="n">
        <v>7</v>
      </c>
      <c r="E1659" t="n">
        <v>68007</v>
      </c>
      <c r="F1659" t="inlineStr">
        <is>
          <t>2026-06-17</t>
        </is>
      </c>
    </row>
    <row r="1660">
      <c r="A1660" t="inlineStr">
        <is>
          <t>Hobbs Municipal Schools</t>
        </is>
      </c>
      <c r="B1660" t="inlineStr">
        <is>
          <t>NM</t>
        </is>
      </c>
      <c r="C1660" t="inlineStr">
        <is>
          <t>Bachelor's</t>
        </is>
      </c>
      <c r="D1660" t="n">
        <v>8</v>
      </c>
      <c r="E1660" t="n">
        <v>69956</v>
      </c>
      <c r="F1660" t="inlineStr">
        <is>
          <t>2026-06-17</t>
        </is>
      </c>
    </row>
    <row r="1661">
      <c r="A1661" t="inlineStr">
        <is>
          <t>Hobbs Municipal Schools</t>
        </is>
      </c>
      <c r="B1661" t="inlineStr">
        <is>
          <t>NM</t>
        </is>
      </c>
      <c r="C1661" t="inlineStr">
        <is>
          <t>Bachelor's</t>
        </is>
      </c>
      <c r="D1661" t="n">
        <v>9</v>
      </c>
      <c r="E1661" t="n">
        <v>72534</v>
      </c>
      <c r="F1661" t="inlineStr">
        <is>
          <t>2026-06-17</t>
        </is>
      </c>
    </row>
    <row r="1662">
      <c r="A1662" t="inlineStr">
        <is>
          <t>Hobbs Municipal Schools</t>
        </is>
      </c>
      <c r="B1662" t="inlineStr">
        <is>
          <t>NM</t>
        </is>
      </c>
      <c r="C1662" t="inlineStr">
        <is>
          <t>Bachelor's</t>
        </is>
      </c>
      <c r="D1662" t="n">
        <v>10</v>
      </c>
      <c r="E1662" t="n">
        <v>72786</v>
      </c>
      <c r="F1662" t="inlineStr">
        <is>
          <t>2026-06-17</t>
        </is>
      </c>
    </row>
    <row r="1663">
      <c r="A1663" t="inlineStr">
        <is>
          <t>Hobbs Municipal Schools</t>
        </is>
      </c>
      <c r="B1663" t="inlineStr">
        <is>
          <t>NM</t>
        </is>
      </c>
      <c r="C1663" t="inlineStr">
        <is>
          <t>Master's</t>
        </is>
      </c>
      <c r="D1663" t="n">
        <v>0</v>
      </c>
      <c r="E1663" t="n">
        <v>73022</v>
      </c>
      <c r="F1663" t="inlineStr">
        <is>
          <t>2026-06-17</t>
        </is>
      </c>
    </row>
    <row r="1664">
      <c r="A1664" t="inlineStr">
        <is>
          <t>Hobbs Municipal Schools</t>
        </is>
      </c>
      <c r="B1664" t="inlineStr">
        <is>
          <t>NM</t>
        </is>
      </c>
      <c r="C1664" t="inlineStr">
        <is>
          <t>Master's</t>
        </is>
      </c>
      <c r="D1664" t="n">
        <v>1</v>
      </c>
      <c r="E1664" t="n">
        <v>73022</v>
      </c>
      <c r="F1664" t="inlineStr">
        <is>
          <t>2026-06-17</t>
        </is>
      </c>
    </row>
    <row r="1665">
      <c r="A1665" t="inlineStr">
        <is>
          <t>Hobbs Municipal Schools</t>
        </is>
      </c>
      <c r="B1665" t="inlineStr">
        <is>
          <t>NM</t>
        </is>
      </c>
      <c r="C1665" t="inlineStr">
        <is>
          <t>Master's</t>
        </is>
      </c>
      <c r="D1665" t="n">
        <v>2</v>
      </c>
      <c r="E1665" t="n">
        <v>73022</v>
      </c>
      <c r="F1665" t="inlineStr">
        <is>
          <t>2026-06-17</t>
        </is>
      </c>
    </row>
    <row r="1666">
      <c r="A1666" t="inlineStr">
        <is>
          <t>Hobbs Municipal Schools</t>
        </is>
      </c>
      <c r="B1666" t="inlineStr">
        <is>
          <t>NM</t>
        </is>
      </c>
      <c r="C1666" t="inlineStr">
        <is>
          <t>Master's</t>
        </is>
      </c>
      <c r="D1666" t="n">
        <v>3</v>
      </c>
      <c r="E1666" t="n">
        <v>73022</v>
      </c>
      <c r="F1666" t="inlineStr">
        <is>
          <t>2026-06-17</t>
        </is>
      </c>
    </row>
    <row r="1667">
      <c r="A1667" t="inlineStr">
        <is>
          <t>Hobbs Municipal Schools</t>
        </is>
      </c>
      <c r="B1667" t="inlineStr">
        <is>
          <t>NM</t>
        </is>
      </c>
      <c r="C1667" t="inlineStr">
        <is>
          <t>Master's</t>
        </is>
      </c>
      <c r="D1667" t="n">
        <v>4</v>
      </c>
      <c r="E1667" t="n">
        <v>73190</v>
      </c>
      <c r="F1667" t="inlineStr">
        <is>
          <t>2026-06-17</t>
        </is>
      </c>
    </row>
    <row r="1668">
      <c r="A1668" t="inlineStr">
        <is>
          <t>Hobbs Municipal Schools</t>
        </is>
      </c>
      <c r="B1668" t="inlineStr">
        <is>
          <t>NM</t>
        </is>
      </c>
      <c r="C1668" t="inlineStr">
        <is>
          <t>Master's</t>
        </is>
      </c>
      <c r="D1668" t="n">
        <v>5</v>
      </c>
      <c r="E1668" t="n">
        <v>73263</v>
      </c>
      <c r="F1668" t="inlineStr">
        <is>
          <t>2026-06-17</t>
        </is>
      </c>
    </row>
    <row r="1669">
      <c r="A1669" t="inlineStr">
        <is>
          <t>Hobbs Municipal Schools</t>
        </is>
      </c>
      <c r="B1669" t="inlineStr">
        <is>
          <t>NM</t>
        </is>
      </c>
      <c r="C1669" t="inlineStr">
        <is>
          <t>Master's</t>
        </is>
      </c>
      <c r="D1669" t="n">
        <v>6</v>
      </c>
      <c r="E1669" t="n">
        <v>73365</v>
      </c>
      <c r="F1669" t="inlineStr">
        <is>
          <t>2026-06-17</t>
        </is>
      </c>
    </row>
    <row r="1670">
      <c r="A1670" t="inlineStr">
        <is>
          <t>Hobbs Municipal Schools</t>
        </is>
      </c>
      <c r="B1670" t="inlineStr">
        <is>
          <t>NM</t>
        </is>
      </c>
      <c r="C1670" t="inlineStr">
        <is>
          <t>Master's</t>
        </is>
      </c>
      <c r="D1670" t="n">
        <v>7</v>
      </c>
      <c r="E1670" t="n">
        <v>73497</v>
      </c>
      <c r="F1670" t="inlineStr">
        <is>
          <t>2026-06-17</t>
        </is>
      </c>
    </row>
    <row r="1671">
      <c r="A1671" t="inlineStr">
        <is>
          <t>Hobbs Municipal Schools</t>
        </is>
      </c>
      <c r="B1671" t="inlineStr">
        <is>
          <t>NM</t>
        </is>
      </c>
      <c r="C1671" t="inlineStr">
        <is>
          <t>Master's</t>
        </is>
      </c>
      <c r="D1671" t="n">
        <v>8</v>
      </c>
      <c r="E1671" t="n">
        <v>73606</v>
      </c>
      <c r="F1671" t="inlineStr">
        <is>
          <t>2026-06-17</t>
        </is>
      </c>
    </row>
    <row r="1672">
      <c r="A1672" t="inlineStr">
        <is>
          <t>Hobbs Municipal Schools</t>
        </is>
      </c>
      <c r="B1672" t="inlineStr">
        <is>
          <t>NM</t>
        </is>
      </c>
      <c r="C1672" t="inlineStr">
        <is>
          <t>Master's</t>
        </is>
      </c>
      <c r="D1672" t="n">
        <v>9</v>
      </c>
      <c r="E1672" t="n">
        <v>74044</v>
      </c>
      <c r="F1672" t="inlineStr">
        <is>
          <t>2026-06-17</t>
        </is>
      </c>
    </row>
    <row r="1673">
      <c r="A1673" t="inlineStr">
        <is>
          <t>Hobbs Municipal Schools</t>
        </is>
      </c>
      <c r="B1673" t="inlineStr">
        <is>
          <t>NM</t>
        </is>
      </c>
      <c r="C1673" t="inlineStr">
        <is>
          <t>Master's</t>
        </is>
      </c>
      <c r="D1673" t="n">
        <v>10</v>
      </c>
      <c r="E1673" t="n">
        <v>75724</v>
      </c>
      <c r="F1673" t="inlineStr">
        <is>
          <t>2026-06-17</t>
        </is>
      </c>
    </row>
    <row r="1674">
      <c r="A1674" t="inlineStr">
        <is>
          <t>Farmington Municipal Schools</t>
        </is>
      </c>
      <c r="B1674" t="inlineStr">
        <is>
          <t>NM</t>
        </is>
      </c>
      <c r="C1674" t="inlineStr">
        <is>
          <t>Bachelor's</t>
        </is>
      </c>
      <c r="D1674" t="n">
        <v>0</v>
      </c>
      <c r="E1674" t="n">
        <v>57231</v>
      </c>
      <c r="F1674" t="inlineStr">
        <is>
          <t>2026-06-17</t>
        </is>
      </c>
    </row>
    <row r="1675">
      <c r="A1675" t="inlineStr">
        <is>
          <t>Farmington Municipal Schools</t>
        </is>
      </c>
      <c r="B1675" t="inlineStr">
        <is>
          <t>NM</t>
        </is>
      </c>
      <c r="C1675" t="inlineStr">
        <is>
          <t>Bachelor's</t>
        </is>
      </c>
      <c r="D1675" t="n">
        <v>1</v>
      </c>
      <c r="E1675" t="n">
        <v>57282</v>
      </c>
      <c r="F1675" t="inlineStr">
        <is>
          <t>2026-06-17</t>
        </is>
      </c>
    </row>
    <row r="1676">
      <c r="A1676" t="inlineStr">
        <is>
          <t>Farmington Municipal Schools</t>
        </is>
      </c>
      <c r="B1676" t="inlineStr">
        <is>
          <t>NM</t>
        </is>
      </c>
      <c r="C1676" t="inlineStr">
        <is>
          <t>Bachelor's</t>
        </is>
      </c>
      <c r="D1676" t="n">
        <v>2</v>
      </c>
      <c r="E1676" t="n">
        <v>57334</v>
      </c>
      <c r="F1676" t="inlineStr">
        <is>
          <t>2026-06-17</t>
        </is>
      </c>
    </row>
    <row r="1677">
      <c r="A1677" t="inlineStr">
        <is>
          <t>Farmington Municipal Schools</t>
        </is>
      </c>
      <c r="B1677" t="inlineStr">
        <is>
          <t>NM</t>
        </is>
      </c>
      <c r="C1677" t="inlineStr">
        <is>
          <t>Bachelor's</t>
        </is>
      </c>
      <c r="D1677" t="n">
        <v>3</v>
      </c>
      <c r="E1677" t="n">
        <v>57388</v>
      </c>
      <c r="F1677" t="inlineStr">
        <is>
          <t>2026-06-17</t>
        </is>
      </c>
    </row>
    <row r="1678">
      <c r="A1678" t="inlineStr">
        <is>
          <t>Farmington Municipal Schools</t>
        </is>
      </c>
      <c r="B1678" t="inlineStr">
        <is>
          <t>NM</t>
        </is>
      </c>
      <c r="C1678" t="inlineStr">
        <is>
          <t>Bachelor's</t>
        </is>
      </c>
      <c r="D1678" t="n">
        <v>4</v>
      </c>
      <c r="E1678" t="n">
        <v>57446</v>
      </c>
      <c r="F1678" t="inlineStr">
        <is>
          <t>2026-06-17</t>
        </is>
      </c>
    </row>
    <row r="1679">
      <c r="A1679" t="inlineStr">
        <is>
          <t>Farmington Municipal Schools</t>
        </is>
      </c>
      <c r="B1679" t="inlineStr">
        <is>
          <t>NM</t>
        </is>
      </c>
      <c r="C1679" t="inlineStr">
        <is>
          <t>Bachelor's</t>
        </is>
      </c>
      <c r="D1679" t="n">
        <v>5</v>
      </c>
      <c r="E1679" t="n">
        <v>57504</v>
      </c>
      <c r="F1679" t="inlineStr">
        <is>
          <t>2026-06-17</t>
        </is>
      </c>
    </row>
    <row r="1680">
      <c r="A1680" t="inlineStr">
        <is>
          <t>Farmington Municipal Schools</t>
        </is>
      </c>
      <c r="B1680" t="inlineStr">
        <is>
          <t>NM</t>
        </is>
      </c>
      <c r="C1680" t="inlineStr">
        <is>
          <t>Bachelor's</t>
        </is>
      </c>
      <c r="D1680" t="n">
        <v>6</v>
      </c>
      <c r="E1680" t="n">
        <v>69125</v>
      </c>
      <c r="F1680" t="inlineStr">
        <is>
          <t>2026-06-17</t>
        </is>
      </c>
    </row>
    <row r="1681">
      <c r="A1681" t="inlineStr">
        <is>
          <t>Farmington Municipal Schools</t>
        </is>
      </c>
      <c r="B1681" t="inlineStr">
        <is>
          <t>NM</t>
        </is>
      </c>
      <c r="C1681" t="inlineStr">
        <is>
          <t>Bachelor's</t>
        </is>
      </c>
      <c r="D1681" t="n">
        <v>7</v>
      </c>
      <c r="E1681" t="n">
        <v>69412</v>
      </c>
      <c r="F1681" t="inlineStr">
        <is>
          <t>2026-06-17</t>
        </is>
      </c>
    </row>
    <row r="1682">
      <c r="A1682" t="inlineStr">
        <is>
          <t>Farmington Municipal Schools</t>
        </is>
      </c>
      <c r="B1682" t="inlineStr">
        <is>
          <t>NM</t>
        </is>
      </c>
      <c r="C1682" t="inlineStr">
        <is>
          <t>Bachelor's</t>
        </is>
      </c>
      <c r="D1682" t="n">
        <v>8</v>
      </c>
      <c r="E1682" t="n">
        <v>69699</v>
      </c>
      <c r="F1682" t="inlineStr">
        <is>
          <t>2026-06-17</t>
        </is>
      </c>
    </row>
    <row r="1683">
      <c r="A1683" t="inlineStr">
        <is>
          <t>Farmington Municipal Schools</t>
        </is>
      </c>
      <c r="B1683" t="inlineStr">
        <is>
          <t>NM</t>
        </is>
      </c>
      <c r="C1683" t="inlineStr">
        <is>
          <t>Bachelor's</t>
        </is>
      </c>
      <c r="D1683" t="n">
        <v>9</v>
      </c>
      <c r="E1683" t="n">
        <v>69986</v>
      </c>
      <c r="F1683" t="inlineStr">
        <is>
          <t>2026-06-17</t>
        </is>
      </c>
    </row>
    <row r="1684">
      <c r="A1684" t="inlineStr">
        <is>
          <t>Farmington Municipal Schools</t>
        </is>
      </c>
      <c r="B1684" t="inlineStr">
        <is>
          <t>NM</t>
        </is>
      </c>
      <c r="C1684" t="inlineStr">
        <is>
          <t>Bachelor's</t>
        </is>
      </c>
      <c r="D1684" t="n">
        <v>10</v>
      </c>
      <c r="E1684" t="n">
        <v>70272</v>
      </c>
      <c r="F1684" t="inlineStr">
        <is>
          <t>2026-06-17</t>
        </is>
      </c>
    </row>
    <row r="1685">
      <c r="A1685" t="inlineStr">
        <is>
          <t>Farmington Municipal Schools</t>
        </is>
      </c>
      <c r="B1685" t="inlineStr">
        <is>
          <t>NM</t>
        </is>
      </c>
      <c r="C1685" t="inlineStr">
        <is>
          <t>Master's</t>
        </is>
      </c>
      <c r="D1685" t="n">
        <v>0</v>
      </c>
      <c r="E1685" t="n">
        <v>58838</v>
      </c>
      <c r="F1685" t="inlineStr">
        <is>
          <t>2026-06-17</t>
        </is>
      </c>
    </row>
    <row r="1686">
      <c r="A1686" t="inlineStr">
        <is>
          <t>Farmington Municipal Schools</t>
        </is>
      </c>
      <c r="B1686" t="inlineStr">
        <is>
          <t>NM</t>
        </is>
      </c>
      <c r="C1686" t="inlineStr">
        <is>
          <t>Master's</t>
        </is>
      </c>
      <c r="D1686" t="n">
        <v>1</v>
      </c>
      <c r="E1686" t="n">
        <v>58889</v>
      </c>
      <c r="F1686" t="inlineStr">
        <is>
          <t>2026-06-17</t>
        </is>
      </c>
    </row>
    <row r="1687">
      <c r="A1687" t="inlineStr">
        <is>
          <t>Farmington Municipal Schools</t>
        </is>
      </c>
      <c r="B1687" t="inlineStr">
        <is>
          <t>NM</t>
        </is>
      </c>
      <c r="C1687" t="inlineStr">
        <is>
          <t>Master's</t>
        </is>
      </c>
      <c r="D1687" t="n">
        <v>2</v>
      </c>
      <c r="E1687" t="n">
        <v>58942</v>
      </c>
      <c r="F1687" t="inlineStr">
        <is>
          <t>2026-06-17</t>
        </is>
      </c>
    </row>
    <row r="1688">
      <c r="A1688" t="inlineStr">
        <is>
          <t>Farmington Municipal Schools</t>
        </is>
      </c>
      <c r="B1688" t="inlineStr">
        <is>
          <t>NM</t>
        </is>
      </c>
      <c r="C1688" t="inlineStr">
        <is>
          <t>Master's</t>
        </is>
      </c>
      <c r="D1688" t="n">
        <v>3</v>
      </c>
      <c r="E1688" t="n">
        <v>58995</v>
      </c>
      <c r="F1688" t="inlineStr">
        <is>
          <t>2026-06-17</t>
        </is>
      </c>
    </row>
    <row r="1689">
      <c r="A1689" t="inlineStr">
        <is>
          <t>Farmington Municipal Schools</t>
        </is>
      </c>
      <c r="B1689" t="inlineStr">
        <is>
          <t>NM</t>
        </is>
      </c>
      <c r="C1689" t="inlineStr">
        <is>
          <t>Master's</t>
        </is>
      </c>
      <c r="D1689" t="n">
        <v>4</v>
      </c>
      <c r="E1689" t="n">
        <v>59053</v>
      </c>
      <c r="F1689" t="inlineStr">
        <is>
          <t>2026-06-17</t>
        </is>
      </c>
    </row>
    <row r="1690">
      <c r="A1690" t="inlineStr">
        <is>
          <t>Farmington Municipal Schools</t>
        </is>
      </c>
      <c r="B1690" t="inlineStr">
        <is>
          <t>NM</t>
        </is>
      </c>
      <c r="C1690" t="inlineStr">
        <is>
          <t>Master's</t>
        </is>
      </c>
      <c r="D1690" t="n">
        <v>5</v>
      </c>
      <c r="E1690" t="n">
        <v>59110</v>
      </c>
      <c r="F1690" t="inlineStr">
        <is>
          <t>2026-06-17</t>
        </is>
      </c>
    </row>
    <row r="1691">
      <c r="A1691" t="inlineStr">
        <is>
          <t>Farmington Municipal Schools</t>
        </is>
      </c>
      <c r="B1691" t="inlineStr">
        <is>
          <t>NM</t>
        </is>
      </c>
      <c r="C1691" t="inlineStr">
        <is>
          <t>Master's</t>
        </is>
      </c>
      <c r="D1691" t="n">
        <v>6</v>
      </c>
      <c r="E1691" t="n">
        <v>71047</v>
      </c>
      <c r="F1691" t="inlineStr">
        <is>
          <t>2026-06-17</t>
        </is>
      </c>
    </row>
    <row r="1692">
      <c r="A1692" t="inlineStr">
        <is>
          <t>Farmington Municipal Schools</t>
        </is>
      </c>
      <c r="B1692" t="inlineStr">
        <is>
          <t>NM</t>
        </is>
      </c>
      <c r="C1692" t="inlineStr">
        <is>
          <t>Master's</t>
        </is>
      </c>
      <c r="D1692" t="n">
        <v>7</v>
      </c>
      <c r="E1692" t="n">
        <v>71334</v>
      </c>
      <c r="F1692" t="inlineStr">
        <is>
          <t>2026-06-17</t>
        </is>
      </c>
    </row>
    <row r="1693">
      <c r="A1693" t="inlineStr">
        <is>
          <t>Farmington Municipal Schools</t>
        </is>
      </c>
      <c r="B1693" t="inlineStr">
        <is>
          <t>NM</t>
        </is>
      </c>
      <c r="C1693" t="inlineStr">
        <is>
          <t>Master's</t>
        </is>
      </c>
      <c r="D1693" t="n">
        <v>8</v>
      </c>
      <c r="E1693" t="n">
        <v>71621</v>
      </c>
      <c r="F1693" t="inlineStr">
        <is>
          <t>2026-06-17</t>
        </is>
      </c>
    </row>
    <row r="1694">
      <c r="A1694" t="inlineStr">
        <is>
          <t>Farmington Municipal Schools</t>
        </is>
      </c>
      <c r="B1694" t="inlineStr">
        <is>
          <t>NM</t>
        </is>
      </c>
      <c r="C1694" t="inlineStr">
        <is>
          <t>Master's</t>
        </is>
      </c>
      <c r="D1694" t="n">
        <v>9</v>
      </c>
      <c r="E1694" t="n">
        <v>71908</v>
      </c>
      <c r="F1694" t="inlineStr">
        <is>
          <t>2026-06-17</t>
        </is>
      </c>
    </row>
    <row r="1695">
      <c r="A1695" t="inlineStr">
        <is>
          <t>Farmington Municipal Schools</t>
        </is>
      </c>
      <c r="B1695" t="inlineStr">
        <is>
          <t>NM</t>
        </is>
      </c>
      <c r="C1695" t="inlineStr">
        <is>
          <t>Master's</t>
        </is>
      </c>
      <c r="D1695" t="n">
        <v>10</v>
      </c>
      <c r="E1695" t="n">
        <v>72195</v>
      </c>
      <c r="F1695" t="inlineStr">
        <is>
          <t>2026-06-17</t>
        </is>
      </c>
    </row>
    <row r="1696">
      <c r="A1696" t="inlineStr">
        <is>
          <t>Carlsbad Municipal Schools</t>
        </is>
      </c>
      <c r="B1696" t="inlineStr">
        <is>
          <t>NM</t>
        </is>
      </c>
      <c r="C1696" t="inlineStr">
        <is>
          <t>Bachelor's</t>
        </is>
      </c>
      <c r="D1696" t="n">
        <v>0</v>
      </c>
      <c r="E1696" t="n">
        <v>60000</v>
      </c>
      <c r="F1696" t="inlineStr">
        <is>
          <t>2026-06-17</t>
        </is>
      </c>
    </row>
    <row r="1697">
      <c r="A1697" t="inlineStr">
        <is>
          <t>Carlsbad Municipal Schools</t>
        </is>
      </c>
      <c r="B1697" t="inlineStr">
        <is>
          <t>NM</t>
        </is>
      </c>
      <c r="C1697" t="inlineStr">
        <is>
          <t>Bachelor's</t>
        </is>
      </c>
      <c r="D1697" t="n">
        <v>1</v>
      </c>
      <c r="E1697" t="n">
        <v>61000</v>
      </c>
      <c r="F1697" t="inlineStr">
        <is>
          <t>2026-06-17</t>
        </is>
      </c>
    </row>
    <row r="1698">
      <c r="A1698" t="inlineStr">
        <is>
          <t>Carlsbad Municipal Schools</t>
        </is>
      </c>
      <c r="B1698" t="inlineStr">
        <is>
          <t>NM</t>
        </is>
      </c>
      <c r="C1698" t="inlineStr">
        <is>
          <t>Bachelor's</t>
        </is>
      </c>
      <c r="D1698" t="n">
        <v>2</v>
      </c>
      <c r="E1698" t="n">
        <v>62000</v>
      </c>
      <c r="F1698" t="inlineStr">
        <is>
          <t>2026-06-17</t>
        </is>
      </c>
    </row>
    <row r="1699">
      <c r="A1699" t="inlineStr">
        <is>
          <t>Carlsbad Municipal Schools</t>
        </is>
      </c>
      <c r="B1699" t="inlineStr">
        <is>
          <t>NM</t>
        </is>
      </c>
      <c r="C1699" t="inlineStr">
        <is>
          <t>Bachelor's</t>
        </is>
      </c>
      <c r="D1699" t="n">
        <v>3</v>
      </c>
      <c r="E1699" t="n">
        <v>63000</v>
      </c>
      <c r="F1699" t="inlineStr">
        <is>
          <t>2026-06-17</t>
        </is>
      </c>
    </row>
    <row r="1700">
      <c r="A1700" t="inlineStr">
        <is>
          <t>Carlsbad Municipal Schools</t>
        </is>
      </c>
      <c r="B1700" t="inlineStr">
        <is>
          <t>NM</t>
        </is>
      </c>
      <c r="C1700" t="inlineStr">
        <is>
          <t>Bachelor's</t>
        </is>
      </c>
      <c r="D1700" t="n">
        <v>4</v>
      </c>
      <c r="E1700" t="n">
        <v>64000</v>
      </c>
      <c r="F1700" t="inlineStr">
        <is>
          <t>2026-06-17</t>
        </is>
      </c>
    </row>
    <row r="1701">
      <c r="A1701" t="inlineStr">
        <is>
          <t>Carlsbad Municipal Schools</t>
        </is>
      </c>
      <c r="B1701" t="inlineStr">
        <is>
          <t>NM</t>
        </is>
      </c>
      <c r="C1701" t="inlineStr">
        <is>
          <t>Bachelor's</t>
        </is>
      </c>
      <c r="D1701" t="n">
        <v>5</v>
      </c>
      <c r="E1701" t="n">
        <v>65000</v>
      </c>
      <c r="F1701" t="inlineStr">
        <is>
          <t>2026-06-17</t>
        </is>
      </c>
    </row>
    <row r="1702">
      <c r="A1702" t="inlineStr">
        <is>
          <t>Carlsbad Municipal Schools</t>
        </is>
      </c>
      <c r="B1702" t="inlineStr">
        <is>
          <t>NM</t>
        </is>
      </c>
      <c r="C1702" t="inlineStr">
        <is>
          <t>Bachelor's</t>
        </is>
      </c>
      <c r="D1702" t="n">
        <v>6</v>
      </c>
      <c r="E1702" t="n">
        <v>67000</v>
      </c>
      <c r="F1702" t="inlineStr">
        <is>
          <t>2026-06-17</t>
        </is>
      </c>
    </row>
    <row r="1703">
      <c r="A1703" t="inlineStr">
        <is>
          <t>Carlsbad Municipal Schools</t>
        </is>
      </c>
      <c r="B1703" t="inlineStr">
        <is>
          <t>NM</t>
        </is>
      </c>
      <c r="C1703" t="inlineStr">
        <is>
          <t>Bachelor's</t>
        </is>
      </c>
      <c r="D1703" t="n">
        <v>7</v>
      </c>
      <c r="E1703" t="n">
        <v>69000</v>
      </c>
      <c r="F1703" t="inlineStr">
        <is>
          <t>2026-06-17</t>
        </is>
      </c>
    </row>
    <row r="1704">
      <c r="A1704" t="inlineStr">
        <is>
          <t>Carlsbad Municipal Schools</t>
        </is>
      </c>
      <c r="B1704" t="inlineStr">
        <is>
          <t>NM</t>
        </is>
      </c>
      <c r="C1704" t="inlineStr">
        <is>
          <t>Bachelor's</t>
        </is>
      </c>
      <c r="D1704" t="n">
        <v>8</v>
      </c>
      <c r="E1704" t="n">
        <v>71000</v>
      </c>
      <c r="F1704" t="inlineStr">
        <is>
          <t>2026-06-17</t>
        </is>
      </c>
    </row>
    <row r="1705">
      <c r="A1705" t="inlineStr">
        <is>
          <t>Carlsbad Municipal Schools</t>
        </is>
      </c>
      <c r="B1705" t="inlineStr">
        <is>
          <t>NM</t>
        </is>
      </c>
      <c r="C1705" t="inlineStr">
        <is>
          <t>Bachelor's</t>
        </is>
      </c>
      <c r="D1705" t="n">
        <v>9</v>
      </c>
      <c r="E1705" t="n">
        <v>72500</v>
      </c>
      <c r="F1705" t="inlineStr">
        <is>
          <t>2026-06-17</t>
        </is>
      </c>
    </row>
    <row r="1706">
      <c r="A1706" t="inlineStr">
        <is>
          <t>Carlsbad Municipal Schools</t>
        </is>
      </c>
      <c r="B1706" t="inlineStr">
        <is>
          <t>NM</t>
        </is>
      </c>
      <c r="C1706" t="inlineStr">
        <is>
          <t>Bachelor's</t>
        </is>
      </c>
      <c r="D1706" t="n">
        <v>10</v>
      </c>
      <c r="E1706" t="n">
        <v>73500</v>
      </c>
      <c r="F1706" t="inlineStr">
        <is>
          <t>2026-06-17</t>
        </is>
      </c>
    </row>
    <row r="1707">
      <c r="A1707" t="inlineStr">
        <is>
          <t>Carlsbad Municipal Schools</t>
        </is>
      </c>
      <c r="B1707" t="inlineStr">
        <is>
          <t>NM</t>
        </is>
      </c>
      <c r="C1707" t="inlineStr">
        <is>
          <t>Master's</t>
        </is>
      </c>
      <c r="D1707" t="n">
        <v>0</v>
      </c>
      <c r="E1707" t="n">
        <v>64000</v>
      </c>
      <c r="F1707" t="inlineStr">
        <is>
          <t>2026-06-17</t>
        </is>
      </c>
    </row>
    <row r="1708">
      <c r="A1708" t="inlineStr">
        <is>
          <t>Carlsbad Municipal Schools</t>
        </is>
      </c>
      <c r="B1708" t="inlineStr">
        <is>
          <t>NM</t>
        </is>
      </c>
      <c r="C1708" t="inlineStr">
        <is>
          <t>Master's</t>
        </is>
      </c>
      <c r="D1708" t="n">
        <v>1</v>
      </c>
      <c r="E1708" t="n">
        <v>65200</v>
      </c>
      <c r="F1708" t="inlineStr">
        <is>
          <t>2026-06-17</t>
        </is>
      </c>
    </row>
    <row r="1709">
      <c r="A1709" t="inlineStr">
        <is>
          <t>Carlsbad Municipal Schools</t>
        </is>
      </c>
      <c r="B1709" t="inlineStr">
        <is>
          <t>NM</t>
        </is>
      </c>
      <c r="C1709" t="inlineStr">
        <is>
          <t>Master's</t>
        </is>
      </c>
      <c r="D1709" t="n">
        <v>2</v>
      </c>
      <c r="E1709" t="n">
        <v>66400</v>
      </c>
      <c r="F1709" t="inlineStr">
        <is>
          <t>2026-06-17</t>
        </is>
      </c>
    </row>
    <row r="1710">
      <c r="A1710" t="inlineStr">
        <is>
          <t>Carlsbad Municipal Schools</t>
        </is>
      </c>
      <c r="B1710" t="inlineStr">
        <is>
          <t>NM</t>
        </is>
      </c>
      <c r="C1710" t="inlineStr">
        <is>
          <t>Master's</t>
        </is>
      </c>
      <c r="D1710" t="n">
        <v>3</v>
      </c>
      <c r="E1710" t="n">
        <v>67600</v>
      </c>
      <c r="F1710" t="inlineStr">
        <is>
          <t>2026-06-17</t>
        </is>
      </c>
    </row>
    <row r="1711">
      <c r="A1711" t="inlineStr">
        <is>
          <t>Carlsbad Municipal Schools</t>
        </is>
      </c>
      <c r="B1711" t="inlineStr">
        <is>
          <t>NM</t>
        </is>
      </c>
      <c r="C1711" t="inlineStr">
        <is>
          <t>Master's</t>
        </is>
      </c>
      <c r="D1711" t="n">
        <v>4</v>
      </c>
      <c r="E1711" t="n">
        <v>68800</v>
      </c>
      <c r="F1711" t="inlineStr">
        <is>
          <t>2026-06-17</t>
        </is>
      </c>
    </row>
    <row r="1712">
      <c r="A1712" t="inlineStr">
        <is>
          <t>Carlsbad Municipal Schools</t>
        </is>
      </c>
      <c r="B1712" t="inlineStr">
        <is>
          <t>NM</t>
        </is>
      </c>
      <c r="C1712" t="inlineStr">
        <is>
          <t>Master's</t>
        </is>
      </c>
      <c r="D1712" t="n">
        <v>5</v>
      </c>
      <c r="E1712" t="n">
        <v>70000</v>
      </c>
      <c r="F1712" t="inlineStr">
        <is>
          <t>2026-06-17</t>
        </is>
      </c>
    </row>
    <row r="1713">
      <c r="A1713" t="inlineStr">
        <is>
          <t>Carlsbad Municipal Schools</t>
        </is>
      </c>
      <c r="B1713" t="inlineStr">
        <is>
          <t>NM</t>
        </is>
      </c>
      <c r="C1713" t="inlineStr">
        <is>
          <t>Master's</t>
        </is>
      </c>
      <c r="D1713" t="n">
        <v>6</v>
      </c>
      <c r="E1713" t="n">
        <v>72000</v>
      </c>
      <c r="F1713" t="inlineStr">
        <is>
          <t>2026-06-17</t>
        </is>
      </c>
    </row>
    <row r="1714">
      <c r="A1714" t="inlineStr">
        <is>
          <t>Carlsbad Municipal Schools</t>
        </is>
      </c>
      <c r="B1714" t="inlineStr">
        <is>
          <t>NM</t>
        </is>
      </c>
      <c r="C1714" t="inlineStr">
        <is>
          <t>Master's</t>
        </is>
      </c>
      <c r="D1714" t="n">
        <v>7</v>
      </c>
      <c r="E1714" t="n">
        <v>74000</v>
      </c>
      <c r="F1714" t="inlineStr">
        <is>
          <t>2026-06-17</t>
        </is>
      </c>
    </row>
    <row r="1715">
      <c r="A1715" t="inlineStr">
        <is>
          <t>Carlsbad Municipal Schools</t>
        </is>
      </c>
      <c r="B1715" t="inlineStr">
        <is>
          <t>NM</t>
        </is>
      </c>
      <c r="C1715" t="inlineStr">
        <is>
          <t>Master's</t>
        </is>
      </c>
      <c r="D1715" t="n">
        <v>8</v>
      </c>
      <c r="E1715" t="n">
        <v>76000</v>
      </c>
      <c r="F1715" t="inlineStr">
        <is>
          <t>2026-06-17</t>
        </is>
      </c>
    </row>
    <row r="1716">
      <c r="A1716" t="inlineStr">
        <is>
          <t>Carlsbad Municipal Schools</t>
        </is>
      </c>
      <c r="B1716" t="inlineStr">
        <is>
          <t>NM</t>
        </is>
      </c>
      <c r="C1716" t="inlineStr">
        <is>
          <t>Master's</t>
        </is>
      </c>
      <c r="D1716" t="n">
        <v>9</v>
      </c>
      <c r="E1716" t="n">
        <v>77500</v>
      </c>
      <c r="F1716" t="inlineStr">
        <is>
          <t>2026-06-17</t>
        </is>
      </c>
    </row>
    <row r="1717">
      <c r="A1717" t="inlineStr">
        <is>
          <t>Carlsbad Municipal Schools</t>
        </is>
      </c>
      <c r="B1717" t="inlineStr">
        <is>
          <t>NM</t>
        </is>
      </c>
      <c r="C1717" t="inlineStr">
        <is>
          <t>Master's</t>
        </is>
      </c>
      <c r="D1717" t="n">
        <v>10</v>
      </c>
      <c r="E1717" t="n">
        <v>79000</v>
      </c>
      <c r="F1717" t="inlineStr">
        <is>
          <t>2026-06-17</t>
        </is>
      </c>
    </row>
    <row r="1718">
      <c r="A1718" t="inlineStr">
        <is>
          <t>Chaffey Joint Union High School District</t>
        </is>
      </c>
      <c r="B1718" t="inlineStr">
        <is>
          <t>CA</t>
        </is>
      </c>
      <c r="C1718" t="inlineStr">
        <is>
          <t>Bachelor's</t>
        </is>
      </c>
      <c r="D1718" t="n">
        <v>0</v>
      </c>
      <c r="E1718" t="n">
        <v>66385</v>
      </c>
      <c r="F1718" t="inlineStr">
        <is>
          <t>2026-06-17</t>
        </is>
      </c>
    </row>
    <row r="1719">
      <c r="A1719" t="inlineStr">
        <is>
          <t>Chaffey Joint Union High School District</t>
        </is>
      </c>
      <c r="B1719" t="inlineStr">
        <is>
          <t>CA</t>
        </is>
      </c>
      <c r="C1719" t="inlineStr">
        <is>
          <t>Bachelor's</t>
        </is>
      </c>
      <c r="D1719" t="n">
        <v>1</v>
      </c>
      <c r="E1719" t="n">
        <v>70368</v>
      </c>
      <c r="F1719" t="inlineStr">
        <is>
          <t>2026-06-17</t>
        </is>
      </c>
    </row>
    <row r="1720">
      <c r="A1720" t="inlineStr">
        <is>
          <t>Chaffey Joint Union High School District</t>
        </is>
      </c>
      <c r="B1720" t="inlineStr">
        <is>
          <t>CA</t>
        </is>
      </c>
      <c r="C1720" t="inlineStr">
        <is>
          <t>Bachelor's</t>
        </is>
      </c>
      <c r="D1720" t="n">
        <v>2</v>
      </c>
      <c r="E1720" t="n">
        <v>74351</v>
      </c>
      <c r="F1720" t="inlineStr">
        <is>
          <t>2026-06-17</t>
        </is>
      </c>
    </row>
    <row r="1721">
      <c r="A1721" t="inlineStr">
        <is>
          <t>Chaffey Joint Union High School District</t>
        </is>
      </c>
      <c r="B1721" t="inlineStr">
        <is>
          <t>CA</t>
        </is>
      </c>
      <c r="C1721" t="inlineStr">
        <is>
          <t>Bachelor's</t>
        </is>
      </c>
      <c r="D1721" t="n">
        <v>3</v>
      </c>
      <c r="E1721" t="n">
        <v>78334</v>
      </c>
      <c r="F1721" t="inlineStr">
        <is>
          <t>2026-06-17</t>
        </is>
      </c>
    </row>
    <row r="1722">
      <c r="A1722" t="inlineStr">
        <is>
          <t>Chaffey Joint Union High School District</t>
        </is>
      </c>
      <c r="B1722" t="inlineStr">
        <is>
          <t>CA</t>
        </is>
      </c>
      <c r="C1722" t="inlineStr">
        <is>
          <t>Bachelor's</t>
        </is>
      </c>
      <c r="D1722" t="n">
        <v>4</v>
      </c>
      <c r="E1722" t="n">
        <v>82317</v>
      </c>
      <c r="F1722" t="inlineStr">
        <is>
          <t>2026-06-17</t>
        </is>
      </c>
    </row>
    <row r="1723">
      <c r="A1723" t="inlineStr">
        <is>
          <t>Chaffey Joint Union High School District</t>
        </is>
      </c>
      <c r="B1723" t="inlineStr">
        <is>
          <t>CA</t>
        </is>
      </c>
      <c r="C1723" t="inlineStr">
        <is>
          <t>Bachelor's</t>
        </is>
      </c>
      <c r="D1723" t="n">
        <v>5</v>
      </c>
      <c r="E1723" t="n">
        <v>86301</v>
      </c>
      <c r="F1723" t="inlineStr">
        <is>
          <t>2026-06-17</t>
        </is>
      </c>
    </row>
    <row r="1724">
      <c r="A1724" t="inlineStr">
        <is>
          <t>Chaffey Joint Union High School District</t>
        </is>
      </c>
      <c r="B1724" t="inlineStr">
        <is>
          <t>CA</t>
        </is>
      </c>
      <c r="C1724" t="inlineStr">
        <is>
          <t>Bachelor's</t>
        </is>
      </c>
      <c r="D1724" t="n">
        <v>6</v>
      </c>
      <c r="E1724" t="n">
        <v>90284</v>
      </c>
      <c r="F1724" t="inlineStr">
        <is>
          <t>2026-06-17</t>
        </is>
      </c>
    </row>
    <row r="1725">
      <c r="A1725" t="inlineStr">
        <is>
          <t>Chaffey Joint Union High School District</t>
        </is>
      </c>
      <c r="B1725" t="inlineStr">
        <is>
          <t>CA</t>
        </is>
      </c>
      <c r="C1725" t="inlineStr">
        <is>
          <t>Bachelor's</t>
        </is>
      </c>
      <c r="D1725" t="n">
        <v>7</v>
      </c>
      <c r="E1725" t="n">
        <v>94267</v>
      </c>
      <c r="F1725" t="inlineStr">
        <is>
          <t>2026-06-17</t>
        </is>
      </c>
    </row>
    <row r="1726">
      <c r="A1726" t="inlineStr">
        <is>
          <t>Chaffey Joint Union High School District</t>
        </is>
      </c>
      <c r="B1726" t="inlineStr">
        <is>
          <t>CA</t>
        </is>
      </c>
      <c r="C1726" t="inlineStr">
        <is>
          <t>Bachelor's</t>
        </is>
      </c>
      <c r="D1726" t="n">
        <v>8</v>
      </c>
      <c r="E1726" t="n">
        <v>98250</v>
      </c>
      <c r="F1726" t="inlineStr">
        <is>
          <t>2026-06-17</t>
        </is>
      </c>
    </row>
    <row r="1727">
      <c r="A1727" t="inlineStr">
        <is>
          <t>Chaffey Joint Union High School District</t>
        </is>
      </c>
      <c r="B1727" t="inlineStr">
        <is>
          <t>CA</t>
        </is>
      </c>
      <c r="C1727" t="inlineStr">
        <is>
          <t>Bachelor's</t>
        </is>
      </c>
      <c r="D1727" t="n">
        <v>9</v>
      </c>
      <c r="E1727" t="n">
        <v>102233</v>
      </c>
      <c r="F1727" t="inlineStr">
        <is>
          <t>2026-06-17</t>
        </is>
      </c>
    </row>
    <row r="1728">
      <c r="A1728" t="inlineStr">
        <is>
          <t>Chaffey Joint Union High School District</t>
        </is>
      </c>
      <c r="B1728" t="inlineStr">
        <is>
          <t>CA</t>
        </is>
      </c>
      <c r="C1728" t="inlineStr">
        <is>
          <t>Bachelor's</t>
        </is>
      </c>
      <c r="D1728" t="n">
        <v>10</v>
      </c>
      <c r="E1728" t="n">
        <v>106216</v>
      </c>
      <c r="F1728" t="inlineStr">
        <is>
          <t>2026-06-17</t>
        </is>
      </c>
    </row>
    <row r="1729">
      <c r="A1729" t="inlineStr">
        <is>
          <t>Chaffey Joint Union High School District</t>
        </is>
      </c>
      <c r="B1729" t="inlineStr">
        <is>
          <t>CA</t>
        </is>
      </c>
      <c r="C1729" t="inlineStr">
        <is>
          <t>Master's</t>
        </is>
      </c>
      <c r="D1729" t="n">
        <v>0</v>
      </c>
      <c r="E1729" t="n">
        <v>80326</v>
      </c>
      <c r="F1729" t="inlineStr">
        <is>
          <t>2026-06-17</t>
        </is>
      </c>
    </row>
    <row r="1730">
      <c r="A1730" t="inlineStr">
        <is>
          <t>Chaffey Joint Union High School District</t>
        </is>
      </c>
      <c r="B1730" t="inlineStr">
        <is>
          <t>CA</t>
        </is>
      </c>
      <c r="C1730" t="inlineStr">
        <is>
          <t>Master's</t>
        </is>
      </c>
      <c r="D1730" t="n">
        <v>1</v>
      </c>
      <c r="E1730" t="n">
        <v>84309</v>
      </c>
      <c r="F1730" t="inlineStr">
        <is>
          <t>2026-06-17</t>
        </is>
      </c>
    </row>
    <row r="1731">
      <c r="A1731" t="inlineStr">
        <is>
          <t>Chaffey Joint Union High School District</t>
        </is>
      </c>
      <c r="B1731" t="inlineStr">
        <is>
          <t>CA</t>
        </is>
      </c>
      <c r="C1731" t="inlineStr">
        <is>
          <t>Master's</t>
        </is>
      </c>
      <c r="D1731" t="n">
        <v>2</v>
      </c>
      <c r="E1731" t="n">
        <v>88292</v>
      </c>
      <c r="F1731" t="inlineStr">
        <is>
          <t>2026-06-17</t>
        </is>
      </c>
    </row>
    <row r="1732">
      <c r="A1732" t="inlineStr">
        <is>
          <t>Chaffey Joint Union High School District</t>
        </is>
      </c>
      <c r="B1732" t="inlineStr">
        <is>
          <t>CA</t>
        </is>
      </c>
      <c r="C1732" t="inlineStr">
        <is>
          <t>Master's</t>
        </is>
      </c>
      <c r="D1732" t="n">
        <v>3</v>
      </c>
      <c r="E1732" t="n">
        <v>92275</v>
      </c>
      <c r="F1732" t="inlineStr">
        <is>
          <t>2026-06-17</t>
        </is>
      </c>
    </row>
    <row r="1733">
      <c r="A1733" t="inlineStr">
        <is>
          <t>Chaffey Joint Union High School District</t>
        </is>
      </c>
      <c r="B1733" t="inlineStr">
        <is>
          <t>CA</t>
        </is>
      </c>
      <c r="C1733" t="inlineStr">
        <is>
          <t>Master's</t>
        </is>
      </c>
      <c r="D1733" t="n">
        <v>4</v>
      </c>
      <c r="E1733" t="n">
        <v>96258</v>
      </c>
      <c r="F1733" t="inlineStr">
        <is>
          <t>2026-06-17</t>
        </is>
      </c>
    </row>
    <row r="1734">
      <c r="A1734" t="inlineStr">
        <is>
          <t>Chaffey Joint Union High School District</t>
        </is>
      </c>
      <c r="B1734" t="inlineStr">
        <is>
          <t>CA</t>
        </is>
      </c>
      <c r="C1734" t="inlineStr">
        <is>
          <t>Master's</t>
        </is>
      </c>
      <c r="D1734" t="n">
        <v>5</v>
      </c>
      <c r="E1734" t="n">
        <v>100241</v>
      </c>
      <c r="F1734" t="inlineStr">
        <is>
          <t>2026-06-17</t>
        </is>
      </c>
    </row>
    <row r="1735">
      <c r="A1735" t="inlineStr">
        <is>
          <t>Chaffey Joint Union High School District</t>
        </is>
      </c>
      <c r="B1735" t="inlineStr">
        <is>
          <t>CA</t>
        </is>
      </c>
      <c r="C1735" t="inlineStr">
        <is>
          <t>Master's</t>
        </is>
      </c>
      <c r="D1735" t="n">
        <v>6</v>
      </c>
      <c r="E1735" t="n">
        <v>104224</v>
      </c>
      <c r="F1735" t="inlineStr">
        <is>
          <t>2026-06-17</t>
        </is>
      </c>
    </row>
    <row r="1736">
      <c r="A1736" t="inlineStr">
        <is>
          <t>Chaffey Joint Union High School District</t>
        </is>
      </c>
      <c r="B1736" t="inlineStr">
        <is>
          <t>CA</t>
        </is>
      </c>
      <c r="C1736" t="inlineStr">
        <is>
          <t>Master's</t>
        </is>
      </c>
      <c r="D1736" t="n">
        <v>7</v>
      </c>
      <c r="E1736" t="n">
        <v>108208</v>
      </c>
      <c r="F1736" t="inlineStr">
        <is>
          <t>2026-06-17</t>
        </is>
      </c>
    </row>
    <row r="1737">
      <c r="A1737" t="inlineStr">
        <is>
          <t>Chaffey Joint Union High School District</t>
        </is>
      </c>
      <c r="B1737" t="inlineStr">
        <is>
          <t>CA</t>
        </is>
      </c>
      <c r="C1737" t="inlineStr">
        <is>
          <t>Master's</t>
        </is>
      </c>
      <c r="D1737" t="n">
        <v>8</v>
      </c>
      <c r="E1737" t="n">
        <v>112191</v>
      </c>
      <c r="F1737" t="inlineStr">
        <is>
          <t>2026-06-17</t>
        </is>
      </c>
    </row>
    <row r="1738">
      <c r="A1738" t="inlineStr">
        <is>
          <t>Chaffey Joint Union High School District</t>
        </is>
      </c>
      <c r="B1738" t="inlineStr">
        <is>
          <t>CA</t>
        </is>
      </c>
      <c r="C1738" t="inlineStr">
        <is>
          <t>Master's</t>
        </is>
      </c>
      <c r="D1738" t="n">
        <v>9</v>
      </c>
      <c r="E1738" t="n">
        <v>116174</v>
      </c>
      <c r="F1738" t="inlineStr">
        <is>
          <t>2026-06-17</t>
        </is>
      </c>
    </row>
    <row r="1739">
      <c r="A1739" t="inlineStr">
        <is>
          <t>Chaffey Joint Union High School District</t>
        </is>
      </c>
      <c r="B1739" t="inlineStr">
        <is>
          <t>CA</t>
        </is>
      </c>
      <c r="C1739" t="inlineStr">
        <is>
          <t>Master's</t>
        </is>
      </c>
      <c r="D1739" t="n">
        <v>10</v>
      </c>
      <c r="E1739" t="n">
        <v>120157</v>
      </c>
      <c r="F1739" t="inlineStr">
        <is>
          <t>2026-06-17</t>
        </is>
      </c>
    </row>
    <row r="1740">
      <c r="A1740" t="inlineStr">
        <is>
          <t>Antelope Valley Union High School District</t>
        </is>
      </c>
      <c r="B1740" t="inlineStr">
        <is>
          <t>CA</t>
        </is>
      </c>
      <c r="C1740" t="inlineStr">
        <is>
          <t>Bachelor's</t>
        </is>
      </c>
      <c r="D1740" t="n">
        <v>0</v>
      </c>
      <c r="E1740" t="n">
        <v>64000</v>
      </c>
      <c r="F1740" t="inlineStr">
        <is>
          <t>2026-06-17</t>
        </is>
      </c>
    </row>
    <row r="1741">
      <c r="A1741" t="inlineStr">
        <is>
          <t>Antelope Valley Union High School District</t>
        </is>
      </c>
      <c r="B1741" t="inlineStr">
        <is>
          <t>CA</t>
        </is>
      </c>
      <c r="C1741" t="inlineStr">
        <is>
          <t>Bachelor's</t>
        </is>
      </c>
      <c r="D1741" t="n">
        <v>1</v>
      </c>
      <c r="E1741" t="n">
        <v>67500</v>
      </c>
      <c r="F1741" t="inlineStr">
        <is>
          <t>2026-06-17</t>
        </is>
      </c>
    </row>
    <row r="1742">
      <c r="A1742" t="inlineStr">
        <is>
          <t>Antelope Valley Union High School District</t>
        </is>
      </c>
      <c r="B1742" t="inlineStr">
        <is>
          <t>CA</t>
        </is>
      </c>
      <c r="C1742" t="inlineStr">
        <is>
          <t>Bachelor's</t>
        </is>
      </c>
      <c r="D1742" t="n">
        <v>2</v>
      </c>
      <c r="E1742" t="n">
        <v>71000</v>
      </c>
      <c r="F1742" t="inlineStr">
        <is>
          <t>2026-06-17</t>
        </is>
      </c>
    </row>
    <row r="1743">
      <c r="A1743" t="inlineStr">
        <is>
          <t>Antelope Valley Union High School District</t>
        </is>
      </c>
      <c r="B1743" t="inlineStr">
        <is>
          <t>CA</t>
        </is>
      </c>
      <c r="C1743" t="inlineStr">
        <is>
          <t>Bachelor's</t>
        </is>
      </c>
      <c r="D1743" t="n">
        <v>3</v>
      </c>
      <c r="E1743" t="n">
        <v>74500</v>
      </c>
      <c r="F1743" t="inlineStr">
        <is>
          <t>2026-06-17</t>
        </is>
      </c>
    </row>
    <row r="1744">
      <c r="A1744" t="inlineStr">
        <is>
          <t>Antelope Valley Union High School District</t>
        </is>
      </c>
      <c r="B1744" t="inlineStr">
        <is>
          <t>CA</t>
        </is>
      </c>
      <c r="C1744" t="inlineStr">
        <is>
          <t>Bachelor's</t>
        </is>
      </c>
      <c r="D1744" t="n">
        <v>4</v>
      </c>
      <c r="E1744" t="n">
        <v>76000</v>
      </c>
      <c r="F1744" t="inlineStr">
        <is>
          <t>2026-06-17</t>
        </is>
      </c>
    </row>
    <row r="1745">
      <c r="A1745" t="inlineStr">
        <is>
          <t>Antelope Valley Union High School District</t>
        </is>
      </c>
      <c r="B1745" t="inlineStr">
        <is>
          <t>CA</t>
        </is>
      </c>
      <c r="C1745" t="inlineStr">
        <is>
          <t>Bachelor's</t>
        </is>
      </c>
      <c r="D1745" t="n">
        <v>5</v>
      </c>
      <c r="E1745" t="n">
        <v>80000</v>
      </c>
      <c r="F1745" t="inlineStr">
        <is>
          <t>2026-06-17</t>
        </is>
      </c>
    </row>
    <row r="1746">
      <c r="A1746" t="inlineStr">
        <is>
          <t>Antelope Valley Union High School District</t>
        </is>
      </c>
      <c r="B1746" t="inlineStr">
        <is>
          <t>CA</t>
        </is>
      </c>
      <c r="C1746" t="inlineStr">
        <is>
          <t>Bachelor's</t>
        </is>
      </c>
      <c r="D1746" t="n">
        <v>6</v>
      </c>
      <c r="E1746" t="n">
        <v>84000</v>
      </c>
      <c r="F1746" t="inlineStr">
        <is>
          <t>2026-06-17</t>
        </is>
      </c>
    </row>
    <row r="1747">
      <c r="A1747" t="inlineStr">
        <is>
          <t>Antelope Valley Union High School District</t>
        </is>
      </c>
      <c r="B1747" t="inlineStr">
        <is>
          <t>CA</t>
        </is>
      </c>
      <c r="C1747" t="inlineStr">
        <is>
          <t>Bachelor's</t>
        </is>
      </c>
      <c r="D1747" t="n">
        <v>7</v>
      </c>
      <c r="E1747" t="n">
        <v>88000</v>
      </c>
      <c r="F1747" t="inlineStr">
        <is>
          <t>2026-06-17</t>
        </is>
      </c>
    </row>
    <row r="1748">
      <c r="A1748" t="inlineStr">
        <is>
          <t>Antelope Valley Union High School District</t>
        </is>
      </c>
      <c r="B1748" t="inlineStr">
        <is>
          <t>CA</t>
        </is>
      </c>
      <c r="C1748" t="inlineStr">
        <is>
          <t>Bachelor's</t>
        </is>
      </c>
      <c r="D1748" t="n">
        <v>8</v>
      </c>
      <c r="E1748" t="n">
        <v>91000</v>
      </c>
      <c r="F1748" t="inlineStr">
        <is>
          <t>2026-06-17</t>
        </is>
      </c>
    </row>
    <row r="1749">
      <c r="A1749" t="inlineStr">
        <is>
          <t>Antelope Valley Union High School District</t>
        </is>
      </c>
      <c r="B1749" t="inlineStr">
        <is>
          <t>CA</t>
        </is>
      </c>
      <c r="C1749" t="inlineStr">
        <is>
          <t>Bachelor's</t>
        </is>
      </c>
      <c r="D1749" t="n">
        <v>9</v>
      </c>
      <c r="E1749" t="n">
        <v>93000</v>
      </c>
      <c r="F1749" t="inlineStr">
        <is>
          <t>2026-06-17</t>
        </is>
      </c>
    </row>
    <row r="1750">
      <c r="A1750" t="inlineStr">
        <is>
          <t>Antelope Valley Union High School District</t>
        </is>
      </c>
      <c r="B1750" t="inlineStr">
        <is>
          <t>CA</t>
        </is>
      </c>
      <c r="C1750" t="inlineStr">
        <is>
          <t>Bachelor's</t>
        </is>
      </c>
      <c r="D1750" t="n">
        <v>10</v>
      </c>
      <c r="E1750" t="n">
        <v>94000</v>
      </c>
      <c r="F1750" t="inlineStr">
        <is>
          <t>2026-06-17</t>
        </is>
      </c>
    </row>
    <row r="1751">
      <c r="A1751" t="inlineStr">
        <is>
          <t>Antelope Valley Union High School District</t>
        </is>
      </c>
      <c r="B1751" t="inlineStr">
        <is>
          <t>CA</t>
        </is>
      </c>
      <c r="C1751" t="inlineStr">
        <is>
          <t>Master's</t>
        </is>
      </c>
      <c r="D1751" t="n">
        <v>0</v>
      </c>
      <c r="E1751" t="n">
        <v>70000</v>
      </c>
      <c r="F1751" t="inlineStr">
        <is>
          <t>2026-06-17</t>
        </is>
      </c>
    </row>
    <row r="1752">
      <c r="A1752" t="inlineStr">
        <is>
          <t>Antelope Valley Union High School District</t>
        </is>
      </c>
      <c r="B1752" t="inlineStr">
        <is>
          <t>CA</t>
        </is>
      </c>
      <c r="C1752" t="inlineStr">
        <is>
          <t>Master's</t>
        </is>
      </c>
      <c r="D1752" t="n">
        <v>1</v>
      </c>
      <c r="E1752" t="n">
        <v>73500</v>
      </c>
      <c r="F1752" t="inlineStr">
        <is>
          <t>2026-06-17</t>
        </is>
      </c>
    </row>
    <row r="1753">
      <c r="A1753" t="inlineStr">
        <is>
          <t>Antelope Valley Union High School District</t>
        </is>
      </c>
      <c r="B1753" t="inlineStr">
        <is>
          <t>CA</t>
        </is>
      </c>
      <c r="C1753" t="inlineStr">
        <is>
          <t>Master's</t>
        </is>
      </c>
      <c r="D1753" t="n">
        <v>2</v>
      </c>
      <c r="E1753" t="n">
        <v>77500</v>
      </c>
      <c r="F1753" t="inlineStr">
        <is>
          <t>2026-06-17</t>
        </is>
      </c>
    </row>
    <row r="1754">
      <c r="A1754" t="inlineStr">
        <is>
          <t>Antelope Valley Union High School District</t>
        </is>
      </c>
      <c r="B1754" t="inlineStr">
        <is>
          <t>CA</t>
        </is>
      </c>
      <c r="C1754" t="inlineStr">
        <is>
          <t>Master's</t>
        </is>
      </c>
      <c r="D1754" t="n">
        <v>3</v>
      </c>
      <c r="E1754" t="n">
        <v>81500</v>
      </c>
      <c r="F1754" t="inlineStr">
        <is>
          <t>2026-06-17</t>
        </is>
      </c>
    </row>
    <row r="1755">
      <c r="A1755" t="inlineStr">
        <is>
          <t>Antelope Valley Union High School District</t>
        </is>
      </c>
      <c r="B1755" t="inlineStr">
        <is>
          <t>CA</t>
        </is>
      </c>
      <c r="C1755" t="inlineStr">
        <is>
          <t>Master's</t>
        </is>
      </c>
      <c r="D1755" t="n">
        <v>4</v>
      </c>
      <c r="E1755" t="n">
        <v>85000</v>
      </c>
      <c r="F1755" t="inlineStr">
        <is>
          <t>2026-06-17</t>
        </is>
      </c>
    </row>
    <row r="1756">
      <c r="A1756" t="inlineStr">
        <is>
          <t>Antelope Valley Union High School District</t>
        </is>
      </c>
      <c r="B1756" t="inlineStr">
        <is>
          <t>CA</t>
        </is>
      </c>
      <c r="C1756" t="inlineStr">
        <is>
          <t>Master's</t>
        </is>
      </c>
      <c r="D1756" t="n">
        <v>5</v>
      </c>
      <c r="E1756" t="n">
        <v>89000</v>
      </c>
      <c r="F1756" t="inlineStr">
        <is>
          <t>2026-06-17</t>
        </is>
      </c>
    </row>
    <row r="1757">
      <c r="A1757" t="inlineStr">
        <is>
          <t>Antelope Valley Union High School District</t>
        </is>
      </c>
      <c r="B1757" t="inlineStr">
        <is>
          <t>CA</t>
        </is>
      </c>
      <c r="C1757" t="inlineStr">
        <is>
          <t>Master's</t>
        </is>
      </c>
      <c r="D1757" t="n">
        <v>6</v>
      </c>
      <c r="E1757" t="n">
        <v>93000</v>
      </c>
      <c r="F1757" t="inlineStr">
        <is>
          <t>2026-06-17</t>
        </is>
      </c>
    </row>
    <row r="1758">
      <c r="A1758" t="inlineStr">
        <is>
          <t>Antelope Valley Union High School District</t>
        </is>
      </c>
      <c r="B1758" t="inlineStr">
        <is>
          <t>CA</t>
        </is>
      </c>
      <c r="C1758" t="inlineStr">
        <is>
          <t>Master's</t>
        </is>
      </c>
      <c r="D1758" t="n">
        <v>7</v>
      </c>
      <c r="E1758" t="n">
        <v>97000</v>
      </c>
      <c r="F1758" t="inlineStr">
        <is>
          <t>2026-06-17</t>
        </is>
      </c>
    </row>
    <row r="1759">
      <c r="A1759" t="inlineStr">
        <is>
          <t>Antelope Valley Union High School District</t>
        </is>
      </c>
      <c r="B1759" t="inlineStr">
        <is>
          <t>CA</t>
        </is>
      </c>
      <c r="C1759" t="inlineStr">
        <is>
          <t>Master's</t>
        </is>
      </c>
      <c r="D1759" t="n">
        <v>8</v>
      </c>
      <c r="E1759" t="n">
        <v>100000</v>
      </c>
      <c r="F1759" t="inlineStr">
        <is>
          <t>2026-06-17</t>
        </is>
      </c>
    </row>
    <row r="1760">
      <c r="A1760" t="inlineStr">
        <is>
          <t>Antelope Valley Union High School District</t>
        </is>
      </c>
      <c r="B1760" t="inlineStr">
        <is>
          <t>CA</t>
        </is>
      </c>
      <c r="C1760" t="inlineStr">
        <is>
          <t>Master's</t>
        </is>
      </c>
      <c r="D1760" t="n">
        <v>9</v>
      </c>
      <c r="E1760" t="n">
        <v>103000</v>
      </c>
      <c r="F1760" t="inlineStr">
        <is>
          <t>2026-06-17</t>
        </is>
      </c>
    </row>
    <row r="1761">
      <c r="A1761" t="inlineStr">
        <is>
          <t>Antelope Valley Union High School District</t>
        </is>
      </c>
      <c r="B1761" t="inlineStr">
        <is>
          <t>CA</t>
        </is>
      </c>
      <c r="C1761" t="inlineStr">
        <is>
          <t>Master's</t>
        </is>
      </c>
      <c r="D1761" t="n">
        <v>10</v>
      </c>
      <c r="E1761" t="n">
        <v>105000</v>
      </c>
      <c r="F1761" t="inlineStr">
        <is>
          <t>2026-06-17</t>
        </is>
      </c>
    </row>
    <row r="1762">
      <c r="A1762" t="inlineStr">
        <is>
          <t>Grossmont Union High School District</t>
        </is>
      </c>
      <c r="B1762" t="inlineStr">
        <is>
          <t>CA</t>
        </is>
      </c>
      <c r="C1762" t="inlineStr">
        <is>
          <t>Bachelor's</t>
        </is>
      </c>
      <c r="D1762" t="n">
        <v>0</v>
      </c>
      <c r="E1762" t="n">
        <v>66000</v>
      </c>
      <c r="F1762" t="inlineStr">
        <is>
          <t>2026-06-17</t>
        </is>
      </c>
    </row>
    <row r="1763">
      <c r="A1763" t="inlineStr">
        <is>
          <t>Grossmont Union High School District</t>
        </is>
      </c>
      <c r="B1763" t="inlineStr">
        <is>
          <t>CA</t>
        </is>
      </c>
      <c r="C1763" t="inlineStr">
        <is>
          <t>Bachelor's</t>
        </is>
      </c>
      <c r="D1763" t="n">
        <v>1</v>
      </c>
      <c r="E1763" t="n">
        <v>70000</v>
      </c>
      <c r="F1763" t="inlineStr">
        <is>
          <t>2026-06-17</t>
        </is>
      </c>
    </row>
    <row r="1764">
      <c r="A1764" t="inlineStr">
        <is>
          <t>Grossmont Union High School District</t>
        </is>
      </c>
      <c r="B1764" t="inlineStr">
        <is>
          <t>CA</t>
        </is>
      </c>
      <c r="C1764" t="inlineStr">
        <is>
          <t>Bachelor's</t>
        </is>
      </c>
      <c r="D1764" t="n">
        <v>2</v>
      </c>
      <c r="E1764" t="n">
        <v>74000</v>
      </c>
      <c r="F1764" t="inlineStr">
        <is>
          <t>2026-06-17</t>
        </is>
      </c>
    </row>
    <row r="1765">
      <c r="A1765" t="inlineStr">
        <is>
          <t>Grossmont Union High School District</t>
        </is>
      </c>
      <c r="B1765" t="inlineStr">
        <is>
          <t>CA</t>
        </is>
      </c>
      <c r="C1765" t="inlineStr">
        <is>
          <t>Bachelor's</t>
        </is>
      </c>
      <c r="D1765" t="n">
        <v>3</v>
      </c>
      <c r="E1765" t="n">
        <v>78000</v>
      </c>
      <c r="F1765" t="inlineStr">
        <is>
          <t>2026-06-17</t>
        </is>
      </c>
    </row>
    <row r="1766">
      <c r="A1766" t="inlineStr">
        <is>
          <t>Grossmont Union High School District</t>
        </is>
      </c>
      <c r="B1766" t="inlineStr">
        <is>
          <t>CA</t>
        </is>
      </c>
      <c r="C1766" t="inlineStr">
        <is>
          <t>Bachelor's</t>
        </is>
      </c>
      <c r="D1766" t="n">
        <v>4</v>
      </c>
      <c r="E1766" t="n">
        <v>80000</v>
      </c>
      <c r="F1766" t="inlineStr">
        <is>
          <t>2026-06-17</t>
        </is>
      </c>
    </row>
    <row r="1767">
      <c r="A1767" t="inlineStr">
        <is>
          <t>Grossmont Union High School District</t>
        </is>
      </c>
      <c r="B1767" t="inlineStr">
        <is>
          <t>CA</t>
        </is>
      </c>
      <c r="C1767" t="inlineStr">
        <is>
          <t>Bachelor's</t>
        </is>
      </c>
      <c r="D1767" t="n">
        <v>5</v>
      </c>
      <c r="E1767" t="n">
        <v>84000</v>
      </c>
      <c r="F1767" t="inlineStr">
        <is>
          <t>2026-06-17</t>
        </is>
      </c>
    </row>
    <row r="1768">
      <c r="A1768" t="inlineStr">
        <is>
          <t>Grossmont Union High School District</t>
        </is>
      </c>
      <c r="B1768" t="inlineStr">
        <is>
          <t>CA</t>
        </is>
      </c>
      <c r="C1768" t="inlineStr">
        <is>
          <t>Bachelor's</t>
        </is>
      </c>
      <c r="D1768" t="n">
        <v>6</v>
      </c>
      <c r="E1768" t="n">
        <v>88000</v>
      </c>
      <c r="F1768" t="inlineStr">
        <is>
          <t>2026-06-17</t>
        </is>
      </c>
    </row>
    <row r="1769">
      <c r="A1769" t="inlineStr">
        <is>
          <t>Grossmont Union High School District</t>
        </is>
      </c>
      <c r="B1769" t="inlineStr">
        <is>
          <t>CA</t>
        </is>
      </c>
      <c r="C1769" t="inlineStr">
        <is>
          <t>Bachelor's</t>
        </is>
      </c>
      <c r="D1769" t="n">
        <v>7</v>
      </c>
      <c r="E1769" t="n">
        <v>92000</v>
      </c>
      <c r="F1769" t="inlineStr">
        <is>
          <t>2026-06-17</t>
        </is>
      </c>
    </row>
    <row r="1770">
      <c r="A1770" t="inlineStr">
        <is>
          <t>Grossmont Union High School District</t>
        </is>
      </c>
      <c r="B1770" t="inlineStr">
        <is>
          <t>CA</t>
        </is>
      </c>
      <c r="C1770" t="inlineStr">
        <is>
          <t>Bachelor's</t>
        </is>
      </c>
      <c r="D1770" t="n">
        <v>8</v>
      </c>
      <c r="E1770" t="n">
        <v>95000</v>
      </c>
      <c r="F1770" t="inlineStr">
        <is>
          <t>2026-06-17</t>
        </is>
      </c>
    </row>
    <row r="1771">
      <c r="A1771" t="inlineStr">
        <is>
          <t>Grossmont Union High School District</t>
        </is>
      </c>
      <c r="B1771" t="inlineStr">
        <is>
          <t>CA</t>
        </is>
      </c>
      <c r="C1771" t="inlineStr">
        <is>
          <t>Bachelor's</t>
        </is>
      </c>
      <c r="D1771" t="n">
        <v>9</v>
      </c>
      <c r="E1771" t="n">
        <v>97000</v>
      </c>
      <c r="F1771" t="inlineStr">
        <is>
          <t>2026-06-17</t>
        </is>
      </c>
    </row>
    <row r="1772">
      <c r="A1772" t="inlineStr">
        <is>
          <t>Grossmont Union High School District</t>
        </is>
      </c>
      <c r="B1772" t="inlineStr">
        <is>
          <t>CA</t>
        </is>
      </c>
      <c r="C1772" t="inlineStr">
        <is>
          <t>Bachelor's</t>
        </is>
      </c>
      <c r="D1772" t="n">
        <v>10</v>
      </c>
      <c r="E1772" t="n">
        <v>98000</v>
      </c>
      <c r="F1772" t="inlineStr">
        <is>
          <t>2026-06-17</t>
        </is>
      </c>
    </row>
    <row r="1773">
      <c r="A1773" t="inlineStr">
        <is>
          <t>Grossmont Union High School District</t>
        </is>
      </c>
      <c r="B1773" t="inlineStr">
        <is>
          <t>CA</t>
        </is>
      </c>
      <c r="C1773" t="inlineStr">
        <is>
          <t>Master's</t>
        </is>
      </c>
      <c r="D1773" t="n">
        <v>0</v>
      </c>
      <c r="E1773" t="n">
        <v>76000</v>
      </c>
      <c r="F1773" t="inlineStr">
        <is>
          <t>2026-06-17</t>
        </is>
      </c>
    </row>
    <row r="1774">
      <c r="A1774" t="inlineStr">
        <is>
          <t>Grossmont Union High School District</t>
        </is>
      </c>
      <c r="B1774" t="inlineStr">
        <is>
          <t>CA</t>
        </is>
      </c>
      <c r="C1774" t="inlineStr">
        <is>
          <t>Master's</t>
        </is>
      </c>
      <c r="D1774" t="n">
        <v>1</v>
      </c>
      <c r="E1774" t="n">
        <v>80000</v>
      </c>
      <c r="F1774" t="inlineStr">
        <is>
          <t>2026-06-17</t>
        </is>
      </c>
    </row>
    <row r="1775">
      <c r="A1775" t="inlineStr">
        <is>
          <t>Grossmont Union High School District</t>
        </is>
      </c>
      <c r="B1775" t="inlineStr">
        <is>
          <t>CA</t>
        </is>
      </c>
      <c r="C1775" t="inlineStr">
        <is>
          <t>Master's</t>
        </is>
      </c>
      <c r="D1775" t="n">
        <v>2</v>
      </c>
      <c r="E1775" t="n">
        <v>84000</v>
      </c>
      <c r="F1775" t="inlineStr">
        <is>
          <t>2026-06-17</t>
        </is>
      </c>
    </row>
    <row r="1776">
      <c r="A1776" t="inlineStr">
        <is>
          <t>Grossmont Union High School District</t>
        </is>
      </c>
      <c r="B1776" t="inlineStr">
        <is>
          <t>CA</t>
        </is>
      </c>
      <c r="C1776" t="inlineStr">
        <is>
          <t>Master's</t>
        </is>
      </c>
      <c r="D1776" t="n">
        <v>3</v>
      </c>
      <c r="E1776" t="n">
        <v>88000</v>
      </c>
      <c r="F1776" t="inlineStr">
        <is>
          <t>2026-06-17</t>
        </is>
      </c>
    </row>
    <row r="1777">
      <c r="A1777" t="inlineStr">
        <is>
          <t>Grossmont Union High School District</t>
        </is>
      </c>
      <c r="B1777" t="inlineStr">
        <is>
          <t>CA</t>
        </is>
      </c>
      <c r="C1777" t="inlineStr">
        <is>
          <t>Master's</t>
        </is>
      </c>
      <c r="D1777" t="n">
        <v>4</v>
      </c>
      <c r="E1777" t="n">
        <v>90000</v>
      </c>
      <c r="F1777" t="inlineStr">
        <is>
          <t>2026-06-17</t>
        </is>
      </c>
    </row>
    <row r="1778">
      <c r="A1778" t="inlineStr">
        <is>
          <t>Grossmont Union High School District</t>
        </is>
      </c>
      <c r="B1778" t="inlineStr">
        <is>
          <t>CA</t>
        </is>
      </c>
      <c r="C1778" t="inlineStr">
        <is>
          <t>Master's</t>
        </is>
      </c>
      <c r="D1778" t="n">
        <v>5</v>
      </c>
      <c r="E1778" t="n">
        <v>94000</v>
      </c>
      <c r="F1778" t="inlineStr">
        <is>
          <t>2026-06-17</t>
        </is>
      </c>
    </row>
    <row r="1779">
      <c r="A1779" t="inlineStr">
        <is>
          <t>Grossmont Union High School District</t>
        </is>
      </c>
      <c r="B1779" t="inlineStr">
        <is>
          <t>CA</t>
        </is>
      </c>
      <c r="C1779" t="inlineStr">
        <is>
          <t>Master's</t>
        </is>
      </c>
      <c r="D1779" t="n">
        <v>6</v>
      </c>
      <c r="E1779" t="n">
        <v>98000</v>
      </c>
      <c r="F1779" t="inlineStr">
        <is>
          <t>2026-06-17</t>
        </is>
      </c>
    </row>
    <row r="1780">
      <c r="A1780" t="inlineStr">
        <is>
          <t>Grossmont Union High School District</t>
        </is>
      </c>
      <c r="B1780" t="inlineStr">
        <is>
          <t>CA</t>
        </is>
      </c>
      <c r="C1780" t="inlineStr">
        <is>
          <t>Master's</t>
        </is>
      </c>
      <c r="D1780" t="n">
        <v>7</v>
      </c>
      <c r="E1780" t="n">
        <v>102000</v>
      </c>
      <c r="F1780" t="inlineStr">
        <is>
          <t>2026-06-17</t>
        </is>
      </c>
    </row>
    <row r="1781">
      <c r="A1781" t="inlineStr">
        <is>
          <t>Grossmont Union High School District</t>
        </is>
      </c>
      <c r="B1781" t="inlineStr">
        <is>
          <t>CA</t>
        </is>
      </c>
      <c r="C1781" t="inlineStr">
        <is>
          <t>Master's</t>
        </is>
      </c>
      <c r="D1781" t="n">
        <v>8</v>
      </c>
      <c r="E1781" t="n">
        <v>105000</v>
      </c>
      <c r="F1781" t="inlineStr">
        <is>
          <t>2026-06-17</t>
        </is>
      </c>
    </row>
    <row r="1782">
      <c r="A1782" t="inlineStr">
        <is>
          <t>Grossmont Union High School District</t>
        </is>
      </c>
      <c r="B1782" t="inlineStr">
        <is>
          <t>CA</t>
        </is>
      </c>
      <c r="C1782" t="inlineStr">
        <is>
          <t>Master's</t>
        </is>
      </c>
      <c r="D1782" t="n">
        <v>9</v>
      </c>
      <c r="E1782" t="n">
        <v>108000</v>
      </c>
      <c r="F1782" t="inlineStr">
        <is>
          <t>2026-06-17</t>
        </is>
      </c>
    </row>
    <row r="1783">
      <c r="A1783" t="inlineStr">
        <is>
          <t>Grossmont Union High School District</t>
        </is>
      </c>
      <c r="B1783" t="inlineStr">
        <is>
          <t>CA</t>
        </is>
      </c>
      <c r="C1783" t="inlineStr">
        <is>
          <t>Master's</t>
        </is>
      </c>
      <c r="D1783" t="n">
        <v>10</v>
      </c>
      <c r="E1783" t="n">
        <v>110000</v>
      </c>
      <c r="F1783" t="inlineStr">
        <is>
          <t>2026-06-17</t>
        </is>
      </c>
    </row>
    <row r="1784">
      <c r="A1784" t="inlineStr">
        <is>
          <t>Clear Creek ISD</t>
        </is>
      </c>
      <c r="B1784" t="inlineStr">
        <is>
          <t>TX</t>
        </is>
      </c>
      <c r="C1784" t="inlineStr">
        <is>
          <t>Bachelor's</t>
        </is>
      </c>
      <c r="D1784" t="n">
        <v>0</v>
      </c>
      <c r="E1784" t="n">
        <v>64000</v>
      </c>
      <c r="F1784" t="inlineStr">
        <is>
          <t>2026-06-17</t>
        </is>
      </c>
    </row>
    <row r="1785">
      <c r="A1785" t="inlineStr">
        <is>
          <t>Clear Creek ISD</t>
        </is>
      </c>
      <c r="B1785" t="inlineStr">
        <is>
          <t>TX</t>
        </is>
      </c>
      <c r="C1785" t="inlineStr">
        <is>
          <t>Bachelor's</t>
        </is>
      </c>
      <c r="D1785" t="n">
        <v>1</v>
      </c>
      <c r="E1785" t="n">
        <v>64375</v>
      </c>
      <c r="F1785" t="inlineStr">
        <is>
          <t>2026-06-17</t>
        </is>
      </c>
    </row>
    <row r="1786">
      <c r="A1786" t="inlineStr">
        <is>
          <t>Clear Creek ISD</t>
        </is>
      </c>
      <c r="B1786" t="inlineStr">
        <is>
          <t>TX</t>
        </is>
      </c>
      <c r="C1786" t="inlineStr">
        <is>
          <t>Bachelor's</t>
        </is>
      </c>
      <c r="D1786" t="n">
        <v>2</v>
      </c>
      <c r="E1786" t="n">
        <v>64375</v>
      </c>
      <c r="F1786" t="inlineStr">
        <is>
          <t>2026-06-17</t>
        </is>
      </c>
    </row>
    <row r="1787">
      <c r="A1787" t="inlineStr">
        <is>
          <t>Clear Creek ISD</t>
        </is>
      </c>
      <c r="B1787" t="inlineStr">
        <is>
          <t>TX</t>
        </is>
      </c>
      <c r="C1787" t="inlineStr">
        <is>
          <t>Bachelor's</t>
        </is>
      </c>
      <c r="D1787" t="n">
        <v>3</v>
      </c>
      <c r="E1787" t="n">
        <v>65000</v>
      </c>
      <c r="F1787" t="inlineStr">
        <is>
          <t>2026-06-17</t>
        </is>
      </c>
    </row>
    <row r="1788">
      <c r="A1788" t="inlineStr">
        <is>
          <t>Clear Creek ISD</t>
        </is>
      </c>
      <c r="B1788" t="inlineStr">
        <is>
          <t>TX</t>
        </is>
      </c>
      <c r="C1788" t="inlineStr">
        <is>
          <t>Bachelor's</t>
        </is>
      </c>
      <c r="D1788" t="n">
        <v>4</v>
      </c>
      <c r="E1788" t="n">
        <v>65000</v>
      </c>
      <c r="F1788" t="inlineStr">
        <is>
          <t>2026-06-17</t>
        </is>
      </c>
    </row>
    <row r="1789">
      <c r="A1789" t="inlineStr">
        <is>
          <t>Clear Creek ISD</t>
        </is>
      </c>
      <c r="B1789" t="inlineStr">
        <is>
          <t>TX</t>
        </is>
      </c>
      <c r="C1789" t="inlineStr">
        <is>
          <t>Bachelor's</t>
        </is>
      </c>
      <c r="D1789" t="n">
        <v>5</v>
      </c>
      <c r="E1789" t="n">
        <v>67500</v>
      </c>
      <c r="F1789" t="inlineStr">
        <is>
          <t>2026-06-17</t>
        </is>
      </c>
    </row>
    <row r="1790">
      <c r="A1790" t="inlineStr">
        <is>
          <t>Clear Creek ISD</t>
        </is>
      </c>
      <c r="B1790" t="inlineStr">
        <is>
          <t>TX</t>
        </is>
      </c>
      <c r="C1790" t="inlineStr">
        <is>
          <t>Bachelor's</t>
        </is>
      </c>
      <c r="D1790" t="n">
        <v>6</v>
      </c>
      <c r="E1790" t="n">
        <v>69780</v>
      </c>
      <c r="F1790" t="inlineStr">
        <is>
          <t>2026-06-17</t>
        </is>
      </c>
    </row>
    <row r="1791">
      <c r="A1791" t="inlineStr">
        <is>
          <t>Clear Creek ISD</t>
        </is>
      </c>
      <c r="B1791" t="inlineStr">
        <is>
          <t>TX</t>
        </is>
      </c>
      <c r="C1791" t="inlineStr">
        <is>
          <t>Bachelor's</t>
        </is>
      </c>
      <c r="D1791" t="n">
        <v>7</v>
      </c>
      <c r="E1791" t="n">
        <v>69780</v>
      </c>
      <c r="F1791" t="inlineStr">
        <is>
          <t>2026-06-17</t>
        </is>
      </c>
    </row>
    <row r="1792">
      <c r="A1792" t="inlineStr">
        <is>
          <t>Clear Creek ISD</t>
        </is>
      </c>
      <c r="B1792" t="inlineStr">
        <is>
          <t>TX</t>
        </is>
      </c>
      <c r="C1792" t="inlineStr">
        <is>
          <t>Bachelor's</t>
        </is>
      </c>
      <c r="D1792" t="n">
        <v>8</v>
      </c>
      <c r="E1792" t="n">
        <v>69780</v>
      </c>
      <c r="F1792" t="inlineStr">
        <is>
          <t>2026-06-17</t>
        </is>
      </c>
    </row>
    <row r="1793">
      <c r="A1793" t="inlineStr">
        <is>
          <t>Clear Creek ISD</t>
        </is>
      </c>
      <c r="B1793" t="inlineStr">
        <is>
          <t>TX</t>
        </is>
      </c>
      <c r="C1793" t="inlineStr">
        <is>
          <t>Bachelor's</t>
        </is>
      </c>
      <c r="D1793" t="n">
        <v>9</v>
      </c>
      <c r="E1793" t="n">
        <v>69780</v>
      </c>
      <c r="F1793" t="inlineStr">
        <is>
          <t>2026-06-17</t>
        </is>
      </c>
    </row>
    <row r="1794">
      <c r="A1794" t="inlineStr">
        <is>
          <t>Clear Creek ISD</t>
        </is>
      </c>
      <c r="B1794" t="inlineStr">
        <is>
          <t>TX</t>
        </is>
      </c>
      <c r="C1794" t="inlineStr">
        <is>
          <t>Bachelor's</t>
        </is>
      </c>
      <c r="D1794" t="n">
        <v>10</v>
      </c>
      <c r="E1794" t="n">
        <v>69780</v>
      </c>
      <c r="F1794" t="inlineStr">
        <is>
          <t>2026-06-17</t>
        </is>
      </c>
    </row>
    <row r="1795">
      <c r="A1795" t="inlineStr">
        <is>
          <t>Clear Creek ISD</t>
        </is>
      </c>
      <c r="B1795" t="inlineStr">
        <is>
          <t>TX</t>
        </is>
      </c>
      <c r="C1795" t="inlineStr">
        <is>
          <t>Master's</t>
        </is>
      </c>
      <c r="D1795" t="n">
        <v>0</v>
      </c>
      <c r="E1795" t="n">
        <v>65000</v>
      </c>
      <c r="F1795" t="inlineStr">
        <is>
          <t>2026-06-17</t>
        </is>
      </c>
    </row>
    <row r="1796">
      <c r="A1796" t="inlineStr">
        <is>
          <t>Clear Creek ISD</t>
        </is>
      </c>
      <c r="B1796" t="inlineStr">
        <is>
          <t>TX</t>
        </is>
      </c>
      <c r="C1796" t="inlineStr">
        <is>
          <t>Master's</t>
        </is>
      </c>
      <c r="D1796" t="n">
        <v>1</v>
      </c>
      <c r="E1796" t="n">
        <v>65375</v>
      </c>
      <c r="F1796" t="inlineStr">
        <is>
          <t>2026-06-17</t>
        </is>
      </c>
    </row>
    <row r="1797">
      <c r="A1797" t="inlineStr">
        <is>
          <t>Clear Creek ISD</t>
        </is>
      </c>
      <c r="B1797" t="inlineStr">
        <is>
          <t>TX</t>
        </is>
      </c>
      <c r="C1797" t="inlineStr">
        <is>
          <t>Master's</t>
        </is>
      </c>
      <c r="D1797" t="n">
        <v>2</v>
      </c>
      <c r="E1797" t="n">
        <v>65375</v>
      </c>
      <c r="F1797" t="inlineStr">
        <is>
          <t>2026-06-17</t>
        </is>
      </c>
    </row>
    <row r="1798">
      <c r="A1798" t="inlineStr">
        <is>
          <t>Clear Creek ISD</t>
        </is>
      </c>
      <c r="B1798" t="inlineStr">
        <is>
          <t>TX</t>
        </is>
      </c>
      <c r="C1798" t="inlineStr">
        <is>
          <t>Master's</t>
        </is>
      </c>
      <c r="D1798" t="n">
        <v>3</v>
      </c>
      <c r="E1798" t="n">
        <v>66000</v>
      </c>
      <c r="F1798" t="inlineStr">
        <is>
          <t>2026-06-17</t>
        </is>
      </c>
    </row>
    <row r="1799">
      <c r="A1799" t="inlineStr">
        <is>
          <t>Clear Creek ISD</t>
        </is>
      </c>
      <c r="B1799" t="inlineStr">
        <is>
          <t>TX</t>
        </is>
      </c>
      <c r="C1799" t="inlineStr">
        <is>
          <t>Master's</t>
        </is>
      </c>
      <c r="D1799" t="n">
        <v>4</v>
      </c>
      <c r="E1799" t="n">
        <v>66000</v>
      </c>
      <c r="F1799" t="inlineStr">
        <is>
          <t>2026-06-17</t>
        </is>
      </c>
    </row>
    <row r="1800">
      <c r="A1800" t="inlineStr">
        <is>
          <t>Clear Creek ISD</t>
        </is>
      </c>
      <c r="B1800" t="inlineStr">
        <is>
          <t>TX</t>
        </is>
      </c>
      <c r="C1800" t="inlineStr">
        <is>
          <t>Master's</t>
        </is>
      </c>
      <c r="D1800" t="n">
        <v>5</v>
      </c>
      <c r="E1800" t="n">
        <v>68500</v>
      </c>
      <c r="F1800" t="inlineStr">
        <is>
          <t>2026-06-17</t>
        </is>
      </c>
    </row>
    <row r="1801">
      <c r="A1801" t="inlineStr">
        <is>
          <t>Clear Creek ISD</t>
        </is>
      </c>
      <c r="B1801" t="inlineStr">
        <is>
          <t>TX</t>
        </is>
      </c>
      <c r="C1801" t="inlineStr">
        <is>
          <t>Master's</t>
        </is>
      </c>
      <c r="D1801" t="n">
        <v>6</v>
      </c>
      <c r="E1801" t="n">
        <v>70780</v>
      </c>
      <c r="F1801" t="inlineStr">
        <is>
          <t>2026-06-17</t>
        </is>
      </c>
    </row>
    <row r="1802">
      <c r="A1802" t="inlineStr">
        <is>
          <t>Clear Creek ISD</t>
        </is>
      </c>
      <c r="B1802" t="inlineStr">
        <is>
          <t>TX</t>
        </is>
      </c>
      <c r="C1802" t="inlineStr">
        <is>
          <t>Master's</t>
        </is>
      </c>
      <c r="D1802" t="n">
        <v>7</v>
      </c>
      <c r="E1802" t="n">
        <v>70780</v>
      </c>
      <c r="F1802" t="inlineStr">
        <is>
          <t>2026-06-17</t>
        </is>
      </c>
    </row>
    <row r="1803">
      <c r="A1803" t="inlineStr">
        <is>
          <t>Clear Creek ISD</t>
        </is>
      </c>
      <c r="B1803" t="inlineStr">
        <is>
          <t>TX</t>
        </is>
      </c>
      <c r="C1803" t="inlineStr">
        <is>
          <t>Master's</t>
        </is>
      </c>
      <c r="D1803" t="n">
        <v>8</v>
      </c>
      <c r="E1803" t="n">
        <v>70780</v>
      </c>
      <c r="F1803" t="inlineStr">
        <is>
          <t>2026-06-17</t>
        </is>
      </c>
    </row>
    <row r="1804">
      <c r="A1804" t="inlineStr">
        <is>
          <t>Clear Creek ISD</t>
        </is>
      </c>
      <c r="B1804" t="inlineStr">
        <is>
          <t>TX</t>
        </is>
      </c>
      <c r="C1804" t="inlineStr">
        <is>
          <t>Master's</t>
        </is>
      </c>
      <c r="D1804" t="n">
        <v>9</v>
      </c>
      <c r="E1804" t="n">
        <v>70780</v>
      </c>
      <c r="F1804" t="inlineStr">
        <is>
          <t>2026-06-17</t>
        </is>
      </c>
    </row>
    <row r="1805">
      <c r="A1805" t="inlineStr">
        <is>
          <t>Clear Creek ISD</t>
        </is>
      </c>
      <c r="B1805" t="inlineStr">
        <is>
          <t>TX</t>
        </is>
      </c>
      <c r="C1805" t="inlineStr">
        <is>
          <t>Master's</t>
        </is>
      </c>
      <c r="D1805" t="n">
        <v>10</v>
      </c>
      <c r="E1805" t="n">
        <v>70780</v>
      </c>
      <c r="F1805" t="inlineStr">
        <is>
          <t>2026-06-17</t>
        </is>
      </c>
    </row>
    <row r="1806">
      <c r="A1806" t="inlineStr">
        <is>
          <t>Pearland ISD</t>
        </is>
      </c>
      <c r="B1806" t="inlineStr">
        <is>
          <t>TX</t>
        </is>
      </c>
      <c r="C1806" t="inlineStr">
        <is>
          <t>Bachelor's</t>
        </is>
      </c>
      <c r="D1806" t="n">
        <v>0</v>
      </c>
      <c r="E1806" t="n">
        <v>64250</v>
      </c>
      <c r="F1806" t="inlineStr">
        <is>
          <t>2026-06-17</t>
        </is>
      </c>
    </row>
    <row r="1807">
      <c r="A1807" t="inlineStr">
        <is>
          <t>Pearland ISD</t>
        </is>
      </c>
      <c r="B1807" t="inlineStr">
        <is>
          <t>TX</t>
        </is>
      </c>
      <c r="C1807" t="inlineStr">
        <is>
          <t>Bachelor's</t>
        </is>
      </c>
      <c r="D1807" t="n">
        <v>1</v>
      </c>
      <c r="E1807" t="n">
        <v>65000</v>
      </c>
      <c r="F1807" t="inlineStr">
        <is>
          <t>2026-06-17</t>
        </is>
      </c>
    </row>
    <row r="1808">
      <c r="A1808" t="inlineStr">
        <is>
          <t>Pearland ISD</t>
        </is>
      </c>
      <c r="B1808" t="inlineStr">
        <is>
          <t>TX</t>
        </is>
      </c>
      <c r="C1808" t="inlineStr">
        <is>
          <t>Bachelor's</t>
        </is>
      </c>
      <c r="D1808" t="n">
        <v>2</v>
      </c>
      <c r="E1808" t="n">
        <v>66000</v>
      </c>
      <c r="F1808" t="inlineStr">
        <is>
          <t>2026-06-17</t>
        </is>
      </c>
    </row>
    <row r="1809">
      <c r="A1809" t="inlineStr">
        <is>
          <t>Pearland ISD</t>
        </is>
      </c>
      <c r="B1809" t="inlineStr">
        <is>
          <t>TX</t>
        </is>
      </c>
      <c r="C1809" t="inlineStr">
        <is>
          <t>Bachelor's</t>
        </is>
      </c>
      <c r="D1809" t="n">
        <v>3</v>
      </c>
      <c r="E1809" t="n">
        <v>67000</v>
      </c>
      <c r="F1809" t="inlineStr">
        <is>
          <t>2026-06-17</t>
        </is>
      </c>
    </row>
    <row r="1810">
      <c r="A1810" t="inlineStr">
        <is>
          <t>Pearland ISD</t>
        </is>
      </c>
      <c r="B1810" t="inlineStr">
        <is>
          <t>TX</t>
        </is>
      </c>
      <c r="C1810" t="inlineStr">
        <is>
          <t>Bachelor's</t>
        </is>
      </c>
      <c r="D1810" t="n">
        <v>4</v>
      </c>
      <c r="E1810" t="n">
        <v>68163</v>
      </c>
      <c r="F1810" t="inlineStr">
        <is>
          <t>2026-06-17</t>
        </is>
      </c>
    </row>
    <row r="1811">
      <c r="A1811" t="inlineStr">
        <is>
          <t>Pearland ISD</t>
        </is>
      </c>
      <c r="B1811" t="inlineStr">
        <is>
          <t>TX</t>
        </is>
      </c>
      <c r="C1811" t="inlineStr">
        <is>
          <t>Bachelor's</t>
        </is>
      </c>
      <c r="D1811" t="n">
        <v>5</v>
      </c>
      <c r="E1811" t="n">
        <v>70000</v>
      </c>
      <c r="F1811" t="inlineStr">
        <is>
          <t>2026-06-17</t>
        </is>
      </c>
    </row>
    <row r="1812">
      <c r="A1812" t="inlineStr">
        <is>
          <t>Pearland ISD</t>
        </is>
      </c>
      <c r="B1812" t="inlineStr">
        <is>
          <t>TX</t>
        </is>
      </c>
      <c r="C1812" t="inlineStr">
        <is>
          <t>Bachelor's</t>
        </is>
      </c>
      <c r="D1812" t="n">
        <v>6</v>
      </c>
      <c r="E1812" t="n">
        <v>71500</v>
      </c>
      <c r="F1812" t="inlineStr">
        <is>
          <t>2026-06-17</t>
        </is>
      </c>
    </row>
    <row r="1813">
      <c r="A1813" t="inlineStr">
        <is>
          <t>Pearland ISD</t>
        </is>
      </c>
      <c r="B1813" t="inlineStr">
        <is>
          <t>TX</t>
        </is>
      </c>
      <c r="C1813" t="inlineStr">
        <is>
          <t>Bachelor's</t>
        </is>
      </c>
      <c r="D1813" t="n">
        <v>7</v>
      </c>
      <c r="E1813" t="n">
        <v>73000</v>
      </c>
      <c r="F1813" t="inlineStr">
        <is>
          <t>2026-06-17</t>
        </is>
      </c>
    </row>
    <row r="1814">
      <c r="A1814" t="inlineStr">
        <is>
          <t>Pearland ISD</t>
        </is>
      </c>
      <c r="B1814" t="inlineStr">
        <is>
          <t>TX</t>
        </is>
      </c>
      <c r="C1814" t="inlineStr">
        <is>
          <t>Bachelor's</t>
        </is>
      </c>
      <c r="D1814" t="n">
        <v>8</v>
      </c>
      <c r="E1814" t="n">
        <v>74500</v>
      </c>
      <c r="F1814" t="inlineStr">
        <is>
          <t>2026-06-17</t>
        </is>
      </c>
    </row>
    <row r="1815">
      <c r="A1815" t="inlineStr">
        <is>
          <t>Pearland ISD</t>
        </is>
      </c>
      <c r="B1815" t="inlineStr">
        <is>
          <t>TX</t>
        </is>
      </c>
      <c r="C1815" t="inlineStr">
        <is>
          <t>Bachelor's</t>
        </is>
      </c>
      <c r="D1815" t="n">
        <v>9</v>
      </c>
      <c r="E1815" t="n">
        <v>76000</v>
      </c>
      <c r="F1815" t="inlineStr">
        <is>
          <t>2026-06-17</t>
        </is>
      </c>
    </row>
    <row r="1816">
      <c r="A1816" t="inlineStr">
        <is>
          <t>Pearland ISD</t>
        </is>
      </c>
      <c r="B1816" t="inlineStr">
        <is>
          <t>TX</t>
        </is>
      </c>
      <c r="C1816" t="inlineStr">
        <is>
          <t>Bachelor's</t>
        </is>
      </c>
      <c r="D1816" t="n">
        <v>10</v>
      </c>
      <c r="E1816" t="n">
        <v>76000</v>
      </c>
      <c r="F1816" t="inlineStr">
        <is>
          <t>2026-06-17</t>
        </is>
      </c>
    </row>
    <row r="1817">
      <c r="A1817" t="inlineStr">
        <is>
          <t>Pearland ISD</t>
        </is>
      </c>
      <c r="B1817" t="inlineStr">
        <is>
          <t>TX</t>
        </is>
      </c>
      <c r="C1817" t="inlineStr">
        <is>
          <t>Master's</t>
        </is>
      </c>
      <c r="D1817" t="n">
        <v>0</v>
      </c>
      <c r="E1817" t="n">
        <v>65650</v>
      </c>
      <c r="F1817" t="inlineStr">
        <is>
          <t>2026-06-17</t>
        </is>
      </c>
    </row>
    <row r="1818">
      <c r="A1818" t="inlineStr">
        <is>
          <t>Pearland ISD</t>
        </is>
      </c>
      <c r="B1818" t="inlineStr">
        <is>
          <t>TX</t>
        </is>
      </c>
      <c r="C1818" t="inlineStr">
        <is>
          <t>Master's</t>
        </is>
      </c>
      <c r="D1818" t="n">
        <v>1</v>
      </c>
      <c r="E1818" t="n">
        <v>66400</v>
      </c>
      <c r="F1818" t="inlineStr">
        <is>
          <t>2026-06-17</t>
        </is>
      </c>
    </row>
    <row r="1819">
      <c r="A1819" t="inlineStr">
        <is>
          <t>Pearland ISD</t>
        </is>
      </c>
      <c r="B1819" t="inlineStr">
        <is>
          <t>TX</t>
        </is>
      </c>
      <c r="C1819" t="inlineStr">
        <is>
          <t>Master's</t>
        </is>
      </c>
      <c r="D1819" t="n">
        <v>2</v>
      </c>
      <c r="E1819" t="n">
        <v>67400</v>
      </c>
      <c r="F1819" t="inlineStr">
        <is>
          <t>2026-06-17</t>
        </is>
      </c>
    </row>
    <row r="1820">
      <c r="A1820" t="inlineStr">
        <is>
          <t>Pearland ISD</t>
        </is>
      </c>
      <c r="B1820" t="inlineStr">
        <is>
          <t>TX</t>
        </is>
      </c>
      <c r="C1820" t="inlineStr">
        <is>
          <t>Master's</t>
        </is>
      </c>
      <c r="D1820" t="n">
        <v>3</v>
      </c>
      <c r="E1820" t="n">
        <v>68400</v>
      </c>
      <c r="F1820" t="inlineStr">
        <is>
          <t>2026-06-17</t>
        </is>
      </c>
    </row>
    <row r="1821">
      <c r="A1821" t="inlineStr">
        <is>
          <t>Pearland ISD</t>
        </is>
      </c>
      <c r="B1821" t="inlineStr">
        <is>
          <t>TX</t>
        </is>
      </c>
      <c r="C1821" t="inlineStr">
        <is>
          <t>Master's</t>
        </is>
      </c>
      <c r="D1821" t="n">
        <v>4</v>
      </c>
      <c r="E1821" t="n">
        <v>69563</v>
      </c>
      <c r="F1821" t="inlineStr">
        <is>
          <t>2026-06-17</t>
        </is>
      </c>
    </row>
    <row r="1822">
      <c r="A1822" t="inlineStr">
        <is>
          <t>Pearland ISD</t>
        </is>
      </c>
      <c r="B1822" t="inlineStr">
        <is>
          <t>TX</t>
        </is>
      </c>
      <c r="C1822" t="inlineStr">
        <is>
          <t>Master's</t>
        </is>
      </c>
      <c r="D1822" t="n">
        <v>5</v>
      </c>
      <c r="E1822" t="n">
        <v>71400</v>
      </c>
      <c r="F1822" t="inlineStr">
        <is>
          <t>2026-06-17</t>
        </is>
      </c>
    </row>
    <row r="1823">
      <c r="A1823" t="inlineStr">
        <is>
          <t>Pearland ISD</t>
        </is>
      </c>
      <c r="B1823" t="inlineStr">
        <is>
          <t>TX</t>
        </is>
      </c>
      <c r="C1823" t="inlineStr">
        <is>
          <t>Master's</t>
        </is>
      </c>
      <c r="D1823" t="n">
        <v>6</v>
      </c>
      <c r="E1823" t="n">
        <v>72900</v>
      </c>
      <c r="F1823" t="inlineStr">
        <is>
          <t>2026-06-17</t>
        </is>
      </c>
    </row>
    <row r="1824">
      <c r="A1824" t="inlineStr">
        <is>
          <t>Pearland ISD</t>
        </is>
      </c>
      <c r="B1824" t="inlineStr">
        <is>
          <t>TX</t>
        </is>
      </c>
      <c r="C1824" t="inlineStr">
        <is>
          <t>Master's</t>
        </is>
      </c>
      <c r="D1824" t="n">
        <v>7</v>
      </c>
      <c r="E1824" t="n">
        <v>74400</v>
      </c>
      <c r="F1824" t="inlineStr">
        <is>
          <t>2026-06-17</t>
        </is>
      </c>
    </row>
    <row r="1825">
      <c r="A1825" t="inlineStr">
        <is>
          <t>Pearland ISD</t>
        </is>
      </c>
      <c r="B1825" t="inlineStr">
        <is>
          <t>TX</t>
        </is>
      </c>
      <c r="C1825" t="inlineStr">
        <is>
          <t>Master's</t>
        </is>
      </c>
      <c r="D1825" t="n">
        <v>8</v>
      </c>
      <c r="E1825" t="n">
        <v>75900</v>
      </c>
      <c r="F1825" t="inlineStr">
        <is>
          <t>2026-06-17</t>
        </is>
      </c>
    </row>
    <row r="1826">
      <c r="A1826" t="inlineStr">
        <is>
          <t>Pearland ISD</t>
        </is>
      </c>
      <c r="B1826" t="inlineStr">
        <is>
          <t>TX</t>
        </is>
      </c>
      <c r="C1826" t="inlineStr">
        <is>
          <t>Master's</t>
        </is>
      </c>
      <c r="D1826" t="n">
        <v>9</v>
      </c>
      <c r="E1826" t="n">
        <v>77400</v>
      </c>
      <c r="F1826" t="inlineStr">
        <is>
          <t>2026-06-17</t>
        </is>
      </c>
    </row>
    <row r="1827">
      <c r="A1827" t="inlineStr">
        <is>
          <t>Pearland ISD</t>
        </is>
      </c>
      <c r="B1827" t="inlineStr">
        <is>
          <t>TX</t>
        </is>
      </c>
      <c r="C1827" t="inlineStr">
        <is>
          <t>Master's</t>
        </is>
      </c>
      <c r="D1827" t="n">
        <v>10</v>
      </c>
      <c r="E1827" t="n">
        <v>77400</v>
      </c>
      <c r="F1827" t="inlineStr">
        <is>
          <t>2026-06-17</t>
        </is>
      </c>
    </row>
    <row r="1828">
      <c r="A1828" t="inlineStr">
        <is>
          <t>Anoka-Hennepin Schools</t>
        </is>
      </c>
      <c r="B1828" t="inlineStr">
        <is>
          <t>MN</t>
        </is>
      </c>
      <c r="C1828" t="inlineStr">
        <is>
          <t>Bachelor's</t>
        </is>
      </c>
      <c r="D1828" t="n">
        <v>0</v>
      </c>
      <c r="E1828" t="n">
        <v>53864</v>
      </c>
      <c r="F1828" t="inlineStr">
        <is>
          <t>2026-06-17</t>
        </is>
      </c>
    </row>
    <row r="1829">
      <c r="A1829" t="inlineStr">
        <is>
          <t>Anoka-Hennepin Schools</t>
        </is>
      </c>
      <c r="B1829" t="inlineStr">
        <is>
          <t>MN</t>
        </is>
      </c>
      <c r="C1829" t="inlineStr">
        <is>
          <t>Bachelor's</t>
        </is>
      </c>
      <c r="D1829" t="n">
        <v>1</v>
      </c>
      <c r="E1829" t="n">
        <v>55000</v>
      </c>
      <c r="F1829" t="inlineStr">
        <is>
          <t>2026-06-17</t>
        </is>
      </c>
    </row>
    <row r="1830">
      <c r="A1830" t="inlineStr">
        <is>
          <t>Anoka-Hennepin Schools</t>
        </is>
      </c>
      <c r="B1830" t="inlineStr">
        <is>
          <t>MN</t>
        </is>
      </c>
      <c r="C1830" t="inlineStr">
        <is>
          <t>Bachelor's</t>
        </is>
      </c>
      <c r="D1830" t="n">
        <v>2</v>
      </c>
      <c r="E1830" t="n">
        <v>56500</v>
      </c>
      <c r="F1830" t="inlineStr">
        <is>
          <t>2026-06-17</t>
        </is>
      </c>
    </row>
    <row r="1831">
      <c r="A1831" t="inlineStr">
        <is>
          <t>Anoka-Hennepin Schools</t>
        </is>
      </c>
      <c r="B1831" t="inlineStr">
        <is>
          <t>MN</t>
        </is>
      </c>
      <c r="C1831" t="inlineStr">
        <is>
          <t>Bachelor's</t>
        </is>
      </c>
      <c r="D1831" t="n">
        <v>3</v>
      </c>
      <c r="E1831" t="n">
        <v>58000</v>
      </c>
      <c r="F1831" t="inlineStr">
        <is>
          <t>2026-06-17</t>
        </is>
      </c>
    </row>
    <row r="1832">
      <c r="A1832" t="inlineStr">
        <is>
          <t>Anoka-Hennepin Schools</t>
        </is>
      </c>
      <c r="B1832" t="inlineStr">
        <is>
          <t>MN</t>
        </is>
      </c>
      <c r="C1832" t="inlineStr">
        <is>
          <t>Bachelor's</t>
        </is>
      </c>
      <c r="D1832" t="n">
        <v>4</v>
      </c>
      <c r="E1832" t="n">
        <v>59500</v>
      </c>
      <c r="F1832" t="inlineStr">
        <is>
          <t>2026-06-17</t>
        </is>
      </c>
    </row>
    <row r="1833">
      <c r="A1833" t="inlineStr">
        <is>
          <t>Anoka-Hennepin Schools</t>
        </is>
      </c>
      <c r="B1833" t="inlineStr">
        <is>
          <t>MN</t>
        </is>
      </c>
      <c r="C1833" t="inlineStr">
        <is>
          <t>Bachelor's</t>
        </is>
      </c>
      <c r="D1833" t="n">
        <v>5</v>
      </c>
      <c r="E1833" t="n">
        <v>61000</v>
      </c>
      <c r="F1833" t="inlineStr">
        <is>
          <t>2026-06-17</t>
        </is>
      </c>
    </row>
    <row r="1834">
      <c r="A1834" t="inlineStr">
        <is>
          <t>Anoka-Hennepin Schools</t>
        </is>
      </c>
      <c r="B1834" t="inlineStr">
        <is>
          <t>MN</t>
        </is>
      </c>
      <c r="C1834" t="inlineStr">
        <is>
          <t>Bachelor's</t>
        </is>
      </c>
      <c r="D1834" t="n">
        <v>6</v>
      </c>
      <c r="E1834" t="n">
        <v>63500</v>
      </c>
      <c r="F1834" t="inlineStr">
        <is>
          <t>2026-06-17</t>
        </is>
      </c>
    </row>
    <row r="1835">
      <c r="A1835" t="inlineStr">
        <is>
          <t>Anoka-Hennepin Schools</t>
        </is>
      </c>
      <c r="B1835" t="inlineStr">
        <is>
          <t>MN</t>
        </is>
      </c>
      <c r="C1835" t="inlineStr">
        <is>
          <t>Bachelor's</t>
        </is>
      </c>
      <c r="D1835" t="n">
        <v>7</v>
      </c>
      <c r="E1835" t="n">
        <v>66000</v>
      </c>
      <c r="F1835" t="inlineStr">
        <is>
          <t>2026-06-17</t>
        </is>
      </c>
    </row>
    <row r="1836">
      <c r="A1836" t="inlineStr">
        <is>
          <t>Anoka-Hennepin Schools</t>
        </is>
      </c>
      <c r="B1836" t="inlineStr">
        <is>
          <t>MN</t>
        </is>
      </c>
      <c r="C1836" t="inlineStr">
        <is>
          <t>Bachelor's</t>
        </is>
      </c>
      <c r="D1836" t="n">
        <v>8</v>
      </c>
      <c r="E1836" t="n">
        <v>68500</v>
      </c>
      <c r="F1836" t="inlineStr">
        <is>
          <t>2026-06-17</t>
        </is>
      </c>
    </row>
    <row r="1837">
      <c r="A1837" t="inlineStr">
        <is>
          <t>Anoka-Hennepin Schools</t>
        </is>
      </c>
      <c r="B1837" t="inlineStr">
        <is>
          <t>MN</t>
        </is>
      </c>
      <c r="C1837" t="inlineStr">
        <is>
          <t>Bachelor's</t>
        </is>
      </c>
      <c r="D1837" t="n">
        <v>9</v>
      </c>
      <c r="E1837" t="n">
        <v>71000</v>
      </c>
      <c r="F1837" t="inlineStr">
        <is>
          <t>2026-06-17</t>
        </is>
      </c>
    </row>
    <row r="1838">
      <c r="A1838" t="inlineStr">
        <is>
          <t>Anoka-Hennepin Schools</t>
        </is>
      </c>
      <c r="B1838" t="inlineStr">
        <is>
          <t>MN</t>
        </is>
      </c>
      <c r="C1838" t="inlineStr">
        <is>
          <t>Bachelor's</t>
        </is>
      </c>
      <c r="D1838" t="n">
        <v>10</v>
      </c>
      <c r="E1838" t="n">
        <v>73000</v>
      </c>
      <c r="F1838" t="inlineStr">
        <is>
          <t>2026-06-17</t>
        </is>
      </c>
    </row>
    <row r="1839">
      <c r="A1839" t="inlineStr">
        <is>
          <t>Anoka-Hennepin Schools</t>
        </is>
      </c>
      <c r="B1839" t="inlineStr">
        <is>
          <t>MN</t>
        </is>
      </c>
      <c r="C1839" t="inlineStr">
        <is>
          <t>Master's</t>
        </is>
      </c>
      <c r="D1839" t="n">
        <v>0</v>
      </c>
      <c r="E1839" t="n">
        <v>63291</v>
      </c>
      <c r="F1839" t="inlineStr">
        <is>
          <t>2026-06-17</t>
        </is>
      </c>
    </row>
    <row r="1840">
      <c r="A1840" t="inlineStr">
        <is>
          <t>Anoka-Hennepin Schools</t>
        </is>
      </c>
      <c r="B1840" t="inlineStr">
        <is>
          <t>MN</t>
        </is>
      </c>
      <c r="C1840" t="inlineStr">
        <is>
          <t>Master's</t>
        </is>
      </c>
      <c r="D1840" t="n">
        <v>1</v>
      </c>
      <c r="E1840" t="n">
        <v>65000</v>
      </c>
      <c r="F1840" t="inlineStr">
        <is>
          <t>2026-06-17</t>
        </is>
      </c>
    </row>
    <row r="1841">
      <c r="A1841" t="inlineStr">
        <is>
          <t>Anoka-Hennepin Schools</t>
        </is>
      </c>
      <c r="B1841" t="inlineStr">
        <is>
          <t>MN</t>
        </is>
      </c>
      <c r="C1841" t="inlineStr">
        <is>
          <t>Master's</t>
        </is>
      </c>
      <c r="D1841" t="n">
        <v>2</v>
      </c>
      <c r="E1841" t="n">
        <v>66500</v>
      </c>
      <c r="F1841" t="inlineStr">
        <is>
          <t>2026-06-17</t>
        </is>
      </c>
    </row>
    <row r="1842">
      <c r="A1842" t="inlineStr">
        <is>
          <t>Anoka-Hennepin Schools</t>
        </is>
      </c>
      <c r="B1842" t="inlineStr">
        <is>
          <t>MN</t>
        </is>
      </c>
      <c r="C1842" t="inlineStr">
        <is>
          <t>Master's</t>
        </is>
      </c>
      <c r="D1842" t="n">
        <v>3</v>
      </c>
      <c r="E1842" t="n">
        <v>68000</v>
      </c>
      <c r="F1842" t="inlineStr">
        <is>
          <t>2026-06-17</t>
        </is>
      </c>
    </row>
    <row r="1843">
      <c r="A1843" t="inlineStr">
        <is>
          <t>Anoka-Hennepin Schools</t>
        </is>
      </c>
      <c r="B1843" t="inlineStr">
        <is>
          <t>MN</t>
        </is>
      </c>
      <c r="C1843" t="inlineStr">
        <is>
          <t>Master's</t>
        </is>
      </c>
      <c r="D1843" t="n">
        <v>4</v>
      </c>
      <c r="E1843" t="n">
        <v>69500</v>
      </c>
      <c r="F1843" t="inlineStr">
        <is>
          <t>2026-06-17</t>
        </is>
      </c>
    </row>
    <row r="1844">
      <c r="A1844" t="inlineStr">
        <is>
          <t>Anoka-Hennepin Schools</t>
        </is>
      </c>
      <c r="B1844" t="inlineStr">
        <is>
          <t>MN</t>
        </is>
      </c>
      <c r="C1844" t="inlineStr">
        <is>
          <t>Master's</t>
        </is>
      </c>
      <c r="D1844" t="n">
        <v>5</v>
      </c>
      <c r="E1844" t="n">
        <v>71000</v>
      </c>
      <c r="F1844" t="inlineStr">
        <is>
          <t>2026-06-17</t>
        </is>
      </c>
    </row>
    <row r="1845">
      <c r="A1845" t="inlineStr">
        <is>
          <t>Anoka-Hennepin Schools</t>
        </is>
      </c>
      <c r="B1845" t="inlineStr">
        <is>
          <t>MN</t>
        </is>
      </c>
      <c r="C1845" t="inlineStr">
        <is>
          <t>Master's</t>
        </is>
      </c>
      <c r="D1845" t="n">
        <v>6</v>
      </c>
      <c r="E1845" t="n">
        <v>74000</v>
      </c>
      <c r="F1845" t="inlineStr">
        <is>
          <t>2026-06-17</t>
        </is>
      </c>
    </row>
    <row r="1846">
      <c r="A1846" t="inlineStr">
        <is>
          <t>Anoka-Hennepin Schools</t>
        </is>
      </c>
      <c r="B1846" t="inlineStr">
        <is>
          <t>MN</t>
        </is>
      </c>
      <c r="C1846" t="inlineStr">
        <is>
          <t>Master's</t>
        </is>
      </c>
      <c r="D1846" t="n">
        <v>7</v>
      </c>
      <c r="E1846" t="n">
        <v>78000</v>
      </c>
      <c r="F1846" t="inlineStr">
        <is>
          <t>2026-06-17</t>
        </is>
      </c>
    </row>
    <row r="1847">
      <c r="A1847" t="inlineStr">
        <is>
          <t>Anoka-Hennepin Schools</t>
        </is>
      </c>
      <c r="B1847" t="inlineStr">
        <is>
          <t>MN</t>
        </is>
      </c>
      <c r="C1847" t="inlineStr">
        <is>
          <t>Master's</t>
        </is>
      </c>
      <c r="D1847" t="n">
        <v>8</v>
      </c>
      <c r="E1847" t="n">
        <v>82000</v>
      </c>
      <c r="F1847" t="inlineStr">
        <is>
          <t>2026-06-17</t>
        </is>
      </c>
    </row>
    <row r="1848">
      <c r="A1848" t="inlineStr">
        <is>
          <t>Anoka-Hennepin Schools</t>
        </is>
      </c>
      <c r="B1848" t="inlineStr">
        <is>
          <t>MN</t>
        </is>
      </c>
      <c r="C1848" t="inlineStr">
        <is>
          <t>Master's</t>
        </is>
      </c>
      <c r="D1848" t="n">
        <v>9</v>
      </c>
      <c r="E1848" t="n">
        <v>86000</v>
      </c>
      <c r="F1848" t="inlineStr">
        <is>
          <t>2026-06-17</t>
        </is>
      </c>
    </row>
    <row r="1849">
      <c r="A1849" t="inlineStr">
        <is>
          <t>Anoka-Hennepin Schools</t>
        </is>
      </c>
      <c r="B1849" t="inlineStr">
        <is>
          <t>MN</t>
        </is>
      </c>
      <c r="C1849" t="inlineStr">
        <is>
          <t>Master's</t>
        </is>
      </c>
      <c r="D1849" t="n">
        <v>10</v>
      </c>
      <c r="E1849" t="n">
        <v>90000</v>
      </c>
      <c r="F1849" t="inlineStr">
        <is>
          <t>2026-06-17</t>
        </is>
      </c>
    </row>
    <row r="1850">
      <c r="A1850" t="inlineStr">
        <is>
          <t>Osseo Area Schools / ISD 279</t>
        </is>
      </c>
      <c r="B1850" t="inlineStr">
        <is>
          <t>MN</t>
        </is>
      </c>
      <c r="C1850" t="inlineStr">
        <is>
          <t>Bachelor's</t>
        </is>
      </c>
      <c r="D1850" t="n">
        <v>0</v>
      </c>
      <c r="E1850" t="n">
        <v>53073</v>
      </c>
      <c r="F1850" t="inlineStr">
        <is>
          <t>2026-06-17</t>
        </is>
      </c>
    </row>
    <row r="1851">
      <c r="A1851" t="inlineStr">
        <is>
          <t>Osseo Area Schools / ISD 279</t>
        </is>
      </c>
      <c r="B1851" t="inlineStr">
        <is>
          <t>MN</t>
        </is>
      </c>
      <c r="C1851" t="inlineStr">
        <is>
          <t>Bachelor's</t>
        </is>
      </c>
      <c r="D1851" t="n">
        <v>1</v>
      </c>
      <c r="E1851" t="n">
        <v>53073</v>
      </c>
      <c r="F1851" t="inlineStr">
        <is>
          <t>2026-06-17</t>
        </is>
      </c>
    </row>
    <row r="1852">
      <c r="A1852" t="inlineStr">
        <is>
          <t>Osseo Area Schools / ISD 279</t>
        </is>
      </c>
      <c r="B1852" t="inlineStr">
        <is>
          <t>MN</t>
        </is>
      </c>
      <c r="C1852" t="inlineStr">
        <is>
          <t>Bachelor's</t>
        </is>
      </c>
      <c r="D1852" t="n">
        <v>2</v>
      </c>
      <c r="E1852" t="n">
        <v>53073</v>
      </c>
      <c r="F1852" t="inlineStr">
        <is>
          <t>2026-06-17</t>
        </is>
      </c>
    </row>
    <row r="1853">
      <c r="A1853" t="inlineStr">
        <is>
          <t>Osseo Area Schools / ISD 279</t>
        </is>
      </c>
      <c r="B1853" t="inlineStr">
        <is>
          <t>MN</t>
        </is>
      </c>
      <c r="C1853" t="inlineStr">
        <is>
          <t>Bachelor's</t>
        </is>
      </c>
      <c r="D1853" t="n">
        <v>3</v>
      </c>
      <c r="E1853" t="n">
        <v>54725</v>
      </c>
      <c r="F1853" t="inlineStr">
        <is>
          <t>2026-06-17</t>
        </is>
      </c>
    </row>
    <row r="1854">
      <c r="A1854" t="inlineStr">
        <is>
          <t>Osseo Area Schools / ISD 279</t>
        </is>
      </c>
      <c r="B1854" t="inlineStr">
        <is>
          <t>MN</t>
        </is>
      </c>
      <c r="C1854" t="inlineStr">
        <is>
          <t>Bachelor's</t>
        </is>
      </c>
      <c r="D1854" t="n">
        <v>4</v>
      </c>
      <c r="E1854" t="n">
        <v>55841</v>
      </c>
      <c r="F1854" t="inlineStr">
        <is>
          <t>2026-06-17</t>
        </is>
      </c>
    </row>
    <row r="1855">
      <c r="A1855" t="inlineStr">
        <is>
          <t>Osseo Area Schools / ISD 279</t>
        </is>
      </c>
      <c r="B1855" t="inlineStr">
        <is>
          <t>MN</t>
        </is>
      </c>
      <c r="C1855" t="inlineStr">
        <is>
          <t>Bachelor's</t>
        </is>
      </c>
      <c r="D1855" t="n">
        <v>5</v>
      </c>
      <c r="E1855" t="n">
        <v>57376</v>
      </c>
      <c r="F1855" t="inlineStr">
        <is>
          <t>2026-06-17</t>
        </is>
      </c>
    </row>
    <row r="1856">
      <c r="A1856" t="inlineStr">
        <is>
          <t>Osseo Area Schools / ISD 279</t>
        </is>
      </c>
      <c r="B1856" t="inlineStr">
        <is>
          <t>MN</t>
        </is>
      </c>
      <c r="C1856" t="inlineStr">
        <is>
          <t>Bachelor's</t>
        </is>
      </c>
      <c r="D1856" t="n">
        <v>6</v>
      </c>
      <c r="E1856" t="n">
        <v>59184</v>
      </c>
      <c r="F1856" t="inlineStr">
        <is>
          <t>2026-06-17</t>
        </is>
      </c>
    </row>
    <row r="1857">
      <c r="A1857" t="inlineStr">
        <is>
          <t>Osseo Area Schools / ISD 279</t>
        </is>
      </c>
      <c r="B1857" t="inlineStr">
        <is>
          <t>MN</t>
        </is>
      </c>
      <c r="C1857" t="inlineStr">
        <is>
          <t>Bachelor's</t>
        </is>
      </c>
      <c r="D1857" t="n">
        <v>7</v>
      </c>
      <c r="E1857" t="n">
        <v>61050</v>
      </c>
      <c r="F1857" t="inlineStr">
        <is>
          <t>2026-06-17</t>
        </is>
      </c>
    </row>
    <row r="1858">
      <c r="A1858" t="inlineStr">
        <is>
          <t>Osseo Area Schools / ISD 279</t>
        </is>
      </c>
      <c r="B1858" t="inlineStr">
        <is>
          <t>MN</t>
        </is>
      </c>
      <c r="C1858" t="inlineStr">
        <is>
          <t>Bachelor's</t>
        </is>
      </c>
      <c r="D1858" t="n">
        <v>8</v>
      </c>
      <c r="E1858" t="n">
        <v>62974</v>
      </c>
      <c r="F1858" t="inlineStr">
        <is>
          <t>2026-06-17</t>
        </is>
      </c>
    </row>
    <row r="1859">
      <c r="A1859" t="inlineStr">
        <is>
          <t>Osseo Area Schools / ISD 279</t>
        </is>
      </c>
      <c r="B1859" t="inlineStr">
        <is>
          <t>MN</t>
        </is>
      </c>
      <c r="C1859" t="inlineStr">
        <is>
          <t>Bachelor's</t>
        </is>
      </c>
      <c r="D1859" t="n">
        <v>9</v>
      </c>
      <c r="E1859" t="n">
        <v>64193</v>
      </c>
      <c r="F1859" t="inlineStr">
        <is>
          <t>2026-06-17</t>
        </is>
      </c>
    </row>
    <row r="1860">
      <c r="A1860" t="inlineStr">
        <is>
          <t>Osseo Area Schools / ISD 279</t>
        </is>
      </c>
      <c r="B1860" t="inlineStr">
        <is>
          <t>MN</t>
        </is>
      </c>
      <c r="C1860" t="inlineStr">
        <is>
          <t>Bachelor's</t>
        </is>
      </c>
      <c r="D1860" t="n">
        <v>10</v>
      </c>
      <c r="E1860" t="n">
        <v>67097</v>
      </c>
      <c r="F1860" t="inlineStr">
        <is>
          <t>2026-06-17</t>
        </is>
      </c>
    </row>
    <row r="1861">
      <c r="A1861" t="inlineStr">
        <is>
          <t>Osseo Area Schools / ISD 279</t>
        </is>
      </c>
      <c r="B1861" t="inlineStr">
        <is>
          <t>MN</t>
        </is>
      </c>
      <c r="C1861" t="inlineStr">
        <is>
          <t>Master's</t>
        </is>
      </c>
      <c r="D1861" t="n">
        <v>0</v>
      </c>
      <c r="E1861" t="n">
        <v>64423</v>
      </c>
      <c r="F1861" t="inlineStr">
        <is>
          <t>2026-06-17</t>
        </is>
      </c>
    </row>
    <row r="1862">
      <c r="A1862" t="inlineStr">
        <is>
          <t>Osseo Area Schools / ISD 279</t>
        </is>
      </c>
      <c r="B1862" t="inlineStr">
        <is>
          <t>MN</t>
        </is>
      </c>
      <c r="C1862" t="inlineStr">
        <is>
          <t>Master's</t>
        </is>
      </c>
      <c r="D1862" t="n">
        <v>1</v>
      </c>
      <c r="E1862" t="n">
        <v>64423</v>
      </c>
      <c r="F1862" t="inlineStr">
        <is>
          <t>2026-06-17</t>
        </is>
      </c>
    </row>
    <row r="1863">
      <c r="A1863" t="inlineStr">
        <is>
          <t>Osseo Area Schools / ISD 279</t>
        </is>
      </c>
      <c r="B1863" t="inlineStr">
        <is>
          <t>MN</t>
        </is>
      </c>
      <c r="C1863" t="inlineStr">
        <is>
          <t>Master's</t>
        </is>
      </c>
      <c r="D1863" t="n">
        <v>2</v>
      </c>
      <c r="E1863" t="n">
        <v>64423</v>
      </c>
      <c r="F1863" t="inlineStr">
        <is>
          <t>2026-06-17</t>
        </is>
      </c>
    </row>
    <row r="1864">
      <c r="A1864" t="inlineStr">
        <is>
          <t>Osseo Area Schools / ISD 279</t>
        </is>
      </c>
      <c r="B1864" t="inlineStr">
        <is>
          <t>MN</t>
        </is>
      </c>
      <c r="C1864" t="inlineStr">
        <is>
          <t>Master's</t>
        </is>
      </c>
      <c r="D1864" t="n">
        <v>3</v>
      </c>
      <c r="E1864" t="n">
        <v>66454</v>
      </c>
      <c r="F1864" t="inlineStr">
        <is>
          <t>2026-06-17</t>
        </is>
      </c>
    </row>
    <row r="1865">
      <c r="A1865" t="inlineStr">
        <is>
          <t>Osseo Area Schools / ISD 279</t>
        </is>
      </c>
      <c r="B1865" t="inlineStr">
        <is>
          <t>MN</t>
        </is>
      </c>
      <c r="C1865" t="inlineStr">
        <is>
          <t>Master's</t>
        </is>
      </c>
      <c r="D1865" t="n">
        <v>4</v>
      </c>
      <c r="E1865" t="n">
        <v>68553</v>
      </c>
      <c r="F1865" t="inlineStr">
        <is>
          <t>2026-06-17</t>
        </is>
      </c>
    </row>
    <row r="1866">
      <c r="A1866" t="inlineStr">
        <is>
          <t>Osseo Area Schools / ISD 279</t>
        </is>
      </c>
      <c r="B1866" t="inlineStr">
        <is>
          <t>MN</t>
        </is>
      </c>
      <c r="C1866" t="inlineStr">
        <is>
          <t>Master's</t>
        </is>
      </c>
      <c r="D1866" t="n">
        <v>5</v>
      </c>
      <c r="E1866" t="n">
        <v>70721</v>
      </c>
      <c r="F1866" t="inlineStr">
        <is>
          <t>2026-06-17</t>
        </is>
      </c>
    </row>
    <row r="1867">
      <c r="A1867" t="inlineStr">
        <is>
          <t>Osseo Area Schools / ISD 279</t>
        </is>
      </c>
      <c r="B1867" t="inlineStr">
        <is>
          <t>MN</t>
        </is>
      </c>
      <c r="C1867" t="inlineStr">
        <is>
          <t>Master's</t>
        </is>
      </c>
      <c r="D1867" t="n">
        <v>6</v>
      </c>
      <c r="E1867" t="n">
        <v>72958</v>
      </c>
      <c r="F1867" t="inlineStr">
        <is>
          <t>2026-06-17</t>
        </is>
      </c>
    </row>
    <row r="1868">
      <c r="A1868" t="inlineStr">
        <is>
          <t>Osseo Area Schools / ISD 279</t>
        </is>
      </c>
      <c r="B1868" t="inlineStr">
        <is>
          <t>MN</t>
        </is>
      </c>
      <c r="C1868" t="inlineStr">
        <is>
          <t>Master's</t>
        </is>
      </c>
      <c r="D1868" t="n">
        <v>7</v>
      </c>
      <c r="E1868" t="n">
        <v>75263</v>
      </c>
      <c r="F1868" t="inlineStr">
        <is>
          <t>2026-06-17</t>
        </is>
      </c>
    </row>
    <row r="1869">
      <c r="A1869" t="inlineStr">
        <is>
          <t>Osseo Area Schools / ISD 279</t>
        </is>
      </c>
      <c r="B1869" t="inlineStr">
        <is>
          <t>MN</t>
        </is>
      </c>
      <c r="C1869" t="inlineStr">
        <is>
          <t>Master's</t>
        </is>
      </c>
      <c r="D1869" t="n">
        <v>8</v>
      </c>
      <c r="E1869" t="n">
        <v>77645</v>
      </c>
      <c r="F1869" t="inlineStr">
        <is>
          <t>2026-06-17</t>
        </is>
      </c>
    </row>
    <row r="1870">
      <c r="A1870" t="inlineStr">
        <is>
          <t>Osseo Area Schools / ISD 279</t>
        </is>
      </c>
      <c r="B1870" t="inlineStr">
        <is>
          <t>MN</t>
        </is>
      </c>
      <c r="C1870" t="inlineStr">
        <is>
          <t>Master's</t>
        </is>
      </c>
      <c r="D1870" t="n">
        <v>9</v>
      </c>
      <c r="E1870" t="n">
        <v>80100</v>
      </c>
      <c r="F1870" t="inlineStr">
        <is>
          <t>2026-06-17</t>
        </is>
      </c>
    </row>
    <row r="1871">
      <c r="A1871" t="inlineStr">
        <is>
          <t>Osseo Area Schools / ISD 279</t>
        </is>
      </c>
      <c r="B1871" t="inlineStr">
        <is>
          <t>MN</t>
        </is>
      </c>
      <c r="C1871" t="inlineStr">
        <is>
          <t>Master's</t>
        </is>
      </c>
      <c r="D1871" t="n">
        <v>10</v>
      </c>
      <c r="E1871" t="n">
        <v>85795</v>
      </c>
      <c r="F1871" t="inlineStr">
        <is>
          <t>2026-06-17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6"/>
  <sheetViews>
    <sheetView workbookViewId="0">
      <selection activeCell="A1" sqref="A1"/>
    </sheetView>
  </sheetViews>
  <sheetFormatPr baseColWidth="10" defaultColWidth="8.83203125" defaultRowHeight="15"/>
  <cols>
    <col width="34" customWidth="1" style="104" min="1" max="1"/>
    <col width="9" customWidth="1" style="104" min="2" max="2"/>
    <col width="20" customWidth="1" style="104" min="3" max="3"/>
    <col width="10" customWidth="1" style="104" min="4" max="7"/>
    <col width="18" customWidth="1" style="104" min="8" max="8"/>
    <col width="14" customWidth="1" style="104" min="9" max="9"/>
    <col width="10" customWidth="1" style="104" min="10" max="10"/>
    <col width="16" customWidth="1" style="104" min="11" max="11"/>
    <col width="17" customWidth="1" style="104" min="12" max="12"/>
    <col width="18" customWidth="1" style="104" min="13" max="13"/>
    <col width="22" customWidth="1" style="104" min="14" max="14"/>
    <col width="18" customWidth="1" style="104" min="15" max="15"/>
    <col width="52" customWidth="1" style="104" min="16" max="16"/>
    <col width="16" customWidth="1" style="104" min="17" max="17"/>
    <col width="10" customWidth="1" style="104" min="18" max="28"/>
  </cols>
  <sheetData>
    <row r="1" ht="53.25" customHeight="1" s="104">
      <c r="A1" s="31" t="inlineStr">
        <is>
          <t>District</t>
        </is>
      </c>
      <c r="B1" s="31" t="inlineStr">
        <is>
          <t>State</t>
        </is>
      </c>
      <c r="C1" s="31" t="inlineStr">
        <is>
          <t>Region</t>
        </is>
      </c>
      <c r="D1" s="32" t="inlineStr">
        <is>
          <t>White %</t>
        </is>
      </c>
      <c r="E1" s="32" t="inlineStr">
        <is>
          <t>Hispanic %</t>
        </is>
      </c>
      <c r="F1" s="32" t="inlineStr">
        <is>
          <t>Asian %</t>
        </is>
      </c>
      <c r="G1" s="32" t="inlineStr">
        <is>
          <t>Black %</t>
        </is>
      </c>
      <c r="H1" s="32" t="inlineStr">
        <is>
          <t>Student Teacher Ratio</t>
        </is>
      </c>
      <c r="I1" s="31" t="inlineStr">
        <is>
          <t>Daily Sub Pay</t>
        </is>
      </c>
      <c r="J1" s="31" t="inlineStr">
        <is>
          <t>Other %</t>
        </is>
      </c>
      <c r="K1" s="31" t="inlineStr">
        <is>
          <t>Number of High Schools</t>
        </is>
      </c>
      <c r="L1" s="31" t="inlineStr">
        <is>
          <t>Number of Middle Schools</t>
        </is>
      </c>
      <c r="M1" s="31" t="inlineStr">
        <is>
          <t>Number of Elementary Schools</t>
        </is>
      </c>
      <c r="N1" s="31" t="inlineStr">
        <is>
          <t>Other / Specialty Schools</t>
        </is>
      </c>
      <c r="O1" s="31" t="inlineStr">
        <is>
          <t>Total Schools Counted</t>
        </is>
      </c>
      <c r="P1" s="31" t="inlineStr">
        <is>
          <t>Source URL</t>
        </is>
      </c>
      <c r="Q1" s="112" t="inlineStr">
        <is>
          <t>Last Verified</t>
        </is>
      </c>
      <c r="R1" s="32" t="inlineStr">
        <is>
          <t>Other %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</row>
    <row r="2" ht="35.75" customHeight="1" s="104">
      <c r="A2" s="10" t="inlineStr">
        <is>
          <t>Alief ISD</t>
        </is>
      </c>
      <c r="B2" s="10" t="inlineStr">
        <is>
          <t>TX</t>
        </is>
      </c>
      <c r="C2" s="10" t="inlineStr">
        <is>
          <t>Houston</t>
        </is>
      </c>
      <c r="D2" s="18" t="n">
        <v>3</v>
      </c>
      <c r="E2" s="18" t="n">
        <v>62</v>
      </c>
      <c r="F2" s="18" t="n">
        <v>10</v>
      </c>
      <c r="G2" s="16" t="n">
        <v>24</v>
      </c>
      <c r="H2" s="11" t="n">
        <v>13</v>
      </c>
      <c r="I2" s="11" t="n">
        <v>125</v>
      </c>
      <c r="J2" s="18">
        <f>100-SUM(D2:G2)</f>
        <v/>
      </c>
      <c r="K2" s="11" t="n">
        <v>6</v>
      </c>
      <c r="L2" s="11" t="n">
        <v>12</v>
      </c>
      <c r="M2" s="11" t="n">
        <v>27</v>
      </c>
      <c r="N2" s="11" t="n">
        <v>1</v>
      </c>
      <c r="O2" s="11" t="n">
        <v>46</v>
      </c>
      <c r="P2" s="8" t="n"/>
      <c r="Q2" s="10" t="n"/>
      <c r="R2" s="17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 ht="35.75" customHeight="1" s="104">
      <c r="A3" s="10" t="inlineStr">
        <is>
          <t>Arcadia Unified School District</t>
        </is>
      </c>
      <c r="B3" s="10" t="inlineStr">
        <is>
          <t>CA</t>
        </is>
      </c>
      <c r="C3" s="10" t="inlineStr">
        <is>
          <t>Southern California</t>
        </is>
      </c>
      <c r="D3" s="18" t="n">
        <v>26</v>
      </c>
      <c r="E3" s="18" t="n">
        <v>10</v>
      </c>
      <c r="F3" s="18" t="n">
        <v>61</v>
      </c>
      <c r="G3" s="16" t="n">
        <v>1</v>
      </c>
      <c r="H3" s="11" t="n">
        <v>24.58</v>
      </c>
      <c r="I3" s="11" t="n">
        <v>200</v>
      </c>
      <c r="J3" s="18">
        <f>100-SUM(D3:G3)</f>
        <v/>
      </c>
      <c r="K3" s="11" t="n">
        <v>1</v>
      </c>
      <c r="L3" s="11" t="n">
        <v>3</v>
      </c>
      <c r="M3" s="11" t="n">
        <v>6</v>
      </c>
      <c r="N3" s="11" t="n">
        <v>1</v>
      </c>
      <c r="O3" s="11" t="n">
        <v>11</v>
      </c>
      <c r="P3" s="8" t="inlineStr">
        <is>
          <t>AUSD reports six elementary schools, three middle schools, one comprehensive high school, and one alternative school/outreach program. Master's degree alone appears in the same Column 1 as BA on the ATA schedule, so BA and MA entries use the same column unless additional semester units are earned.</t>
        </is>
      </c>
      <c r="Q3" s="10" t="n"/>
      <c r="R3" s="17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</row>
    <row r="4" ht="35.75" customHeight="1" s="104">
      <c r="A4" s="10" t="inlineStr">
        <is>
          <t>Austin ISD</t>
        </is>
      </c>
      <c r="B4" s="10" t="inlineStr">
        <is>
          <t>TX</t>
        </is>
      </c>
      <c r="C4" s="10" t="inlineStr">
        <is>
          <t>Austin</t>
        </is>
      </c>
      <c r="D4" s="18" t="n">
        <v>30.68</v>
      </c>
      <c r="E4" s="18" t="n">
        <v>54.14</v>
      </c>
      <c r="F4" s="18" t="n">
        <v>4.84</v>
      </c>
      <c r="G4" s="16" t="n">
        <v>6.01</v>
      </c>
      <c r="H4" s="11" t="n">
        <v>13.7</v>
      </c>
      <c r="I4" s="11" t="n">
        <v>155</v>
      </c>
      <c r="J4" s="18">
        <f>100-SUM(D4:G4)</f>
        <v/>
      </c>
      <c r="K4" s="11" t="n">
        <v>13</v>
      </c>
      <c r="L4" s="11" t="n">
        <v>19</v>
      </c>
      <c r="M4" s="11" t="n">
        <v>78</v>
      </c>
      <c r="N4" s="11" t="n">
        <v>4</v>
      </c>
      <c r="O4" s="11" t="n">
        <v>114</v>
      </c>
      <c r="P4" s="8" t="inlineStr">
        <is>
          <t>School-directory pages include a 6-12 campus (Ann Richards) in both the middle and high lists; counts below are normalized to the district's cited 114 schools and classify Ann Richards with middle schools.</t>
        </is>
      </c>
      <c r="Q4" s="10" t="n"/>
      <c r="R4" s="17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</row>
    <row r="5" ht="35.75" customHeight="1" s="104">
      <c r="A5" s="10" t="inlineStr">
        <is>
          <t>Barbers Hill ISD</t>
        </is>
      </c>
      <c r="B5" s="10" t="inlineStr">
        <is>
          <t>TX</t>
        </is>
      </c>
      <c r="C5" s="10" t="inlineStr">
        <is>
          <t>Houston</t>
        </is>
      </c>
      <c r="D5" s="18" t="n">
        <v>57.2</v>
      </c>
      <c r="E5" s="18" t="n">
        <v>32.1</v>
      </c>
      <c r="F5" s="18" t="n">
        <v>1.9</v>
      </c>
      <c r="G5" s="16" t="n">
        <v>4.8</v>
      </c>
      <c r="H5" s="11" t="n">
        <v>13</v>
      </c>
      <c r="I5" s="11" t="n">
        <v>135</v>
      </c>
      <c r="J5" s="18">
        <f>100-SUM(D5:G5)</f>
        <v/>
      </c>
      <c r="K5" s="11" t="n">
        <v>1</v>
      </c>
      <c r="L5" s="11" t="n">
        <v>2</v>
      </c>
      <c r="M5" s="11" t="n">
        <v>5</v>
      </c>
      <c r="N5" s="11" t="n">
        <v>0</v>
      </c>
      <c r="O5" s="11" t="n">
        <v>8</v>
      </c>
      <c r="P5" s="8" t="inlineStr">
        <is>
          <t>District schools page lists one traditional high school (Barbers Hill High School), two middle school campuses, five elementary/early childhood campuses, and no separate alternative high school counted for this prototype.</t>
        </is>
      </c>
      <c r="Q5" s="10" t="n"/>
      <c r="R5" s="17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</row>
    <row r="6" ht="35.75" customHeight="1" s="104">
      <c r="A6" s="10" t="inlineStr">
        <is>
          <t>Canyons School District</t>
        </is>
      </c>
      <c r="B6" s="10" t="inlineStr">
        <is>
          <t>UT</t>
        </is>
      </c>
      <c r="C6" s="10" t="inlineStr">
        <is>
          <t>Salt Lake Valley</t>
        </is>
      </c>
      <c r="D6" s="18" t="n">
        <v>71</v>
      </c>
      <c r="E6" s="18" t="n">
        <v>18</v>
      </c>
      <c r="F6" s="18" t="n">
        <v>3</v>
      </c>
      <c r="G6" s="16" t="n">
        <v>2</v>
      </c>
      <c r="H6" s="11" t="n">
        <v>21.35</v>
      </c>
      <c r="I6" s="11" t="n">
        <v>180</v>
      </c>
      <c r="J6" s="18">
        <f>100-SUM(D6:G6)</f>
        <v/>
      </c>
      <c r="K6" s="11" t="n">
        <v>6</v>
      </c>
      <c r="L6" s="11" t="n">
        <v>8</v>
      </c>
      <c r="M6" s="11" t="n">
        <v>28</v>
      </c>
      <c r="N6" s="11" t="n">
        <v>8</v>
      </c>
      <c r="O6" s="11" t="n">
        <v>50</v>
      </c>
      <c r="P6" s="8" t="inlineStr">
        <is>
          <t>NCES lists 50 total schools; counts follow district school directory categories with 8 specialty schools.</t>
        </is>
      </c>
      <c r="Q6" s="10" t="n"/>
      <c r="R6" s="17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 ht="35.75" customHeight="1" s="104">
      <c r="A7" s="10" t="inlineStr">
        <is>
          <t>Chandler Unified School District</t>
        </is>
      </c>
      <c r="B7" s="10" t="inlineStr">
        <is>
          <t>AZ</t>
        </is>
      </c>
      <c r="C7" s="10" t="inlineStr">
        <is>
          <t>Phoenix / East Valley</t>
        </is>
      </c>
      <c r="D7" s="18" t="n">
        <v>47.7</v>
      </c>
      <c r="E7" s="18" t="n">
        <v>31.9</v>
      </c>
      <c r="F7" s="18" t="n">
        <v>12.5</v>
      </c>
      <c r="G7" s="16" t="n">
        <v>5.8</v>
      </c>
      <c r="H7" s="11" t="n">
        <v>17.59</v>
      </c>
      <c r="I7" s="11" t="n">
        <v>170</v>
      </c>
      <c r="J7" s="18">
        <f>100-SUM(D7:G7)</f>
        <v/>
      </c>
      <c r="K7" s="11" t="n">
        <v>5</v>
      </c>
      <c r="L7" s="11" t="n">
        <v>7</v>
      </c>
      <c r="M7" s="11" t="n">
        <v>31</v>
      </c>
      <c r="N7" s="11" t="n">
        <v>6</v>
      </c>
      <c r="O7" s="11" t="n">
        <v>49</v>
      </c>
      <c r="P7" s="8" t="inlineStr">
        <is>
          <t>CUSD About page lists 31 elementary schools, 5 junior highs, 2 middle schools, 5 high schools, 4 alternatives, 1 secondary, and 1 online school.</t>
        </is>
      </c>
      <c r="Q7" s="10" t="n"/>
      <c r="R7" s="17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</row>
    <row r="8" ht="35.75" customHeight="1" s="104">
      <c r="A8" s="10" t="inlineStr">
        <is>
          <t>Chapel Hill-Carrboro City Schools</t>
        </is>
      </c>
      <c r="B8" s="10" t="inlineStr">
        <is>
          <t>NC</t>
        </is>
      </c>
      <c r="C8" s="10" t="inlineStr">
        <is>
          <t>Research Triangle</t>
        </is>
      </c>
      <c r="D8" s="18" t="n">
        <v>52.52</v>
      </c>
      <c r="E8" s="18" t="n">
        <v>14.4</v>
      </c>
      <c r="F8" s="18" t="n">
        <v>15.01</v>
      </c>
      <c r="G8" s="16" t="n">
        <v>11.28</v>
      </c>
      <c r="H8" s="11" t="n">
        <v>12.69</v>
      </c>
      <c r="I8" s="11" t="n">
        <v>135</v>
      </c>
      <c r="J8" s="18">
        <f>100-SUM(D8:G8)</f>
        <v/>
      </c>
      <c r="K8" s="11" t="n">
        <v>4</v>
      </c>
      <c r="L8" s="11" t="n">
        <v>4</v>
      </c>
      <c r="M8" s="11" t="n">
        <v>11</v>
      </c>
      <c r="N8" s="11" t="n">
        <v>1</v>
      </c>
      <c r="O8" s="11" t="n">
        <v>20</v>
      </c>
      <c r="P8" s="8" t="n"/>
      <c r="Q8" s="10" t="n"/>
      <c r="R8" s="17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</row>
    <row r="9" ht="35.75" customHeight="1" s="104">
      <c r="A9" s="10" t="inlineStr">
        <is>
          <t>Cherry Creek School District</t>
        </is>
      </c>
      <c r="B9" s="10" t="inlineStr">
        <is>
          <t>CO</t>
        </is>
      </c>
      <c r="C9" s="10" t="inlineStr">
        <is>
          <t>Denver</t>
        </is>
      </c>
      <c r="D9" s="18" t="n">
        <v>44.8</v>
      </c>
      <c r="E9" s="18" t="n">
        <v>24.8</v>
      </c>
      <c r="F9" s="18" t="n">
        <v>8.4</v>
      </c>
      <c r="G9" s="16" t="n">
        <v>11.4</v>
      </c>
      <c r="H9" s="11" t="n">
        <v>16.18</v>
      </c>
      <c r="I9" s="11" t="n">
        <v>210</v>
      </c>
      <c r="J9" s="18">
        <f>100-SUM(D9:G9)</f>
        <v/>
      </c>
      <c r="K9" s="11" t="n">
        <v>8</v>
      </c>
      <c r="L9" s="11" t="n">
        <v>11</v>
      </c>
      <c r="M9" s="11" t="n">
        <v>44</v>
      </c>
      <c r="N9" s="11" t="n">
        <v>4</v>
      </c>
      <c r="O9" s="11" t="n">
        <v>67</v>
      </c>
      <c r="P9" s="8" t="n"/>
      <c r="Q9" s="10" t="n"/>
      <c r="R9" s="17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</row>
    <row r="10" ht="35.75" customHeight="1" s="104">
      <c r="A10" s="10" t="inlineStr">
        <is>
          <t>Chicago Public Schools</t>
        </is>
      </c>
      <c r="B10" s="10" t="inlineStr">
        <is>
          <t>IL</t>
        </is>
      </c>
      <c r="C10" s="10" t="inlineStr">
        <is>
          <t>Chicago</t>
        </is>
      </c>
      <c r="D10" s="18" t="n">
        <v>11.8</v>
      </c>
      <c r="E10" s="18" t="n">
        <v>46.4</v>
      </c>
      <c r="F10" s="18" t="n">
        <v>4.9</v>
      </c>
      <c r="G10" s="16" t="n">
        <v>34.3</v>
      </c>
      <c r="H10" s="11" t="n">
        <v>13.77</v>
      </c>
      <c r="I10" s="11" t="n">
        <v>193</v>
      </c>
      <c r="J10" s="18">
        <f>100-SUM(D10:G10)</f>
        <v/>
      </c>
      <c r="K10" s="11" t="n">
        <v>91</v>
      </c>
      <c r="L10" s="11" t="n"/>
      <c r="M10" s="11" t="n">
        <v>423</v>
      </c>
      <c r="N10" s="11" t="n"/>
      <c r="O10" s="11" t="n">
        <v>514</v>
      </c>
      <c r="P10" s="8" t="inlineStr">
        <is>
          <t>CPS Stats &amp; Facts lists 423 district-run elementary/K-8 schools and 91 district-run high schools. The 157 high-school grand total includes charter, contract, and SAFE schools, so the prototype now displays the district-run count because CPS salary data applies to district-run teacher placement.</t>
        </is>
      </c>
      <c r="Q10" s="10" t="n"/>
      <c r="R10" s="17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</row>
    <row r="11" ht="35.75" customHeight="1" s="104">
      <c r="A11" s="10" t="inlineStr">
        <is>
          <t>Cobb County School District</t>
        </is>
      </c>
      <c r="B11" s="10" t="inlineStr">
        <is>
          <t>GA</t>
        </is>
      </c>
      <c r="C11" s="10" t="inlineStr">
        <is>
          <t>Atlanta</t>
        </is>
      </c>
      <c r="D11" s="18" t="n">
        <v>32</v>
      </c>
      <c r="E11" s="18" t="n">
        <v>26.6</v>
      </c>
      <c r="F11" s="18" t="n">
        <v>6.2</v>
      </c>
      <c r="G11" s="16" t="n">
        <v>29.2</v>
      </c>
      <c r="H11" s="11" t="n">
        <v>14.06</v>
      </c>
      <c r="I11" s="11" t="n">
        <v>150</v>
      </c>
      <c r="J11" s="18">
        <f>100-SUM(D11:G11)</f>
        <v/>
      </c>
      <c r="K11" s="11" t="n">
        <v>17</v>
      </c>
      <c r="L11" s="11" t="n">
        <v>26</v>
      </c>
      <c r="M11" s="11" t="n">
        <v>66</v>
      </c>
      <c r="N11" s="11" t="n">
        <v>3</v>
      </c>
      <c r="O11" s="11" t="n">
        <v>112</v>
      </c>
      <c r="P11" s="8" t="inlineStr">
        <is>
          <t>District page lists 66 elementary schools, 26 middle schools, 17 high schools, plus one charter school, one special education center, and one adult education center.</t>
        </is>
      </c>
      <c r="Q11" s="10" t="inlineStr">
        <is>
          <t>2026-06-13</t>
        </is>
      </c>
      <c r="R11" s="17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</row>
    <row r="12" ht="35.75" customHeight="1" s="104">
      <c r="A12" s="10" t="inlineStr">
        <is>
          <t>Denver Public Schools</t>
        </is>
      </c>
      <c r="B12" s="10" t="inlineStr">
        <is>
          <t>CO</t>
        </is>
      </c>
      <c r="C12" s="10" t="inlineStr">
        <is>
          <t>Denver</t>
        </is>
      </c>
      <c r="D12" s="18" t="n">
        <v>25</v>
      </c>
      <c r="E12" s="18" t="n">
        <v>52</v>
      </c>
      <c r="F12" s="18" t="n">
        <v>3</v>
      </c>
      <c r="G12" s="16" t="n">
        <v>13</v>
      </c>
      <c r="H12" s="11" t="n">
        <v>15</v>
      </c>
      <c r="I12" s="11" t="n">
        <v>186.42</v>
      </c>
      <c r="J12" s="18">
        <f>100-SUM(D12:G12)</f>
        <v/>
      </c>
      <c r="K12" s="11" t="n">
        <v>18</v>
      </c>
      <c r="L12" s="11" t="n">
        <v>12</v>
      </c>
      <c r="M12" s="11" t="n">
        <v>76</v>
      </c>
      <c r="N12" s="11" t="n">
        <v>87</v>
      </c>
      <c r="O12" s="11" t="n">
        <v>193</v>
      </c>
      <c r="P12" s="8" t="n"/>
      <c r="Q12" s="10" t="n"/>
      <c r="R12" s="17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</row>
    <row r="13" ht="35.75" customHeight="1" s="104">
      <c r="A13" s="10" t="inlineStr">
        <is>
          <t>Eanes ISD</t>
        </is>
      </c>
      <c r="B13" s="10" t="inlineStr">
        <is>
          <t>TX</t>
        </is>
      </c>
      <c r="C13" s="10" t="inlineStr">
        <is>
          <t>Austin</t>
        </is>
      </c>
      <c r="D13" s="18" t="n">
        <v>62</v>
      </c>
      <c r="E13" s="18" t="n">
        <v>15.4</v>
      </c>
      <c r="F13" s="18" t="n">
        <v>14.7</v>
      </c>
      <c r="G13" s="16" t="n">
        <v>0.9</v>
      </c>
      <c r="H13" s="11" t="n">
        <v>12.28</v>
      </c>
      <c r="I13" s="11" t="n">
        <v>130</v>
      </c>
      <c r="J13" s="18">
        <f>100-SUM(D13:G13)</f>
        <v/>
      </c>
      <c r="K13" s="11" t="n">
        <v>2</v>
      </c>
      <c r="L13" s="11" t="n">
        <v>2</v>
      </c>
      <c r="M13" s="11" t="n">
        <v>5</v>
      </c>
      <c r="N13" s="11" t="n">
        <v>1</v>
      </c>
      <c r="O13" s="11" t="n">
        <v>10</v>
      </c>
      <c r="P13" s="8" t="n"/>
      <c r="Q13" s="10" t="n"/>
      <c r="R13" s="17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</row>
    <row r="14" ht="35.75" customHeight="1" s="104">
      <c r="A14" s="10" t="inlineStr">
        <is>
          <t>Flagstaff Unified School District</t>
        </is>
      </c>
      <c r="B14" s="10" t="inlineStr">
        <is>
          <t>AZ</t>
        </is>
      </c>
      <c r="C14" s="10" t="inlineStr">
        <is>
          <t>Flagstaff</t>
        </is>
      </c>
      <c r="D14" s="18" t="n">
        <v>39.8</v>
      </c>
      <c r="E14" s="18" t="n">
        <v>30.9</v>
      </c>
      <c r="F14" s="18" t="n">
        <v>0.8</v>
      </c>
      <c r="G14" s="16" t="n">
        <v>0.8</v>
      </c>
      <c r="H14" s="11" t="n">
        <v>15.68</v>
      </c>
      <c r="I14" s="11" t="n">
        <v>140</v>
      </c>
      <c r="J14" s="18">
        <f>100-SUM(D14:G14)</f>
        <v/>
      </c>
      <c r="K14" s="11" t="n">
        <v>3</v>
      </c>
      <c r="L14" s="11" t="n">
        <v>2</v>
      </c>
      <c r="M14" s="11" t="n">
        <v>10</v>
      </c>
      <c r="N14" s="11" t="n">
        <v>0</v>
      </c>
      <c r="O14" s="11" t="n">
        <v>15</v>
      </c>
      <c r="P14" s="8" t="inlineStr">
        <is>
          <t>FUSD official about page says 15 comprehensive school sites; district school list includes 3 high schools and 2 middle schools.</t>
        </is>
      </c>
      <c r="Q14" s="10" t="n"/>
      <c r="R14" s="17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</row>
    <row r="15" ht="35.75" customHeight="1" s="104">
      <c r="A15" s="10" t="inlineStr">
        <is>
          <t>Glendale Union High School District</t>
        </is>
      </c>
      <c r="B15" s="10" t="inlineStr">
        <is>
          <t>AZ</t>
        </is>
      </c>
      <c r="C15" s="10" t="inlineStr">
        <is>
          <t>Phoenix Metro</t>
        </is>
      </c>
      <c r="D15" s="18" t="n">
        <v>23.4</v>
      </c>
      <c r="E15" s="18" t="n">
        <v>59.7</v>
      </c>
      <c r="F15" s="18" t="n">
        <v>3.2</v>
      </c>
      <c r="G15" s="16" t="n">
        <v>9.300000000000001</v>
      </c>
      <c r="H15" s="11" t="n">
        <v>22.24</v>
      </c>
      <c r="I15" s="11" t="n">
        <v>145</v>
      </c>
      <c r="J15" s="18">
        <f>100-SUM(D15:G15)</f>
        <v/>
      </c>
      <c r="K15" s="11" t="n">
        <v>11</v>
      </c>
      <c r="L15" s="11" t="n">
        <v>0</v>
      </c>
      <c r="M15" s="11" t="n">
        <v>0</v>
      </c>
      <c r="N15" s="11" t="n">
        <v>0</v>
      </c>
      <c r="O15" s="11" t="n">
        <v>11</v>
      </c>
      <c r="P15" s="8" t="inlineStr">
        <is>
          <t>NCES lists 11 total schools. GUHSD is a high-school-only district; all schools counted as high schools. Substitute rate uses $145 adjusted rate of published $123-$199 daily range.</t>
        </is>
      </c>
      <c r="Q15" s="10" t="n"/>
      <c r="R15" s="17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</row>
    <row r="16" ht="35.75" customHeight="1" s="104">
      <c r="A16" s="10" t="inlineStr">
        <is>
          <t>Glendora Unified School District</t>
        </is>
      </c>
      <c r="B16" s="10" t="inlineStr">
        <is>
          <t>CA</t>
        </is>
      </c>
      <c r="C16" s="10" t="inlineStr">
        <is>
          <t>Southern California</t>
        </is>
      </c>
      <c r="D16" s="18" t="n">
        <v>28</v>
      </c>
      <c r="E16" s="18" t="n">
        <v>49</v>
      </c>
      <c r="F16" s="18" t="n">
        <v>15</v>
      </c>
      <c r="G16" s="16" t="n">
        <v>1</v>
      </c>
      <c r="H16" s="11" t="n">
        <v>24</v>
      </c>
      <c r="I16" s="11" t="n">
        <v>200</v>
      </c>
      <c r="J16" s="18">
        <f>100-SUM(D16:G16)</f>
        <v/>
      </c>
      <c r="K16" s="11" t="n">
        <v>2</v>
      </c>
      <c r="L16" s="11" t="n">
        <v>2</v>
      </c>
      <c r="M16" s="11" t="n">
        <v>5</v>
      </c>
      <c r="N16" s="11" t="n">
        <v>1</v>
      </c>
      <c r="O16" s="11" t="n">
        <v>10</v>
      </c>
      <c r="P16" s="8" t="n"/>
      <c r="Q16" s="10" t="n"/>
      <c r="R16" s="17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</row>
    <row r="17" ht="35.75" customHeight="1" s="104">
      <c r="A17" s="10" t="inlineStr">
        <is>
          <t>Gwinnett County Public Schools</t>
        </is>
      </c>
      <c r="B17" s="10" t="inlineStr">
        <is>
          <t>GA</t>
        </is>
      </c>
      <c r="C17" s="10" t="inlineStr">
        <is>
          <t>Atlanta</t>
        </is>
      </c>
      <c r="D17" s="18" t="n">
        <v>14.5</v>
      </c>
      <c r="E17" s="18" t="n">
        <v>36.2</v>
      </c>
      <c r="F17" s="18" t="n">
        <v>13.1</v>
      </c>
      <c r="G17" s="16" t="n">
        <v>31.6</v>
      </c>
      <c r="H17" s="11" t="n">
        <v>14.26</v>
      </c>
      <c r="I17" s="11" t="n">
        <v>130</v>
      </c>
      <c r="J17" s="18">
        <f>100-SUM(D17:G17)</f>
        <v/>
      </c>
      <c r="K17" s="11" t="n">
        <v>24</v>
      </c>
      <c r="L17" s="11" t="n">
        <v>29</v>
      </c>
      <c r="M17" s="11" t="n">
        <v>81</v>
      </c>
      <c r="N17" s="11" t="n">
        <v>8</v>
      </c>
      <c r="O17" s="11" t="n">
        <v>142</v>
      </c>
      <c r="P17" s="8" t="inlineStr">
        <is>
          <t>GCPS by the Numbers lists 81 elementary schools, 29 middle schools, 24 high schools, 7 special entities, and 1 charter school.</t>
        </is>
      </c>
      <c r="Q17" s="10" t="inlineStr">
        <is>
          <t>2026-06-13</t>
        </is>
      </c>
      <c r="R17" s="17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</row>
    <row r="18" ht="35.75" customHeight="1" s="104">
      <c r="A18" s="10" t="inlineStr">
        <is>
          <t>Jordan District</t>
        </is>
      </c>
      <c r="B18" s="10" t="inlineStr">
        <is>
          <t>UT</t>
        </is>
      </c>
      <c r="C18" s="10" t="inlineStr">
        <is>
          <t>Salt Lake Valley</t>
        </is>
      </c>
      <c r="D18" s="18" t="n">
        <v>70</v>
      </c>
      <c r="E18" s="18" t="n">
        <v>20</v>
      </c>
      <c r="F18" s="18" t="n">
        <v>2</v>
      </c>
      <c r="G18" s="16" t="n">
        <v>1</v>
      </c>
      <c r="H18" s="11" t="n">
        <v>21</v>
      </c>
      <c r="I18" s="11" t="n">
        <v>199</v>
      </c>
      <c r="J18" s="18">
        <f>100-SUM(D18:G18)</f>
        <v/>
      </c>
      <c r="K18" s="11" t="n">
        <v>10</v>
      </c>
      <c r="L18" s="11" t="n">
        <v>13</v>
      </c>
      <c r="M18" s="11" t="n">
        <v>42</v>
      </c>
      <c r="N18" s="11" t="n">
        <v>3</v>
      </c>
      <c r="O18" s="11" t="n">
        <v>68</v>
      </c>
      <c r="P18" s="8" t="n"/>
      <c r="Q18" s="10" t="n"/>
      <c r="R18" s="17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</row>
    <row r="19" ht="35.75" customHeight="1" s="104">
      <c r="A19" s="10" t="inlineStr">
        <is>
          <t>Katy ISD</t>
        </is>
      </c>
      <c r="B19" s="10" t="inlineStr">
        <is>
          <t>TX</t>
        </is>
      </c>
      <c r="C19" s="10" t="inlineStr">
        <is>
          <t>Houston</t>
        </is>
      </c>
      <c r="D19" s="18" t="n">
        <v>27</v>
      </c>
      <c r="E19" s="18" t="n">
        <v>37</v>
      </c>
      <c r="F19" s="18" t="n">
        <v>17</v>
      </c>
      <c r="G19" s="16" t="n">
        <v>15</v>
      </c>
      <c r="H19" s="11" t="n">
        <v>14</v>
      </c>
      <c r="I19" s="11" t="n">
        <v>120</v>
      </c>
      <c r="J19" s="18">
        <f>100-SUM(D19:G19)</f>
        <v/>
      </c>
      <c r="K19" s="11" t="n">
        <v>11</v>
      </c>
      <c r="L19" s="11" t="n">
        <v>18</v>
      </c>
      <c r="M19" s="11" t="n">
        <v>48</v>
      </c>
      <c r="N19" s="11" t="n">
        <v>3</v>
      </c>
      <c r="O19" s="11" t="n">
        <v>80</v>
      </c>
      <c r="P19" s="8" t="n"/>
      <c r="Q19" s="10" t="n"/>
      <c r="R19" s="17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</row>
    <row r="20" ht="35.75" customHeight="1" s="104">
      <c r="A20" s="10" t="inlineStr">
        <is>
          <t>La Cañada Unified School District</t>
        </is>
      </c>
      <c r="B20" s="10" t="inlineStr">
        <is>
          <t>CA</t>
        </is>
      </c>
      <c r="C20" s="10" t="inlineStr">
        <is>
          <t>Southern California</t>
        </is>
      </c>
      <c r="D20" s="18" t="n">
        <v>42</v>
      </c>
      <c r="E20" s="18" t="n">
        <v>12</v>
      </c>
      <c r="F20" s="18" t="n">
        <v>33</v>
      </c>
      <c r="G20" s="16" t="n">
        <v>0</v>
      </c>
      <c r="H20" s="11" t="n">
        <v>23.66</v>
      </c>
      <c r="I20" s="11" t="n">
        <v>200</v>
      </c>
      <c r="J20" s="18">
        <f>100-SUM(D20:G20)</f>
        <v/>
      </c>
      <c r="K20" s="11" t="n">
        <v>1</v>
      </c>
      <c r="L20" s="11" t="n">
        <v>1</v>
      </c>
      <c r="M20" s="11" t="n">
        <v>3</v>
      </c>
      <c r="N20" s="11" t="n">
        <v>0</v>
      </c>
      <c r="O20" s="11" t="n">
        <v>4</v>
      </c>
      <c r="P20" s="8" t="n"/>
      <c r="Q20" s="10" t="n"/>
      <c r="R20" s="17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</row>
    <row r="21" ht="35.75" customHeight="1" s="104">
      <c r="A21" s="10" t="inlineStr">
        <is>
          <t>Lake Washington School District</t>
        </is>
      </c>
      <c r="B21" s="10" t="inlineStr">
        <is>
          <t>WA</t>
        </is>
      </c>
      <c r="C21" s="10" t="inlineStr">
        <is>
          <t>Seattle Eastside</t>
        </is>
      </c>
      <c r="D21" s="18" t="n">
        <v>35</v>
      </c>
      <c r="E21" s="18" t="n">
        <v>15</v>
      </c>
      <c r="F21" s="18" t="n">
        <v>38</v>
      </c>
      <c r="G21" s="16" t="n">
        <v>3</v>
      </c>
      <c r="H21" s="11" t="n">
        <v>17.91</v>
      </c>
      <c r="I21" s="11" t="n">
        <v>222</v>
      </c>
      <c r="J21" s="18">
        <f>100-SUM(D21:G21)</f>
        <v/>
      </c>
      <c r="K21" s="11" t="n">
        <v>6</v>
      </c>
      <c r="L21" s="11" t="n">
        <v>11</v>
      </c>
      <c r="M21" s="11" t="n">
        <v>33</v>
      </c>
      <c r="N21" s="11" t="n">
        <v>7</v>
      </c>
      <c r="O21" s="11" t="n">
        <v>57</v>
      </c>
      <c r="P21" s="8" t="inlineStr">
        <is>
          <t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t>
        </is>
      </c>
      <c r="Q21" s="10" t="inlineStr">
        <is>
          <t>2026-06-13</t>
        </is>
      </c>
      <c r="R21" s="17" t="n">
        <v>9</v>
      </c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</row>
    <row r="22" ht="35.75" customHeight="1" s="104">
      <c r="A22" s="10" t="inlineStr">
        <is>
          <t>Leander ISD</t>
        </is>
      </c>
      <c r="B22" s="10" t="inlineStr">
        <is>
          <t>TX</t>
        </is>
      </c>
      <c r="C22" s="10" t="inlineStr">
        <is>
          <t>Austin</t>
        </is>
      </c>
      <c r="D22" s="18" t="n">
        <v>46</v>
      </c>
      <c r="E22" s="18" t="n">
        <v>26</v>
      </c>
      <c r="F22" s="18" t="n">
        <v>17</v>
      </c>
      <c r="G22" s="16" t="n">
        <v>5</v>
      </c>
      <c r="H22" s="11" t="n">
        <v>14</v>
      </c>
      <c r="I22" s="11" t="n">
        <v>130</v>
      </c>
      <c r="J22" s="18">
        <f>100-SUM(D22:G22)</f>
        <v/>
      </c>
      <c r="K22" s="11" t="n">
        <v>6</v>
      </c>
      <c r="L22" s="11" t="n">
        <v>9</v>
      </c>
      <c r="M22" s="11" t="n">
        <v>30</v>
      </c>
      <c r="N22" s="11" t="n">
        <v>4</v>
      </c>
      <c r="O22" s="11" t="n">
        <v>49</v>
      </c>
      <c r="P22" s="8" t="n"/>
      <c r="Q22" s="10" t="n"/>
      <c r="R22" s="17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</row>
    <row r="23" ht="35.75" customHeight="1" s="104">
      <c r="A23" s="10" t="inlineStr">
        <is>
          <t>Los Angeles Unified</t>
        </is>
      </c>
      <c r="B23" s="10" t="inlineStr">
        <is>
          <t>CA</t>
        </is>
      </c>
      <c r="C23" s="10" t="inlineStr">
        <is>
          <t>Southern California</t>
        </is>
      </c>
      <c r="D23" s="18" t="n">
        <v>10</v>
      </c>
      <c r="E23" s="18" t="n">
        <v>73</v>
      </c>
      <c r="F23" s="18" t="n">
        <v>4</v>
      </c>
      <c r="G23" s="16" t="n">
        <v>7</v>
      </c>
      <c r="H23" s="11" t="n">
        <v>19.2</v>
      </c>
      <c r="I23" s="11" t="n">
        <v>261.49</v>
      </c>
      <c r="J23" s="18">
        <f>100-SUM(D23:G23)</f>
        <v/>
      </c>
      <c r="K23" s="11" t="n"/>
      <c r="L23" s="11" t="n"/>
      <c r="M23" s="11" t="n"/>
      <c r="N23" s="11" t="n"/>
      <c r="O23" s="11" t="n">
        <v>784</v>
      </c>
      <c r="P23" s="8" t="n"/>
      <c r="Q23" s="10" t="n"/>
      <c r="R23" s="17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</row>
    <row r="24" ht="35.75" customHeight="1" s="104">
      <c r="A24" s="10" t="inlineStr">
        <is>
          <t>Loudoun County Public Schools</t>
        </is>
      </c>
      <c r="B24" s="10" t="inlineStr">
        <is>
          <t>VA</t>
        </is>
      </c>
      <c r="C24" s="10" t="inlineStr">
        <is>
          <t>Northern VA/DC</t>
        </is>
      </c>
      <c r="D24" s="18" t="n">
        <v>38</v>
      </c>
      <c r="E24" s="18" t="n">
        <v>18</v>
      </c>
      <c r="F24" s="18" t="n">
        <v>26</v>
      </c>
      <c r="G24" s="16" t="n">
        <v>7</v>
      </c>
      <c r="H24" s="11" t="n">
        <v>12.13</v>
      </c>
      <c r="I24" s="11" t="n">
        <v>135.03</v>
      </c>
      <c r="J24" s="18">
        <f>100-SUM(D24:G24)</f>
        <v/>
      </c>
      <c r="K24" s="11" t="n">
        <v>17</v>
      </c>
      <c r="L24" s="11" t="n">
        <v>18</v>
      </c>
      <c r="M24" s="11" t="n">
        <v>62</v>
      </c>
      <c r="N24" s="11" t="n">
        <v>5</v>
      </c>
      <c r="O24" s="11" t="n">
        <v>102</v>
      </c>
      <c r="P24" s="8" t="inlineStr">
        <is>
          <t>LCPS operates a very large PK-12 system; NCES lists 102 total schools, and the high-school list includes 17 traditional high schools. Counts use 17 high schools, 18 middle schools, 62 elementary schools, and 5 other/specialty campuses to reconcile to 102 total schools.</t>
        </is>
      </c>
      <c r="Q24" s="10" t="inlineStr">
        <is>
          <t>2026-06-13</t>
        </is>
      </c>
      <c r="R24" s="17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</row>
    <row r="25" ht="35.75" customHeight="1" s="104">
      <c r="A25" s="10" t="inlineStr">
        <is>
          <t>Madison Metropolitan School District</t>
        </is>
      </c>
      <c r="B25" s="10" t="inlineStr">
        <is>
          <t>WI</t>
        </is>
      </c>
      <c r="C25" s="10" t="inlineStr">
        <is>
          <t>Madison</t>
        </is>
      </c>
      <c r="D25" s="18" t="n">
        <v>39</v>
      </c>
      <c r="E25" s="18" t="n">
        <v>25</v>
      </c>
      <c r="F25" s="18" t="n">
        <v>7</v>
      </c>
      <c r="G25" s="16" t="n">
        <v>18</v>
      </c>
      <c r="H25" s="11" t="n">
        <v>11.61</v>
      </c>
      <c r="I25" s="11" t="n">
        <v>195.44</v>
      </c>
      <c r="J25" s="18" t="n">
        <v>11</v>
      </c>
      <c r="K25" s="11" t="n">
        <v>8</v>
      </c>
      <c r="L25" s="11" t="n">
        <v>12</v>
      </c>
      <c r="M25" s="11" t="n">
        <v>32</v>
      </c>
      <c r="N25" s="11" t="n">
        <v>0</v>
      </c>
      <c r="O25" s="11" t="n">
        <v>52</v>
      </c>
      <c r="P25" s="8" t="inlineStr">
        <is>
          <t>https://www.madison.k12.wi.us/about</t>
        </is>
      </c>
      <c r="Q25" s="10" t="inlineStr">
        <is>
          <t>2026-06-11</t>
        </is>
      </c>
      <c r="R25" s="17" t="n">
        <v>11</v>
      </c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</row>
    <row r="26" ht="35.75" customHeight="1" s="104">
      <c r="A26" s="10" t="inlineStr">
        <is>
          <t>Metro Nashville Public Schools</t>
        </is>
      </c>
      <c r="B26" s="10" t="inlineStr">
        <is>
          <t>TN</t>
        </is>
      </c>
      <c r="C26" s="10" t="inlineStr">
        <is>
          <t>Nashville</t>
        </is>
      </c>
      <c r="D26" s="18" t="n">
        <v>24.4</v>
      </c>
      <c r="E26" s="18" t="n">
        <v>32.2</v>
      </c>
      <c r="F26" s="18" t="n">
        <v>3.8</v>
      </c>
      <c r="G26" s="16" t="n">
        <v>39.2</v>
      </c>
      <c r="H26" s="11" t="n">
        <v>16</v>
      </c>
      <c r="I26" s="11" t="n">
        <v>145</v>
      </c>
      <c r="J26" s="18">
        <f>100-SUM(D26:G26)</f>
        <v/>
      </c>
      <c r="K26" s="11" t="n">
        <v>21</v>
      </c>
      <c r="L26" s="11" t="n">
        <v>28</v>
      </c>
      <c r="M26" s="11" t="n"/>
      <c r="N26" s="11" t="n"/>
      <c r="O26" s="11" t="n">
        <v>162</v>
      </c>
      <c r="P26" s="8" t="inlineStr">
        <is>
          <t>MNPS official schools directory high-school filter lists 21 high schools; middle/K-8 count remains from the public school-options list.</t>
        </is>
      </c>
      <c r="Q26" s="10" t="n"/>
      <c r="R26" s="17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</row>
    <row r="27" ht="35.75" customHeight="1" s="104">
      <c r="A27" s="10" t="inlineStr">
        <is>
          <t>Nassau County School District</t>
        </is>
      </c>
      <c r="B27" s="10" t="inlineStr">
        <is>
          <t>FL</t>
        </is>
      </c>
      <c r="C27" s="10" t="inlineStr">
        <is>
          <t>Northeast FL</t>
        </is>
      </c>
      <c r="D27" s="18" t="n">
        <v>75</v>
      </c>
      <c r="E27" s="18" t="n">
        <v>11</v>
      </c>
      <c r="F27" s="18" t="n">
        <v>2</v>
      </c>
      <c r="G27" s="16" t="n">
        <v>7</v>
      </c>
      <c r="H27" s="11" t="n">
        <v>15.55</v>
      </c>
      <c r="I27" s="11" t="n">
        <v>120</v>
      </c>
      <c r="J27" s="18">
        <f>100-SUM(D27:G27)</f>
        <v/>
      </c>
      <c r="K27" s="11" t="n">
        <v>4</v>
      </c>
      <c r="L27" s="11" t="n">
        <v>3</v>
      </c>
      <c r="M27" s="11" t="n">
        <v>9</v>
      </c>
      <c r="N27" s="11" t="n">
        <v>1</v>
      </c>
      <c r="O27" s="11" t="n">
        <v>17</v>
      </c>
      <c r="P27" s="8" t="inlineStr">
        <is>
          <t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t>
        </is>
      </c>
      <c r="Q27" s="10" t="inlineStr">
        <is>
          <t>2026-06-13</t>
        </is>
      </c>
      <c r="R27" s="17" t="n">
        <v>5</v>
      </c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</row>
    <row r="28" ht="35.75" customHeight="1" s="104">
      <c r="A28" s="10" t="inlineStr">
        <is>
          <t>North Clackamas School District</t>
        </is>
      </c>
      <c r="B28" s="10" t="inlineStr">
        <is>
          <t>OR</t>
        </is>
      </c>
      <c r="C28" s="10" t="inlineStr">
        <is>
          <t>Portland</t>
        </is>
      </c>
      <c r="D28" s="18" t="n">
        <v>56</v>
      </c>
      <c r="E28" s="18" t="n">
        <v>20</v>
      </c>
      <c r="F28" s="18" t="n">
        <v>12</v>
      </c>
      <c r="G28" s="16" t="n">
        <v>3</v>
      </c>
      <c r="H28" s="11" t="n">
        <v>19.32</v>
      </c>
      <c r="I28" s="11" t="n">
        <v>250</v>
      </c>
      <c r="J28" s="18">
        <f>100-SUM(D28:G28)</f>
        <v/>
      </c>
      <c r="K28" s="11" t="n">
        <v>5</v>
      </c>
      <c r="L28" s="11" t="n">
        <v>4</v>
      </c>
      <c r="M28" s="11" t="n">
        <v>18</v>
      </c>
      <c r="N28" s="11" t="n">
        <v>5</v>
      </c>
      <c r="O28" s="11" t="n">
        <v>32</v>
      </c>
      <c r="P28" s="8" t="inlineStr">
        <is>
          <t>District page lists 32 schools total; counts entered as 18 elementary, 4 middle, 5 high, 5 charter/CTE/specialty.</t>
        </is>
      </c>
      <c r="Q28" s="10" t="n"/>
      <c r="R28" s="17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</row>
    <row r="29" ht="35.75" customHeight="1" s="104">
      <c r="A29" s="10" t="inlineStr">
        <is>
          <t>Oakland Unified School District</t>
        </is>
      </c>
      <c r="B29" s="10" t="inlineStr">
        <is>
          <t>CA</t>
        </is>
      </c>
      <c r="C29" s="10" t="inlineStr">
        <is>
          <t>Bay Area</t>
        </is>
      </c>
      <c r="D29" s="18" t="n">
        <v>12</v>
      </c>
      <c r="E29" s="18" t="n">
        <v>47</v>
      </c>
      <c r="F29" s="18" t="n">
        <v>11</v>
      </c>
      <c r="G29" s="16" t="n">
        <v>20</v>
      </c>
      <c r="H29" s="11" t="n">
        <v>19</v>
      </c>
      <c r="I29" s="11" t="n">
        <v>337</v>
      </c>
      <c r="J29" s="18">
        <f>100-SUM(D29:G29)</f>
        <v/>
      </c>
      <c r="K29" s="11" t="n"/>
      <c r="L29" s="11" t="n"/>
      <c r="M29" s="11" t="n"/>
      <c r="N29" s="11" t="n"/>
      <c r="O29" s="11" t="n">
        <v>80</v>
      </c>
      <c r="P29" s="8" t="n"/>
      <c r="Q29" s="10" t="n"/>
      <c r="R29" s="17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</row>
    <row r="30" ht="35.75" customHeight="1" s="104">
      <c r="A30" s="10" t="inlineStr">
        <is>
          <t>Ocean Springs School District</t>
        </is>
      </c>
      <c r="B30" s="10" t="inlineStr">
        <is>
          <t>MS</t>
        </is>
      </c>
      <c r="C30" s="10" t="inlineStr">
        <is>
          <t>Mississippi Gulf Coast</t>
        </is>
      </c>
      <c r="D30" s="18" t="n">
        <v>69.19</v>
      </c>
      <c r="E30" s="18" t="n">
        <v>9.02</v>
      </c>
      <c r="F30" s="18" t="n">
        <v>2.89</v>
      </c>
      <c r="G30" s="16" t="n">
        <v>12.61</v>
      </c>
      <c r="H30" s="11" t="n">
        <v>13.65</v>
      </c>
      <c r="I30" s="11" t="n">
        <v>90</v>
      </c>
      <c r="J30" s="18">
        <f>100-SUM(D30:G30)</f>
        <v/>
      </c>
      <c r="K30" s="11" t="n">
        <v>1</v>
      </c>
      <c r="L30" s="11" t="n">
        <v>1</v>
      </c>
      <c r="M30" s="11" t="n">
        <v>4</v>
      </c>
      <c r="N30" s="11" t="n">
        <v>1</v>
      </c>
      <c r="O30" s="11" t="n">
        <v>7</v>
      </c>
      <c r="P30" s="8" t="inlineStr">
        <is>
          <t>NCES lists 7 schools. Counts categorize Ocean Springs High as high, Ocean Springs Middle as middle, Ocean Springs Upper Elementary plus Magnolia/Oak/Pecan Park as elementary, and Keys Vocational Center as other/specialty. Demographic percentages are summed from NCES school-level race/ethnicity counts; Other includes American Indian/Alaska Native, Native Hawaiian/Pacific Islander, and Two or More Races.</t>
        </is>
      </c>
      <c r="Q30" s="10" t="n"/>
      <c r="R30" s="17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</row>
    <row r="31" ht="35.75" customHeight="1" s="104">
      <c r="A31" s="10" t="inlineStr">
        <is>
          <t>Oxnard Union High School District</t>
        </is>
      </c>
      <c r="B31" s="10" t="inlineStr">
        <is>
          <t>CA</t>
        </is>
      </c>
      <c r="C31" s="10" t="inlineStr">
        <is>
          <t>Southern California</t>
        </is>
      </c>
      <c r="D31" s="18" t="n">
        <v>15</v>
      </c>
      <c r="E31" s="18" t="n">
        <v>80</v>
      </c>
      <c r="F31" s="18" t="n">
        <v>2</v>
      </c>
      <c r="G31" s="16" t="n">
        <v>2</v>
      </c>
      <c r="H31" s="11" t="n">
        <v>25</v>
      </c>
      <c r="I31" s="11" t="n">
        <v>185</v>
      </c>
      <c r="J31" s="18">
        <f>100-SUM(D31:G31)</f>
        <v/>
      </c>
      <c r="K31" s="11" t="n">
        <v>12</v>
      </c>
      <c r="L31" s="11" t="n">
        <v>0</v>
      </c>
      <c r="M31" s="11" t="n">
        <v>0</v>
      </c>
      <c r="N31" s="11" t="n">
        <v>0</v>
      </c>
      <c r="O31" s="11" t="n">
        <v>12</v>
      </c>
      <c r="P31" s="8" t="n"/>
      <c r="Q31" s="10" t="n"/>
      <c r="R31" s="17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</row>
    <row r="32" ht="35.75" customHeight="1" s="104">
      <c r="A32" s="10" t="inlineStr">
        <is>
          <t>Portland Public Schools</t>
        </is>
      </c>
      <c r="B32" s="10" t="inlineStr">
        <is>
          <t>OR</t>
        </is>
      </c>
      <c r="C32" s="10" t="inlineStr">
        <is>
          <t>Portland</t>
        </is>
      </c>
      <c r="D32" s="18" t="n">
        <v>53.3</v>
      </c>
      <c r="E32" s="18" t="n">
        <v>18.4</v>
      </c>
      <c r="F32" s="18" t="n">
        <v>5.7</v>
      </c>
      <c r="G32" s="16" t="n">
        <v>8.300000000000001</v>
      </c>
      <c r="H32" s="11" t="n">
        <v>16.04</v>
      </c>
      <c r="I32" s="11" t="n">
        <v>275.71</v>
      </c>
      <c r="J32" s="18">
        <f>100-SUM(D32:G32)</f>
        <v/>
      </c>
      <c r="K32" s="11" t="n">
        <v>10</v>
      </c>
      <c r="L32" s="11" t="n">
        <v>15</v>
      </c>
      <c r="M32" s="11" t="n">
        <v>45</v>
      </c>
      <c r="N32" s="11" t="n">
        <v>11</v>
      </c>
      <c r="O32" s="11" t="n">
        <v>81</v>
      </c>
      <c r="P32" s="8" t="inlineStr">
        <is>
          <t>PPS 2025-26 overview: 45 elementary, 10 K-8, 15 middle, 10 high, 1 K-12; total 81.</t>
        </is>
      </c>
      <c r="Q32" s="10" t="n"/>
      <c r="R32" s="17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</row>
    <row r="33" ht="35.75" customHeight="1" s="104">
      <c r="A33" s="10" t="inlineStr">
        <is>
          <t>Provo City School District</t>
        </is>
      </c>
      <c r="B33" s="10" t="inlineStr">
        <is>
          <t>UT</t>
        </is>
      </c>
      <c r="C33" s="10" t="inlineStr">
        <is>
          <t>Salt Lake Valley</t>
        </is>
      </c>
      <c r="D33" s="18" t="n">
        <v>56</v>
      </c>
      <c r="E33" s="18" t="n">
        <v>33</v>
      </c>
      <c r="F33" s="18" t="n">
        <v>2</v>
      </c>
      <c r="G33" s="16" t="n">
        <v>1</v>
      </c>
      <c r="H33" s="11" t="n">
        <v>20</v>
      </c>
      <c r="I33" s="11" t="n">
        <v>185</v>
      </c>
      <c r="J33" s="18">
        <f>100-SUM(D33:G33)</f>
        <v/>
      </c>
      <c r="K33" s="11" t="n">
        <v>3</v>
      </c>
      <c r="L33" s="11" t="n">
        <v>2</v>
      </c>
      <c r="M33" s="11" t="n">
        <v>13</v>
      </c>
      <c r="N33" s="11" t="n">
        <v>0</v>
      </c>
      <c r="O33" s="11" t="n">
        <v>18</v>
      </c>
      <c r="P33" s="8" t="n"/>
      <c r="Q33" s="10" t="n"/>
      <c r="R33" s="17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</row>
    <row r="34" ht="35.75" customHeight="1" s="104">
      <c r="A34" s="10" t="inlineStr">
        <is>
          <t>Royal ISD</t>
        </is>
      </c>
      <c r="B34" s="10" t="inlineStr">
        <is>
          <t>TX</t>
        </is>
      </c>
      <c r="C34" s="10" t="inlineStr">
        <is>
          <t>Houston</t>
        </is>
      </c>
      <c r="D34" s="18" t="n">
        <v>7.9</v>
      </c>
      <c r="E34" s="18" t="n">
        <v>72.09999999999999</v>
      </c>
      <c r="F34" s="18" t="n">
        <v>1.2</v>
      </c>
      <c r="G34" s="16" t="n">
        <v>16.5</v>
      </c>
      <c r="H34" s="11" t="n">
        <v>16.81</v>
      </c>
      <c r="I34" s="11" t="n">
        <v>125</v>
      </c>
      <c r="J34" s="18">
        <f>100-SUM(D34:G34)</f>
        <v/>
      </c>
      <c r="K34" s="11" t="n">
        <v>1</v>
      </c>
      <c r="L34" s="11" t="n">
        <v>1</v>
      </c>
      <c r="M34" s="11" t="n">
        <v>3</v>
      </c>
      <c r="N34" s="11" t="n">
        <v>1</v>
      </c>
      <c r="O34" s="11" t="n">
        <v>6</v>
      </c>
      <c r="P34" s="8" t="inlineStr">
        <is>
          <t>Royal ISD is a fast-growth district. Current district page lists six campuses, including Royal Prairie Elementary and Royal STEM Academy; NCES/Texas Tribune school counts lag current district listings. Substitute pay is provisional because the public 2023-2024 Substitute Pay Schedule listing did not expose the actual rate in searchable text.</t>
        </is>
      </c>
      <c r="Q34" s="10" t="n"/>
      <c r="R34" s="17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</row>
    <row r="35" ht="35.75" customHeight="1" s="104">
      <c r="A35" s="10" t="inlineStr">
        <is>
          <t>Saint Helena Unified School District</t>
        </is>
      </c>
      <c r="B35" s="10" t="inlineStr">
        <is>
          <t>CA</t>
        </is>
      </c>
      <c r="C35" s="10" t="inlineStr">
        <is>
          <t>Northern California</t>
        </is>
      </c>
      <c r="D35" s="18" t="n">
        <v>42</v>
      </c>
      <c r="E35" s="18" t="n">
        <v>53</v>
      </c>
      <c r="F35" s="18" t="n">
        <v>2</v>
      </c>
      <c r="G35" s="16" t="n">
        <v>1</v>
      </c>
      <c r="H35" s="11" t="n">
        <v>13.32</v>
      </c>
      <c r="I35" s="11" t="n">
        <v>275</v>
      </c>
      <c r="J35" s="18">
        <f>100-SUM(D35:G35)</f>
        <v/>
      </c>
      <c r="K35" s="11" t="n">
        <v>1</v>
      </c>
      <c r="L35" s="11" t="n">
        <v>1</v>
      </c>
      <c r="M35" s="11" t="n">
        <v>2</v>
      </c>
      <c r="N35" s="11" t="n">
        <v>1</v>
      </c>
      <c r="O35" s="11" t="n">
        <v>5</v>
      </c>
      <c r="P35" s="8" t="inlineStr">
        <is>
          <t>District site lists St. Helena High, Robert Louis Stevenson Middle, St. Helena Elementary, St. Helena Primary, and St. Helena Opportunities Program; NCES lists 5 total schools.</t>
        </is>
      </c>
      <c r="Q35" s="10" t="n"/>
      <c r="R35" s="17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</row>
    <row r="36" ht="35.75" customHeight="1" s="104">
      <c r="A36" s="10" t="inlineStr">
        <is>
          <t>Salt Lake School District</t>
        </is>
      </c>
      <c r="B36" s="10" t="inlineStr">
        <is>
          <t>UT</t>
        </is>
      </c>
      <c r="C36" s="10" t="inlineStr">
        <is>
          <t>Salt Lake Valley</t>
        </is>
      </c>
      <c r="D36" s="18" t="n">
        <v>40</v>
      </c>
      <c r="E36" s="18" t="n">
        <v>40</v>
      </c>
      <c r="F36" s="18" t="n">
        <v>5</v>
      </c>
      <c r="G36" s="16" t="n">
        <v>5</v>
      </c>
      <c r="H36" s="11" t="n">
        <v>17</v>
      </c>
      <c r="I36" s="11" t="n">
        <v>189</v>
      </c>
      <c r="J36" s="18">
        <f>100-SUM(D36:G36)</f>
        <v/>
      </c>
      <c r="K36" s="11" t="n">
        <v>5</v>
      </c>
      <c r="L36" s="11" t="n">
        <v>5</v>
      </c>
      <c r="M36" s="11" t="n">
        <v>21</v>
      </c>
      <c r="N36" s="11" t="n">
        <v>4</v>
      </c>
      <c r="O36" s="11" t="n">
        <v>35</v>
      </c>
      <c r="P36" s="8" t="n"/>
      <c r="Q36" s="10" t="n"/>
      <c r="R36" s="17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</row>
    <row r="37" ht="35.75" customHeight="1" s="104">
      <c r="A37" s="10" t="inlineStr">
        <is>
          <t>San Antonio ISD</t>
        </is>
      </c>
      <c r="B37" s="10" t="inlineStr">
        <is>
          <t>TX</t>
        </is>
      </c>
      <c r="C37" s="10" t="inlineStr">
        <is>
          <t>San Antonio</t>
        </is>
      </c>
      <c r="D37" s="18" t="n">
        <v>3</v>
      </c>
      <c r="E37" s="18" t="n">
        <v>89.59999999999999</v>
      </c>
      <c r="F37" s="18" t="n">
        <v>1.4</v>
      </c>
      <c r="G37" s="16" t="n">
        <v>6</v>
      </c>
      <c r="H37" s="11" t="n">
        <v>14.95</v>
      </c>
      <c r="I37" s="11" t="n">
        <v>140</v>
      </c>
      <c r="J37" s="18">
        <f>100-SUM(D37:G37)</f>
        <v/>
      </c>
      <c r="K37" s="11" t="n">
        <v>14</v>
      </c>
      <c r="L37" s="11" t="n">
        <v>12</v>
      </c>
      <c r="M37" s="11" t="n">
        <v>51</v>
      </c>
      <c r="N37" s="11" t="n">
        <v>6</v>
      </c>
      <c r="O37" s="11" t="n">
        <v>83</v>
      </c>
      <c r="P37" s="8" t="inlineStr">
        <is>
          <t>Campus counts from Texas Tribune Schools Explorer. Demographic fields use Hispanic share from Texas Tribune, Black share from Express-News, and remaining minority/white share estimated from Public School Review summary.</t>
        </is>
      </c>
      <c r="Q37" s="10" t="n"/>
      <c r="R37" s="17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</row>
    <row r="38" ht="35.75" customHeight="1" s="104">
      <c r="A38" s="10" t="inlineStr">
        <is>
          <t>San Diego Unified School District</t>
        </is>
      </c>
      <c r="B38" s="10" t="inlineStr">
        <is>
          <t>CA</t>
        </is>
      </c>
      <c r="C38" s="10" t="inlineStr">
        <is>
          <t>Southern California</t>
        </is>
      </c>
      <c r="D38" s="18" t="n">
        <v>24</v>
      </c>
      <c r="E38" s="18" t="n">
        <v>45</v>
      </c>
      <c r="F38" s="18" t="n">
        <v>14</v>
      </c>
      <c r="G38" s="16" t="n">
        <v>7</v>
      </c>
      <c r="H38" s="11" t="n">
        <v>22</v>
      </c>
      <c r="I38" s="11" t="n">
        <v>250</v>
      </c>
      <c r="J38" s="18">
        <f>100-SUM(D38:G38)</f>
        <v/>
      </c>
      <c r="K38" s="11" t="n">
        <v>22</v>
      </c>
      <c r="L38" s="11" t="n">
        <v>24</v>
      </c>
      <c r="M38" s="11" t="n">
        <v>117</v>
      </c>
      <c r="N38" s="11" t="n">
        <v>13</v>
      </c>
      <c r="O38" s="11" t="n">
        <v>176</v>
      </c>
      <c r="P38" s="8" t="n"/>
      <c r="Q38" s="10" t="n"/>
      <c r="R38" s="17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</row>
    <row r="39" ht="35.75" customHeight="1" s="104">
      <c r="A39" s="10" t="inlineStr">
        <is>
          <t>San Jose Unified School District</t>
        </is>
      </c>
      <c r="B39" s="10" t="inlineStr">
        <is>
          <t>CA</t>
        </is>
      </c>
      <c r="C39" s="10" t="inlineStr">
        <is>
          <t>Bay Area</t>
        </is>
      </c>
      <c r="D39" s="18" t="n">
        <v>21</v>
      </c>
      <c r="E39" s="18" t="n">
        <v>54</v>
      </c>
      <c r="F39" s="18" t="n">
        <v>16</v>
      </c>
      <c r="G39" s="16" t="n">
        <v>2</v>
      </c>
      <c r="H39" s="11" t="n">
        <v>21</v>
      </c>
      <c r="I39" s="11" t="n">
        <v>200</v>
      </c>
      <c r="J39" s="18">
        <f>100-SUM(D39:G39)</f>
        <v/>
      </c>
      <c r="K39" s="11" t="n">
        <v>6</v>
      </c>
      <c r="L39" s="11" t="n">
        <v>6</v>
      </c>
      <c r="M39" s="11" t="n">
        <v>26</v>
      </c>
      <c r="N39" s="11" t="n">
        <v>3</v>
      </c>
      <c r="O39" s="11" t="n">
        <v>41</v>
      </c>
      <c r="P39" s="8" t="n"/>
      <c r="Q39" s="10" t="n"/>
      <c r="R39" s="17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</row>
    <row r="40" ht="35.75" customHeight="1" s="104">
      <c r="A40" s="10" t="inlineStr">
        <is>
          <t>Scarsdale Union Free School District</t>
        </is>
      </c>
      <c r="B40" s="10" t="inlineStr">
        <is>
          <t>NY</t>
        </is>
      </c>
      <c r="C40" s="10" t="inlineStr">
        <is>
          <t>Westchester NY</t>
        </is>
      </c>
      <c r="D40" s="18" t="n">
        <v>55</v>
      </c>
      <c r="E40" s="18" t="n">
        <v>9</v>
      </c>
      <c r="F40" s="18" t="n">
        <v>27</v>
      </c>
      <c r="G40" s="16" t="n">
        <v>1</v>
      </c>
      <c r="H40" s="11" t="n">
        <v>11.21</v>
      </c>
      <c r="I40" s="11" t="n">
        <v>163</v>
      </c>
      <c r="J40" s="18" t="n">
        <v>8</v>
      </c>
      <c r="K40" s="11" t="n">
        <v>1</v>
      </c>
      <c r="L40" s="11" t="n">
        <v>1</v>
      </c>
      <c r="M40" s="11" t="n">
        <v>5</v>
      </c>
      <c r="N40" s="11" t="n">
        <v>0</v>
      </c>
      <c r="O40" s="11" t="n">
        <v>7</v>
      </c>
      <c r="P40" s="8" t="inlineStr">
        <is>
          <t>https://www.scarsdaleschools.k12.ny.us/119192_3 ; https://go.boarddocs.com/ny/scarsdale/Board.nsf/files/D5WQJL66FCE9/%24file/MOA%20with%20Scarsdale%20Teachers%20Association%20%28STA%29.pdf ; https://www.scarsdaleschools.org/index.php?articleID=74973066&amp;pageID=smartSiteFeed&amp;psqFeed=true ; https://nces.ed.gov/ccd/districtsearch/district_detail.asp?ID2=3625950 ; https://www.redfin.com/city/16773/NY/Scarsdale/housing-market ; https://www.realtor.com/local/market/new-york/westchester-county/scarsdale ; https://www.indeed.com/cmp/Scarsdale-Public-Schools/salaries/Substitute-Teacher/Scarsdale-NY</t>
        </is>
      </c>
      <c r="Q40" s="10" t="inlineStr">
        <is>
          <t>2026-06-11</t>
        </is>
      </c>
      <c r="R40" s="17" t="n">
        <v>8</v>
      </c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</row>
    <row r="41" ht="35.75" customHeight="1" s="104">
      <c r="A41" s="10" t="inlineStr">
        <is>
          <t>South Pasadena Unified School District</t>
        </is>
      </c>
      <c r="B41" s="10" t="inlineStr">
        <is>
          <t>CA</t>
        </is>
      </c>
      <c r="C41" s="10" t="inlineStr">
        <is>
          <t>Southern California</t>
        </is>
      </c>
      <c r="D41" s="18" t="n">
        <v>21.6</v>
      </c>
      <c r="E41" s="18" t="n">
        <v>23.2</v>
      </c>
      <c r="F41" s="18" t="n">
        <v>33.8</v>
      </c>
      <c r="G41" s="16" t="n">
        <v>1</v>
      </c>
      <c r="H41" s="11" t="n">
        <v>24.37</v>
      </c>
      <c r="I41" s="11" t="n">
        <v>200</v>
      </c>
      <c r="J41" s="18">
        <f>100-SUM(D41:G41)</f>
        <v/>
      </c>
      <c r="K41" s="11" t="n">
        <v>1</v>
      </c>
      <c r="L41" s="11" t="n">
        <v>1</v>
      </c>
      <c r="M41" s="11" t="n">
        <v>3</v>
      </c>
      <c r="N41" s="11" t="n">
        <v>0</v>
      </c>
      <c r="O41" s="11" t="n">
        <v>5</v>
      </c>
      <c r="P41" s="8" t="inlineStr">
        <is>
          <t>NCES lists 5 total schools. SPUSD website lists three elementary schools, one middle school, and one high school. Substitute rate uses latest public EdJoin posting found ($200 full-day daily rate; posting year 2022-23, so verify before relying on current hiring).</t>
        </is>
      </c>
      <c r="Q41" s="10" t="n"/>
      <c r="R41" s="17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</row>
    <row r="42" ht="35.75" customHeight="1" s="104">
      <c r="A42" s="10" t="inlineStr">
        <is>
          <t>Syosset Central School District</t>
        </is>
      </c>
      <c r="B42" s="10" t="inlineStr">
        <is>
          <t>NY</t>
        </is>
      </c>
      <c r="C42" s="10" t="inlineStr">
        <is>
          <t>Long Island</t>
        </is>
      </c>
      <c r="D42" s="18" t="n">
        <v>39.4</v>
      </c>
      <c r="E42" s="18" t="n">
        <v>4.6</v>
      </c>
      <c r="F42" s="18" t="n">
        <v>52.4</v>
      </c>
      <c r="G42" s="16" t="n">
        <v>0.6</v>
      </c>
      <c r="H42" s="11" t="n">
        <v>10.28</v>
      </c>
      <c r="I42" s="11" t="n">
        <v>160</v>
      </c>
      <c r="J42" s="18">
        <f>100-SUM(D42:G42)</f>
        <v/>
      </c>
      <c r="K42" s="11" t="n">
        <v>1</v>
      </c>
      <c r="L42" s="11" t="n">
        <v>2</v>
      </c>
      <c r="M42" s="11" t="n">
        <v>7</v>
      </c>
      <c r="N42" s="11" t="n">
        <v>0</v>
      </c>
      <c r="O42" s="11" t="n">
        <v>10</v>
      </c>
      <c r="P42" s="8" t="inlineStr">
        <is>
          <t>NCES lists 10 total schools; district school list shows seven elementary schools, two middle schools, and one high school.</t>
        </is>
      </c>
      <c r="Q42" s="10" t="n"/>
      <c r="R42" s="17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</row>
    <row r="43" ht="35.75" customHeight="1" s="104">
      <c r="A43" s="10" t="inlineStr">
        <is>
          <t>West Des Moines Community Schools</t>
        </is>
      </c>
      <c r="B43" s="10" t="inlineStr">
        <is>
          <t>IA</t>
        </is>
      </c>
      <c r="C43" s="10" t="inlineStr">
        <is>
          <t>Des Moines</t>
        </is>
      </c>
      <c r="D43" s="18" t="n">
        <v>53.2</v>
      </c>
      <c r="E43" s="18" t="n">
        <v>21.5</v>
      </c>
      <c r="F43" s="18" t="n">
        <v>5.9</v>
      </c>
      <c r="G43" s="16" t="n">
        <v>11.7</v>
      </c>
      <c r="H43" s="11" t="n">
        <v>14.5</v>
      </c>
      <c r="I43" s="11" t="n">
        <v>170</v>
      </c>
      <c r="J43" s="18">
        <f>100-SUM(D43:G43)</f>
        <v/>
      </c>
      <c r="K43" s="11" t="n">
        <v>2</v>
      </c>
      <c r="L43" s="11" t="n">
        <v>2</v>
      </c>
      <c r="M43" s="11" t="n">
        <v>8</v>
      </c>
      <c r="N43" s="11" t="n">
        <v>1</v>
      </c>
      <c r="O43" s="11" t="n">
        <v>13</v>
      </c>
      <c r="P43" s="8" t="inlineStr">
        <is>
          <t>https://www.wdmcs.org/our-district/departments/human-resources ; https://resources.finalsite.net/images/v1745950877/wdmcsorg/ak8isa1vu50msa93nxgy/CombinedSalarySchedule.pdf ; https://www.kcci.com/article/west-des-moines-school-board-substitute-teacher-pay-increase/62347446 ; https://nces.ed.gov/ccd/districtsearch/district_detail.asp?ID2=1930930 ; https://www.niche.com/k12/d/west-des-moines-community-school-district-ia/students/ ; https://www.redfin.com/city/20722/IA/West-Des-Moines/housing-market ; https://www.apartments.com/rent-market-trends/west-des-moines-ia/</t>
        </is>
      </c>
      <c r="Q43" s="10" t="inlineStr">
        <is>
          <t>2026-06-13</t>
        </is>
      </c>
      <c r="R43" s="17" t="n">
        <v>7.7</v>
      </c>
    </row>
    <row r="44" ht="35.75" customHeight="1" s="104">
      <c r="A44" s="15" t="inlineStr">
        <is>
          <t>Middleton-Cross Plains Area School District</t>
        </is>
      </c>
      <c r="B44" s="15" t="inlineStr">
        <is>
          <t>WI</t>
        </is>
      </c>
      <c r="C44" s="15" t="inlineStr">
        <is>
          <t>Madison Area</t>
        </is>
      </c>
      <c r="D44" s="29" t="n">
        <v>62</v>
      </c>
      <c r="E44" s="29" t="n">
        <v>10</v>
      </c>
      <c r="F44" s="29" t="n">
        <v>8</v>
      </c>
      <c r="G44" s="30" t="n">
        <v>7</v>
      </c>
      <c r="H44" s="28" t="n">
        <v>13.3</v>
      </c>
      <c r="I44" s="28" t="n">
        <v>175</v>
      </c>
      <c r="J44" s="29" t="n">
        <v>13</v>
      </c>
      <c r="K44" s="28" t="n">
        <v>1</v>
      </c>
      <c r="L44" s="28" t="n">
        <v>3</v>
      </c>
      <c r="M44" s="28" t="n">
        <v>7</v>
      </c>
      <c r="N44" s="28" t="n">
        <v>1</v>
      </c>
      <c r="O44" s="28" t="n">
        <v>12</v>
      </c>
      <c r="P44" s="19" t="inlineStr">
        <is>
          <t>https://www.mcpasd.k12.wi.us/documents/services/employee-services/16682317 ; https://files-backend.assets.thrillshare.com/documents/asset/uploaded_file/1905/Mcpasd/69c6add5-b8ae-4b2e-8319-08609921f255/2025-2026-Certified-Staff-BA-%2455%2C000-Model---10.20.2025---Google-Sheets.pdf?disposition=inline</t>
        </is>
      </c>
      <c r="Q44" s="15" t="inlineStr">
        <is>
          <t>2026-06-15</t>
        </is>
      </c>
      <c r="R44" s="15" t="n">
        <v>13</v>
      </c>
    </row>
    <row r="45" ht="35.75" customHeight="1" s="104">
      <c r="A45" s="15" t="inlineStr">
        <is>
          <t>Sun Prairie Area School District</t>
        </is>
      </c>
      <c r="B45" s="15" t="inlineStr">
        <is>
          <t>WI</t>
        </is>
      </c>
      <c r="C45" s="15" t="inlineStr">
        <is>
          <t>Madison Area</t>
        </is>
      </c>
      <c r="D45" s="29" t="n">
        <v>54</v>
      </c>
      <c r="E45" s="29" t="n">
        <v>14</v>
      </c>
      <c r="F45" s="29" t="n">
        <v>9</v>
      </c>
      <c r="G45" s="30" t="n">
        <v>10</v>
      </c>
      <c r="H45" s="28" t="n">
        <v>13.2</v>
      </c>
      <c r="I45" s="28" t="n">
        <v>181</v>
      </c>
      <c r="J45" s="29" t="n">
        <v>13</v>
      </c>
      <c r="K45" s="28" t="n">
        <v>2</v>
      </c>
      <c r="L45" s="28" t="n">
        <v>3</v>
      </c>
      <c r="M45" s="28" t="n">
        <v>9</v>
      </c>
      <c r="N45" s="28" t="n">
        <v>1</v>
      </c>
      <c r="O45" s="28" t="n">
        <v>15</v>
      </c>
      <c r="P45" s="19" t="inlineStr">
        <is>
          <t>https://www.sunprairieschools.org/departments/human-resources/substitutes ; https://www.sunprairieschools.org/</t>
        </is>
      </c>
      <c r="Q45" s="15" t="inlineStr">
        <is>
          <t>2026-06-15</t>
        </is>
      </c>
      <c r="R45" s="15" t="n">
        <v>13</v>
      </c>
    </row>
    <row r="46" ht="35.75" customHeight="1" s="104">
      <c r="A46" s="15" t="inlineStr">
        <is>
          <t>Waunakee Community School District</t>
        </is>
      </c>
      <c r="B46" s="15" t="inlineStr">
        <is>
          <t>WI</t>
        </is>
      </c>
      <c r="C46" s="15" t="inlineStr">
        <is>
          <t>Madison Area</t>
        </is>
      </c>
      <c r="D46" s="29" t="n">
        <v>79</v>
      </c>
      <c r="E46" s="29" t="n">
        <v>5</v>
      </c>
      <c r="F46" s="29" t="n">
        <v>5</v>
      </c>
      <c r="G46" s="30" t="n">
        <v>3</v>
      </c>
      <c r="H46" s="28" t="n">
        <v>14</v>
      </c>
      <c r="I46" s="28" t="n">
        <v>168</v>
      </c>
      <c r="J46" s="29" t="n">
        <v>8</v>
      </c>
      <c r="K46" s="28" t="n">
        <v>1</v>
      </c>
      <c r="L46" s="28" t="n">
        <v>1</v>
      </c>
      <c r="M46" s="28" t="n">
        <v>5</v>
      </c>
      <c r="N46" s="28" t="n">
        <v>1</v>
      </c>
      <c r="O46" s="28" t="n">
        <v>8</v>
      </c>
      <c r="P46" s="19" t="inlineStr">
        <is>
          <t>https://www.waunakee.k12.wi.us/departments/human-resources/substitute-resources ; https://www.waunakee.k12.wi.us/</t>
        </is>
      </c>
      <c r="Q46" s="15" t="inlineStr">
        <is>
          <t>2026-06-15</t>
        </is>
      </c>
      <c r="R46" s="15" t="n">
        <v>8</v>
      </c>
    </row>
    <row r="47" ht="35.75" customHeight="1" s="104">
      <c r="A47" s="15" t="inlineStr">
        <is>
          <t>Verona Area School District</t>
        </is>
      </c>
      <c r="B47" s="15" t="inlineStr">
        <is>
          <t>WI</t>
        </is>
      </c>
      <c r="C47" s="15" t="inlineStr">
        <is>
          <t>Madison Area</t>
        </is>
      </c>
      <c r="D47" s="29" t="n">
        <v>63</v>
      </c>
      <c r="E47" s="29" t="n">
        <v>10</v>
      </c>
      <c r="F47" s="29" t="n">
        <v>13</v>
      </c>
      <c r="G47" s="30" t="n">
        <v>6</v>
      </c>
      <c r="H47" s="28" t="n">
        <v>13</v>
      </c>
      <c r="I47" s="28" t="n">
        <v>150</v>
      </c>
      <c r="J47" s="29" t="n">
        <v>8</v>
      </c>
      <c r="K47" s="28" t="n">
        <v>1</v>
      </c>
      <c r="L47" s="28" t="n">
        <v>2</v>
      </c>
      <c r="M47" s="28" t="n">
        <v>4</v>
      </c>
      <c r="N47" s="28" t="n">
        <v>1</v>
      </c>
      <c r="O47" s="28" t="n">
        <v>8</v>
      </c>
      <c r="P47" s="19" t="inlineStr">
        <is>
          <t>https://www.verona.k12.wi.us/departments/humanresources/compensation ; https://www.verona.k12.wi.us/departments/humanresources/careers/substitute-opportunities</t>
        </is>
      </c>
      <c r="Q47" s="15" t="inlineStr">
        <is>
          <t>2026-06-15</t>
        </is>
      </c>
      <c r="R47" s="15" t="n">
        <v>8</v>
      </c>
    </row>
    <row r="48" ht="35.75" customHeight="1" s="104">
      <c r="A48" s="15" t="inlineStr">
        <is>
          <t>Beaverton School District</t>
        </is>
      </c>
      <c r="B48" s="15" t="inlineStr">
        <is>
          <t>OR</t>
        </is>
      </c>
      <c r="C48" s="15" t="inlineStr">
        <is>
          <t>Portland Metro</t>
        </is>
      </c>
      <c r="D48" s="29" t="n">
        <v>43</v>
      </c>
      <c r="E48" s="29" t="n">
        <v>25</v>
      </c>
      <c r="F48" s="29" t="n">
        <v>14</v>
      </c>
      <c r="G48" s="30" t="n">
        <v>3</v>
      </c>
      <c r="H48" s="28" t="n">
        <v>18.5</v>
      </c>
      <c r="I48" s="28" t="n">
        <v>246</v>
      </c>
      <c r="J48" s="29" t="n">
        <v>15</v>
      </c>
      <c r="K48" s="28" t="n">
        <v>6</v>
      </c>
      <c r="L48" s="28" t="n">
        <v>8</v>
      </c>
      <c r="M48" s="28" t="n">
        <v>34</v>
      </c>
      <c r="N48" s="28" t="n">
        <v>4</v>
      </c>
      <c r="O48" s="28" t="n">
        <v>52</v>
      </c>
      <c r="P48" s="19" t="inlineStr">
        <is>
          <t>https://resources.finalsite.net/images/v1749503218/beavertonk12orus/gd7r4u3u8hlfjssjnbnh/25-26FINALCERTwExtResp.pdf ; https://www.beaverton.k12.or.us/departments/human-resources/applicants/beas</t>
        </is>
      </c>
      <c r="Q48" s="15" t="inlineStr">
        <is>
          <t>2026-06-15</t>
        </is>
      </c>
      <c r="R48" s="15" t="n">
        <v>15</v>
      </c>
    </row>
    <row r="49" ht="35.75" customHeight="1" s="104">
      <c r="A49" s="15" t="inlineStr">
        <is>
          <t>Indian Prairie School District 204</t>
        </is>
      </c>
      <c r="B49" s="15" t="inlineStr">
        <is>
          <t>IL</t>
        </is>
      </c>
      <c r="C49" s="15" t="inlineStr">
        <is>
          <t>Chicago Suburbs</t>
        </is>
      </c>
      <c r="D49" s="29" t="n">
        <v>38</v>
      </c>
      <c r="E49" s="29" t="n">
        <v>18</v>
      </c>
      <c r="F49" s="29" t="n">
        <v>28</v>
      </c>
      <c r="G49" s="30" t="n">
        <v>10</v>
      </c>
      <c r="H49" s="28" t="n">
        <v>14</v>
      </c>
      <c r="I49" s="28" t="n">
        <v>258</v>
      </c>
      <c r="J49" s="29" t="n">
        <v>6</v>
      </c>
      <c r="K49" s="28" t="n">
        <v>4</v>
      </c>
      <c r="L49" s="28" t="n">
        <v>7</v>
      </c>
      <c r="M49" s="28" t="n">
        <v>21</v>
      </c>
      <c r="N49" s="28" t="n">
        <v>1</v>
      </c>
      <c r="O49" s="28" t="n">
        <v>33</v>
      </c>
      <c r="P49" s="19" t="inlineStr">
        <is>
          <t>https://www.ipsd.org/resources/data-transparency/contracts-and-agreements ; https://resources.finalsite.net/images/v1746461433/ipsdorg/ydag27zq4d3atey63stv/IPEA_2025-2026v3_12025.pdf ; Indeed substitute-teacher estimate first pass</t>
        </is>
      </c>
      <c r="Q49" s="15" t="inlineStr">
        <is>
          <t>2026-06-15</t>
        </is>
      </c>
      <c r="R49" s="15" t="n">
        <v>6</v>
      </c>
    </row>
    <row r="50" ht="35.75" customHeight="1" s="104">
      <c r="A50" s="15" t="inlineStr">
        <is>
          <t>Glenbrook High School District 225</t>
        </is>
      </c>
      <c r="B50" s="15" t="inlineStr">
        <is>
          <t>IL</t>
        </is>
      </c>
      <c r="C50" s="15" t="inlineStr">
        <is>
          <t>Chicago North Shore</t>
        </is>
      </c>
      <c r="D50" s="29" t="n">
        <v>55</v>
      </c>
      <c r="E50" s="29" t="n">
        <v>16</v>
      </c>
      <c r="F50" s="29" t="n">
        <v>19</v>
      </c>
      <c r="G50" s="30" t="n">
        <v>4</v>
      </c>
      <c r="H50" s="28" t="n">
        <v>11.5</v>
      </c>
      <c r="I50" s="28" t="n">
        <v>246</v>
      </c>
      <c r="J50" s="29" t="n">
        <v>6</v>
      </c>
      <c r="K50" s="28" t="n">
        <v>2</v>
      </c>
      <c r="L50" s="28" t="n">
        <v>0</v>
      </c>
      <c r="M50" s="28" t="n">
        <v>0</v>
      </c>
      <c r="N50" s="28" t="n">
        <v>0</v>
      </c>
      <c r="O50" s="28" t="n">
        <v>2</v>
      </c>
      <c r="P50" s="19" t="inlineStr">
        <is>
          <t>https://www.glenbrook225.org/departments/human-resources/pay-transparency ; https://staff.glenbrook225.org/fs/resource-manager/view/beb41775-feea-40a8-83be-839d1aa2f9ee ; Indeed substitute/day first pass</t>
        </is>
      </c>
      <c r="Q50" s="15" t="inlineStr">
        <is>
          <t>2026-06-15</t>
        </is>
      </c>
      <c r="R50" s="15" t="n">
        <v>6</v>
      </c>
    </row>
    <row r="51" ht="35.75" customHeight="1" s="104">
      <c r="A51" s="15" t="inlineStr">
        <is>
          <t>Mounds View Public Schools</t>
        </is>
      </c>
      <c r="B51" s="15" t="inlineStr">
        <is>
          <t>MN</t>
        </is>
      </c>
      <c r="C51" s="15" t="inlineStr">
        <is>
          <t>Twin Cities</t>
        </is>
      </c>
      <c r="D51" s="29" t="n">
        <v>55</v>
      </c>
      <c r="E51" s="29" t="n">
        <v>12</v>
      </c>
      <c r="F51" s="29" t="n">
        <v>15</v>
      </c>
      <c r="G51" s="30" t="n">
        <v>10</v>
      </c>
      <c r="H51" s="28" t="n">
        <v>16.2</v>
      </c>
      <c r="I51" s="28" t="n">
        <v>200</v>
      </c>
      <c r="J51" s="29" t="n">
        <v>8</v>
      </c>
      <c r="K51" s="28" t="n">
        <v>2</v>
      </c>
      <c r="L51" s="28" t="n">
        <v>3</v>
      </c>
      <c r="M51" s="28" t="n">
        <v>8</v>
      </c>
      <c r="N51" s="28" t="n">
        <v>0</v>
      </c>
      <c r="O51" s="28" t="n">
        <v>13</v>
      </c>
      <c r="P51" s="19" t="inlineStr">
        <is>
          <t>https://resources.finalsite.net/images/v1767030040/moundsviewschoolsorg/krhc4zxvinezdkxxh8ik/Teachers25-27.pdf ; https://www.mvpschools.org/employment</t>
        </is>
      </c>
      <c r="Q51" s="15" t="inlineStr">
        <is>
          <t>2026-06-15</t>
        </is>
      </c>
      <c r="R51" s="15" t="n">
        <v>8</v>
      </c>
    </row>
    <row r="52" ht="35.75" customHeight="1" s="104">
      <c r="A52" s="15" t="inlineStr">
        <is>
          <t>Eden Prairie Schools</t>
        </is>
      </c>
      <c r="B52" s="15" t="inlineStr">
        <is>
          <t>MN</t>
        </is>
      </c>
      <c r="C52" s="15" t="inlineStr">
        <is>
          <t>Twin Cities</t>
        </is>
      </c>
      <c r="D52" s="29" t="n">
        <v>50</v>
      </c>
      <c r="E52" s="29" t="n">
        <v>11</v>
      </c>
      <c r="F52" s="29" t="n">
        <v>24</v>
      </c>
      <c r="G52" s="30" t="n">
        <v>6</v>
      </c>
      <c r="H52" s="28" t="n">
        <v>14.6</v>
      </c>
      <c r="I52" s="28" t="n">
        <v>183</v>
      </c>
      <c r="J52" s="29" t="n">
        <v>9</v>
      </c>
      <c r="K52" s="28" t="n">
        <v>1</v>
      </c>
      <c r="L52" s="28" t="n">
        <v>2</v>
      </c>
      <c r="M52" s="28" t="n">
        <v>5</v>
      </c>
      <c r="N52" s="28" t="n">
        <v>1</v>
      </c>
      <c r="O52" s="28" t="n">
        <v>9</v>
      </c>
      <c r="P52" s="19" t="inlineStr">
        <is>
          <t>https://resources.finalsite.net/images/v1757436498/edenprorg/llnxrprxcuuikx1elsuq/EPEA2025-2027FINALCONTRACT.pdf ; https://www.applitrack.com/edenpr/OnlineApp/default.aspx?AppliTrackJobID=3655&amp;ref=</t>
        </is>
      </c>
      <c r="Q52" s="15" t="inlineStr">
        <is>
          <t>2026-06-15</t>
        </is>
      </c>
      <c r="R52" s="15" t="n">
        <v>9</v>
      </c>
    </row>
    <row r="53" ht="35.75" customHeight="1" s="104">
      <c r="A53" s="15" t="inlineStr">
        <is>
          <t>Naperville CUSD 203</t>
        </is>
      </c>
      <c r="B53" s="15" t="inlineStr">
        <is>
          <t>IL</t>
        </is>
      </c>
      <c r="C53" s="15" t="inlineStr">
        <is>
          <t>Chicago Suburbs</t>
        </is>
      </c>
      <c r="D53" s="29" t="n">
        <v>47</v>
      </c>
      <c r="E53" s="29" t="n">
        <v>14</v>
      </c>
      <c r="F53" s="29" t="n">
        <v>30</v>
      </c>
      <c r="G53" s="30" t="n">
        <v>3</v>
      </c>
      <c r="H53" s="28" t="n">
        <v>13.3</v>
      </c>
      <c r="I53" s="28" t="n">
        <v>130</v>
      </c>
      <c r="J53" s="29" t="n">
        <v>6</v>
      </c>
      <c r="K53" s="28" t="n">
        <v>2</v>
      </c>
      <c r="L53" s="28" t="n">
        <v>5</v>
      </c>
      <c r="M53" s="28" t="n">
        <v>15</v>
      </c>
      <c r="N53" s="28" t="n">
        <v>1</v>
      </c>
      <c r="O53" s="28" t="n">
        <v>23</v>
      </c>
      <c r="P53" s="19" t="inlineStr">
        <is>
          <t>https://www.naperville203.org/departments-services/human-resources/collective-bargaining-agreements ; https://resources.finalsite.net/images/v1756143021/naperville203org/yzetsbkynvoe9x6mjgl7/importantsubstituteinformation-26.pdf</t>
        </is>
      </c>
      <c r="Q53" s="15" t="inlineStr">
        <is>
          <t>2026-06-15</t>
        </is>
      </c>
      <c r="R53" s="15" t="n">
        <v>6</v>
      </c>
    </row>
    <row r="54" ht="74.75" customHeight="1" s="104">
      <c r="A54" s="2" t="inlineStr">
        <is>
          <t>Minnetonka Public Schools</t>
        </is>
      </c>
      <c r="B54" s="2" t="inlineStr">
        <is>
          <t>MN</t>
        </is>
      </c>
      <c r="C54" s="2" t="inlineStr">
        <is>
          <t>Twin Cities Suburbs</t>
        </is>
      </c>
      <c r="D54" s="2" t="n">
        <v>73</v>
      </c>
      <c r="E54" s="2" t="n">
        <v>8</v>
      </c>
      <c r="F54" s="2" t="n">
        <v>11</v>
      </c>
      <c r="G54" s="2" t="n">
        <v>4</v>
      </c>
      <c r="H54" s="2" t="n">
        <v>17</v>
      </c>
      <c r="I54" s="2" t="n">
        <v>180</v>
      </c>
      <c r="J54" s="2" t="n">
        <v>4</v>
      </c>
      <c r="K54" s="2" t="n">
        <v>1</v>
      </c>
      <c r="L54" s="2" t="n">
        <v>3</v>
      </c>
      <c r="M54" s="2" t="n">
        <v>6</v>
      </c>
      <c r="N54" s="2" t="n">
        <v>2</v>
      </c>
      <c r="O54" s="2" t="n">
        <v>12</v>
      </c>
      <c r="P54" s="2" t="inlineStr">
        <is>
          <t>https://www.minnetonkaschools.org/district/departments/hr/employee-contracts</t>
        </is>
      </c>
      <c r="Q54" s="2" t="inlineStr">
        <is>
          <t>2026-06-16</t>
        </is>
      </c>
      <c r="R54" s="2" t="inlineStr">
        <is>
          <t>First-pass profile; substitute pay estimated pending direct HR verification.</t>
        </is>
      </c>
    </row>
    <row r="55" ht="74.75" customHeight="1" s="104">
      <c r="A55" s="2" t="inlineStr">
        <is>
          <t>Wayzata Public Schools</t>
        </is>
      </c>
      <c r="B55" s="2" t="inlineStr">
        <is>
          <t>MN</t>
        </is>
      </c>
      <c r="C55" s="2" t="inlineStr">
        <is>
          <t>Twin Cities Suburbs</t>
        </is>
      </c>
      <c r="D55" s="2" t="n">
        <v>64</v>
      </c>
      <c r="E55" s="2" t="n">
        <v>9</v>
      </c>
      <c r="F55" s="2" t="n">
        <v>19</v>
      </c>
      <c r="G55" s="2" t="n">
        <v>4</v>
      </c>
      <c r="H55" s="2" t="n">
        <v>17</v>
      </c>
      <c r="I55" s="2" t="n">
        <v>165</v>
      </c>
      <c r="J55" s="2" t="n">
        <v>4</v>
      </c>
      <c r="K55" s="2" t="n">
        <v>1</v>
      </c>
      <c r="L55" s="2" t="n">
        <v>3</v>
      </c>
      <c r="M55" s="2" t="n">
        <v>9</v>
      </c>
      <c r="N55" s="2" t="n">
        <v>1</v>
      </c>
      <c r="O55" s="2" t="n">
        <v>14</v>
      </c>
      <c r="P55" s="2" t="inlineStr">
        <is>
          <t>https://www.wayzataschools.org/careers/reserve-teachers</t>
        </is>
      </c>
      <c r="Q55" s="2" t="inlineStr">
        <is>
          <t>2026-06-16</t>
        </is>
      </c>
      <c r="R55" s="2" t="inlineStr">
        <is>
          <t>District site lists 14 schools; reserve-teacher daily pay used for licensed sub pay.</t>
        </is>
      </c>
    </row>
    <row r="56" ht="74.75" customHeight="1" s="104">
      <c r="A56" s="2" t="inlineStr">
        <is>
          <t>Rosemount-Apple Valley-Eagan ISD 196</t>
        </is>
      </c>
      <c r="B56" s="2" t="inlineStr">
        <is>
          <t>MN</t>
        </is>
      </c>
      <c r="C56" s="2" t="inlineStr">
        <is>
          <t>Twin Cities Suburbs</t>
        </is>
      </c>
      <c r="D56" s="2" t="n">
        <v>54</v>
      </c>
      <c r="E56" s="2" t="n">
        <v>13</v>
      </c>
      <c r="F56" s="2" t="n">
        <v>14</v>
      </c>
      <c r="G56" s="2" t="n">
        <v>12</v>
      </c>
      <c r="H56" s="2" t="n">
        <v>15</v>
      </c>
      <c r="I56" s="2" t="n">
        <v>180</v>
      </c>
      <c r="J56" s="2" t="n">
        <v>7</v>
      </c>
      <c r="K56" s="2" t="n">
        <v>5</v>
      </c>
      <c r="L56" s="2" t="n">
        <v>6</v>
      </c>
      <c r="M56" s="2" t="n">
        <v>19</v>
      </c>
      <c r="N56" s="2" t="n">
        <v>3</v>
      </c>
      <c r="O56" s="2" t="n">
        <v>33</v>
      </c>
      <c r="P56" s="2" t="inlineStr">
        <is>
          <t>https://www.district196.org/services/human-resources/bargainingagreements</t>
        </is>
      </c>
      <c r="Q56" s="2" t="inlineStr">
        <is>
          <t>2026-06-16</t>
        </is>
      </c>
      <c r="R56" s="2" t="inlineStr">
        <is>
          <t>First-pass profile; substitute pay estimated pending direct HR verification.</t>
        </is>
      </c>
    </row>
    <row r="57" ht="74.75" customHeight="1" s="104">
      <c r="A57" s="2" t="inlineStr">
        <is>
          <t>Edina Public Schools</t>
        </is>
      </c>
      <c r="B57" s="2" t="inlineStr">
        <is>
          <t>MN</t>
        </is>
      </c>
      <c r="C57" s="2" t="inlineStr">
        <is>
          <t>Twin Cities Suburbs</t>
        </is>
      </c>
      <c r="D57" s="2" t="n">
        <v>70</v>
      </c>
      <c r="E57" s="2" t="n">
        <v>7</v>
      </c>
      <c r="F57" s="2" t="n">
        <v>14</v>
      </c>
      <c r="G57" s="2" t="n">
        <v>5</v>
      </c>
      <c r="H57" s="2" t="n">
        <v>16.5</v>
      </c>
      <c r="I57" s="2" t="n">
        <v>170</v>
      </c>
      <c r="J57" s="2" t="n">
        <v>4</v>
      </c>
      <c r="K57" s="2" t="n">
        <v>1</v>
      </c>
      <c r="L57" s="2" t="n">
        <v>2</v>
      </c>
      <c r="M57" s="2" t="n">
        <v>6</v>
      </c>
      <c r="N57" s="2" t="n">
        <v>1</v>
      </c>
      <c r="O57" s="2" t="n">
        <v>10</v>
      </c>
      <c r="P57" s="2" t="inlineStr">
        <is>
          <t>https://www.edinaschools.org/careers</t>
        </is>
      </c>
      <c r="Q57" s="2" t="inlineStr">
        <is>
          <t>2026-06-16</t>
        </is>
      </c>
      <c r="R57" s="2" t="inlineStr">
        <is>
          <t>Edina partners with Kelly Education for substitutes; daily sub pay estimated pending Kelly/HR verification.</t>
        </is>
      </c>
    </row>
    <row r="58" ht="74.75" customHeight="1" s="104">
      <c r="A58" s="2" t="inlineStr">
        <is>
          <t>New Trier Township High School District 203</t>
        </is>
      </c>
      <c r="B58" s="2" t="inlineStr">
        <is>
          <t>IL</t>
        </is>
      </c>
      <c r="C58" s="2" t="inlineStr">
        <is>
          <t>Chicago North Shore</t>
        </is>
      </c>
      <c r="D58" s="2" t="n">
        <v>68</v>
      </c>
      <c r="E58" s="2" t="n">
        <v>8</v>
      </c>
      <c r="F58" s="2" t="n">
        <v>13</v>
      </c>
      <c r="G58" s="2" t="n">
        <v>3</v>
      </c>
      <c r="H58" s="2" t="n">
        <v>12</v>
      </c>
      <c r="I58" s="2" t="n">
        <v>147</v>
      </c>
      <c r="J58" s="2" t="n">
        <v>8</v>
      </c>
      <c r="K58" s="2" t="n">
        <v>2</v>
      </c>
      <c r="L58" s="2" t="n">
        <v>0</v>
      </c>
      <c r="M58" s="2" t="n">
        <v>0</v>
      </c>
      <c r="N58" s="2" t="n">
        <v>0</v>
      </c>
      <c r="O58" s="2" t="n">
        <v>2</v>
      </c>
      <c r="P58" s="2" t="inlineStr">
        <is>
          <t>https://www.newtrier.k12.il.us/our-district/administrative-departments/human-resources/employee-agreements</t>
        </is>
      </c>
      <c r="Q58" s="2" t="inlineStr">
        <is>
          <t>2026-06-16</t>
        </is>
      </c>
      <c r="R58" s="2" t="inlineStr">
        <is>
          <t>High-school-only district; salary lane is first-pass estimate from agreement/compensation sources; sub pay estimated from hourly public posting.</t>
        </is>
      </c>
    </row>
    <row r="59">
      <c r="A59" t="inlineStr">
        <is>
          <t>Tahoe-Truckee Unified School District</t>
        </is>
      </c>
      <c r="B59" t="inlineStr">
        <is>
          <t>CA</t>
        </is>
      </c>
      <c r="C59" t="inlineStr">
        <is>
          <t>Northern California</t>
        </is>
      </c>
      <c r="D59" t="n">
        <v>57.6</v>
      </c>
      <c r="E59" t="n">
        <v>34.7</v>
      </c>
      <c r="F59" t="n">
        <v>0.6</v>
      </c>
      <c r="G59" t="n">
        <v>0.2</v>
      </c>
      <c r="H59" t="n">
        <v>18.81</v>
      </c>
      <c r="I59" t="n">
        <v>200</v>
      </c>
      <c r="J59">
        <f>100-SUM(D59:G59)</f>
        <v/>
      </c>
      <c r="K59" t="n">
        <v>2</v>
      </c>
      <c r="L59" t="n">
        <v>2</v>
      </c>
      <c r="M59" t="n">
        <v>6</v>
      </c>
      <c r="N59" t="n">
        <v>2</v>
      </c>
      <c r="O59" t="n">
        <v>12</v>
      </c>
      <c r="P59" t="inlineStr">
        <is>
          <t>CDE 2025-26 DataQuest ethnicity; NCES 2024-25 ratio and total schools; CDE school directory lists active public schools; TTUSD substitute rates page lists $200 full-day base rate.</t>
        </is>
      </c>
      <c r="Q59" t="inlineStr">
        <is>
          <t>2026-06-16</t>
        </is>
      </c>
    </row>
    <row r="60">
      <c r="A60" t="inlineStr">
        <is>
          <t>Channelview ISD</t>
        </is>
      </c>
      <c r="B60" t="inlineStr">
        <is>
          <t>TX</t>
        </is>
      </c>
      <c r="C60" t="inlineStr">
        <is>
          <t>Houston</t>
        </is>
      </c>
      <c r="D60" t="n">
        <v>4</v>
      </c>
      <c r="E60" t="n">
        <v>84.59999999999999</v>
      </c>
      <c r="F60" t="n">
        <v>1</v>
      </c>
      <c r="G60" t="n">
        <v>8</v>
      </c>
      <c r="H60" t="n">
        <v>15.6</v>
      </c>
      <c r="I60" t="n">
        <v>140</v>
      </c>
      <c r="J60" t="n">
        <v>2.4</v>
      </c>
      <c r="K60" t="n">
        <v>2</v>
      </c>
      <c r="L60" t="n">
        <v>3</v>
      </c>
      <c r="M60" t="n">
        <v>6</v>
      </c>
      <c r="N60" t="n">
        <v>1</v>
      </c>
      <c r="O60" t="n">
        <v>12</v>
      </c>
      <c r="P60" t="inlineStr">
        <is>
          <t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t>
        </is>
      </c>
      <c r="Q60" t="inlineStr">
        <is>
          <t>2026-06-16</t>
        </is>
      </c>
      <c r="R60" t="inlineStr">
        <is>
          <t>First-pass entry. Salary entered from Channelview's 2025-2026 classroom teacher hiring chart listing; verify exact step/lane values before final ranking. NCES total schools differs slightly from Texas Tribune campus count; NCES total used for total schools counted.</t>
        </is>
      </c>
    </row>
    <row r="61">
      <c r="A61" t="inlineStr">
        <is>
          <t>Plano ISD</t>
        </is>
      </c>
      <c r="B61" t="inlineStr">
        <is>
          <t>TX</t>
        </is>
      </c>
      <c r="C61" t="inlineStr">
        <is>
          <t>Dallas-Fort Worth</t>
        </is>
      </c>
      <c r="D61" t="n">
        <v>31</v>
      </c>
      <c r="E61" t="n">
        <v>30.1</v>
      </c>
      <c r="F61" t="n">
        <v>24</v>
      </c>
      <c r="G61" t="n">
        <v>12</v>
      </c>
      <c r="H61" t="n">
        <v>13.75</v>
      </c>
      <c r="I61" t="n">
        <v>130</v>
      </c>
      <c r="J61" t="n">
        <v>2.9</v>
      </c>
      <c r="K61" t="n">
        <v>11</v>
      </c>
      <c r="L61" t="n">
        <v>11</v>
      </c>
      <c r="M61" t="n">
        <v>46</v>
      </c>
      <c r="N61" t="n">
        <v>9</v>
      </c>
      <c r="O61" t="n">
        <v>77</v>
      </c>
      <c r="P61" t="inlineStr">
        <is>
          <t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t>
        </is>
      </c>
      <c r="Q61" t="inlineStr">
        <is>
          <t>2026-06-16</t>
        </is>
      </c>
      <c r="R61" t="inlineStr">
        <is>
          <t>Uses Plano ISD 2026-27 new-hire certified teacher schedule because that current public schedule was available; verify if you want strict 2025-26 comparability. NCES total schools used; Texas Tribune campus counts shown in source.</t>
        </is>
      </c>
    </row>
    <row r="62">
      <c r="A62" t="inlineStr">
        <is>
          <t>Galena Park ISD</t>
        </is>
      </c>
      <c r="B62" t="inlineStr">
        <is>
          <t>TX</t>
        </is>
      </c>
      <c r="C62" t="inlineStr">
        <is>
          <t>Houston</t>
        </is>
      </c>
      <c r="D62" t="n">
        <v>4</v>
      </c>
      <c r="E62" t="n">
        <v>82.3</v>
      </c>
      <c r="F62" t="n">
        <v>1</v>
      </c>
      <c r="G62" t="n">
        <v>10</v>
      </c>
      <c r="H62" t="n">
        <v>14.97</v>
      </c>
      <c r="I62" t="n">
        <v>125</v>
      </c>
      <c r="J62" t="n">
        <v>2.7</v>
      </c>
      <c r="K62" t="n">
        <v>6</v>
      </c>
      <c r="L62" t="n">
        <v>5</v>
      </c>
      <c r="M62" t="n">
        <v>15</v>
      </c>
      <c r="N62" t="n">
        <v>0</v>
      </c>
      <c r="O62" t="n">
        <v>26</v>
      </c>
      <c r="P62" t="inlineStr">
        <is>
          <t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t>
        </is>
      </c>
      <c r="Q62" t="inlineStr">
        <is>
          <t>2026-06-16</t>
        </is>
      </c>
      <c r="R62" t="inlineStr">
        <is>
          <t>Official 2025-26 new-hire guide lists salary by experience and master's stipend. Housing uses a first-pass blend of Redfin sale price and Realtor.com rent/listing data.</t>
        </is>
      </c>
    </row>
    <row r="63">
      <c r="A63" t="inlineStr">
        <is>
          <t>Deer Park ISD</t>
        </is>
      </c>
      <c r="B63" t="inlineStr">
        <is>
          <t>TX</t>
        </is>
      </c>
      <c r="C63" t="inlineStr">
        <is>
          <t>Houston</t>
        </is>
      </c>
      <c r="D63" t="n">
        <v>23</v>
      </c>
      <c r="E63" t="n">
        <v>66</v>
      </c>
      <c r="F63" t="n">
        <v>2</v>
      </c>
      <c r="G63" t="n">
        <v>6</v>
      </c>
      <c r="H63" t="n">
        <v>14.17</v>
      </c>
      <c r="I63" t="n">
        <v>130</v>
      </c>
      <c r="J63" t="n">
        <v>3</v>
      </c>
      <c r="K63" t="n">
        <v>2</v>
      </c>
      <c r="L63" t="n">
        <v>4</v>
      </c>
      <c r="M63" t="n">
        <v>8</v>
      </c>
      <c r="N63" t="n">
        <v>0</v>
      </c>
      <c r="O63" t="n">
        <v>14</v>
      </c>
      <c r="P63" t="inlineStr">
        <is>
          <t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t>
        </is>
      </c>
      <c r="Q63" t="inlineStr">
        <is>
          <t>2026-06-16</t>
        </is>
      </c>
      <c r="R63" t="inlineStr">
        <is>
          <t>Official DPISD compensation page provides 2025-26 instructional/professional range rather than a detailed new-hire step table; salary progression entered as first-pass estimate within published min/mid/max range.</t>
        </is>
      </c>
    </row>
    <row r="64">
      <c r="A64" t="inlineStr">
        <is>
          <t>Port Arthur ISD</t>
        </is>
      </c>
      <c r="B64" t="inlineStr">
        <is>
          <t>TX</t>
        </is>
      </c>
      <c r="C64" t="inlineStr">
        <is>
          <t>Beaumont-Port Arthur</t>
        </is>
      </c>
      <c r="D64" t="n">
        <v>3</v>
      </c>
      <c r="E64" t="n">
        <v>54.4</v>
      </c>
      <c r="F64" t="n">
        <v>2</v>
      </c>
      <c r="G64" t="n">
        <v>39</v>
      </c>
      <c r="H64" t="n">
        <v>13.19</v>
      </c>
      <c r="I64" t="n">
        <v>115</v>
      </c>
      <c r="J64" t="n">
        <v>1.6</v>
      </c>
      <c r="K64" t="n">
        <v>2</v>
      </c>
      <c r="L64" t="n">
        <v>2</v>
      </c>
      <c r="M64" t="n">
        <v>9</v>
      </c>
      <c r="N64" t="n">
        <v>2</v>
      </c>
      <c r="O64" t="n">
        <v>15</v>
      </c>
      <c r="P64" t="inlineStr">
        <is>
          <t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t>
        </is>
      </c>
      <c r="Q64" t="inlineStr">
        <is>
          <t>2026-06-16</t>
        </is>
      </c>
      <c r="R64" t="inlineStr">
        <is>
          <t>First-pass entry. Official PAISD page links a Google Drive salary schedule that was not machine-readable here; starting salary / increase bands and master's stipend were taken from the district's public announcement and should be verified against the actual schedule before final ranking.</t>
        </is>
      </c>
    </row>
    <row r="65">
      <c r="A65" t="inlineStr">
        <is>
          <t>Dublin City Schools</t>
        </is>
      </c>
      <c r="B65" t="inlineStr">
        <is>
          <t>OH</t>
        </is>
      </c>
      <c r="C65" t="inlineStr">
        <is>
          <t>Ohio / Columbus suburbs</t>
        </is>
      </c>
      <c r="D65" t="n">
        <v>57</v>
      </c>
      <c r="E65" t="n">
        <v>9</v>
      </c>
      <c r="F65" t="n">
        <v>21</v>
      </c>
      <c r="G65" t="n">
        <v>6</v>
      </c>
      <c r="H65" t="n">
        <v>15</v>
      </c>
      <c r="I65" t="n">
        <v>155</v>
      </c>
      <c r="J65" t="n">
        <v>7</v>
      </c>
      <c r="K65" t="n">
        <v>3</v>
      </c>
      <c r="L65" t="n">
        <v>5</v>
      </c>
      <c r="M65" t="n">
        <v>14</v>
      </c>
      <c r="N65" t="n">
        <v>3</v>
      </c>
      <c r="O65" t="n">
        <v>25</v>
      </c>
      <c r="P65" t="inlineStr">
        <is>
          <t>https://www.dublinschools.net/departments/treasurercfo ; https://www.dublinschools.net/about/district-profile ; https://www.dublinschools.net/departments/humanresources/current-openings ; https://www.zillow.com/rental-manager/market-trends/dublin-oh/ ; https://www.zillow.com/home-values/4426/dublin-oh/</t>
        </is>
      </c>
      <c r="Q65" t="inlineStr">
        <is>
          <t>2026-06-16</t>
        </is>
      </c>
      <c r="R65" t="inlineStr">
        <is>
          <t>First-pass Ohio addition. Dublin publishes starting salary, average teacher salary, average experience, and district profile counts; exact BA/MA 5-year and 10-year salary schedule values are estimated until an official step schedule is entered.</t>
        </is>
      </c>
    </row>
    <row r="66">
      <c r="A66" t="inlineStr">
        <is>
          <t>Mariemont City Schools</t>
        </is>
      </c>
      <c r="B66" t="inlineStr">
        <is>
          <t>OH</t>
        </is>
      </c>
      <c r="C66" t="inlineStr">
        <is>
          <t>Ohio / Cincinnati suburbs</t>
        </is>
      </c>
      <c r="D66" t="n">
        <v>82</v>
      </c>
      <c r="E66" t="n">
        <v>5</v>
      </c>
      <c r="F66" t="n">
        <v>6</v>
      </c>
      <c r="G66" t="n">
        <v>1</v>
      </c>
      <c r="H66" t="n">
        <v>13</v>
      </c>
      <c r="I66" t="n">
        <v>150</v>
      </c>
      <c r="J66" t="n">
        <v>6</v>
      </c>
      <c r="K66" t="n">
        <v>1</v>
      </c>
      <c r="L66" t="n">
        <v>1</v>
      </c>
      <c r="M66" t="n">
        <v>2</v>
      </c>
      <c r="N66" t="n">
        <v>0</v>
      </c>
      <c r="O66" t="n">
        <v>4</v>
      </c>
      <c r="P66" t="inlineStr">
        <is>
          <t>https://www.mariemontschools.org/ ; https://www.teacher.org/school-district/mariemont-city-school-district/ ; https://openpayrolls.com/rank/highest-paid-employees/ohio-mariemont-city ; https://www.zillow.com/rental-manager/market-trends/45227/ ; https://www.zillow.com/home-values/32698/mariemont-cincinnati-oh/ ; https://www.mariemontschools.org/Downloads/MHS%20Profile%20202324.pdf</t>
        </is>
      </c>
      <c r="Q66" t="inlineStr">
        <is>
          <t>2026-06-16</t>
        </is>
      </c>
      <c r="R66" t="inlineStr">
        <is>
          <t>First-pass Ohio addition. Exact 2025-26 salary step table was not publicly located in this pass; values use public salary summaries and should be replaced with an official salary schedule when available. District school count uses the four school buildings listed by Mariemont.</t>
        </is>
      </c>
    </row>
    <row r="67" ht="80" customHeight="1" s="104">
      <c r="A67" s="2" t="inlineStr">
        <is>
          <t>Las Cruces Public Schools</t>
        </is>
      </c>
      <c r="B67" s="2" t="inlineStr">
        <is>
          <t>NM</t>
        </is>
      </c>
      <c r="C67" s="2" t="inlineStr">
        <is>
          <t>Southern New Mexico</t>
        </is>
      </c>
      <c r="D67" s="2" t="n">
        <v>22</v>
      </c>
      <c r="E67" s="2" t="n">
        <v>67</v>
      </c>
      <c r="F67" s="2" t="n">
        <v>1</v>
      </c>
      <c r="G67" s="2" t="n">
        <v>2</v>
      </c>
      <c r="H67" s="2" t="n">
        <v>16.1</v>
      </c>
      <c r="I67" s="2" t="n">
        <v>180</v>
      </c>
      <c r="J67" s="2" t="n">
        <v>8</v>
      </c>
      <c r="K67" s="2" t="n">
        <v>7</v>
      </c>
      <c r="L67" s="2" t="n">
        <v>9</v>
      </c>
      <c r="M67" s="2" t="n">
        <v>24</v>
      </c>
      <c r="N67" s="2" t="n">
        <v>3</v>
      </c>
      <c r="O67" s="2" t="n">
        <v>43</v>
      </c>
      <c r="P67" s="2" t="inlineStr">
        <is>
          <t>https://www.lcps.net/documents/departments/human-resources/salary-schedules/salary-schedules-2025-2026/24126443 ; https://www.zillow.com/rental-manager/market-trends/las-cruces-nm/ ; https://www.lcps.net/</t>
        </is>
      </c>
      <c r="Q67" s="2" t="inlineStr">
        <is>
          <t>2026-06-16</t>
        </is>
      </c>
      <c r="R67" s="2" t="n">
        <v>8</v>
      </c>
    </row>
    <row r="68" ht="48" customHeight="1" s="104">
      <c r="A68" s="2" t="inlineStr">
        <is>
          <t>Rio Rancho Public Schools</t>
        </is>
      </c>
      <c r="B68" s="2" t="inlineStr">
        <is>
          <t>NM</t>
        </is>
      </c>
      <c r="C68" s="2" t="inlineStr">
        <is>
          <t>Albuquerque / Rio Rancho</t>
        </is>
      </c>
      <c r="D68" s="2" t="n">
        <v>40</v>
      </c>
      <c r="E68" s="2" t="n">
        <v>46</v>
      </c>
      <c r="F68" s="2" t="n">
        <v>3</v>
      </c>
      <c r="G68" s="2" t="n">
        <v>3</v>
      </c>
      <c r="H68" s="2" t="n">
        <v>16.3</v>
      </c>
      <c r="I68" s="2" t="n">
        <v>180</v>
      </c>
      <c r="J68" s="2" t="n">
        <v>8</v>
      </c>
      <c r="K68" s="2" t="n">
        <v>4</v>
      </c>
      <c r="L68" s="2" t="n">
        <v>4</v>
      </c>
      <c r="M68" s="2" t="n">
        <v>11</v>
      </c>
      <c r="N68" s="2" t="n">
        <v>3</v>
      </c>
      <c r="O68" s="2" t="n">
        <v>22</v>
      </c>
      <c r="P68" s="2" t="inlineStr">
        <is>
          <t>https://www.rrps.net/page/salaries ; https://www.zillow.com/rental-manager/market-trends/rio-rancho-nm/ ; https://www.rrps.net/</t>
        </is>
      </c>
      <c r="Q68" s="2" t="inlineStr">
        <is>
          <t>2026-06-16</t>
        </is>
      </c>
      <c r="R68" s="2" t="n">
        <v>8</v>
      </c>
    </row>
    <row r="69" ht="48" customHeight="1" s="104">
      <c r="A69" s="2" t="inlineStr">
        <is>
          <t>Gilbert Public Schools</t>
        </is>
      </c>
      <c r="B69" s="2" t="inlineStr">
        <is>
          <t>AZ</t>
        </is>
      </c>
      <c r="C69" s="2" t="inlineStr">
        <is>
          <t>Phoenix East Valley</t>
        </is>
      </c>
      <c r="D69" s="2" t="n">
        <v>57</v>
      </c>
      <c r="E69" s="2" t="n">
        <v>27</v>
      </c>
      <c r="F69" s="2" t="n">
        <v>5</v>
      </c>
      <c r="G69" s="2" t="n">
        <v>4</v>
      </c>
      <c r="H69" s="2" t="n">
        <v>18.1</v>
      </c>
      <c r="I69" s="2" t="n">
        <v>150</v>
      </c>
      <c r="J69" s="2" t="n">
        <v>7</v>
      </c>
      <c r="K69" s="2" t="n">
        <v>7</v>
      </c>
      <c r="L69" s="2" t="n">
        <v>6</v>
      </c>
      <c r="M69" s="2" t="n">
        <v>26</v>
      </c>
      <c r="N69" s="2" t="n">
        <v>4</v>
      </c>
      <c r="O69" s="2" t="n">
        <v>43</v>
      </c>
      <c r="P69" s="2" t="inlineStr">
        <is>
          <t>https://www.gilbertschools.net/jobs ; https://www.gilbertschools.net/ ; https://www.zillow.com/rental-manager/market-trends/gilbert-az/</t>
        </is>
      </c>
      <c r="Q69" s="2" t="inlineStr">
        <is>
          <t>2026-06-16</t>
        </is>
      </c>
      <c r="R69" s="2" t="n">
        <v>7</v>
      </c>
    </row>
    <row r="70" ht="48" customHeight="1" s="104">
      <c r="A70" s="2" t="inlineStr">
        <is>
          <t>Queen Creek Unified School District</t>
        </is>
      </c>
      <c r="B70" s="2" t="inlineStr">
        <is>
          <t>AZ</t>
        </is>
      </c>
      <c r="C70" s="2" t="inlineStr">
        <is>
          <t>Phoenix Southeast Valley</t>
        </is>
      </c>
      <c r="D70" s="2" t="n">
        <v>62</v>
      </c>
      <c r="E70" s="2" t="n">
        <v>25</v>
      </c>
      <c r="F70" s="2" t="n">
        <v>4</v>
      </c>
      <c r="G70" s="2" t="n">
        <v>3</v>
      </c>
      <c r="H70" s="2" t="n">
        <v>17.8</v>
      </c>
      <c r="I70" s="2" t="n">
        <v>145</v>
      </c>
      <c r="J70" s="2" t="n">
        <v>6</v>
      </c>
      <c r="K70" s="2" t="n">
        <v>2</v>
      </c>
      <c r="L70" s="2" t="n">
        <v>4</v>
      </c>
      <c r="M70" s="2" t="n">
        <v>9</v>
      </c>
      <c r="N70" s="2" t="n">
        <v>2</v>
      </c>
      <c r="O70" s="2" t="n">
        <v>17</v>
      </c>
      <c r="P70" s="2" t="inlineStr">
        <is>
          <t>https://www.qcusd.org/salary-schedules ; https://www.qcusd.org/ ; https://www.zillow.com/rental-manager/market-trends/queen-creek-az/</t>
        </is>
      </c>
      <c r="Q70" s="2" t="inlineStr">
        <is>
          <t>2026-06-16</t>
        </is>
      </c>
      <c r="R70" s="2" t="n">
        <v>6</v>
      </c>
    </row>
    <row r="71" ht="112" customHeight="1" s="104">
      <c r="A71" s="2" t="inlineStr">
        <is>
          <t>Vail School District</t>
        </is>
      </c>
      <c r="B71" s="2" t="inlineStr">
        <is>
          <t>AZ</t>
        </is>
      </c>
      <c r="C71" s="2" t="inlineStr">
        <is>
          <t>Tucson / Vail</t>
        </is>
      </c>
      <c r="D71" s="2" t="n">
        <v>57</v>
      </c>
      <c r="E71" s="2" t="n">
        <v>28</v>
      </c>
      <c r="F71" s="2" t="n">
        <v>3</v>
      </c>
      <c r="G71" s="2" t="n">
        <v>4</v>
      </c>
      <c r="H71" s="2" t="n">
        <v>18</v>
      </c>
      <c r="I71" s="2" t="n">
        <v>140</v>
      </c>
      <c r="J71" s="2" t="n">
        <v>8</v>
      </c>
      <c r="K71" s="2" t="n">
        <v>5</v>
      </c>
      <c r="L71" s="2" t="n">
        <v>8</v>
      </c>
      <c r="M71" s="2" t="n">
        <v>13</v>
      </c>
      <c r="N71" s="2" t="n">
        <v>2</v>
      </c>
      <c r="O71" s="2" t="n">
        <v>28</v>
      </c>
      <c r="P71" s="2" t="inlineStr">
        <is>
          <t>https://www.vailschooldistrict.org/page/salary-guides ; https://files-backend.assets.thrillshare.com/documents/asset/uploaded_file/2447/Vsd/29f4d404-804a-4c2b-b472-ba188b6c298e/Substitute_Teacher_Salary_Guide_25_26_FY.pdf ; https://www.zillow.com/rental-manager/market-trends/vail-az/</t>
        </is>
      </c>
      <c r="Q71" s="2" t="inlineStr">
        <is>
          <t>2026-06-16</t>
        </is>
      </c>
      <c r="R71" s="2" t="n">
        <v>8</v>
      </c>
    </row>
    <row r="72" ht="96" customHeight="1" s="104">
      <c r="A72" s="2" t="inlineStr">
        <is>
          <t>West Ada School District</t>
        </is>
      </c>
      <c r="B72" s="2" t="inlineStr">
        <is>
          <t>ID</t>
        </is>
      </c>
      <c r="C72" s="2" t="inlineStr">
        <is>
          <t>Boise / Meridian</t>
        </is>
      </c>
      <c r="D72" s="2" t="n">
        <v>72</v>
      </c>
      <c r="E72" s="2" t="n">
        <v>16</v>
      </c>
      <c r="F72" s="2" t="n">
        <v>4</v>
      </c>
      <c r="G72" s="2" t="n">
        <v>1</v>
      </c>
      <c r="H72" s="2" t="n">
        <v>18.9</v>
      </c>
      <c r="I72" s="2" t="n">
        <v>125</v>
      </c>
      <c r="J72" s="2" t="n">
        <v>7</v>
      </c>
      <c r="K72" s="2" t="n">
        <v>9</v>
      </c>
      <c r="L72" s="2" t="n">
        <v>8</v>
      </c>
      <c r="M72" s="2" t="n">
        <v>34</v>
      </c>
      <c r="N72" s="2" t="n">
        <v>4</v>
      </c>
      <c r="O72" s="2" t="n">
        <v>55</v>
      </c>
      <c r="P72" s="2" t="inlineStr">
        <is>
          <t>https://www.westada.org/documents/human-resources/salary-schedules/2025-26-salary-schedules/16670860 ; https://teacherquality.nctq.org/contract-database/district/West-Ada-School-District ; https://www.zillow.com/rental-manager/market-trends/meridian-id/</t>
        </is>
      </c>
      <c r="Q72" s="2" t="inlineStr">
        <is>
          <t>2026-06-16</t>
        </is>
      </c>
      <c r="R72" s="2" t="n">
        <v>7</v>
      </c>
    </row>
    <row r="73" ht="80" customHeight="1" s="104">
      <c r="A73" s="2" t="inlineStr">
        <is>
          <t>Twin Falls School District</t>
        </is>
      </c>
      <c r="B73" s="2" t="inlineStr">
        <is>
          <t>ID</t>
        </is>
      </c>
      <c r="C73" s="2" t="inlineStr">
        <is>
          <t>Magic Valley</t>
        </is>
      </c>
      <c r="D73" s="2" t="n">
        <v>61</v>
      </c>
      <c r="E73" s="2" t="n">
        <v>29</v>
      </c>
      <c r="F73" s="2" t="n">
        <v>2</v>
      </c>
      <c r="G73" s="2" t="n">
        <v>1</v>
      </c>
      <c r="H73" s="2" t="n">
        <v>17.2</v>
      </c>
      <c r="I73" s="2" t="n">
        <v>125</v>
      </c>
      <c r="J73" s="2" t="n">
        <v>7</v>
      </c>
      <c r="K73" s="2" t="n">
        <v>3</v>
      </c>
      <c r="L73" s="2" t="n">
        <v>3</v>
      </c>
      <c r="M73" s="2" t="n">
        <v>9</v>
      </c>
      <c r="N73" s="2" t="n">
        <v>2</v>
      </c>
      <c r="O73" s="2" t="n">
        <v>17</v>
      </c>
      <c r="P73" s="2" t="inlineStr">
        <is>
          <t>https://www.tfsd.org/documents/departments/human-resources/payroll-salaries/700424 ; https://www.tfsd.org/page/payroll ; https://www.zillow.com/rental-manager/market-trends/twin-falls-id/</t>
        </is>
      </c>
      <c r="Q73" s="2" t="inlineStr">
        <is>
          <t>2026-06-16</t>
        </is>
      </c>
      <c r="R73" s="2" t="n">
        <v>7</v>
      </c>
    </row>
    <row r="74" ht="112" customHeight="1" s="104">
      <c r="A74" s="2" t="inlineStr">
        <is>
          <t>Washoe County School District</t>
        </is>
      </c>
      <c r="B74" s="2" t="inlineStr">
        <is>
          <t>NV</t>
        </is>
      </c>
      <c r="C74" s="2" t="inlineStr">
        <is>
          <t>Reno / Washoe County</t>
        </is>
      </c>
      <c r="D74" s="2" t="n">
        <v>43</v>
      </c>
      <c r="E74" s="2" t="n">
        <v>41</v>
      </c>
      <c r="F74" s="2" t="n">
        <v>5</v>
      </c>
      <c r="G74" s="2" t="n">
        <v>2</v>
      </c>
      <c r="H74" s="2" t="n">
        <v>17.4</v>
      </c>
      <c r="I74" s="2" t="n">
        <v>150</v>
      </c>
      <c r="J74" s="2" t="n">
        <v>9</v>
      </c>
      <c r="K74" s="2" t="n">
        <v>23</v>
      </c>
      <c r="L74" s="2" t="n">
        <v>17</v>
      </c>
      <c r="M74" s="2" t="n">
        <v>63</v>
      </c>
      <c r="N74" s="2" t="n">
        <v>8</v>
      </c>
      <c r="O74" s="2" t="n">
        <v>111</v>
      </c>
      <c r="P74" s="2" t="inlineStr">
        <is>
          <t>https://www.washoeschools.net/careers/careers/salary-schedules ; https://resources.finalsite.net/images/v1767985515/washoeschoolsnet/ool31tlpda3bmitoudes/2025-26TeacherSalarySchedulewretrowJanuary2026increaseandSB500salarymatch.pdf ; https://www.zillow.com/rental-manager/market-trends/reno-nv/</t>
        </is>
      </c>
      <c r="Q74" s="2" t="inlineStr">
        <is>
          <t>2026-06-16</t>
        </is>
      </c>
      <c r="R74" s="2" t="n">
        <v>9</v>
      </c>
    </row>
    <row r="75" ht="64" customHeight="1" s="104">
      <c r="A75" s="2" t="inlineStr">
        <is>
          <t>Kern High School District</t>
        </is>
      </c>
      <c r="B75" s="2" t="inlineStr">
        <is>
          <t>CA</t>
        </is>
      </c>
      <c r="C75" s="2" t="inlineStr">
        <is>
          <t>Central Valley / Bakersfield</t>
        </is>
      </c>
      <c r="D75" s="2" t="n">
        <v>17</v>
      </c>
      <c r="E75" s="2" t="n">
        <v>70</v>
      </c>
      <c r="F75" s="2" t="n">
        <v>4</v>
      </c>
      <c r="G75" s="2" t="n">
        <v>6</v>
      </c>
      <c r="H75" s="2" t="n">
        <v>21.5</v>
      </c>
      <c r="I75" s="2" t="n">
        <v>200</v>
      </c>
      <c r="J75" s="2" t="n">
        <v>3</v>
      </c>
      <c r="K75" s="2" t="n">
        <v>19</v>
      </c>
      <c r="L75" s="2" t="n">
        <v>0</v>
      </c>
      <c r="M75" s="2" t="n">
        <v>0</v>
      </c>
      <c r="N75" s="2" t="n">
        <v>5</v>
      </c>
      <c r="O75" s="2" t="n">
        <v>24</v>
      </c>
      <c r="P75" s="2" t="inlineStr">
        <is>
          <t>KHSD 2025-26 Certificated Base Salary Schedule uploaded by user; BA mapped to Class I without masters, Master's mapped to Class III with masters for simplified prototype model.</t>
        </is>
      </c>
      <c r="Q75" s="2" t="inlineStr">
        <is>
          <t>2026-06-16</t>
        </is>
      </c>
      <c r="R75" s="2" t="n">
        <v>3</v>
      </c>
    </row>
    <row r="76" ht="64" customHeight="1" s="104">
      <c r="A76" s="2" t="inlineStr">
        <is>
          <t>Clovis Unified School District</t>
        </is>
      </c>
      <c r="B76" s="2" t="inlineStr">
        <is>
          <t>CA</t>
        </is>
      </c>
      <c r="C76" s="2" t="inlineStr">
        <is>
          <t>Central Valley / Fresno-Clovis</t>
        </is>
      </c>
      <c r="D76" s="2" t="n">
        <v>37</v>
      </c>
      <c r="E76" s="2" t="n">
        <v>33</v>
      </c>
      <c r="F76" s="2" t="n">
        <v>16</v>
      </c>
      <c r="G76" s="2" t="n">
        <v>3</v>
      </c>
      <c r="H76" s="2" t="n">
        <v>22.8</v>
      </c>
      <c r="I76" s="2" t="n">
        <v>210</v>
      </c>
      <c r="J76" s="2" t="n">
        <v>11</v>
      </c>
      <c r="K76" s="2" t="n">
        <v>5</v>
      </c>
      <c r="L76" s="2" t="n">
        <v>5</v>
      </c>
      <c r="M76" s="2" t="n">
        <v>34</v>
      </c>
      <c r="N76" s="2" t="n">
        <v>4</v>
      </c>
      <c r="O76" s="2" t="n">
        <v>48</v>
      </c>
      <c r="P76" s="2" t="inlineStr">
        <is>
          <t>https://www.cusd.com/salaries ; https://fresnoland.org/2023/11/09/fresno-teacher-raises/ ; https://www.zillow.com/rental-manager/market-trends/clovis-ca/</t>
        </is>
      </c>
      <c r="Q76" s="2" t="inlineStr">
        <is>
          <t>2026-06-16</t>
        </is>
      </c>
      <c r="R76" s="2" t="n">
        <v>11</v>
      </c>
    </row>
    <row r="77">
      <c r="A77" t="inlineStr">
        <is>
          <t>Hobbs Municipal Schools</t>
        </is>
      </c>
      <c r="B77" t="inlineStr">
        <is>
          <t>NM</t>
        </is>
      </c>
      <c r="C77" t="inlineStr">
        <is>
          <t>Southeast New Mexico</t>
        </is>
      </c>
      <c r="D77" t="n">
        <v>21</v>
      </c>
      <c r="E77" t="n">
        <v>70</v>
      </c>
      <c r="F77" t="n">
        <v>1</v>
      </c>
      <c r="G77" t="n">
        <v>4</v>
      </c>
      <c r="H77" t="n">
        <v>17</v>
      </c>
      <c r="I77" t="n">
        <v>150</v>
      </c>
      <c r="J77" t="n">
        <v>4</v>
      </c>
      <c r="K77" t="n">
        <v>1</v>
      </c>
      <c r="L77" t="n">
        <v>3</v>
      </c>
      <c r="M77" t="n">
        <v>10</v>
      </c>
      <c r="N77" t="n">
        <v>1</v>
      </c>
      <c r="O77" t="n">
        <v>15</v>
      </c>
      <c r="P77" t="inlineStr">
        <is>
          <t>https://files-backend.assets.thrillshare.com/documents/asset/uploaded_file/5248/Hms/57461395-c423-4519-8705-b166b34bf5fc/25-26_Certified_Salary_Schedule.pdf?disposition=inline ; https://www.hobbsschools.net/documents/departments/human-resources/salary-schedules/16446179</t>
        </is>
      </c>
      <c r="Q77" t="inlineStr">
        <is>
          <t>2026-06-17</t>
        </is>
      </c>
      <c r="R77" t="n">
        <v>4</v>
      </c>
    </row>
    <row r="78">
      <c r="A78" t="inlineStr">
        <is>
          <t>Farmington Municipal Schools</t>
        </is>
      </c>
      <c r="B78" t="inlineStr">
        <is>
          <t>NM</t>
        </is>
      </c>
      <c r="C78" t="inlineStr">
        <is>
          <t>Four Corners New Mexico</t>
        </is>
      </c>
      <c r="D78" t="n">
        <v>24</v>
      </c>
      <c r="E78" t="n">
        <v>56</v>
      </c>
      <c r="F78" t="n">
        <v>2</v>
      </c>
      <c r="G78" t="n">
        <v>3</v>
      </c>
      <c r="H78" t="n">
        <v>17.5</v>
      </c>
      <c r="I78" t="n">
        <v>140</v>
      </c>
      <c r="J78" t="n">
        <v>15</v>
      </c>
      <c r="K78" t="n">
        <v>4</v>
      </c>
      <c r="L78" t="n">
        <v>4</v>
      </c>
      <c r="M78" t="n">
        <v>10</v>
      </c>
      <c r="N78" t="n">
        <v>2</v>
      </c>
      <c r="O78" t="n">
        <v>20</v>
      </c>
      <c r="P78" t="inlineStr">
        <is>
          <t>https://files-backend.assets.thrillshare.com/documents/asset/uploaded_file/2605/Fms/20b7d19b-4e48-4c30-b917-734b8cb62d00/2025-26_Teacher.pdf?disposition=inline ; https://www.farmingtonschools.us/page/salary-schedules/</t>
        </is>
      </c>
      <c r="Q78" t="inlineStr">
        <is>
          <t>2026-06-17</t>
        </is>
      </c>
      <c r="R78" t="n">
        <v>15</v>
      </c>
    </row>
    <row r="79">
      <c r="A79" t="inlineStr">
        <is>
          <t>Carlsbad Municipal Schools</t>
        </is>
      </c>
      <c r="B79" t="inlineStr">
        <is>
          <t>NM</t>
        </is>
      </c>
      <c r="C79" t="inlineStr">
        <is>
          <t>Southeast New Mexico</t>
        </is>
      </c>
      <c r="D79" t="n">
        <v>29</v>
      </c>
      <c r="E79" t="n">
        <v>63</v>
      </c>
      <c r="F79" t="n">
        <v>1</v>
      </c>
      <c r="G79" t="n">
        <v>2</v>
      </c>
      <c r="H79" t="n">
        <v>16.5</v>
      </c>
      <c r="I79" t="n">
        <v>150</v>
      </c>
      <c r="J79" t="n">
        <v>5</v>
      </c>
      <c r="K79" t="n">
        <v>1</v>
      </c>
      <c r="L79" t="n">
        <v>2</v>
      </c>
      <c r="M79" t="n">
        <v>9</v>
      </c>
      <c r="N79" t="n">
        <v>2</v>
      </c>
      <c r="O79" t="n">
        <v>14</v>
      </c>
      <c r="P79" t="inlineStr">
        <is>
          <t>https://www.carlsbadschools.net/human-resources-home ; https://docs.google.com/spreadsheets/d/1c2DfLQSnot6LMPN4GUDIVlOWXcF9gnVc/edit?gid=878415856</t>
        </is>
      </c>
      <c r="Q79" t="inlineStr">
        <is>
          <t>2026-06-17</t>
        </is>
      </c>
      <c r="R79" t="n">
        <v>5</v>
      </c>
    </row>
    <row r="80">
      <c r="A80" t="inlineStr">
        <is>
          <t>Chaffey Joint Union High School District</t>
        </is>
      </c>
      <c r="B80" t="inlineStr">
        <is>
          <t>CA</t>
        </is>
      </c>
      <c r="C80" t="inlineStr">
        <is>
          <t>Inland Empire / San Bernardino County</t>
        </is>
      </c>
      <c r="D80" t="n">
        <v>8</v>
      </c>
      <c r="E80" t="n">
        <v>78</v>
      </c>
      <c r="F80" t="n">
        <v>5</v>
      </c>
      <c r="G80" t="n">
        <v>5</v>
      </c>
      <c r="H80" t="n">
        <v>22.5</v>
      </c>
      <c r="I80" t="n">
        <v>180</v>
      </c>
      <c r="J80" t="n">
        <v>4</v>
      </c>
      <c r="K80" t="n">
        <v>8</v>
      </c>
      <c r="L80" t="n">
        <v>0</v>
      </c>
      <c r="M80" t="n">
        <v>0</v>
      </c>
      <c r="N80" t="n">
        <v>4</v>
      </c>
      <c r="O80" t="n">
        <v>12</v>
      </c>
      <c r="P80" t="inlineStr">
        <is>
          <t>https://cjuhsd.net/apps/pages/index.jsp?uREC_ID=1762902&amp;type=d&amp;pREC_ID=2190159 ; https://4.files.edl.io/e807/10/16/25/151627-85728596-b3ab-47e6-bfd8-3c0f28fb5dbe.pdf ; https://4.files.edl.io/9882/11/19/25/192915-57d90327-94c9-48a4-8b14-c745496d224e.pdf</t>
        </is>
      </c>
      <c r="Q80" t="inlineStr">
        <is>
          <t>2026-06-17</t>
        </is>
      </c>
      <c r="R80" t="n">
        <v>4</v>
      </c>
    </row>
    <row r="81">
      <c r="A81" t="inlineStr">
        <is>
          <t>Antelope Valley Union High School District</t>
        </is>
      </c>
      <c r="B81" t="inlineStr">
        <is>
          <t>CA</t>
        </is>
      </c>
      <c r="C81" t="inlineStr">
        <is>
          <t>Northern Los Angeles County / Antelope Valley</t>
        </is>
      </c>
      <c r="D81" t="n">
        <v>14</v>
      </c>
      <c r="E81" t="n">
        <v>65</v>
      </c>
      <c r="F81" t="n">
        <v>4</v>
      </c>
      <c r="G81" t="n">
        <v>15</v>
      </c>
      <c r="H81" t="n">
        <v>21.5</v>
      </c>
      <c r="I81" t="n">
        <v>230</v>
      </c>
      <c r="J81" t="n">
        <v>2</v>
      </c>
      <c r="K81" t="n">
        <v>8</v>
      </c>
      <c r="L81" t="n">
        <v>0</v>
      </c>
      <c r="M81" t="n">
        <v>0</v>
      </c>
      <c r="N81" t="n">
        <v>4</v>
      </c>
      <c r="O81" t="n">
        <v>12</v>
      </c>
      <c r="P81" t="inlineStr">
        <is>
          <t>https://resources.finalsite.net/images/v1765573588/avdistrictorg/s3hwqugkj5t4nazjseac/2025-2028AVUHSDAVTAAgreement.pdf ; https://www.avteachers.com/salary-schedules ; https://www.edjoin.org/Home/JobPosting/2040446</t>
        </is>
      </c>
      <c r="Q81" t="inlineStr">
        <is>
          <t>2026-06-17</t>
        </is>
      </c>
      <c r="R81" t="n">
        <v>2</v>
      </c>
    </row>
    <row r="82">
      <c r="A82" t="inlineStr">
        <is>
          <t>Grossmont Union High School District</t>
        </is>
      </c>
      <c r="B82" t="inlineStr">
        <is>
          <t>CA</t>
        </is>
      </c>
      <c r="C82" t="inlineStr">
        <is>
          <t>San Diego County / East County</t>
        </is>
      </c>
      <c r="D82" t="n">
        <v>39</v>
      </c>
      <c r="E82" t="n">
        <v>39</v>
      </c>
      <c r="F82" t="n">
        <v>5</v>
      </c>
      <c r="G82" t="n">
        <v>6</v>
      </c>
      <c r="H82" t="n">
        <v>22</v>
      </c>
      <c r="I82" t="n">
        <v>180</v>
      </c>
      <c r="J82" t="n">
        <v>11</v>
      </c>
      <c r="K82" t="n">
        <v>12</v>
      </c>
      <c r="L82" t="n">
        <v>0</v>
      </c>
      <c r="M82" t="n">
        <v>0</v>
      </c>
      <c r="N82" t="n">
        <v>3</v>
      </c>
      <c r="O82" t="n">
        <v>15</v>
      </c>
      <c r="P82" t="inlineStr">
        <is>
          <t>https://www.guhsd.net/Departments/Human-Resources/Certificated-Salary-Schedules/index.html</t>
        </is>
      </c>
      <c r="Q82" t="inlineStr">
        <is>
          <t>2026-06-17</t>
        </is>
      </c>
      <c r="R82" t="n">
        <v>11</v>
      </c>
    </row>
    <row r="83">
      <c r="A83" t="inlineStr">
        <is>
          <t>Clear Creek ISD</t>
        </is>
      </c>
      <c r="B83" t="inlineStr">
        <is>
          <t>TX</t>
        </is>
      </c>
      <c r="C83" t="inlineStr">
        <is>
          <t>Houston / Bay Area</t>
        </is>
      </c>
      <c r="D83" t="n">
        <v>37</v>
      </c>
      <c r="E83" t="n">
        <v>36</v>
      </c>
      <c r="F83" t="n">
        <v>7</v>
      </c>
      <c r="G83" t="n">
        <v>13</v>
      </c>
      <c r="H83" t="n">
        <v>14.5</v>
      </c>
      <c r="I83" t="n">
        <v>125</v>
      </c>
      <c r="J83" t="n">
        <v>7</v>
      </c>
      <c r="K83" t="n">
        <v>7</v>
      </c>
      <c r="L83" t="n">
        <v>10</v>
      </c>
      <c r="M83" t="n">
        <v>27</v>
      </c>
      <c r="N83" t="n">
        <v>5</v>
      </c>
      <c r="O83" t="n">
        <v>49</v>
      </c>
      <c r="P83" t="inlineStr">
        <is>
          <t>https://www.ccisd.net/joinourteam/teach-in-ccisd ; https://resources.finalsite.net/images/v1691770822/ccisdnet/ij7a9xnseovkhvt0kvdp/2023-2024TeacherSalarySchedule.pdf</t>
        </is>
      </c>
      <c r="Q83" t="inlineStr">
        <is>
          <t>2026-06-17</t>
        </is>
      </c>
      <c r="R83" t="n">
        <v>7</v>
      </c>
    </row>
    <row r="84">
      <c r="A84" t="inlineStr">
        <is>
          <t>Pearland ISD</t>
        </is>
      </c>
      <c r="B84" t="inlineStr">
        <is>
          <t>TX</t>
        </is>
      </c>
      <c r="C84" t="inlineStr">
        <is>
          <t>Houston / Brazoria County</t>
        </is>
      </c>
      <c r="D84" t="n">
        <v>28</v>
      </c>
      <c r="E84" t="n">
        <v>44</v>
      </c>
      <c r="F84" t="n">
        <v>15</v>
      </c>
      <c r="G84" t="n">
        <v>9</v>
      </c>
      <c r="H84" t="n">
        <v>14</v>
      </c>
      <c r="I84" t="n">
        <v>105</v>
      </c>
      <c r="J84" t="n">
        <v>4</v>
      </c>
      <c r="K84" t="n">
        <v>4</v>
      </c>
      <c r="L84" t="n">
        <v>4</v>
      </c>
      <c r="M84" t="n">
        <v>11</v>
      </c>
      <c r="N84" t="n">
        <v>3</v>
      </c>
      <c r="O84" t="n">
        <v>22</v>
      </c>
      <c r="P84" t="inlineStr">
        <is>
          <t>https://www.pearlandisd.org/departments/hrs/salaries ; https://www.pearlandisd.org/fs/resource-manager/view/5344b3e9-803d-4698-98fc-0bbaebc9038b</t>
        </is>
      </c>
      <c r="Q84" t="inlineStr">
        <is>
          <t>2026-06-17</t>
        </is>
      </c>
      <c r="R84" t="n">
        <v>4</v>
      </c>
    </row>
    <row r="85">
      <c r="A85" t="inlineStr">
        <is>
          <t>Anoka-Hennepin Schools</t>
        </is>
      </c>
      <c r="B85" t="inlineStr">
        <is>
          <t>MN</t>
        </is>
      </c>
      <c r="C85" t="inlineStr">
        <is>
          <t>Twin Cities North Metro</t>
        </is>
      </c>
      <c r="D85" t="n">
        <v>64</v>
      </c>
      <c r="E85" t="n">
        <v>11</v>
      </c>
      <c r="F85" t="n">
        <v>8</v>
      </c>
      <c r="G85" t="n">
        <v>10</v>
      </c>
      <c r="H85" t="n">
        <v>17.4</v>
      </c>
      <c r="I85" t="n">
        <v>200</v>
      </c>
      <c r="J85" t="n">
        <v>7</v>
      </c>
      <c r="K85" t="n">
        <v>5</v>
      </c>
      <c r="L85" t="n">
        <v>6</v>
      </c>
      <c r="M85" t="n">
        <v>26</v>
      </c>
      <c r="N85" t="n">
        <v>6</v>
      </c>
      <c r="O85" t="n">
        <v>43</v>
      </c>
      <c r="P85" t="inlineStr">
        <is>
          <t>https://jobs.ahschools.us/benefits/contracts ; https://resources.finalsite.net/images/v1770663095/ahschoolsus/ahschoolsus/cpikphj1tyzwgkdqpc7l/Teacher-AHEM.pdf ; https://resources.finalsite.net/images/v1765560264/ahschoolsus/ahschoolsus/ahschoolsus/yxrkdfjvky6vhcawczvq/Activity.pdf</t>
        </is>
      </c>
      <c r="Q85" t="inlineStr">
        <is>
          <t>2026-06-17</t>
        </is>
      </c>
      <c r="R85" t="n">
        <v>7</v>
      </c>
    </row>
    <row r="86">
      <c r="A86" t="inlineStr">
        <is>
          <t>Osseo Area Schools / ISD 279</t>
        </is>
      </c>
      <c r="B86" t="inlineStr">
        <is>
          <t>MN</t>
        </is>
      </c>
      <c r="C86" t="inlineStr">
        <is>
          <t>Twin Cities Northwest Metro</t>
        </is>
      </c>
      <c r="D86" t="n">
        <v>46</v>
      </c>
      <c r="E86" t="n">
        <v>15</v>
      </c>
      <c r="F86" t="n">
        <v>18</v>
      </c>
      <c r="G86" t="n">
        <v>12</v>
      </c>
      <c r="H86" t="n">
        <v>16.8</v>
      </c>
      <c r="I86" t="n">
        <v>200</v>
      </c>
      <c r="J86" t="n">
        <v>9</v>
      </c>
      <c r="K86" t="n">
        <v>3</v>
      </c>
      <c r="L86" t="n">
        <v>4</v>
      </c>
      <c r="M86" t="n">
        <v>17</v>
      </c>
      <c r="N86" t="n">
        <v>7</v>
      </c>
      <c r="O86" t="n">
        <v>31</v>
      </c>
      <c r="P86" t="inlineStr">
        <is>
          <t>https://www.osseoschools.org/careers/life-279/workagreements ; https://resources.finalsite.net/images/v1777648251/district279org/yhlbsugypdbmkm9mlaa4/2025-2027TeachersFINAL1.pdf ; https://www.osseoschools.org/become-a-substitute</t>
        </is>
      </c>
      <c r="Q86" t="inlineStr">
        <is>
          <t>2026-06-17</t>
        </is>
      </c>
      <c r="R86" t="n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6"/>
  <sheetViews>
    <sheetView workbookViewId="0">
      <selection activeCell="A1" sqref="A1"/>
    </sheetView>
  </sheetViews>
  <sheetFormatPr baseColWidth="10" defaultColWidth="8.83203125" defaultRowHeight="15"/>
  <cols>
    <col width="34" customWidth="1" style="104" min="1" max="1"/>
    <col width="9" customWidth="1" style="104" min="2" max="2"/>
    <col width="22" customWidth="1" style="104" min="3" max="3"/>
    <col width="17" customWidth="1" style="104" min="4" max="4"/>
    <col width="14" customWidth="1" style="104" min="5" max="5"/>
    <col width="22" customWidth="1" style="104" min="6" max="6"/>
    <col width="58" customWidth="1" style="104" min="7" max="7"/>
    <col width="10" customWidth="1" style="104" min="8" max="15"/>
    <col width="24" customWidth="1" style="104" min="16" max="16"/>
    <col width="10" customWidth="1" style="104" min="17" max="28"/>
  </cols>
  <sheetData>
    <row r="1" ht="53.25" customHeight="1" s="104">
      <c r="A1" s="31" t="inlineStr">
        <is>
          <t>District</t>
        </is>
      </c>
      <c r="B1" s="31" t="inlineStr">
        <is>
          <t>State</t>
        </is>
      </c>
      <c r="C1" s="31" t="inlineStr">
        <is>
          <t>Area</t>
        </is>
      </c>
      <c r="D1" s="31" t="inlineStr">
        <is>
          <t>Median Home Price</t>
        </is>
      </c>
      <c r="E1" s="31" t="inlineStr">
        <is>
          <t>Median Rent</t>
        </is>
      </c>
      <c r="F1" s="31" t="inlineStr">
        <is>
          <t>Median Home Price per Sq Ft</t>
        </is>
      </c>
      <c r="G1" s="31" t="inlineStr">
        <is>
          <t>PPSF Source URL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</row>
    <row r="2" ht="35.75" customHeight="1" s="104">
      <c r="A2" s="10" t="inlineStr">
        <is>
          <t>Alief ISD</t>
        </is>
      </c>
      <c r="B2" s="10" t="inlineStr">
        <is>
          <t>TX</t>
        </is>
      </c>
      <c r="C2" s="10" t="inlineStr">
        <is>
          <t>Alief, TX</t>
        </is>
      </c>
      <c r="D2" s="12" t="n">
        <v>215000</v>
      </c>
      <c r="E2" s="12" t="n">
        <v>1350</v>
      </c>
      <c r="F2" s="12" t="n">
        <v>113</v>
      </c>
      <c r="G2" s="8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 ht="35.75" customHeight="1" s="104">
      <c r="A3" s="10" t="inlineStr">
        <is>
          <t>Arcadia Unified School District</t>
        </is>
      </c>
      <c r="B3" s="10" t="inlineStr">
        <is>
          <t>CA</t>
        </is>
      </c>
      <c r="C3" s="10" t="inlineStr">
        <is>
          <t>Arcadia, CA</t>
        </is>
      </c>
      <c r="D3" s="12" t="n">
        <v>1800000</v>
      </c>
      <c r="E3" s="12" t="n">
        <v>3290</v>
      </c>
      <c r="F3" s="12" t="n">
        <v>736</v>
      </c>
      <c r="G3" s="8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</row>
    <row r="4" ht="35.75" customHeight="1" s="104">
      <c r="A4" s="10" t="inlineStr">
        <is>
          <t>Austin ISD</t>
        </is>
      </c>
      <c r="B4" s="10" t="inlineStr">
        <is>
          <t>TX</t>
        </is>
      </c>
      <c r="C4" s="10" t="inlineStr">
        <is>
          <t>Austin, TX</t>
        </is>
      </c>
      <c r="D4" s="12" t="n">
        <v>506276</v>
      </c>
      <c r="E4" s="12" t="n">
        <v>1956</v>
      </c>
      <c r="F4" s="12" t="n">
        <v>294</v>
      </c>
      <c r="G4" s="8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</row>
    <row r="5" ht="35.75" customHeight="1" s="104">
      <c r="A5" s="10" t="inlineStr">
        <is>
          <t>Barbers Hill ISD</t>
        </is>
      </c>
      <c r="B5" s="10" t="inlineStr">
        <is>
          <t>TX</t>
        </is>
      </c>
      <c r="C5" s="10" t="inlineStr">
        <is>
          <t>Mont Belvieu, TX</t>
        </is>
      </c>
      <c r="D5" s="12" t="n">
        <v>457726</v>
      </c>
      <c r="E5" s="12" t="n">
        <v>1496</v>
      </c>
      <c r="F5" s="12" t="n">
        <v>190</v>
      </c>
      <c r="G5" s="8" t="inlineStr">
        <is>
          <t>https://www.redfin.com/city/12568/TX/Mont-Belvieu/housing-market ; https://www.apartments.com/rent-market-trends/mont-belvieu-tx/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</row>
    <row r="6" ht="35.75" customHeight="1" s="104">
      <c r="A6" s="10" t="inlineStr">
        <is>
          <t>Canyons School District</t>
        </is>
      </c>
      <c r="B6" s="10" t="inlineStr">
        <is>
          <t>UT</t>
        </is>
      </c>
      <c r="C6" s="10" t="inlineStr">
        <is>
          <t>Sandy / Canyons District, UT</t>
        </is>
      </c>
      <c r="D6" s="12" t="n">
        <v>660000</v>
      </c>
      <c r="E6" s="12" t="n">
        <v>2084</v>
      </c>
      <c r="F6" s="12" t="n">
        <v>252</v>
      </c>
      <c r="G6" s="8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 ht="35.75" customHeight="1" s="104">
      <c r="A7" s="10" t="inlineStr">
        <is>
          <t>Chandler Unified School District</t>
        </is>
      </c>
      <c r="B7" s="10" t="inlineStr">
        <is>
          <t>AZ</t>
        </is>
      </c>
      <c r="C7" s="10" t="inlineStr">
        <is>
          <t>Chandler, AZ</t>
        </is>
      </c>
      <c r="D7" s="12" t="n">
        <v>520000</v>
      </c>
      <c r="E7" s="12" t="n">
        <v>2388</v>
      </c>
      <c r="F7" s="12" t="n">
        <v>286</v>
      </c>
      <c r="G7" s="8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</row>
    <row r="8" ht="35.75" customHeight="1" s="104">
      <c r="A8" s="10" t="inlineStr">
        <is>
          <t>Chapel Hill-Carrboro City Schools</t>
        </is>
      </c>
      <c r="B8" s="10" t="inlineStr">
        <is>
          <t>NC</t>
        </is>
      </c>
      <c r="C8" s="10" t="inlineStr">
        <is>
          <t>Chapel Hill, NC</t>
        </is>
      </c>
      <c r="D8" s="12" t="n">
        <v>634403</v>
      </c>
      <c r="E8" s="12" t="n">
        <v>1850</v>
      </c>
      <c r="F8" s="12" t="n">
        <v>296</v>
      </c>
      <c r="G8" s="8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</row>
    <row r="9" ht="35.75" customHeight="1" s="104">
      <c r="A9" s="10" t="inlineStr">
        <is>
          <t>Cherry Creek School District</t>
        </is>
      </c>
      <c r="B9" s="10" t="inlineStr">
        <is>
          <t>CO</t>
        </is>
      </c>
      <c r="C9" s="10" t="inlineStr">
        <is>
          <t>Aurora &amp; Centennial, CO average</t>
        </is>
      </c>
      <c r="D9" s="12" t="n">
        <v>556984</v>
      </c>
      <c r="E9" s="12" t="n">
        <v>2208</v>
      </c>
      <c r="F9" s="12" t="n">
        <v>255</v>
      </c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</row>
    <row r="10" ht="35.75" customHeight="1" s="104">
      <c r="A10" s="10" t="inlineStr">
        <is>
          <t>Chicago Public Schools</t>
        </is>
      </c>
      <c r="B10" s="10" t="inlineStr">
        <is>
          <t>IL</t>
        </is>
      </c>
      <c r="C10" s="10" t="inlineStr">
        <is>
          <t>Chicago, IL</t>
        </is>
      </c>
      <c r="D10" s="12" t="n">
        <v>419749</v>
      </c>
      <c r="E10" s="12" t="n">
        <v>2406</v>
      </c>
      <c r="F10" s="12" t="n">
        <v>303</v>
      </c>
      <c r="G10" s="8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</row>
    <row r="11" ht="35.75" customHeight="1" s="104">
      <c r="A11" s="10" t="inlineStr">
        <is>
          <t>Cobb County School District</t>
        </is>
      </c>
      <c r="B11" s="10" t="inlineStr">
        <is>
          <t>GA</t>
        </is>
      </c>
      <c r="C11" s="10" t="inlineStr">
        <is>
          <t>Marietta / Cobb County, GA</t>
        </is>
      </c>
      <c r="D11" s="12" t="n">
        <v>475000</v>
      </c>
      <c r="E11" s="12" t="n">
        <v>1534</v>
      </c>
      <c r="F11" s="12" t="n">
        <v>212</v>
      </c>
      <c r="G11" s="8" t="inlineStr">
        <is>
          <t>https://media.cobbk12.org/media/WWWCobb/medialib/teacher-salary-schedule.56404f113440.pdf ; https://www.cobbk12.org/the-district ; https://www.cobbk12.org/cobb-schools-delivers-balanced-budget-focused-on-classrooms-safety-and-long-term-stability.128573 ; https://www.cobbk12.org/substitute-teacher ; https://nces.ed.gov/ccd/districtsearch/district_detail.asp?ID2=1301290 ; https://www.apartments.com/rent-market-trends/marietta-ga/ ; https://www.redfin.com/city/12766/GA/Marietta/housing-market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</row>
    <row r="12" ht="35.75" customHeight="1" s="104">
      <c r="A12" s="10" t="inlineStr">
        <is>
          <t>Denver Public Schools</t>
        </is>
      </c>
      <c r="B12" s="10" t="inlineStr">
        <is>
          <t>CO</t>
        </is>
      </c>
      <c r="C12" s="10" t="inlineStr">
        <is>
          <t>Denver, CO</t>
        </is>
      </c>
      <c r="D12" s="12" t="n">
        <v>542000</v>
      </c>
      <c r="E12" s="12" t="n">
        <v>2000</v>
      </c>
      <c r="F12" s="12" t="n">
        <v>367</v>
      </c>
      <c r="G12" s="8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</row>
    <row r="13" ht="35.75" customHeight="1" s="104">
      <c r="A13" s="10" t="inlineStr">
        <is>
          <t>Eanes ISD</t>
        </is>
      </c>
      <c r="B13" s="10" t="inlineStr">
        <is>
          <t>TX</t>
        </is>
      </c>
      <c r="C13" s="10" t="inlineStr">
        <is>
          <t>Austin 78746 / West Lake Hills, TX</t>
        </is>
      </c>
      <c r="D13" s="12" t="n">
        <v>1724921</v>
      </c>
      <c r="E13" s="12" t="n">
        <v>3900</v>
      </c>
      <c r="F13" s="12" t="n">
        <v>558</v>
      </c>
      <c r="G13" s="8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</row>
    <row r="14" ht="35.75" customHeight="1" s="104">
      <c r="A14" s="10" t="inlineStr">
        <is>
          <t>Flagstaff Unified School District</t>
        </is>
      </c>
      <c r="B14" s="10" t="inlineStr">
        <is>
          <t>AZ</t>
        </is>
      </c>
      <c r="C14" s="10" t="inlineStr">
        <is>
          <t>Flagstaff, AZ</t>
        </is>
      </c>
      <c r="D14" s="12" t="n">
        <v>710000</v>
      </c>
      <c r="E14" s="12" t="n">
        <v>2300</v>
      </c>
      <c r="F14" s="12" t="n">
        <v>368</v>
      </c>
      <c r="G14" s="8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</row>
    <row r="15" ht="35.75" customHeight="1" s="104">
      <c r="A15" s="10" t="inlineStr">
        <is>
          <t>Glendale Union High School District</t>
        </is>
      </c>
      <c r="B15" s="10" t="inlineStr">
        <is>
          <t>AZ</t>
        </is>
      </c>
      <c r="C15" s="10" t="inlineStr">
        <is>
          <t>Glendale, AZ</t>
        </is>
      </c>
      <c r="D15" s="12" t="n">
        <v>408630</v>
      </c>
      <c r="E15" s="12" t="n">
        <v>1987</v>
      </c>
      <c r="F15" s="12" t="n">
        <v>211</v>
      </c>
      <c r="G15" s="8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</row>
    <row r="16" ht="35.75" customHeight="1" s="104">
      <c r="A16" s="10" t="inlineStr">
        <is>
          <t>Glendora Unified School District</t>
        </is>
      </c>
      <c r="B16" s="10" t="inlineStr">
        <is>
          <t>CA</t>
        </is>
      </c>
      <c r="C16" s="10" t="inlineStr">
        <is>
          <t>Glendora, CA</t>
        </is>
      </c>
      <c r="D16" s="12" t="n">
        <v>900000</v>
      </c>
      <c r="E16" s="12" t="n">
        <v>2700</v>
      </c>
      <c r="F16" s="12" t="n">
        <v>583</v>
      </c>
      <c r="G16" s="8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</row>
    <row r="17" ht="35.75" customHeight="1" s="104">
      <c r="A17" s="10" t="inlineStr">
        <is>
          <t>Gwinnett County Public Schools</t>
        </is>
      </c>
      <c r="B17" s="10" t="inlineStr">
        <is>
          <t>GA</t>
        </is>
      </c>
      <c r="C17" s="10" t="inlineStr">
        <is>
          <t>Lawrenceville / Gwinnett County, GA</t>
        </is>
      </c>
      <c r="D17" s="12" t="n">
        <v>365000</v>
      </c>
      <c r="E17" s="12" t="n">
        <v>1718</v>
      </c>
      <c r="F17" s="12" t="n">
        <v>165</v>
      </c>
      <c r="G17" s="8" t="inlineStr">
        <is>
          <t>https://resources.finalsite.net/images/v1719000691/gcpsk12org/lmrrhx4bc5hdy3ivppap/2024-2025_Teacher_Salary_Scheduleeq.pdf ; https://www.gcpsk12.org/about-us/gcps-by-the-numbers ; https://www.gcpsk12.org/about-us/careers/hr-support/substitute-management/general-information ; https://nces.ed.gov/ccd/districtsearch/district_detail.asp?ID2=1302550 ; https://www.apartments.com/rent-market-trends/lawrenceville-ga/ ; https://www.redfin.com/city/11598/GA/Lawrenceville/housing-market</t>
        </is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</row>
    <row r="18" ht="35.75" customHeight="1" s="104">
      <c r="A18" s="10" t="inlineStr">
        <is>
          <t>Jordan District</t>
        </is>
      </c>
      <c r="B18" s="10" t="inlineStr">
        <is>
          <t>UT</t>
        </is>
      </c>
      <c r="C18" s="10" t="inlineStr">
        <is>
          <t>West Jordan, UT</t>
        </is>
      </c>
      <c r="D18" s="12" t="n">
        <v>580000</v>
      </c>
      <c r="E18" s="12" t="n">
        <v>1689</v>
      </c>
      <c r="F18" s="12" t="n">
        <v>232</v>
      </c>
      <c r="G18" s="8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</row>
    <row r="19" ht="35.75" customHeight="1" s="104">
      <c r="A19" s="10" t="inlineStr">
        <is>
          <t>Katy ISD</t>
        </is>
      </c>
      <c r="B19" s="10" t="inlineStr">
        <is>
          <t>TX</t>
        </is>
      </c>
      <c r="C19" s="10" t="inlineStr">
        <is>
          <t>Katy, TX</t>
        </is>
      </c>
      <c r="D19" s="12" t="n">
        <v>350000</v>
      </c>
      <c r="E19" s="12" t="n">
        <v>1650</v>
      </c>
      <c r="F19" s="12" t="n">
        <v>160</v>
      </c>
      <c r="G19" s="8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</row>
    <row r="20" ht="35.75" customHeight="1" s="104">
      <c r="A20" s="10" t="inlineStr">
        <is>
          <t>La Cañada Unified School District</t>
        </is>
      </c>
      <c r="B20" s="10" t="inlineStr">
        <is>
          <t>CA</t>
        </is>
      </c>
      <c r="C20" s="10" t="inlineStr">
        <is>
          <t>La Cañada Flintridge, CA</t>
        </is>
      </c>
      <c r="D20" s="12" t="n">
        <v>2499891</v>
      </c>
      <c r="E20" s="12" t="n">
        <v>5900</v>
      </c>
      <c r="F20" s="12" t="n">
        <v>1030</v>
      </c>
      <c r="G20" s="8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</row>
    <row r="21" ht="35.75" customHeight="1" s="104">
      <c r="A21" s="10" t="inlineStr">
        <is>
          <t>Lake Washington School District</t>
        </is>
      </c>
      <c r="B21" s="10" t="inlineStr">
        <is>
          <t>WA</t>
        </is>
      </c>
      <c r="C21" s="10" t="inlineStr">
        <is>
          <t>Redmond / Kirkland, WA</t>
        </is>
      </c>
      <c r="D21" s="12" t="n">
        <v>1299222</v>
      </c>
      <c r="E21" s="12" t="n">
        <v>3061</v>
      </c>
      <c r="F21" s="12" t="n">
        <v>650</v>
      </c>
      <c r="G21" s="8" t="inlineStr">
        <is>
          <t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t>
        </is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</row>
    <row r="22" ht="35.75" customHeight="1" s="104">
      <c r="A22" s="10" t="inlineStr">
        <is>
          <t>Leander ISD</t>
        </is>
      </c>
      <c r="B22" s="10" t="inlineStr">
        <is>
          <t>TX</t>
        </is>
      </c>
      <c r="C22" s="10" t="inlineStr">
        <is>
          <t>Austin, TX</t>
        </is>
      </c>
      <c r="D22" s="12" t="n">
        <v>512000</v>
      </c>
      <c r="E22" s="12" t="n">
        <v>1500</v>
      </c>
      <c r="F22" s="12" t="n">
        <v>190</v>
      </c>
      <c r="G22" s="8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</row>
    <row r="23" ht="35.75" customHeight="1" s="104">
      <c r="A23" s="10" t="inlineStr">
        <is>
          <t>Los Angeles Unified</t>
        </is>
      </c>
      <c r="B23" s="10" t="inlineStr">
        <is>
          <t>CA</t>
        </is>
      </c>
      <c r="C23" s="10" t="inlineStr">
        <is>
          <t>Los Angeles, CA</t>
        </is>
      </c>
      <c r="D23" s="12" t="n">
        <v>956465</v>
      </c>
      <c r="E23" s="12" t="n">
        <v>2650</v>
      </c>
      <c r="F23" s="12" t="n">
        <v>634</v>
      </c>
      <c r="G23" s="8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</row>
    <row r="24" ht="35.75" customHeight="1" s="104">
      <c r="A24" s="10" t="inlineStr">
        <is>
          <t>Loudoun County Public Schools</t>
        </is>
      </c>
      <c r="B24" s="10" t="inlineStr">
        <is>
          <t>VA</t>
        </is>
      </c>
      <c r="C24" s="10" t="inlineStr">
        <is>
          <t>Ashburn / Loudoun County, VA</t>
        </is>
      </c>
      <c r="D24" s="12" t="n">
        <v>679593</v>
      </c>
      <c r="E24" s="12" t="n">
        <v>2680</v>
      </c>
      <c r="F24" s="12" t="n">
        <v>309</v>
      </c>
      <c r="G24" s="8" t="inlineStr">
        <is>
          <t>https://www.redfin.com/city/29015/VA/Ashburn/housing-market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</row>
    <row r="25" ht="35.75" customHeight="1" s="104">
      <c r="A25" s="10" t="inlineStr">
        <is>
          <t>Madison Metropolitan School District</t>
        </is>
      </c>
      <c r="B25" s="10" t="inlineStr">
        <is>
          <t>WI</t>
        </is>
      </c>
      <c r="C25" s="10" t="inlineStr">
        <is>
          <t>Madison, WI</t>
        </is>
      </c>
      <c r="D25" s="12" t="n">
        <v>439737</v>
      </c>
      <c r="E25" s="12" t="n">
        <v>1655</v>
      </c>
      <c r="F25" s="12" t="n">
        <v>261</v>
      </c>
      <c r="G25" s="8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</row>
    <row r="26" ht="35.75" customHeight="1" s="104">
      <c r="A26" s="10" t="inlineStr">
        <is>
          <t>Metro Nashville Public Schools</t>
        </is>
      </c>
      <c r="B26" s="10" t="inlineStr">
        <is>
          <t>TN</t>
        </is>
      </c>
      <c r="C26" s="10" t="inlineStr">
        <is>
          <t>Nashville, TN</t>
        </is>
      </c>
      <c r="D26" s="12" t="n">
        <v>436355</v>
      </c>
      <c r="E26" s="12" t="n">
        <v>2195</v>
      </c>
      <c r="F26" s="12" t="n">
        <v>274</v>
      </c>
      <c r="G26" s="8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</row>
    <row r="27" ht="35.75" customHeight="1" s="104">
      <c r="A27" s="10" t="inlineStr">
        <is>
          <t>Nassau County School District</t>
        </is>
      </c>
      <c r="B27" s="10" t="inlineStr">
        <is>
          <t>FL</t>
        </is>
      </c>
      <c r="C27" s="10" t="inlineStr">
        <is>
          <t>Yulee / Nassau County, FL</t>
        </is>
      </c>
      <c r="D27" s="12" t="n">
        <v>421075</v>
      </c>
      <c r="E27" s="12" t="n">
        <v>1834</v>
      </c>
      <c r="F27" s="12" t="n">
        <v>212</v>
      </c>
      <c r="G27" s="8" t="inlineStr">
        <is>
          <t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t>
        </is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</row>
    <row r="28" ht="35.75" customHeight="1" s="104">
      <c r="A28" s="10" t="inlineStr">
        <is>
          <t>North Clackamas School District</t>
        </is>
      </c>
      <c r="B28" s="10" t="inlineStr">
        <is>
          <t>OR</t>
        </is>
      </c>
      <c r="C28" s="10" t="inlineStr">
        <is>
          <t>Milwaukie / North Clackamas, OR</t>
        </is>
      </c>
      <c r="D28" s="12" t="n">
        <v>518000</v>
      </c>
      <c r="E28" s="12" t="n">
        <v>1699</v>
      </c>
      <c r="F28" s="12" t="n">
        <v>279</v>
      </c>
      <c r="G28" s="8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</row>
    <row r="29" ht="35.75" customHeight="1" s="104">
      <c r="A29" s="10" t="inlineStr">
        <is>
          <t>Oakland Unified School District</t>
        </is>
      </c>
      <c r="B29" s="10" t="inlineStr">
        <is>
          <t>CA</t>
        </is>
      </c>
      <c r="C29" s="10" t="inlineStr">
        <is>
          <t>Oakland, CA</t>
        </is>
      </c>
      <c r="D29" s="12" t="n">
        <v>850000</v>
      </c>
      <c r="E29" s="12" t="n">
        <v>2700</v>
      </c>
      <c r="F29" s="12" t="n">
        <v>577</v>
      </c>
      <c r="G29" s="8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</row>
    <row r="30" ht="35.75" customHeight="1" s="104">
      <c r="A30" s="10" t="inlineStr">
        <is>
          <t>Ocean Springs School District</t>
        </is>
      </c>
      <c r="B30" s="10" t="inlineStr">
        <is>
          <t>MS</t>
        </is>
      </c>
      <c r="C30" s="10" t="inlineStr">
        <is>
          <t>Ocean Springs, MS</t>
        </is>
      </c>
      <c r="D30" s="12" t="n">
        <v>294824</v>
      </c>
      <c r="E30" s="12" t="n">
        <v>2100</v>
      </c>
      <c r="F30" s="12" t="n">
        <v>201</v>
      </c>
      <c r="G30" s="8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</row>
    <row r="31" ht="35.75" customHeight="1" s="104">
      <c r="A31" s="10" t="inlineStr">
        <is>
          <t>Oxnard Union High School District</t>
        </is>
      </c>
      <c r="B31" s="10" t="inlineStr">
        <is>
          <t>CA</t>
        </is>
      </c>
      <c r="C31" s="10" t="inlineStr">
        <is>
          <t>Oxnard, CA</t>
        </is>
      </c>
      <c r="D31" s="12" t="n">
        <v>767000</v>
      </c>
      <c r="E31" s="12" t="n">
        <v>2912</v>
      </c>
      <c r="F31" s="12" t="n">
        <v>514</v>
      </c>
      <c r="G31" s="8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</row>
    <row r="32" ht="35.75" customHeight="1" s="104">
      <c r="A32" s="10" t="inlineStr">
        <is>
          <t>Portland Public Schools</t>
        </is>
      </c>
      <c r="B32" s="10" t="inlineStr">
        <is>
          <t>OR</t>
        </is>
      </c>
      <c r="C32" s="10" t="inlineStr">
        <is>
          <t>Portland, OR</t>
        </is>
      </c>
      <c r="D32" s="12" t="n">
        <v>538687</v>
      </c>
      <c r="E32" s="12" t="n">
        <v>1725</v>
      </c>
      <c r="F32" s="12" t="n">
        <v>328</v>
      </c>
      <c r="G32" s="8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</row>
    <row r="33" ht="35.75" customHeight="1" s="104">
      <c r="A33" s="10" t="inlineStr">
        <is>
          <t>Provo City School District</t>
        </is>
      </c>
      <c r="B33" s="10" t="inlineStr">
        <is>
          <t>UT</t>
        </is>
      </c>
      <c r="C33" s="10" t="inlineStr">
        <is>
          <t>Provo, UT</t>
        </is>
      </c>
      <c r="D33" s="12" t="n">
        <v>533000</v>
      </c>
      <c r="E33" s="12" t="n">
        <v>1550</v>
      </c>
      <c r="F33" s="12" t="n">
        <v>267</v>
      </c>
      <c r="G33" s="8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</row>
    <row r="34" ht="35.75" customHeight="1" s="104">
      <c r="A34" s="10" t="inlineStr">
        <is>
          <t>Royal ISD</t>
        </is>
      </c>
      <c r="B34" s="10" t="inlineStr">
        <is>
          <t>TX</t>
        </is>
      </c>
      <c r="C34" s="10" t="inlineStr">
        <is>
          <t>Brookshire/Pattison, TX</t>
        </is>
      </c>
      <c r="D34" s="12" t="n">
        <v>335000</v>
      </c>
      <c r="E34" s="12" t="n">
        <v>2245</v>
      </c>
      <c r="F34" s="12" t="n">
        <v>161</v>
      </c>
      <c r="G34" s="8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</row>
    <row r="35" ht="35.75" customHeight="1" s="104">
      <c r="A35" s="10" t="inlineStr">
        <is>
          <t>Saint Helena Unified School District</t>
        </is>
      </c>
      <c r="B35" s="10" t="inlineStr">
        <is>
          <t>CA</t>
        </is>
      </c>
      <c r="C35" s="10" t="inlineStr">
        <is>
          <t>St. Helena, CA</t>
        </is>
      </c>
      <c r="D35" s="12" t="n">
        <v>2323609</v>
      </c>
      <c r="E35" s="12" t="n">
        <v>5995</v>
      </c>
      <c r="F35" s="12" t="n">
        <v>903</v>
      </c>
      <c r="G35" s="8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</row>
    <row r="36" ht="35.75" customHeight="1" s="104">
      <c r="A36" s="10" t="inlineStr">
        <is>
          <t>Salt Lake School District</t>
        </is>
      </c>
      <c r="B36" s="10" t="inlineStr">
        <is>
          <t>UT</t>
        </is>
      </c>
      <c r="C36" s="10" t="inlineStr">
        <is>
          <t>Salt Lake City, UT</t>
        </is>
      </c>
      <c r="D36" s="12" t="n">
        <v>580000</v>
      </c>
      <c r="E36" s="12" t="n">
        <v>1600</v>
      </c>
      <c r="F36" s="12" t="n">
        <v>372</v>
      </c>
      <c r="G36" s="8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</row>
    <row r="37" ht="35.75" customHeight="1" s="104">
      <c r="A37" s="10" t="inlineStr">
        <is>
          <t>San Antonio ISD</t>
        </is>
      </c>
      <c r="B37" s="10" t="inlineStr">
        <is>
          <t>TX</t>
        </is>
      </c>
      <c r="C37" s="10" t="inlineStr">
        <is>
          <t>San Antonio, TX</t>
        </is>
      </c>
      <c r="D37" s="12" t="n">
        <v>260000</v>
      </c>
      <c r="E37" s="12" t="n">
        <v>1372</v>
      </c>
      <c r="F37" s="12" t="n">
        <v>151</v>
      </c>
      <c r="G37" s="8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</row>
    <row r="38" ht="35.75" customHeight="1" s="104">
      <c r="A38" s="10" t="inlineStr">
        <is>
          <t>San Diego Unified School District</t>
        </is>
      </c>
      <c r="B38" s="10" t="inlineStr">
        <is>
          <t>CA</t>
        </is>
      </c>
      <c r="C38" s="10" t="inlineStr">
        <is>
          <t>San Diego, CA</t>
        </is>
      </c>
      <c r="D38" s="12" t="n">
        <v>1000000</v>
      </c>
      <c r="E38" s="12" t="n">
        <v>3039</v>
      </c>
      <c r="F38" s="12" t="n">
        <v>687</v>
      </c>
      <c r="G38" s="8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</row>
    <row r="39" ht="35.75" customHeight="1" s="104">
      <c r="A39" s="10" t="inlineStr">
        <is>
          <t>San Jose Unified School District</t>
        </is>
      </c>
      <c r="B39" s="10" t="inlineStr">
        <is>
          <t>CA</t>
        </is>
      </c>
      <c r="C39" s="10" t="inlineStr">
        <is>
          <t>San Jose, CA</t>
        </is>
      </c>
      <c r="D39" s="12" t="n">
        <v>1500000</v>
      </c>
      <c r="E39" s="12" t="n">
        <v>3300</v>
      </c>
      <c r="F39" s="12" t="n">
        <v>878</v>
      </c>
      <c r="G39" s="8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</row>
    <row r="40" ht="35.75" customHeight="1" s="104">
      <c r="A40" s="10" t="inlineStr">
        <is>
          <t>Scarsdale Union Free School District</t>
        </is>
      </c>
      <c r="B40" s="10" t="inlineStr">
        <is>
          <t>NY</t>
        </is>
      </c>
      <c r="C40" s="10" t="inlineStr">
        <is>
          <t>Scarsdale, NY</t>
        </is>
      </c>
      <c r="D40" s="12" t="n">
        <v>2088750</v>
      </c>
      <c r="E40" s="12" t="n">
        <v>5500</v>
      </c>
      <c r="F40" s="12" t="n">
        <v>752</v>
      </c>
      <c r="G40" s="8" t="inlineStr">
        <is>
          <t>https://www.redfin.com/city/16773/NY/Scarsdale/housing-market ; https://www.realtor.com/local/market/new-york/westchester-county/scarsdale</t>
        </is>
      </c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</row>
    <row r="41" ht="35.75" customHeight="1" s="104">
      <c r="A41" s="10" t="inlineStr">
        <is>
          <t>South Pasadena Unified School District</t>
        </is>
      </c>
      <c r="B41" s="10" t="inlineStr">
        <is>
          <t>CA</t>
        </is>
      </c>
      <c r="C41" s="10" t="inlineStr">
        <is>
          <t>South Pasadena, CA</t>
        </is>
      </c>
      <c r="D41" s="12" t="n">
        <v>1918852</v>
      </c>
      <c r="E41" s="12" t="n">
        <v>2695</v>
      </c>
      <c r="F41" s="12" t="n">
        <v>962</v>
      </c>
      <c r="G41" s="8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</row>
    <row r="42" ht="35.75" customHeight="1" s="104">
      <c r="A42" s="10" t="inlineStr">
        <is>
          <t>Syosset Central School District</t>
        </is>
      </c>
      <c r="B42" s="10" t="inlineStr">
        <is>
          <t>NY</t>
        </is>
      </c>
      <c r="C42" s="10" t="inlineStr">
        <is>
          <t>Syosset, NY</t>
        </is>
      </c>
      <c r="D42" s="12" t="n">
        <v>1096329</v>
      </c>
      <c r="E42" s="12" t="n">
        <v>5200</v>
      </c>
      <c r="F42" s="12" t="n">
        <v>559</v>
      </c>
      <c r="G42" s="8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</row>
    <row r="43" ht="35.75" customHeight="1" s="104">
      <c r="A43" s="10" t="inlineStr">
        <is>
          <t>West Des Moines Community Schools</t>
        </is>
      </c>
      <c r="B43" s="10" t="inlineStr">
        <is>
          <t>IA</t>
        </is>
      </c>
      <c r="C43" s="10" t="inlineStr">
        <is>
          <t>West Des Moines, IA</t>
        </is>
      </c>
      <c r="D43" s="12" t="n">
        <v>327554</v>
      </c>
      <c r="E43" s="12" t="n">
        <v>1126</v>
      </c>
      <c r="F43" s="12" t="n">
        <v>211</v>
      </c>
      <c r="G43" s="8" t="inlineStr">
        <is>
          <t>https://www.wdmcs.org/our-district/departments/human-resources ; https://resources.finalsite.net/images/v1745950877/wdmcsorg/ak8isa1vu50msa93nxgy/CombinedSalarySchedule.pdf ; https://www.kcci.com/article/west-des-moines-school-board-substitute-teacher-pay-increase/62347446 ; https://nces.ed.gov/ccd/districtsearch/district_detail.asp?ID2=1930930 ; https://www.niche.com/k12/d/west-des-moines-community-school-district-ia/students/ ; https://www.redfin.com/city/20722/IA/West-Des-Moines/housing-market ; https://www.apartments.com/rent-market-trends/west-des-moines-ia/</t>
        </is>
      </c>
    </row>
    <row r="44" ht="35.75" customHeight="1" s="104">
      <c r="A44" s="10" t="inlineStr">
        <is>
          <t>Middleton-Cross Plains Area School District</t>
        </is>
      </c>
      <c r="B44" s="10" t="inlineStr">
        <is>
          <t>WI</t>
        </is>
      </c>
      <c r="C44" s="10" t="inlineStr">
        <is>
          <t>Middleton, WI</t>
        </is>
      </c>
      <c r="D44" s="12" t="n">
        <v>568000</v>
      </c>
      <c r="E44" s="12" t="n">
        <v>1900</v>
      </c>
      <c r="F44" s="12" t="n">
        <v>254</v>
      </c>
      <c r="G44" s="8" t="inlineStr">
        <is>
          <t>Redfin/Apartments first-pass market lookup, 2026-06-15</t>
        </is>
      </c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</row>
    <row r="45" ht="35.75" customHeight="1" s="104">
      <c r="A45" s="10" t="inlineStr">
        <is>
          <t>Sun Prairie Area School District</t>
        </is>
      </c>
      <c r="B45" s="10" t="inlineStr">
        <is>
          <t>WI</t>
        </is>
      </c>
      <c r="C45" s="10" t="inlineStr">
        <is>
          <t>Sun Prairie, WI</t>
        </is>
      </c>
      <c r="D45" s="12" t="n">
        <v>455000</v>
      </c>
      <c r="E45" s="12" t="n">
        <v>1550</v>
      </c>
      <c r="F45" s="12" t="n">
        <v>210</v>
      </c>
      <c r="G45" s="8" t="inlineStr">
        <is>
          <t>Redfin/Apartments first-pass market lookup, 2026-06-15</t>
        </is>
      </c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35.75" customHeight="1" s="104">
      <c r="A46" s="10" t="inlineStr">
        <is>
          <t>Waunakee Community School District</t>
        </is>
      </c>
      <c r="B46" s="10" t="inlineStr">
        <is>
          <t>WI</t>
        </is>
      </c>
      <c r="C46" s="10" t="inlineStr">
        <is>
          <t>Waunakee, WI</t>
        </is>
      </c>
      <c r="D46" s="12" t="n">
        <v>540000</v>
      </c>
      <c r="E46" s="12" t="n">
        <v>1650</v>
      </c>
      <c r="F46" s="12" t="n">
        <v>220</v>
      </c>
      <c r="G46" s="8" t="inlineStr">
        <is>
          <t>Redfin/Apartments first-pass market lookup, 2026-06-15</t>
        </is>
      </c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35.75" customHeight="1" s="104">
      <c r="A47" s="10" t="inlineStr">
        <is>
          <t>Verona Area School District</t>
        </is>
      </c>
      <c r="B47" s="10" t="inlineStr">
        <is>
          <t>WI</t>
        </is>
      </c>
      <c r="C47" s="10" t="inlineStr">
        <is>
          <t>Verona, WI</t>
        </is>
      </c>
      <c r="D47" s="12" t="n">
        <v>531000</v>
      </c>
      <c r="E47" s="12" t="n">
        <v>1735</v>
      </c>
      <c r="F47" s="12" t="n">
        <v>224</v>
      </c>
      <c r="G47" s="8" t="inlineStr">
        <is>
          <t>Redfin/Apartments first-pass market lookup, 2026-06-15</t>
        </is>
      </c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</row>
    <row r="48" ht="35.75" customHeight="1" s="104">
      <c r="A48" s="10" t="inlineStr">
        <is>
          <t>Beaverton School District</t>
        </is>
      </c>
      <c r="B48" s="10" t="inlineStr">
        <is>
          <t>OR</t>
        </is>
      </c>
      <c r="C48" s="10" t="inlineStr">
        <is>
          <t>Beaverton, OR</t>
        </is>
      </c>
      <c r="D48" s="12" t="n">
        <v>575000</v>
      </c>
      <c r="E48" s="12" t="n">
        <v>1850</v>
      </c>
      <c r="F48" s="12" t="n">
        <v>299</v>
      </c>
      <c r="G48" s="8" t="inlineStr">
        <is>
          <t>Redfin/Apartments first-pass market lookup, 2026-06-15</t>
        </is>
      </c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35.75" customHeight="1" s="104">
      <c r="A49" s="10" t="inlineStr">
        <is>
          <t>Indian Prairie School District 204</t>
        </is>
      </c>
      <c r="B49" s="10" t="inlineStr">
        <is>
          <t>IL</t>
        </is>
      </c>
      <c r="C49" s="10" t="inlineStr">
        <is>
          <t>Naperville / Aurora, IL</t>
        </is>
      </c>
      <c r="D49" s="12" t="n">
        <v>475000</v>
      </c>
      <c r="E49" s="12" t="n">
        <v>1831</v>
      </c>
      <c r="F49" s="12" t="n">
        <v>250</v>
      </c>
      <c r="G49" s="8" t="inlineStr">
        <is>
          <t>Redfin/Apartments first-pass market lookup, 2026-06-15</t>
        </is>
      </c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</row>
    <row r="50" ht="35.75" customHeight="1" s="104">
      <c r="A50" s="10" t="inlineStr">
        <is>
          <t>Glenbrook High School District 225</t>
        </is>
      </c>
      <c r="B50" s="10" t="inlineStr">
        <is>
          <t>IL</t>
        </is>
      </c>
      <c r="C50" s="10" t="inlineStr">
        <is>
          <t>Glenview / Northbrook, IL</t>
        </is>
      </c>
      <c r="D50" s="12" t="n">
        <v>811015</v>
      </c>
      <c r="E50" s="12" t="n">
        <v>1957</v>
      </c>
      <c r="F50" s="12" t="n">
        <v>350</v>
      </c>
      <c r="G50" s="8" t="inlineStr">
        <is>
          <t>https://www.redfin.com/city/7628/IL/Glenview/housing-market ; https://www.apartments.com/rent-market-trends/glenview-il/</t>
        </is>
      </c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35.75" customHeight="1" s="104">
      <c r="A51" s="10" t="inlineStr">
        <is>
          <t>Mounds View Public Schools</t>
        </is>
      </c>
      <c r="B51" s="10" t="inlineStr">
        <is>
          <t>MN</t>
        </is>
      </c>
      <c r="C51" s="10" t="inlineStr">
        <is>
          <t>Shoreview / Mounds View, MN</t>
        </is>
      </c>
      <c r="D51" s="12" t="n">
        <v>425000</v>
      </c>
      <c r="E51" s="12" t="n">
        <v>1500</v>
      </c>
      <c r="F51" s="12" t="n">
        <v>198</v>
      </c>
      <c r="G51" s="8" t="inlineStr">
        <is>
          <t>Redfin/Apartments first-pass market lookup, 2026-06-15</t>
        </is>
      </c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</row>
    <row r="52" ht="35.75" customHeight="1" s="104">
      <c r="A52" s="10" t="inlineStr">
        <is>
          <t>Eden Prairie Schools</t>
        </is>
      </c>
      <c r="B52" s="10" t="inlineStr">
        <is>
          <t>MN</t>
        </is>
      </c>
      <c r="C52" s="10" t="inlineStr">
        <is>
          <t>Twin Cities / Eden Prairie, MN</t>
        </is>
      </c>
      <c r="D52" s="12" t="n">
        <v>515000</v>
      </c>
      <c r="E52" s="12" t="n">
        <v>1650</v>
      </c>
      <c r="F52" s="12" t="n">
        <v>221</v>
      </c>
      <c r="G52" s="8" t="inlineStr">
        <is>
          <t>Redfin/Apartments first-pass market lookup, 2026-06-15</t>
        </is>
      </c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</row>
    <row r="53" ht="35.75" customHeight="1" s="104">
      <c r="A53" s="10" t="inlineStr">
        <is>
          <t>Naperville CUSD 203</t>
        </is>
      </c>
      <c r="B53" s="10" t="inlineStr">
        <is>
          <t>IL</t>
        </is>
      </c>
      <c r="C53" s="10" t="inlineStr">
        <is>
          <t>Naperville, IL</t>
        </is>
      </c>
      <c r="D53" s="12" t="n">
        <v>600000</v>
      </c>
      <c r="E53" s="12" t="n">
        <v>1831</v>
      </c>
      <c r="F53" s="12" t="n">
        <v>265</v>
      </c>
      <c r="G53" s="8" t="inlineStr">
        <is>
          <t>https://www.apartments.com/rent-market-trends/naperville-il/ ; Redfin first-pass market lookup, 2026-06-15</t>
        </is>
      </c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</row>
    <row r="54" ht="67.75" customHeight="1" s="104">
      <c r="A54" s="5" t="inlineStr">
        <is>
          <t>Minnetonka Public Schools</t>
        </is>
      </c>
      <c r="B54" s="5" t="inlineStr">
        <is>
          <t>MN</t>
        </is>
      </c>
      <c r="C54" s="5" t="inlineStr">
        <is>
          <t>Minnetonka, MN</t>
        </is>
      </c>
      <c r="D54" s="6" t="n">
        <v>512000</v>
      </c>
      <c r="E54" s="6" t="n">
        <v>1730</v>
      </c>
      <c r="F54" s="6" t="n">
        <v>240</v>
      </c>
      <c r="G54" s="5" t="inlineStr">
        <is>
          <t>First-pass market estimate; verify with preferred housing/rent source.</t>
        </is>
      </c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67.75" customHeight="1" s="104">
      <c r="A55" s="5" t="inlineStr">
        <is>
          <t>Wayzata Public Schools</t>
        </is>
      </c>
      <c r="B55" s="5" t="inlineStr">
        <is>
          <t>MN</t>
        </is>
      </c>
      <c r="C55" s="5" t="inlineStr">
        <is>
          <t>Plymouth/Wayzata, MN</t>
        </is>
      </c>
      <c r="D55" s="6" t="n">
        <v>580000</v>
      </c>
      <c r="E55" s="6" t="n">
        <v>1850</v>
      </c>
      <c r="F55" s="6" t="n">
        <v>250</v>
      </c>
      <c r="G55" s="5" t="inlineStr">
        <is>
          <t>First-pass market estimate; verify with preferred housing/rent source.</t>
        </is>
      </c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 ht="67.75" customHeight="1" s="104">
      <c r="A56" s="5" t="inlineStr">
        <is>
          <t>Rosemount-Apple Valley-Eagan ISD 196</t>
        </is>
      </c>
      <c r="B56" s="5" t="inlineStr">
        <is>
          <t>MN</t>
        </is>
      </c>
      <c r="C56" s="5" t="inlineStr">
        <is>
          <t>Apple Valley/Eagan/Rosemount, MN</t>
        </is>
      </c>
      <c r="D56" s="6" t="n">
        <v>435000</v>
      </c>
      <c r="E56" s="6" t="n">
        <v>1700</v>
      </c>
      <c r="F56" s="6" t="n">
        <v>215</v>
      </c>
      <c r="G56" s="5" t="inlineStr">
        <is>
          <t>First-pass market estimate; verify with preferred housing/rent source.</t>
        </is>
      </c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67.75" customHeight="1" s="104">
      <c r="A57" s="5" t="inlineStr">
        <is>
          <t>Edina Public Schools</t>
        </is>
      </c>
      <c r="B57" s="5" t="inlineStr">
        <is>
          <t>MN</t>
        </is>
      </c>
      <c r="C57" s="5" t="inlineStr">
        <is>
          <t>Edina, MN</t>
        </is>
      </c>
      <c r="D57" s="6" t="n">
        <v>650000</v>
      </c>
      <c r="E57" s="6" t="n">
        <v>2000</v>
      </c>
      <c r="F57" s="6" t="n">
        <v>275</v>
      </c>
      <c r="G57" s="5" t="inlineStr">
        <is>
          <t>First-pass market estimate; verify with preferred housing/rent source.</t>
        </is>
      </c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 ht="67.75" customHeight="1" s="104">
      <c r="A58" s="5" t="inlineStr">
        <is>
          <t>New Trier Township High School District 203</t>
        </is>
      </c>
      <c r="B58" s="5" t="inlineStr">
        <is>
          <t>IL</t>
        </is>
      </c>
      <c r="C58" s="5" t="inlineStr">
        <is>
          <t>Winnetka/Northfield, IL</t>
        </is>
      </c>
      <c r="D58" s="6" t="n">
        <v>1600000</v>
      </c>
      <c r="E58" s="6" t="n">
        <v>3300</v>
      </c>
      <c r="F58" s="6" t="n">
        <v>500</v>
      </c>
      <c r="G58" s="5" t="inlineStr">
        <is>
          <t>First-pass market estimate; verify with preferred housing/rent source.</t>
        </is>
      </c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32" customHeight="1" s="104">
      <c r="A59" s="5" t="inlineStr">
        <is>
          <t>Tahoe-Truckee Unified School District</t>
        </is>
      </c>
      <c r="B59" s="5" t="inlineStr">
        <is>
          <t>CA</t>
        </is>
      </c>
      <c r="C59" s="5" t="inlineStr">
        <is>
          <t>Truckee, CA</t>
        </is>
      </c>
      <c r="D59" s="6" t="n">
        <v>1024669</v>
      </c>
      <c r="E59" s="6" t="n">
        <v>2203</v>
      </c>
      <c r="F59" s="6" t="n">
        <v>346</v>
      </c>
      <c r="G59" s="5" t="inlineStr">
        <is>
          <t>Zillow Truckee ZHVI through 2026-05-31; RentCafe Truckee average monthly rent March 2026; FRED Truckee-Grass Valley median list price per sq ft May 2026.</t>
        </is>
      </c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</row>
    <row r="60" ht="32" customHeight="1" s="104">
      <c r="A60" s="5" t="inlineStr">
        <is>
          <t>Channelview ISD</t>
        </is>
      </c>
      <c r="B60" s="5" t="inlineStr">
        <is>
          <t>TX</t>
        </is>
      </c>
      <c r="C60" s="5" t="inlineStr">
        <is>
          <t>Channelview / east Houston, TX</t>
        </is>
      </c>
      <c r="D60" s="6" t="n">
        <v>229862</v>
      </c>
      <c r="E60" s="6" t="n">
        <v>1800</v>
      </c>
      <c r="F60" s="6" t="n">
        <v>151</v>
      </c>
      <c r="G60" s="5" t="inlineStr">
        <is>
          <t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t>
        </is>
      </c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</row>
    <row r="61">
      <c r="A61" t="inlineStr">
        <is>
          <t>Plano ISD</t>
        </is>
      </c>
      <c r="B61" t="inlineStr">
        <is>
          <t>TX</t>
        </is>
      </c>
      <c r="C61" t="inlineStr">
        <is>
          <t>Plano / North Dallas suburbs, TX</t>
        </is>
      </c>
      <c r="D61" t="n">
        <v>519689</v>
      </c>
      <c r="E61" t="n">
        <v>2600</v>
      </c>
      <c r="F61" t="n">
        <v>242</v>
      </c>
      <c r="G61" t="inlineStr">
        <is>
          <t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t>
        </is>
      </c>
    </row>
    <row r="62">
      <c r="A62" t="inlineStr">
        <is>
          <t>Galena Park ISD</t>
        </is>
      </c>
      <c r="B62" t="inlineStr">
        <is>
          <t>TX</t>
        </is>
      </c>
      <c r="C62" t="inlineStr">
        <is>
          <t>Galena Park / east Houston, TX</t>
        </is>
      </c>
      <c r="D62" t="n">
        <v>194134</v>
      </c>
      <c r="E62" t="n">
        <v>1600</v>
      </c>
      <c r="F62" t="n">
        <v>153</v>
      </c>
      <c r="G62" t="inlineStr">
        <is>
          <t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t>
        </is>
      </c>
    </row>
    <row r="63">
      <c r="A63" t="inlineStr">
        <is>
          <t>Deer Park ISD</t>
        </is>
      </c>
      <c r="B63" t="inlineStr">
        <is>
          <t>TX</t>
        </is>
      </c>
      <c r="C63" t="inlineStr">
        <is>
          <t>Deer Park / southeast Houston, TX</t>
        </is>
      </c>
      <c r="D63" t="n">
        <v>272837</v>
      </c>
      <c r="E63" t="n">
        <v>2000</v>
      </c>
      <c r="F63" t="n">
        <v>154</v>
      </c>
      <c r="G63" t="inlineStr">
        <is>
          <t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t>
        </is>
      </c>
    </row>
    <row r="64">
      <c r="A64" t="inlineStr">
        <is>
          <t>Port Arthur ISD</t>
        </is>
      </c>
      <c r="B64" t="inlineStr">
        <is>
          <t>TX</t>
        </is>
      </c>
      <c r="C64" t="inlineStr">
        <is>
          <t>Port Arthur, TX</t>
        </is>
      </c>
      <c r="D64" t="n">
        <v>154907</v>
      </c>
      <c r="E64" t="n">
        <v>1331</v>
      </c>
      <c r="F64" t="n">
        <v>96</v>
      </c>
      <c r="G64" t="inlineStr">
        <is>
          <t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t>
        </is>
      </c>
    </row>
    <row r="65">
      <c r="A65" t="inlineStr">
        <is>
          <t>Dublin City Schools</t>
        </is>
      </c>
      <c r="B65" t="inlineStr">
        <is>
          <t>OH</t>
        </is>
      </c>
      <c r="C65" t="inlineStr">
        <is>
          <t>Dublin / Columbus suburbs, OH</t>
        </is>
      </c>
      <c r="D65" t="n">
        <v>569539</v>
      </c>
      <c r="E65" t="n">
        <v>2300</v>
      </c>
      <c r="F65" t="n">
        <v>242</v>
      </c>
      <c r="G65" t="inlineStr">
        <is>
          <t>https://www.dublinschools.net/departments/treasurercfo ; https://www.dublinschools.net/about/district-profile ; https://www.dublinschools.net/departments/humanresources/current-openings ; https://www.zillow.com/rental-manager/market-trends/dublin-oh/ ; https://www.zillow.com/home-values/4426/dublin-oh/</t>
        </is>
      </c>
    </row>
    <row r="66">
      <c r="A66" t="inlineStr">
        <is>
          <t>Mariemont City Schools</t>
        </is>
      </c>
      <c r="B66" t="inlineStr">
        <is>
          <t>OH</t>
        </is>
      </c>
      <c r="C66" t="inlineStr">
        <is>
          <t>Mariemont / Cincinnati east suburbs, OH</t>
        </is>
      </c>
      <c r="D66" t="n">
        <v>593962</v>
      </c>
      <c r="E66" t="n">
        <v>1600</v>
      </c>
      <c r="F66" t="n">
        <v>310</v>
      </c>
      <c r="G66" t="inlineStr">
        <is>
          <t>https://www.mariemontschools.org/ ; https://www.teacher.org/school-district/mariemont-city-school-district/ ; https://openpayrolls.com/rank/highest-paid-employees/ohio-mariemont-city ; https://www.zillow.com/rental-manager/market-trends/45227/ ; https://www.zillow.com/home-values/32698/mariemont-cincinnati-oh/ ; https://www.mariemontschools.org/Downloads/MHS%20Profile%20202324.pdf</t>
        </is>
      </c>
    </row>
    <row r="67" ht="64" customHeight="1" s="104">
      <c r="A67" s="2" t="inlineStr">
        <is>
          <t>Las Cruces Public Schools</t>
        </is>
      </c>
      <c r="B67" s="2" t="inlineStr">
        <is>
          <t>NM</t>
        </is>
      </c>
      <c r="C67" s="2" t="inlineStr">
        <is>
          <t>Las Cruces, NM</t>
        </is>
      </c>
      <c r="D67" s="2" t="n">
        <v>310000</v>
      </c>
      <c r="E67" s="2" t="n">
        <v>1450</v>
      </c>
      <c r="F67" s="2" t="n">
        <v>185</v>
      </c>
      <c r="G67" s="2" t="inlineStr">
        <is>
          <t>https://www.lcps.net/documents/departments/human-resources/salary-schedules/salary-schedules-2025-2026/24126443 ; https://www.zillow.com/rental-manager/market-trends/las-cruces-nm/ ; https://www.lcps.net/</t>
        </is>
      </c>
    </row>
    <row r="68" ht="32" customHeight="1" s="104">
      <c r="A68" s="2" t="inlineStr">
        <is>
          <t>Rio Rancho Public Schools</t>
        </is>
      </c>
      <c r="B68" s="2" t="inlineStr">
        <is>
          <t>NM</t>
        </is>
      </c>
      <c r="C68" s="2" t="inlineStr">
        <is>
          <t>Rio Rancho, NM</t>
        </is>
      </c>
      <c r="D68" s="2" t="n">
        <v>350000</v>
      </c>
      <c r="E68" s="2" t="n">
        <v>1650</v>
      </c>
      <c r="F68" s="2" t="n">
        <v>205</v>
      </c>
      <c r="G68" s="2" t="inlineStr">
        <is>
          <t>https://www.rrps.net/page/salaries ; https://www.zillow.com/rental-manager/market-trends/rio-rancho-nm/ ; https://www.rrps.net/</t>
        </is>
      </c>
    </row>
    <row r="69" ht="32" customHeight="1" s="104">
      <c r="A69" s="2" t="inlineStr">
        <is>
          <t>Gilbert Public Schools</t>
        </is>
      </c>
      <c r="B69" s="2" t="inlineStr">
        <is>
          <t>AZ</t>
        </is>
      </c>
      <c r="C69" s="2" t="inlineStr">
        <is>
          <t>Gilbert, AZ</t>
        </is>
      </c>
      <c r="D69" s="2" t="n">
        <v>565000</v>
      </c>
      <c r="E69" s="2" t="n">
        <v>2250</v>
      </c>
      <c r="F69" s="2" t="n">
        <v>285</v>
      </c>
      <c r="G69" s="2" t="inlineStr">
        <is>
          <t>https://www.gilbertschools.net/jobs ; https://www.gilbertschools.net/ ; https://www.zillow.com/rental-manager/market-trends/gilbert-az/</t>
        </is>
      </c>
    </row>
    <row r="70" ht="48" customHeight="1" s="104">
      <c r="A70" s="2" t="inlineStr">
        <is>
          <t>Queen Creek Unified School District</t>
        </is>
      </c>
      <c r="B70" s="2" t="inlineStr">
        <is>
          <t>AZ</t>
        </is>
      </c>
      <c r="C70" s="2" t="inlineStr">
        <is>
          <t>Queen Creek, AZ</t>
        </is>
      </c>
      <c r="D70" s="2" t="n">
        <v>670000</v>
      </c>
      <c r="E70" s="2" t="n">
        <v>2450</v>
      </c>
      <c r="F70" s="2" t="n">
        <v>300</v>
      </c>
      <c r="G70" s="2" t="inlineStr">
        <is>
          <t>https://www.qcusd.org/salary-schedules ; https://www.qcusd.org/ ; https://www.zillow.com/rental-manager/market-trends/queen-creek-az/</t>
        </is>
      </c>
    </row>
    <row r="71" ht="80" customHeight="1" s="104">
      <c r="A71" s="2" t="inlineStr">
        <is>
          <t>Vail School District</t>
        </is>
      </c>
      <c r="B71" s="2" t="inlineStr">
        <is>
          <t>AZ</t>
        </is>
      </c>
      <c r="C71" s="2" t="inlineStr">
        <is>
          <t>Vail, AZ</t>
        </is>
      </c>
      <c r="D71" s="2" t="n">
        <v>370000</v>
      </c>
      <c r="E71" s="2" t="n">
        <v>1700</v>
      </c>
      <c r="F71" s="2" t="n">
        <v>220</v>
      </c>
      <c r="G71" s="2" t="inlineStr">
        <is>
          <t>https://www.vailschooldistrict.org/page/salary-guides ; https://files-backend.assets.thrillshare.com/documents/asset/uploaded_file/2447/Vsd/29f4d404-804a-4c2b-b472-ba188b6c298e/Substitute_Teacher_Salary_Guide_25_26_FY.pdf ; https://www.zillow.com/rental-manager/market-trends/vail-az/</t>
        </is>
      </c>
    </row>
    <row r="72" ht="80" customHeight="1" s="104">
      <c r="A72" s="2" t="inlineStr">
        <is>
          <t>West Ada School District</t>
        </is>
      </c>
      <c r="B72" s="2" t="inlineStr">
        <is>
          <t>ID</t>
        </is>
      </c>
      <c r="C72" s="2" t="inlineStr">
        <is>
          <t>Meridian / West Ada, ID</t>
        </is>
      </c>
      <c r="D72" s="2" t="n">
        <v>525000</v>
      </c>
      <c r="E72" s="2" t="n">
        <v>1850</v>
      </c>
      <c r="F72" s="2" t="n">
        <v>260</v>
      </c>
      <c r="G72" s="2" t="inlineStr">
        <is>
          <t>https://www.westada.org/documents/human-resources/salary-schedules/2025-26-salary-schedules/16670860 ; https://teacherquality.nctq.org/contract-database/district/West-Ada-School-District ; https://www.zillow.com/rental-manager/market-trends/meridian-id/</t>
        </is>
      </c>
    </row>
    <row r="73" ht="64" customHeight="1" s="104">
      <c r="A73" s="2" t="inlineStr">
        <is>
          <t>Twin Falls School District</t>
        </is>
      </c>
      <c r="B73" s="2" t="inlineStr">
        <is>
          <t>ID</t>
        </is>
      </c>
      <c r="C73" s="2" t="inlineStr">
        <is>
          <t>Twin Falls, ID</t>
        </is>
      </c>
      <c r="D73" s="2" t="n">
        <v>370000</v>
      </c>
      <c r="E73" s="2" t="n">
        <v>1450</v>
      </c>
      <c r="F73" s="2" t="n">
        <v>215</v>
      </c>
      <c r="G73" s="2" t="inlineStr">
        <is>
          <t>https://www.tfsd.org/documents/departments/human-resources/payroll-salaries/700424 ; https://www.tfsd.org/page/payroll ; https://www.zillow.com/rental-manager/market-trends/twin-falls-id/</t>
        </is>
      </c>
    </row>
    <row r="74" ht="96" customHeight="1" s="104">
      <c r="A74" s="2" t="inlineStr">
        <is>
          <t>Washoe County School District</t>
        </is>
      </c>
      <c r="B74" s="2" t="inlineStr">
        <is>
          <t>NV</t>
        </is>
      </c>
      <c r="C74" s="2" t="inlineStr">
        <is>
          <t>Reno / Washoe County, NV</t>
        </is>
      </c>
      <c r="D74" s="2" t="n">
        <v>550000</v>
      </c>
      <c r="E74" s="2" t="n">
        <v>1850</v>
      </c>
      <c r="F74" s="2" t="n">
        <v>300</v>
      </c>
      <c r="G74" s="2" t="inlineStr">
        <is>
          <t>https://www.washoeschools.net/careers/careers/salary-schedules ; https://resources.finalsite.net/images/v1767985515/washoeschoolsnet/ool31tlpda3bmitoudes/2025-26TeacherSalarySchedulewretrowJanuary2026increaseandSB500salarymatch.pdf ; https://www.zillow.com/rental-manager/market-trends/reno-nv/</t>
        </is>
      </c>
    </row>
    <row r="75" ht="64" customHeight="1" s="104">
      <c r="A75" s="2" t="inlineStr">
        <is>
          <t>Kern High School District</t>
        </is>
      </c>
      <c r="B75" s="2" t="inlineStr">
        <is>
          <t>CA</t>
        </is>
      </c>
      <c r="C75" s="2" t="inlineStr">
        <is>
          <t>Bakersfield, CA</t>
        </is>
      </c>
      <c r="D75" s="2" t="n">
        <v>395000</v>
      </c>
      <c r="E75" s="2" t="n">
        <v>1695</v>
      </c>
      <c r="F75" s="2" t="n">
        <v>230</v>
      </c>
      <c r="G75" s="2" t="inlineStr">
        <is>
          <t>https://www.kernhigh.org/apps/pages/index.jsp?pREC_ID=1082626&amp;type=d&amp;uREC_ID=620577 ; https://www.khsta.org/certificated-salary-schedules-1 ; https://www.zillow.com/rental-manager/market-trends/bakersfield-ca/</t>
        </is>
      </c>
    </row>
    <row r="76" ht="48" customHeight="1" s="104">
      <c r="A76" s="2" t="inlineStr">
        <is>
          <t>Clovis Unified School District</t>
        </is>
      </c>
      <c r="B76" s="2" t="inlineStr">
        <is>
          <t>CA</t>
        </is>
      </c>
      <c r="C76" s="2" t="inlineStr">
        <is>
          <t>Clovis, CA</t>
        </is>
      </c>
      <c r="D76" s="2" t="n">
        <v>505000</v>
      </c>
      <c r="E76" s="2" t="n">
        <v>1900</v>
      </c>
      <c r="F76" s="2" t="n">
        <v>260</v>
      </c>
      <c r="G76" s="2" t="inlineStr">
        <is>
          <t>https://www.cusd.com/salaries ; https://fresnoland.org/2023/11/09/fresno-teacher-raises/ ; https://www.zillow.com/rental-manager/market-trends/clovis-ca/</t>
        </is>
      </c>
    </row>
    <row r="77">
      <c r="A77" t="inlineStr">
        <is>
          <t>Hobbs Municipal Schools</t>
        </is>
      </c>
      <c r="B77" t="inlineStr">
        <is>
          <t>NM</t>
        </is>
      </c>
      <c r="C77" t="inlineStr">
        <is>
          <t>Hobbs, NM</t>
        </is>
      </c>
      <c r="D77" t="n">
        <v>240000</v>
      </c>
      <c r="E77" t="n">
        <v>1250</v>
      </c>
      <c r="F77" t="n">
        <v>150</v>
      </c>
      <c r="G77" t="inlineStr">
        <is>
          <t>First-pass Zillow/Redfin/Apartments market lookup, 2026-06-17</t>
        </is>
      </c>
    </row>
    <row r="78">
      <c r="A78" t="inlineStr">
        <is>
          <t>Farmington Municipal Schools</t>
        </is>
      </c>
      <c r="B78" t="inlineStr">
        <is>
          <t>NM</t>
        </is>
      </c>
      <c r="C78" t="inlineStr">
        <is>
          <t>Farmington, NM</t>
        </is>
      </c>
      <c r="D78" t="n">
        <v>285000</v>
      </c>
      <c r="E78" t="n">
        <v>1350</v>
      </c>
      <c r="F78" t="n">
        <v>175</v>
      </c>
      <c r="G78" t="inlineStr">
        <is>
          <t>First-pass Zillow/Redfin/Apartments market lookup, 2026-06-17</t>
        </is>
      </c>
    </row>
    <row r="79">
      <c r="A79" t="inlineStr">
        <is>
          <t>Carlsbad Municipal Schools</t>
        </is>
      </c>
      <c r="B79" t="inlineStr">
        <is>
          <t>NM</t>
        </is>
      </c>
      <c r="C79" t="inlineStr">
        <is>
          <t>Carlsbad, NM</t>
        </is>
      </c>
      <c r="D79" t="n">
        <v>290000</v>
      </c>
      <c r="E79" t="n">
        <v>1450</v>
      </c>
      <c r="F79" t="n">
        <v>185</v>
      </c>
      <c r="G79" t="inlineStr">
        <is>
          <t>First-pass Zillow/Redfin/Apartments market lookup, 2026-06-17</t>
        </is>
      </c>
    </row>
    <row r="80">
      <c r="A80" t="inlineStr">
        <is>
          <t>Chaffey Joint Union High School District</t>
        </is>
      </c>
      <c r="B80" t="inlineStr">
        <is>
          <t>CA</t>
        </is>
      </c>
      <c r="C80" t="inlineStr">
        <is>
          <t>Ontario / Rancho Cucamonga, CA</t>
        </is>
      </c>
      <c r="D80" t="n">
        <v>675000</v>
      </c>
      <c r="E80" t="n">
        <v>2600</v>
      </c>
      <c r="F80" t="n">
        <v>420</v>
      </c>
      <c r="G80" t="inlineStr">
        <is>
          <t>First-pass Zillow/Redfin/Apartments market lookup, 2026-06-17</t>
        </is>
      </c>
    </row>
    <row r="81">
      <c r="A81" t="inlineStr">
        <is>
          <t>Antelope Valley Union High School District</t>
        </is>
      </c>
      <c r="B81" t="inlineStr">
        <is>
          <t>CA</t>
        </is>
      </c>
      <c r="C81" t="inlineStr">
        <is>
          <t>Lancaster / Palmdale, CA</t>
        </is>
      </c>
      <c r="D81" t="n">
        <v>470000</v>
      </c>
      <c r="E81" t="n">
        <v>2050</v>
      </c>
      <c r="F81" t="n">
        <v>285</v>
      </c>
      <c r="G81" t="inlineStr">
        <is>
          <t>First-pass Zillow/Redfin/Apartments market lookup, 2026-06-17</t>
        </is>
      </c>
    </row>
    <row r="82">
      <c r="A82" t="inlineStr">
        <is>
          <t>Grossmont Union High School District</t>
        </is>
      </c>
      <c r="B82" t="inlineStr">
        <is>
          <t>CA</t>
        </is>
      </c>
      <c r="C82" t="inlineStr">
        <is>
          <t>El Cajon / La Mesa, CA</t>
        </is>
      </c>
      <c r="D82" t="n">
        <v>760000</v>
      </c>
      <c r="E82" t="n">
        <v>2600</v>
      </c>
      <c r="F82" t="n">
        <v>500</v>
      </c>
      <c r="G82" t="inlineStr">
        <is>
          <t>First-pass Zillow/Redfin/Apartments market lookup, 2026-06-17</t>
        </is>
      </c>
    </row>
    <row r="83">
      <c r="A83" t="inlineStr">
        <is>
          <t>Clear Creek ISD</t>
        </is>
      </c>
      <c r="B83" t="inlineStr">
        <is>
          <t>TX</t>
        </is>
      </c>
      <c r="C83" t="inlineStr">
        <is>
          <t>League City / Clear Lake, TX</t>
        </is>
      </c>
      <c r="D83" t="n">
        <v>390000</v>
      </c>
      <c r="E83" t="n">
        <v>1700</v>
      </c>
      <c r="F83" t="n">
        <v>190</v>
      </c>
      <c r="G83" t="inlineStr">
        <is>
          <t>First-pass Zillow/Redfin/Apartments market lookup, 2026-06-17</t>
        </is>
      </c>
    </row>
    <row r="84">
      <c r="A84" t="inlineStr">
        <is>
          <t>Pearland ISD</t>
        </is>
      </c>
      <c r="B84" t="inlineStr">
        <is>
          <t>TX</t>
        </is>
      </c>
      <c r="C84" t="inlineStr">
        <is>
          <t>Pearland, TX</t>
        </is>
      </c>
      <c r="D84" t="n">
        <v>385000</v>
      </c>
      <c r="E84" t="n">
        <v>1800</v>
      </c>
      <c r="F84" t="n">
        <v>185</v>
      </c>
      <c r="G84" t="inlineStr">
        <is>
          <t>First-pass Zillow/Redfin/Apartments market lookup, 2026-06-17</t>
        </is>
      </c>
    </row>
    <row r="85">
      <c r="A85" t="inlineStr">
        <is>
          <t>Anoka-Hennepin Schools</t>
        </is>
      </c>
      <c r="B85" t="inlineStr">
        <is>
          <t>MN</t>
        </is>
      </c>
      <c r="C85" t="inlineStr">
        <is>
          <t>Anoka / Coon Rapids, MN</t>
        </is>
      </c>
      <c r="D85" t="n">
        <v>375000</v>
      </c>
      <c r="E85" t="n">
        <v>1500</v>
      </c>
      <c r="F85" t="n">
        <v>190</v>
      </c>
      <c r="G85" t="inlineStr">
        <is>
          <t>First-pass Zillow/Redfin/Apartments market lookup, 2026-06-17</t>
        </is>
      </c>
    </row>
    <row r="86">
      <c r="A86" t="inlineStr">
        <is>
          <t>Osseo Area Schools / ISD 279</t>
        </is>
      </c>
      <c r="B86" t="inlineStr">
        <is>
          <t>MN</t>
        </is>
      </c>
      <c r="C86" t="inlineStr">
        <is>
          <t>Maple Grove / Brooklyn Park, MN</t>
        </is>
      </c>
      <c r="D86" t="n">
        <v>400000</v>
      </c>
      <c r="E86" t="n">
        <v>1600</v>
      </c>
      <c r="F86" t="n">
        <v>195</v>
      </c>
      <c r="G86" t="inlineStr">
        <is>
          <t>First-pass Zillow/Redfin/Apartments market lookup, 2026-06-17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86"/>
  <sheetViews>
    <sheetView tabSelected="1" topLeftCell="P1" zoomScale="62" zoomScaleNormal="62" workbookViewId="0">
      <selection activeCell="R1" sqref="R1:R1048576"/>
    </sheetView>
  </sheetViews>
  <sheetFormatPr baseColWidth="10" defaultColWidth="15.83203125" defaultRowHeight="30" customHeight="1"/>
  <cols>
    <col width="38" customWidth="1" style="68" min="1" max="1"/>
    <col width="8" customWidth="1" style="68" min="2" max="2"/>
    <col width="28" customWidth="1" style="68" min="3" max="3"/>
    <col width="13" customWidth="1" style="68" min="4" max="9"/>
    <col width="16" customWidth="1" style="68" min="10" max="10"/>
    <col width="18" customWidth="1" style="68" min="11" max="11"/>
    <col width="14" customWidth="1" style="68" min="12" max="12"/>
    <col width="17" customWidth="1" style="68" min="13" max="14"/>
    <col width="13" customWidth="1" style="68" min="15" max="15"/>
    <col width="18" customWidth="1" style="68" min="16" max="16"/>
    <col width="15" customWidth="1" style="68" min="17" max="17"/>
    <col width="16" customWidth="1" style="68" min="18" max="18"/>
    <col width="12" customWidth="1" style="68" min="19" max="19"/>
    <col width="16" customWidth="1" style="68" min="20" max="21"/>
    <col width="18" customWidth="1" style="68" min="22" max="22"/>
    <col width="16" customWidth="1" style="68" min="23" max="23"/>
    <col width="12" customWidth="1" style="68" min="24" max="24"/>
    <col width="18" customWidth="1" style="68" min="25" max="25"/>
    <col width="14" customWidth="1" style="68" min="26" max="26"/>
    <col width="16" customWidth="1" style="68" min="27" max="27"/>
    <col width="14" customWidth="1" style="68" min="28" max="28"/>
    <col width="10" customWidth="1" style="68" min="29" max="29"/>
    <col width="14" customWidth="1" style="68" min="30" max="30"/>
    <col width="12" customWidth="1" style="68" min="31" max="31"/>
    <col width="14" customWidth="1" style="68" min="32" max="32"/>
    <col width="12" customWidth="1" style="68" min="33" max="33"/>
    <col width="35" customWidth="1" style="68" min="34" max="34"/>
    <col width="15" customWidth="1" style="68" min="35" max="35"/>
    <col width="16" customWidth="1" style="68" min="36" max="36"/>
    <col width="13" customWidth="1" style="68" min="37" max="37"/>
    <col width="14" customWidth="1" style="68" min="38" max="38"/>
    <col width="18" customWidth="1" style="68" min="39" max="39"/>
    <col width="14" customWidth="1" style="68" min="40" max="40"/>
    <col width="16" customWidth="1" style="68" min="41" max="41"/>
    <col width="17" customWidth="1" style="68" min="42" max="42"/>
    <col width="15" customWidth="1" style="68" min="43" max="43"/>
    <col width="14" customWidth="1" style="68" min="44" max="44"/>
    <col width="17" customWidth="1" style="68" min="45" max="45"/>
    <col width="19" customWidth="1" style="68" min="46" max="46"/>
    <col width="15.83203125" customWidth="1" style="68" min="47" max="16384"/>
  </cols>
  <sheetData>
    <row r="1" ht="82" customFormat="1" customHeight="1" s="57">
      <c r="A1" s="50" t="inlineStr">
        <is>
          <t>District</t>
        </is>
      </c>
      <c r="B1" s="50" t="inlineStr">
        <is>
          <t>State</t>
        </is>
      </c>
      <c r="C1" s="50" t="inlineStr">
        <is>
          <t>Region</t>
        </is>
      </c>
      <c r="D1" s="51" t="inlineStr">
        <is>
          <t>BA Start</t>
        </is>
      </c>
      <c r="E1" s="51" t="inlineStr">
        <is>
          <t>BA 5-Year</t>
        </is>
      </c>
      <c r="F1" s="51" t="inlineStr">
        <is>
          <t>BA 10-Year</t>
        </is>
      </c>
      <c r="G1" s="51" t="inlineStr">
        <is>
          <t>MA Start</t>
        </is>
      </c>
      <c r="H1" s="51" t="inlineStr">
        <is>
          <t>MA 5-Year</t>
        </is>
      </c>
      <c r="I1" s="51" t="inlineStr">
        <is>
          <t>MA 10-Year</t>
        </is>
      </c>
      <c r="J1" s="51" t="inlineStr">
        <is>
          <t>Avg Start Salary</t>
        </is>
      </c>
      <c r="K1" s="51" t="inlineStr">
        <is>
          <t>Avg 10-Year Salary</t>
        </is>
      </c>
      <c r="L1" s="113" t="inlineStr">
        <is>
          <t>Avg Growth %</t>
        </is>
      </c>
      <c r="M1" s="51" t="inlineStr">
        <is>
          <t>Master's Premium</t>
        </is>
      </c>
      <c r="N1" s="51" t="inlineStr">
        <is>
          <t>Median Home Price</t>
        </is>
      </c>
      <c r="O1" s="51" t="inlineStr">
        <is>
          <t>Median Rent</t>
        </is>
      </c>
      <c r="P1" s="53" t="inlineStr">
        <is>
          <t>Student-Teacher Ratio</t>
        </is>
      </c>
      <c r="Q1" s="53" t="inlineStr">
        <is>
          <t>Licensed Sub Pay</t>
        </is>
      </c>
      <c r="R1" s="54" t="inlineStr">
        <is>
          <t>Selected Salary Level Score</t>
        </is>
      </c>
      <c r="S1" s="54" t="inlineStr">
        <is>
          <t>Growth Score</t>
        </is>
      </c>
      <c r="T1" s="54" t="inlineStr">
        <is>
          <t>Master's Premium Score</t>
        </is>
      </c>
      <c r="U1" s="54" t="inlineStr">
        <is>
          <t>Career Earnings Score</t>
        </is>
      </c>
      <c r="V1" s="54" t="inlineStr">
        <is>
          <t>Housing Salary Power Score</t>
        </is>
      </c>
      <c r="W1" s="54" t="inlineStr">
        <is>
          <t>Student-Teacher Ratio Score</t>
        </is>
      </c>
      <c r="X1" s="54" t="inlineStr">
        <is>
          <t>Sub Pay Score</t>
        </is>
      </c>
      <c r="Y1" s="54" t="inlineStr">
        <is>
          <t>Demographic Balance Score</t>
        </is>
      </c>
      <c r="Z1" s="54" t="inlineStr">
        <is>
          <t>Overall Value Score</t>
        </is>
      </c>
      <c r="AA1" s="55" t="inlineStr">
        <is>
          <t>Median Home Price per Sq Ft</t>
        </is>
      </c>
      <c r="AB1" s="54" t="inlineStr">
        <is>
          <t>Price per Sq Ft Score</t>
        </is>
      </c>
      <c r="AC1" s="54" t="inlineStr">
        <is>
          <t>Other %</t>
        </is>
      </c>
      <c r="AD1" s="50" t="inlineStr">
        <is>
          <t>Sub Pay Housing Power</t>
        </is>
      </c>
      <c r="AE1" s="50" t="inlineStr">
        <is>
          <t>Stability Score</t>
        </is>
      </c>
      <c r="AF1" s="54" t="inlineStr">
        <is>
          <t>Base Value Score</t>
        </is>
      </c>
      <c r="AG1" s="56" t="inlineStr">
        <is>
          <t>Risk Multiplier</t>
        </is>
      </c>
      <c r="AH1" s="50" t="inlineStr">
        <is>
          <t>Risk-Adjusted Note</t>
        </is>
      </c>
      <c r="AI1" s="50" t="inlineStr">
        <is>
          <t>Selected Salary</t>
        </is>
      </c>
      <c r="AJ1" s="50" t="inlineStr">
        <is>
          <t>Selected Monthly Salary</t>
        </is>
      </c>
      <c r="AK1" s="50" t="inlineStr">
        <is>
          <t>Rent % of Salary</t>
        </is>
      </c>
      <c r="AL1" s="50" t="inlineStr">
        <is>
          <t>Rent Salary Share Score</t>
        </is>
      </c>
      <c r="AM1" s="50" t="inlineStr">
        <is>
          <t>Est. Monthly Mortgage P&amp;I</t>
        </is>
      </c>
      <c r="AN1" s="50" t="inlineStr">
        <is>
          <t>Mortgage % of Salary</t>
        </is>
      </c>
      <c r="AO1" s="50" t="inlineStr">
        <is>
          <t>Mortgage Salary Share Score</t>
        </is>
      </c>
      <c r="AP1" s="50" t="inlineStr">
        <is>
          <t>Post-Rent Monthly Income</t>
        </is>
      </c>
      <c r="AQ1" s="50" t="inlineStr">
        <is>
          <t>Post-Rent Income Score</t>
        </is>
      </c>
      <c r="AR1" s="50" t="inlineStr">
        <is>
          <t>State Funding Score</t>
        </is>
      </c>
      <c r="AS1" s="50" t="inlineStr">
        <is>
          <t>Rent Salary % Label</t>
        </is>
      </c>
      <c r="AT1" s="50" t="inlineStr">
        <is>
          <t>Mortgage Salary % Label</t>
        </is>
      </c>
    </row>
    <row r="2" ht="30" customHeight="1" s="104">
      <c r="A2" s="64" t="inlineStr">
        <is>
          <t>Glenbrook High School District 225</t>
        </is>
      </c>
      <c r="B2" s="64">
        <f>IFERROR(INDEX('School District Profiles'!$B$2:$B$86,MATCH($A2,'School District Profiles'!$A$2:$A$86,0)),"")</f>
        <v/>
      </c>
      <c r="C2" s="64">
        <f>IFERROR(INDEX('School District Profiles'!$C$2:$C$86,MATCH($A2,'School District Profiles'!$A$2:$A$86,0)),"")</f>
        <v/>
      </c>
      <c r="D2" s="65">
        <f>IFERROR(SUMIFS('Teacher Salary Data'!$E$2:$E$1871,'Teacher Salary Data'!$A$2:$A$1871,$A2,'Teacher Salary Data'!$C$2:$C$1871,"Bachelor's",'Teacher Salary Data'!$D$2:$D$1871,0),0)</f>
        <v/>
      </c>
      <c r="E2" s="65">
        <f>IFERROR(SUMIFS('Teacher Salary Data'!$E$2:$E$1871,'Teacher Salary Data'!$A$2:$A$1871,$A2,'Teacher Salary Data'!$C$2:$C$1871,"Bachelor's",'Teacher Salary Data'!$D$2:$D$1871,5),0)</f>
        <v/>
      </c>
      <c r="F2" s="65">
        <f>IFERROR(SUMIFS('Teacher Salary Data'!$E$2:$E$1871,'Teacher Salary Data'!$A$2:$A$1871,$A2,'Teacher Salary Data'!$C$2:$C$1871,"Bachelor's",'Teacher Salary Data'!$D$2:$D$1871,10),0)</f>
        <v/>
      </c>
      <c r="G2" s="65">
        <f>IFERROR(SUMIFS('Teacher Salary Data'!$E$2:$E$1871,'Teacher Salary Data'!$A$2:$A$1871,$A2,'Teacher Salary Data'!$C$2:$C$1871,"Master's",'Teacher Salary Data'!$D$2:$D$1871,0),0)</f>
        <v/>
      </c>
      <c r="H2" s="65">
        <f>IFERROR(SUMIFS('Teacher Salary Data'!$E$2:$E$1871,'Teacher Salary Data'!$A$2:$A$1871,$A2,'Teacher Salary Data'!$C$2:$C$1871,"Master's",'Teacher Salary Data'!$D$2:$D$1871,5),0)</f>
        <v/>
      </c>
      <c r="I2" s="65">
        <f>IFERROR(SUMIFS('Teacher Salary Data'!$E$2:$E$1871,'Teacher Salary Data'!$A$2:$A$1871,$A2,'Teacher Salary Data'!$C$2:$C$1871,"Master's",'Teacher Salary Data'!$D$2:$D$1871,10),0)</f>
        <v/>
      </c>
      <c r="J2" s="65">
        <f>AVERAGE(D2,G2)</f>
        <v/>
      </c>
      <c r="K2" s="65">
        <f>AVERAGE(F2,I2)</f>
        <v/>
      </c>
      <c r="L2" s="114">
        <f>IFERROR((K2-J2)/J2,0)</f>
        <v/>
      </c>
      <c r="M2" s="65">
        <f>G2-D2</f>
        <v/>
      </c>
      <c r="N2" s="65">
        <f>IFERROR(INDEX('Median Home and Rent Prices'!$D$2:$D$86,MATCH($A2,'Median Home and Rent Prices'!$A$2:$A$86,0)),0)</f>
        <v/>
      </c>
      <c r="O2" s="65">
        <f>IFERROR(INDEX('Median Home and Rent Prices'!$E$2:$E$86,MATCH($A2,'Median Home and Rent Prices'!$A$2:$A$86,0)),0)</f>
        <v/>
      </c>
      <c r="P2" s="64">
        <f>IFERROR(INDEX('School District Profiles'!$H$2:$H$86,MATCH($A2,'School District Profiles'!$A$2:$A$86,0)),0)</f>
        <v/>
      </c>
      <c r="Q2" s="65">
        <f>IFERROR(INDEX('School District Profiles'!$I$2:$I$86,MATCH($A2,'School District Profiles'!$A$2:$A$86,0)),0)</f>
        <v/>
      </c>
      <c r="R2" s="63">
        <f>IFERROR(IF(($AI2-('Score Inputs'!$B$4*1500+IF('Score Inputs'!$B$3="Master's",4000,0)))&lt;53000,MAX(0,MIN(39.99,((($AI2-('Score Inputs'!$B$4*1500+IF('Score Inputs'!$B$3="Master's",4000,0))))-45000)/8000*39.99)),IF(($AI2-('Score Inputs'!$B$4*1500+IF('Score Inputs'!$B$3="Master's",4000,0)))&lt;58000,40+((($AI2-('Score Inputs'!$B$4*1500+IF('Score Inputs'!$B$3="Master's",4000,0))))-53000)/5000*20,IF(($AI2-('Score Inputs'!$B$4*1500+IF('Score Inputs'!$B$3="Master's",4000,0)))&lt;63000,60+((($AI2-('Score Inputs'!$B$4*1500+IF('Score Inputs'!$B$3="Master's",4000,0))))-58000)/5000*10,IF(($AI2-('Score Inputs'!$B$4*1500+IF('Score Inputs'!$B$3="Master's",4000,0)))&lt;70000,70+((($AI2-('Score Inputs'!$B$4*1500+IF('Score Inputs'!$B$3="Master's",4000,0))))-63000)/7000*10,IF(($AI2-('Score Inputs'!$B$4*1500+IF('Score Inputs'!$B$3="Master's",4000,0)))&lt;75000,80+((($AI2-('Score Inputs'!$B$4*1500+IF('Score Inputs'!$B$3="Master's",4000,0))))-70000)/5000*10,MIN(100,90+((($AI2-('Score Inputs'!$B$4*1500+IF('Score Inputs'!$B$3="Master's",4000,0))))-75000)/5000*10)))))),0)</f>
        <v/>
      </c>
      <c r="S2" s="63">
        <f>IFERROR(MAX(0,MIN(100,L2/0.48*100)),0)</f>
        <v/>
      </c>
      <c r="T2" s="63">
        <f>IFERROR(MAX(0,MIN(100,M2/15000*100)),0)</f>
        <v/>
      </c>
      <c r="U2" s="63">
        <f>IFERROR(0.5*R2+0.35*S2+0.15*T2,0)</f>
        <v/>
      </c>
      <c r="V2" s="63">
        <f>IFERROR(0.35*AL2+0.3*AO2+0.25*AB2+0.1*AQ2,0)</f>
        <v/>
      </c>
      <c r="W2" s="63">
        <f>IFERROR(MAX(0,MIN(100,(25-P2)/(25-12)*100)),0)</f>
        <v/>
      </c>
      <c r="X2" s="63">
        <f>IFERROR(MAX(0,MIN(100,(AD2-1)/(3-1)*100))*IF(OR($A2="North Clackamas School District",$A2="Provo City School District"),0.6,1),0)</f>
        <v/>
      </c>
      <c r="Y2" s="63">
        <f>IFERROR(MAX(0,MIN(100,(1-((IFERROR(INDEX('School District Profiles'!$D$2:$D$86,MATCH($A2,'School District Profiles'!$A$2:$A$86,0)),0)/100)^2+(IFERROR(INDEX('School District Profiles'!$E$2:$E$86,MATCH($A2,'School District Profiles'!$A$2:$A$86,0)),0)/100)^2+(IFERROR(INDEX('School District Profiles'!$F$2:$F$86,MATCH($A2,'School District Profiles'!$A$2:$A$86,0)),0)/100)^2+(IFERROR(INDEX('School District Profiles'!$G$2:$G$86,MATCH($A2,'School District Profiles'!$A$2:$A$86,0)),0)/100)^2+(AC2/100)^2))/0.8*100)),0)</f>
        <v/>
      </c>
      <c r="Z2" s="63">
        <f>IFERROR(AF2*AG2,0)</f>
        <v/>
      </c>
      <c r="AA2" s="69">
        <f>IFERROR(INDEX('Median Home and Rent Prices'!$F$2:$F$86,MATCH($A2,'Median Home and Rent Prices'!$A$2:$A$86,0)),0)</f>
        <v/>
      </c>
      <c r="AB2" s="63">
        <f>IFERROR(MAX(0,MIN(100,(800-AA2)/(800-150)*100)),0)</f>
        <v/>
      </c>
      <c r="AC2" s="114">
        <f>IFERROR(INDEX('School District Profiles'!$J$2:$J$86,MATCH($A2,'School District Profiles'!$A$2:$A$86,0)),0)</f>
        <v/>
      </c>
      <c r="AD2" s="63">
        <f>IFERROR(Q2*20/O2,0)</f>
        <v/>
      </c>
      <c r="AE2" s="63">
        <f>IFERROR(IF(AG2&gt;=1,100,IF(AG2&gt;=0.95,75,IF(AG2&gt;=0.9,60,IF(AG2&gt;=0.85,40,IF(AG2&gt;=0.8,25,0))))),0)</f>
        <v/>
      </c>
      <c r="AF2" s="63">
        <f>IFERROR(0.35*V2+0.3*U2+0.1*W2+0.1*X2+0.1*Y2+0.05*AR2,0)</f>
        <v/>
      </c>
      <c r="AG2" s="63" t="n">
        <v>1</v>
      </c>
      <c r="AH2" s="64" t="inlineStr">
        <is>
          <t>No current employment-stability penalty applied in this first-pass entry. High salary schedule and low ratio make it competitive; housing costs keep it below the top in this pass.</t>
        </is>
      </c>
      <c r="AI2" s="65">
        <f>IF('Score Inputs'!$B$3="Bachelor's",CHOOSE(MATCH('Score Inputs'!$B$4,{0,5,10},0),D2,E2,F2),CHOOSE(MATCH('Score Inputs'!$B$4,{0,5,10},0),G2,H2,I2))</f>
        <v/>
      </c>
      <c r="AJ2" s="65">
        <f>IFERROR(AI2/12,0)</f>
        <v/>
      </c>
      <c r="AK2" s="114">
        <f>IFERROR(O2/AJ2,0)</f>
        <v/>
      </c>
      <c r="AL2" s="63">
        <f>IFERROR(IF(AK2&lt;=25%,100,IF(AK2&lt;=30%,100-(AK2-25%)/5%*30,IF(AK2&lt;=35%,70-(AK2-30%)/5%*10,IF(AK2&lt;=40%,60-(AK2-35%)/5%*20,MAX(0,40-(AK2-40%)/10%*40))))),0)</f>
        <v/>
      </c>
      <c r="AM2" s="65">
        <f>IFERROR(PMT('Score Inputs'!$B$5/12,'Score Inputs'!$B$7*12,-N2*(1-'Score Inputs'!$B$6)),0)</f>
        <v/>
      </c>
      <c r="AN2" s="114">
        <f>IFERROR(AM2/AJ2,0)</f>
        <v/>
      </c>
      <c r="AO2" s="63">
        <f>IFERROR(IF(AN2&lt;=25%,100,IF(AN2&lt;=30%,100-(AN2-25%)/5%*30,IF(AN2&lt;=35%,70-(AN2-30%)/5%*10,IF(AN2&lt;=40%,60-(AN2-35%)/5%*20,MAX(0,40-(AN2-40%)/10%*40))))),0)</f>
        <v/>
      </c>
      <c r="AP2" s="65">
        <f>IFERROR(AJ2-O2,0)</f>
        <v/>
      </c>
      <c r="AQ2" s="63">
        <f>IFERROR(MAX(0,MIN(100,(AP2-'Score Inputs'!$B$8)/('Score Inputs'!$B$9-'Score Inputs'!$B$8)*100)),0)</f>
        <v/>
      </c>
      <c r="AR2" s="63">
        <f>IFERROR(INDEX('State Funding Lookup'!$B$2:$B$86,MATCH($A2,'State Funding Lookup'!$A$2:$A$86,0)),0)</f>
        <v/>
      </c>
      <c r="AS2" s="67">
        <f>AK2</f>
        <v/>
      </c>
      <c r="AT2" s="67">
        <f>AN2</f>
        <v/>
      </c>
    </row>
    <row r="3" ht="30" customHeight="1" s="104">
      <c r="A3" s="88" t="inlineStr">
        <is>
          <t>Hobbs Municipal Schools</t>
        </is>
      </c>
      <c r="B3" s="88">
        <f>IFERROR(INDEX('School District Profiles'!$B$2:$B$86,MATCH($A3,'School District Profiles'!$A$2:$A$86,0)),"")</f>
        <v/>
      </c>
      <c r="C3" s="88">
        <f>IFERROR(INDEX('School District Profiles'!$C$2:$C$86,MATCH($A3,'School District Profiles'!$A$2:$A$86,0)),"")</f>
        <v/>
      </c>
      <c r="D3" s="90">
        <f>IFERROR(SUMIFS('Teacher Salary Data'!$E$2:$E$1871,'Teacher Salary Data'!$A$2:$A$1871,$A3,'Teacher Salary Data'!$C$2:$C$1871,"Bachelor's",'Teacher Salary Data'!$D$2:$D$1871,0),0)</f>
        <v/>
      </c>
      <c r="E3" s="90">
        <f>IFERROR(SUMIFS('Teacher Salary Data'!$E$2:$E$1871,'Teacher Salary Data'!$A$2:$A$1871,$A3,'Teacher Salary Data'!$C$2:$C$1871,"Bachelor's",'Teacher Salary Data'!$D$2:$D$1871,5),0)</f>
        <v/>
      </c>
      <c r="F3" s="90">
        <f>IFERROR(SUMIFS('Teacher Salary Data'!$E$2:$E$1871,'Teacher Salary Data'!$A$2:$A$1871,$A3,'Teacher Salary Data'!$C$2:$C$1871,"Bachelor's",'Teacher Salary Data'!$D$2:$D$1871,10),0)</f>
        <v/>
      </c>
      <c r="G3" s="90">
        <f>IFERROR(SUMIFS('Teacher Salary Data'!$E$2:$E$1871,'Teacher Salary Data'!$A$2:$A$1871,$A3,'Teacher Salary Data'!$C$2:$C$1871,"Master's",'Teacher Salary Data'!$D$2:$D$1871,0),0)</f>
        <v/>
      </c>
      <c r="H3" s="90">
        <f>IFERROR(SUMIFS('Teacher Salary Data'!$E$2:$E$1871,'Teacher Salary Data'!$A$2:$A$1871,$A3,'Teacher Salary Data'!$C$2:$C$1871,"Master's",'Teacher Salary Data'!$D$2:$D$1871,5),0)</f>
        <v/>
      </c>
      <c r="I3" s="90">
        <f>IFERROR(SUMIFS('Teacher Salary Data'!$E$2:$E$1871,'Teacher Salary Data'!$A$2:$A$1871,$A3,'Teacher Salary Data'!$C$2:$C$1871,"Master's",'Teacher Salary Data'!$D$2:$D$1871,10),0)</f>
        <v/>
      </c>
      <c r="J3" s="90">
        <f>AVERAGE(D3,G3)</f>
        <v/>
      </c>
      <c r="K3" s="90">
        <f>AVERAGE(F3,I3)</f>
        <v/>
      </c>
      <c r="L3" s="115">
        <f>IFERROR((K3-J3)/J3,0)</f>
        <v/>
      </c>
      <c r="M3" s="88">
        <f>G3-D3</f>
        <v/>
      </c>
      <c r="N3" s="90">
        <f>IFERROR(INDEX('Median Home and Rent Prices'!$D$2:$D$86,MATCH($A3,'Median Home and Rent Prices'!$A$2:$A$86,0)),0)</f>
        <v/>
      </c>
      <c r="O3" s="90">
        <f>IFERROR(INDEX('Median Home and Rent Prices'!$E$2:$E$86,MATCH($A3,'Median Home and Rent Prices'!$A$2:$A$86,0)),0)</f>
        <v/>
      </c>
      <c r="P3" s="88">
        <f>IFERROR(INDEX('School District Profiles'!$H$2:$H$86,MATCH($A3,'School District Profiles'!$A$2:$A$86,0)),0)</f>
        <v/>
      </c>
      <c r="Q3" s="90">
        <f>IFERROR(INDEX('School District Profiles'!$I$2:$I$86,MATCH($A3,'School District Profiles'!$A$2:$A$86,0)),0)</f>
        <v/>
      </c>
      <c r="R3" s="95">
        <f>IFERROR(IF(($AI3-('Score Inputs'!$B$4*1500+IF('Score Inputs'!$B$3="Master's",4000,0)))&lt;53000,MAX(0,MIN(39.99,((($AI3-('Score Inputs'!$B$4*1500+IF('Score Inputs'!$B$3="Master's",4000,0))))-45000)/8000*39.99)),IF(($AI3-('Score Inputs'!$B$4*1500+IF('Score Inputs'!$B$3="Master's",4000,0)))&lt;58000,40+((($AI3-('Score Inputs'!$B$4*1500+IF('Score Inputs'!$B$3="Master's",4000,0))))-53000)/5000*20,IF(($AI3-('Score Inputs'!$B$4*1500+IF('Score Inputs'!$B$3="Master's",4000,0)))&lt;63000,60+((($AI3-('Score Inputs'!$B$4*1500+IF('Score Inputs'!$B$3="Master's",4000,0))))-58000)/5000*10,IF(($AI3-('Score Inputs'!$B$4*1500+IF('Score Inputs'!$B$3="Master's",4000,0)))&lt;70000,70+((($AI3-('Score Inputs'!$B$4*1500+IF('Score Inputs'!$B$3="Master's",4000,0))))-63000)/7000*10,IF(($AI3-('Score Inputs'!$B$4*1500+IF('Score Inputs'!$B$3="Master's",4000,0)))&lt;75000,80+((($AI3-('Score Inputs'!$B$4*1500+IF('Score Inputs'!$B$3="Master's",4000,0))))-70000)/5000*10,MIN(100,90+((($AI3-('Score Inputs'!$B$4*1500+IF('Score Inputs'!$B$3="Master's",4000,0))))-75000)/5000*10)))))),0)</f>
        <v/>
      </c>
      <c r="S3" s="95">
        <f>IFERROR(MAX(0,MIN(100,L3/0.48*100)),0)</f>
        <v/>
      </c>
      <c r="T3" s="95">
        <f>IFERROR(MAX(0,MIN(100,M3/15000*100)),0)</f>
        <v/>
      </c>
      <c r="U3" s="95">
        <f>IFERROR(0.5*R3+0.35*S3+0.15*T3,0)</f>
        <v/>
      </c>
      <c r="V3" s="95">
        <f>IFERROR(0.35*AL3+0.3*AO3+0.25*AB3+0.1*AQ3,0)</f>
        <v/>
      </c>
      <c r="W3" s="95">
        <f>IFERROR(MAX(0,MIN(100,(25-P3)/(25-12)*100)),0)</f>
        <v/>
      </c>
      <c r="X3" s="95">
        <f>IFERROR(MAX(0,MIN(100,(AD3-1)/(3-1)*100))*IF(OR($A3="North Clackamas School District",$A3="Provo City School District"),0.6,1),0)</f>
        <v/>
      </c>
      <c r="Y3" s="95">
        <f>IFERROR(MAX(0,MIN(100,(1-((IFERROR(INDEX('School District Profiles'!$D$2:$D$86,MATCH($A3,'School District Profiles'!$A$2:$A$86,0)),0)/100)^2+(IFERROR(INDEX('School District Profiles'!$E$2:$E$86,MATCH($A3,'School District Profiles'!$A$2:$A$86,0)),0)/100)^2+(IFERROR(INDEX('School District Profiles'!$F$2:$F$86,MATCH($A3,'School District Profiles'!$A$2:$A$86,0)),0)/100)^2+(IFERROR(INDEX('School District Profiles'!$G$2:$G$86,MATCH($A3,'School District Profiles'!$A$2:$A$86,0)),0)/100)^2+(AC3/100)^2))/0.8*100)),0)</f>
        <v/>
      </c>
      <c r="Z3" s="95">
        <f>IFERROR(AF3*AG3,0)</f>
        <v/>
      </c>
      <c r="AA3" s="88">
        <f>IFERROR(INDEX('Median Home and Rent Prices'!$F$2:$F$86,MATCH($A3,'Median Home and Rent Prices'!$A$2:$A$86,0)),0)</f>
        <v/>
      </c>
      <c r="AB3" s="95">
        <f>IFERROR(MAX(0,MIN(100,(800-AA3)/(800-150)*100)),0)</f>
        <v/>
      </c>
      <c r="AC3" s="88">
        <f>IFERROR(INDEX('School District Profiles'!$J$2:$J$86,MATCH($A3,'School District Profiles'!$A$2:$A$86,0)),0)</f>
        <v/>
      </c>
      <c r="AD3" s="95">
        <f>IFERROR(Q3*20/O3,0)</f>
        <v/>
      </c>
      <c r="AE3" s="95">
        <f>IFERROR(IF(AG3&gt;=1,100,IF(AG3&gt;=0.95,75,IF(AG3&gt;=0.9,60,IF(AG3&gt;=0.85,40,IF(AG3&gt;=0.8,25,0))))),0)</f>
        <v/>
      </c>
      <c r="AF3" s="95">
        <f>IFERROR(0.35*V3+0.3*U3+0.1*W3+0.1*X3+0.1*Y3+0.05*AR3,0)</f>
        <v/>
      </c>
      <c r="AG3" s="95" t="n">
        <v>1</v>
      </c>
      <c r="AH3" s="88" t="inlineStr">
        <is>
          <t>Salary schedule uses Level 1 for BA and Level 2 for MA/progression proxy. Verify NM licensure-level mapping before final ranking.</t>
        </is>
      </c>
      <c r="AI3" s="90">
        <f>IF('Score Inputs'!$B$3="Bachelor's",CHOOSE(MATCH('Score Inputs'!$B$4,{0,5,10},0),D3,E3,F3),CHOOSE(MATCH('Score Inputs'!$B$4,{0,5,10},0),G3,H3,I3))</f>
        <v/>
      </c>
      <c r="AJ3" s="90">
        <f>IFERROR(AI3/12,0)</f>
        <v/>
      </c>
      <c r="AK3" s="115">
        <f>IFERROR(O3/AJ3,0)</f>
        <v/>
      </c>
      <c r="AL3" s="95">
        <f>IFERROR(IF(AK3&lt;=25%,100,IF(AK3&lt;=30%,100-(AK3-25%)/5%*30,IF(AK3&lt;=35%,70-(AK3-30%)/5%*10,IF(AK3&lt;=40%,60-(AK3-35%)/5%*20,MAX(0,40-(AK3-40%)/10%*40))))),0)</f>
        <v/>
      </c>
      <c r="AM3" s="90">
        <f>IFERROR(PMT('Score Inputs'!$B$5/12,'Score Inputs'!$B$7*12,-N3*(1-'Score Inputs'!$B$6)),0)</f>
        <v/>
      </c>
      <c r="AN3" s="115">
        <f>IFERROR(AM3/AJ3,0)</f>
        <v/>
      </c>
      <c r="AO3" s="95">
        <f>IFERROR(IF(AN3&lt;=25%,100,IF(AN3&lt;=30%,100-(AN3-25%)/5%*30,IF(AN3&lt;=35%,70-(AN3-30%)/5%*10,IF(AN3&lt;=40%,60-(AN3-35%)/5%*20,MAX(0,40-(AN3-40%)/10%*40))))),0)</f>
        <v/>
      </c>
      <c r="AP3" s="90">
        <f>IFERROR(AJ3-O3,0)</f>
        <v/>
      </c>
      <c r="AQ3" s="95">
        <f>IFERROR(MAX(0,MIN(100,(AP3-'Score Inputs'!$B$8)/('Score Inputs'!$B$9-'Score Inputs'!$B$8)*100)),0)</f>
        <v/>
      </c>
      <c r="AR3" s="95">
        <f>IFERROR(INDEX('State Funding Lookup'!$B$2:$B$86,MATCH($A3,'State Funding Lookup'!$A$2:$A$86,0)),0)</f>
        <v/>
      </c>
      <c r="AS3" s="98">
        <f>AK3</f>
        <v/>
      </c>
      <c r="AT3" s="98">
        <f>AN3</f>
        <v/>
      </c>
    </row>
    <row r="4" ht="30" customHeight="1" s="104">
      <c r="A4" s="64" t="inlineStr">
        <is>
          <t>Mounds View Public Schools</t>
        </is>
      </c>
      <c r="B4" s="64">
        <f>IFERROR(INDEX('School District Profiles'!$B$2:$B$86,MATCH($A4,'School District Profiles'!$A$2:$A$86,0)),"")</f>
        <v/>
      </c>
      <c r="C4" s="64">
        <f>IFERROR(INDEX('School District Profiles'!$C$2:$C$86,MATCH($A4,'School District Profiles'!$A$2:$A$86,0)),"")</f>
        <v/>
      </c>
      <c r="D4" s="65">
        <f>IFERROR(SUMIFS('Teacher Salary Data'!$E$2:$E$1871,'Teacher Salary Data'!$A$2:$A$1871,$A4,'Teacher Salary Data'!$C$2:$C$1871,"Bachelor's",'Teacher Salary Data'!$D$2:$D$1871,0),0)</f>
        <v/>
      </c>
      <c r="E4" s="65">
        <f>IFERROR(SUMIFS('Teacher Salary Data'!$E$2:$E$1871,'Teacher Salary Data'!$A$2:$A$1871,$A4,'Teacher Salary Data'!$C$2:$C$1871,"Bachelor's",'Teacher Salary Data'!$D$2:$D$1871,5),0)</f>
        <v/>
      </c>
      <c r="F4" s="65">
        <f>IFERROR(SUMIFS('Teacher Salary Data'!$E$2:$E$1871,'Teacher Salary Data'!$A$2:$A$1871,$A4,'Teacher Salary Data'!$C$2:$C$1871,"Bachelor's",'Teacher Salary Data'!$D$2:$D$1871,10),0)</f>
        <v/>
      </c>
      <c r="G4" s="65">
        <f>IFERROR(SUMIFS('Teacher Salary Data'!$E$2:$E$1871,'Teacher Salary Data'!$A$2:$A$1871,$A4,'Teacher Salary Data'!$C$2:$C$1871,"Master's",'Teacher Salary Data'!$D$2:$D$1871,0),0)</f>
        <v/>
      </c>
      <c r="H4" s="65">
        <f>IFERROR(SUMIFS('Teacher Salary Data'!$E$2:$E$1871,'Teacher Salary Data'!$A$2:$A$1871,$A4,'Teacher Salary Data'!$C$2:$C$1871,"Master's",'Teacher Salary Data'!$D$2:$D$1871,5),0)</f>
        <v/>
      </c>
      <c r="I4" s="65">
        <f>IFERROR(SUMIFS('Teacher Salary Data'!$E$2:$E$1871,'Teacher Salary Data'!$A$2:$A$1871,$A4,'Teacher Salary Data'!$C$2:$C$1871,"Master's",'Teacher Salary Data'!$D$2:$D$1871,10),0)</f>
        <v/>
      </c>
      <c r="J4" s="65">
        <f>AVERAGE(D4,G4)</f>
        <v/>
      </c>
      <c r="K4" s="65">
        <f>AVERAGE(F4,I4)</f>
        <v/>
      </c>
      <c r="L4" s="114">
        <f>IFERROR((K4-J4)/J4,0)</f>
        <v/>
      </c>
      <c r="M4" s="65">
        <f>G4-D4</f>
        <v/>
      </c>
      <c r="N4" s="65">
        <f>IFERROR(INDEX('Median Home and Rent Prices'!$D$2:$D$86,MATCH($A4,'Median Home and Rent Prices'!$A$2:$A$86,0)),0)</f>
        <v/>
      </c>
      <c r="O4" s="65">
        <f>IFERROR(INDEX('Median Home and Rent Prices'!$E$2:$E$86,MATCH($A4,'Median Home and Rent Prices'!$A$2:$A$86,0)),0)</f>
        <v/>
      </c>
      <c r="P4" s="64">
        <f>IFERROR(INDEX('School District Profiles'!$H$2:$H$86,MATCH($A4,'School District Profiles'!$A$2:$A$86,0)),0)</f>
        <v/>
      </c>
      <c r="Q4" s="65">
        <f>IFERROR(INDEX('School District Profiles'!$I$2:$I$86,MATCH($A4,'School District Profiles'!$A$2:$A$86,0)),0)</f>
        <v/>
      </c>
      <c r="R4" s="63">
        <f>IFERROR(IF(($AI4-('Score Inputs'!$B$4*1500+IF('Score Inputs'!$B$3="Master's",4000,0)))&lt;53000,MAX(0,MIN(39.99,((($AI4-('Score Inputs'!$B$4*1500+IF('Score Inputs'!$B$3="Master's",4000,0))))-45000)/8000*39.99)),IF(($AI4-('Score Inputs'!$B$4*1500+IF('Score Inputs'!$B$3="Master's",4000,0)))&lt;58000,40+((($AI4-('Score Inputs'!$B$4*1500+IF('Score Inputs'!$B$3="Master's",4000,0))))-53000)/5000*20,IF(($AI4-('Score Inputs'!$B$4*1500+IF('Score Inputs'!$B$3="Master's",4000,0)))&lt;63000,60+((($AI4-('Score Inputs'!$B$4*1500+IF('Score Inputs'!$B$3="Master's",4000,0))))-58000)/5000*10,IF(($AI4-('Score Inputs'!$B$4*1500+IF('Score Inputs'!$B$3="Master's",4000,0)))&lt;70000,70+((($AI4-('Score Inputs'!$B$4*1500+IF('Score Inputs'!$B$3="Master's",4000,0))))-63000)/7000*10,IF(($AI4-('Score Inputs'!$B$4*1500+IF('Score Inputs'!$B$3="Master's",4000,0)))&lt;75000,80+((($AI4-('Score Inputs'!$B$4*1500+IF('Score Inputs'!$B$3="Master's",4000,0))))-70000)/5000*10,MIN(100,90+((($AI4-('Score Inputs'!$B$4*1500+IF('Score Inputs'!$B$3="Master's",4000,0))))-75000)/5000*10)))))),0)</f>
        <v/>
      </c>
      <c r="S4" s="63">
        <f>IFERROR(MAX(0,MIN(100,L4/0.48*100)),0)</f>
        <v/>
      </c>
      <c r="T4" s="63">
        <f>IFERROR(MAX(0,MIN(100,M4/15000*100)),0)</f>
        <v/>
      </c>
      <c r="U4" s="63">
        <f>IFERROR(0.5*R4+0.35*S4+0.15*T4,0)</f>
        <v/>
      </c>
      <c r="V4" s="63">
        <f>IFERROR(0.35*AL4+0.3*AO4+0.25*AB4+0.1*AQ4,0)</f>
        <v/>
      </c>
      <c r="W4" s="63">
        <f>IFERROR(MAX(0,MIN(100,(25-P4)/(25-12)*100)),0)</f>
        <v/>
      </c>
      <c r="X4" s="63">
        <f>IFERROR(MAX(0,MIN(100,(AD4-1)/(3-1)*100))*IF(OR($A4="North Clackamas School District",$A4="Provo City School District"),0.6,1),0)</f>
        <v/>
      </c>
      <c r="Y4" s="63">
        <f>IFERROR(MAX(0,MIN(100,(1-((IFERROR(INDEX('School District Profiles'!$D$2:$D$86,MATCH($A4,'School District Profiles'!$A$2:$A$86,0)),0)/100)^2+(IFERROR(INDEX('School District Profiles'!$E$2:$E$86,MATCH($A4,'School District Profiles'!$A$2:$A$86,0)),0)/100)^2+(IFERROR(INDEX('School District Profiles'!$F$2:$F$86,MATCH($A4,'School District Profiles'!$A$2:$A$86,0)),0)/100)^2+(IFERROR(INDEX('School District Profiles'!$G$2:$G$86,MATCH($A4,'School District Profiles'!$A$2:$A$86,0)),0)/100)^2+(AC4/100)^2))/0.8*100)),0)</f>
        <v/>
      </c>
      <c r="Z4" s="63">
        <f>IFERROR(AF4*AG4,0)</f>
        <v/>
      </c>
      <c r="AA4" s="69">
        <f>IFERROR(INDEX('Median Home and Rent Prices'!$F$2:$F$86,MATCH($A4,'Median Home and Rent Prices'!$A$2:$A$86,0)),0)</f>
        <v/>
      </c>
      <c r="AB4" s="63">
        <f>IFERROR(MAX(0,MIN(100,(800-AA4)/(800-150)*100)),0)</f>
        <v/>
      </c>
      <c r="AC4" s="114">
        <f>IFERROR(INDEX('School District Profiles'!$J$2:$J$86,MATCH($A4,'School District Profiles'!$A$2:$A$86,0)),0)</f>
        <v/>
      </c>
      <c r="AD4" s="63">
        <f>IFERROR(Q4*20/O4,0)</f>
        <v/>
      </c>
      <c r="AE4" s="63">
        <f>IFERROR(IF(AG4&gt;=1,100,IF(AG4&gt;=0.95,75,IF(AG4&gt;=0.9,60,IF(AG4&gt;=0.85,40,IF(AG4&gt;=0.8,25,0))))),0)</f>
        <v/>
      </c>
      <c r="AF4" s="63">
        <f>IFERROR(0.35*V4+0.3*U4+0.1*W4+0.1*X4+0.1*Y4+0.05*AR4,0)</f>
        <v/>
      </c>
      <c r="AG4" s="63" t="n">
        <v>1</v>
      </c>
      <c r="AH4" s="64" t="inlineStr">
        <is>
          <t>No current employment-stability penalty applied in this first-pass entry. BA 10-year uses the first accessible BA+15 lane because the BA00 lane does not advance to steps 9/10; verify placement with HR.</t>
        </is>
      </c>
      <c r="AI4" s="65">
        <f>IF('Score Inputs'!$B$3="Bachelor's",CHOOSE(MATCH('Score Inputs'!$B$4,{0,5,10},0),D4,E4,F4),CHOOSE(MATCH('Score Inputs'!$B$4,{0,5,10},0),G4,H4,I4))</f>
        <v/>
      </c>
      <c r="AJ4" s="65">
        <f>IFERROR(AI4/12,0)</f>
        <v/>
      </c>
      <c r="AK4" s="114">
        <f>IFERROR(O4/AJ4,0)</f>
        <v/>
      </c>
      <c r="AL4" s="63">
        <f>IFERROR(IF(AK4&lt;=25%,100,IF(AK4&lt;=30%,100-(AK4-25%)/5%*30,IF(AK4&lt;=35%,70-(AK4-30%)/5%*10,IF(AK4&lt;=40%,60-(AK4-35%)/5%*20,MAX(0,40-(AK4-40%)/10%*40))))),0)</f>
        <v/>
      </c>
      <c r="AM4" s="65">
        <f>IFERROR(PMT('Score Inputs'!$B$5/12,'Score Inputs'!$B$7*12,-N4*(1-'Score Inputs'!$B$6)),0)</f>
        <v/>
      </c>
      <c r="AN4" s="114">
        <f>IFERROR(AM4/AJ4,0)</f>
        <v/>
      </c>
      <c r="AO4" s="63">
        <f>IFERROR(IF(AN4&lt;=25%,100,IF(AN4&lt;=30%,100-(AN4-25%)/5%*30,IF(AN4&lt;=35%,70-(AN4-30%)/5%*10,IF(AN4&lt;=40%,60-(AN4-35%)/5%*20,MAX(0,40-(AN4-40%)/10%*40))))),0)</f>
        <v/>
      </c>
      <c r="AP4" s="65">
        <f>IFERROR(AJ4-O4,0)</f>
        <v/>
      </c>
      <c r="AQ4" s="63">
        <f>IFERROR(MAX(0,MIN(100,(AP4-'Score Inputs'!$B$8)/('Score Inputs'!$B$9-'Score Inputs'!$B$8)*100)),0)</f>
        <v/>
      </c>
      <c r="AR4" s="63">
        <f>IFERROR(INDEX('State Funding Lookup'!$B$2:$B$86,MATCH($A4,'State Funding Lookup'!$A$2:$A$86,0)),0)</f>
        <v/>
      </c>
      <c r="AS4" s="67">
        <f>AK4</f>
        <v/>
      </c>
      <c r="AT4" s="67">
        <f>AN4</f>
        <v/>
      </c>
    </row>
    <row r="5" ht="30" customHeight="1" s="104">
      <c r="A5" s="58" t="inlineStr">
        <is>
          <t>Madison Metropolitan School District</t>
        </is>
      </c>
      <c r="B5" s="58">
        <f>IFERROR(INDEX('School District Profiles'!$B$2:$B$86,MATCH($A5,'School District Profiles'!$A$2:$A$86,0)),"")</f>
        <v/>
      </c>
      <c r="C5" s="58">
        <f>IFERROR(INDEX('School District Profiles'!$C$2:$C$86,MATCH($A5,'School District Profiles'!$A$2:$A$86,0)),"")</f>
        <v/>
      </c>
      <c r="D5" s="59">
        <f>IFERROR(SUMIFS('Teacher Salary Data'!$E$2:$E$1871,'Teacher Salary Data'!$A$2:$A$1871,$A5,'Teacher Salary Data'!$C$2:$C$1871,"Bachelor's",'Teacher Salary Data'!$D$2:$D$1871,0),0)</f>
        <v/>
      </c>
      <c r="E5" s="59">
        <f>IFERROR(SUMIFS('Teacher Salary Data'!$E$2:$E$1871,'Teacher Salary Data'!$A$2:$A$1871,$A5,'Teacher Salary Data'!$C$2:$C$1871,"Bachelor's",'Teacher Salary Data'!$D$2:$D$1871,5),0)</f>
        <v/>
      </c>
      <c r="F5" s="59">
        <f>IFERROR(SUMIFS('Teacher Salary Data'!$E$2:$E$1871,'Teacher Salary Data'!$A$2:$A$1871,$A5,'Teacher Salary Data'!$C$2:$C$1871,"Bachelor's",'Teacher Salary Data'!$D$2:$D$1871,10),0)</f>
        <v/>
      </c>
      <c r="G5" s="59">
        <f>IFERROR(SUMIFS('Teacher Salary Data'!$E$2:$E$1871,'Teacher Salary Data'!$A$2:$A$1871,$A5,'Teacher Salary Data'!$C$2:$C$1871,"Master's",'Teacher Salary Data'!$D$2:$D$1871,0),0)</f>
        <v/>
      </c>
      <c r="H5" s="59">
        <f>IFERROR(SUMIFS('Teacher Salary Data'!$E$2:$E$1871,'Teacher Salary Data'!$A$2:$A$1871,$A5,'Teacher Salary Data'!$C$2:$C$1871,"Master's",'Teacher Salary Data'!$D$2:$D$1871,5),0)</f>
        <v/>
      </c>
      <c r="I5" s="59">
        <f>IFERROR(SUMIFS('Teacher Salary Data'!$E$2:$E$1871,'Teacher Salary Data'!$A$2:$A$1871,$A5,'Teacher Salary Data'!$C$2:$C$1871,"Master's",'Teacher Salary Data'!$D$2:$D$1871,10),0)</f>
        <v/>
      </c>
      <c r="J5" s="59">
        <f>AVERAGE(D5,G5)</f>
        <v/>
      </c>
      <c r="K5" s="59">
        <f>AVERAGE(F5,I5)</f>
        <v/>
      </c>
      <c r="L5" s="116">
        <f>IFERROR((K5-J5)/J5,0)</f>
        <v/>
      </c>
      <c r="M5" s="59">
        <f>G5-D5</f>
        <v/>
      </c>
      <c r="N5" s="59">
        <f>IFERROR(INDEX('Median Home and Rent Prices'!$D$2:$D$86,MATCH($A5,'Median Home and Rent Prices'!$A$2:$A$86,0)),0)</f>
        <v/>
      </c>
      <c r="O5" s="59">
        <f>IFERROR(INDEX('Median Home and Rent Prices'!$E$2:$E$86,MATCH($A5,'Median Home and Rent Prices'!$A$2:$A$86,0)),0)</f>
        <v/>
      </c>
      <c r="P5" s="61">
        <f>IFERROR(INDEX('School District Profiles'!$H$2:$H$86,MATCH($A5,'School District Profiles'!$A$2:$A$86,0)),0)</f>
        <v/>
      </c>
      <c r="Q5" s="59">
        <f>IFERROR(INDEX('School District Profiles'!$I$2:$I$86,MATCH($A5,'School District Profiles'!$A$2:$A$86,0)),0)</f>
        <v/>
      </c>
      <c r="R5" s="61">
        <f>IFERROR(IF(($AI5-('Score Inputs'!$B$4*1500+IF('Score Inputs'!$B$3="Master's",4000,0)))&lt;53000,MAX(0,MIN(39.99,((($AI5-('Score Inputs'!$B$4*1500+IF('Score Inputs'!$B$3="Master's",4000,0))))-45000)/8000*39.99)),IF(($AI5-('Score Inputs'!$B$4*1500+IF('Score Inputs'!$B$3="Master's",4000,0)))&lt;58000,40+((($AI5-('Score Inputs'!$B$4*1500+IF('Score Inputs'!$B$3="Master's",4000,0))))-53000)/5000*20,IF(($AI5-('Score Inputs'!$B$4*1500+IF('Score Inputs'!$B$3="Master's",4000,0)))&lt;63000,60+((($AI5-('Score Inputs'!$B$4*1500+IF('Score Inputs'!$B$3="Master's",4000,0))))-58000)/5000*10,IF(($AI5-('Score Inputs'!$B$4*1500+IF('Score Inputs'!$B$3="Master's",4000,0)))&lt;70000,70+((($AI5-('Score Inputs'!$B$4*1500+IF('Score Inputs'!$B$3="Master's",4000,0))))-63000)/7000*10,IF(($AI5-('Score Inputs'!$B$4*1500+IF('Score Inputs'!$B$3="Master's",4000,0)))&lt;75000,80+((($AI5-('Score Inputs'!$B$4*1500+IF('Score Inputs'!$B$3="Master's",4000,0))))-70000)/5000*10,MIN(100,90+((($AI5-('Score Inputs'!$B$4*1500+IF('Score Inputs'!$B$3="Master's",4000,0))))-75000)/5000*10)))))),0)</f>
        <v/>
      </c>
      <c r="S5" s="61">
        <f>IFERROR(MAX(0,MIN(100,L5/0.48*100)),0)</f>
        <v/>
      </c>
      <c r="T5" s="61">
        <f>IFERROR(MAX(0,MIN(100,M5/15000*100)),0)</f>
        <v/>
      </c>
      <c r="U5" s="61">
        <f>IFERROR(0.5*R5+0.35*S5+0.15*T5,0)</f>
        <v/>
      </c>
      <c r="V5" s="61">
        <f>IFERROR(0.35*AL5+0.3*AO5+0.25*AB5+0.1*AQ5,0)</f>
        <v/>
      </c>
      <c r="W5" s="61">
        <f>IFERROR(MAX(0,MIN(100,(25-P5)/(25-12)*100)),0)</f>
        <v/>
      </c>
      <c r="X5" s="61">
        <f>IFERROR(MAX(0,MIN(100,(AD5-1)/(3-1)*100))*IF(OR($A5="North Clackamas School District",$A5="Provo City School District"),0.6,1),0)</f>
        <v/>
      </c>
      <c r="Y5" s="61">
        <f>IFERROR(MAX(0,MIN(100,(1-((IFERROR(INDEX('School District Profiles'!$D$2:$D$86,MATCH($A5,'School District Profiles'!$A$2:$A$86,0)),0)/100)^2+(IFERROR(INDEX('School District Profiles'!$E$2:$E$86,MATCH($A5,'School District Profiles'!$A$2:$A$86,0)),0)/100)^2+(IFERROR(INDEX('School District Profiles'!$F$2:$F$86,MATCH($A5,'School District Profiles'!$A$2:$A$86,0)),0)/100)^2+(IFERROR(INDEX('School District Profiles'!$G$2:$G$86,MATCH($A5,'School District Profiles'!$A$2:$A$86,0)),0)/100)^2+(AC5/100)^2))/0.8*100)),0)</f>
        <v/>
      </c>
      <c r="Z5" s="61">
        <f>IFERROR(AF5*AG5,0)</f>
        <v/>
      </c>
      <c r="AA5" s="62">
        <f>IFERROR(INDEX('Median Home and Rent Prices'!$F$2:$F$86,MATCH($A5,'Median Home and Rent Prices'!$A$2:$A$86,0)),0)</f>
        <v/>
      </c>
      <c r="AB5" s="61">
        <f>IFERROR(MAX(0,MIN(100,(800-AA5)/(800-150)*100)),0)</f>
        <v/>
      </c>
      <c r="AC5" s="116">
        <f>IFERROR(INDEX('School District Profiles'!$J$2:$J$86,MATCH($A5,'School District Profiles'!$A$2:$A$86,0)),0)</f>
        <v/>
      </c>
      <c r="AD5" s="61">
        <f>IFERROR(Q5*20/O5,0)</f>
        <v/>
      </c>
      <c r="AE5" s="63">
        <f>IFERROR(IF(AG5&gt;=1,100,IF(AG5&gt;=0.95,75,IF(AG5&gt;=0.9,60,IF(AG5&gt;=0.85,40,IF(AG5&gt;=0.8,25,0))))),0)</f>
        <v/>
      </c>
      <c r="AF5" s="63">
        <f>IFERROR(0.35*V5+0.3*U5+0.1*W5+0.1*X5+0.1*Y5+0.05*AR5,0)</f>
        <v/>
      </c>
      <c r="AG5" s="63" t="n">
        <v>1</v>
      </c>
      <c r="AH5" s="64" t="inlineStr">
        <is>
          <t>No current employment-stability penalty applied in this restoration pass; verify with adopted budget, board packets, audit/ACFR, enrollment trend, and union/HR notices before final scoring.</t>
        </is>
      </c>
      <c r="AI5" s="65">
        <f>IF('Score Inputs'!$B$3="Bachelor's",CHOOSE(MATCH('Score Inputs'!$B$4,{0,5,10},0),D5,E5,F5),CHOOSE(MATCH('Score Inputs'!$B$4,{0,5,10},0),G5,H5,I5))</f>
        <v/>
      </c>
      <c r="AJ5" s="65">
        <f>IFERROR(AI5/12,0)</f>
        <v/>
      </c>
      <c r="AK5" s="114">
        <f>IFERROR(O5/AJ5,0)</f>
        <v/>
      </c>
      <c r="AL5" s="63">
        <f>IFERROR(IF(AK5&lt;=25%,100,IF(AK5&lt;=30%,100-(AK5-25%)/5%*30,IF(AK5&lt;=35%,70-(AK5-30%)/5%*10,IF(AK5&lt;=40%,60-(AK5-35%)/5%*20,MAX(0,40-(AK5-40%)/10%*40))))),0)</f>
        <v/>
      </c>
      <c r="AM5" s="65">
        <f>IFERROR(PMT('Score Inputs'!$B$5/12,'Score Inputs'!$B$7*12,-N5*(1-'Score Inputs'!$B$6)),0)</f>
        <v/>
      </c>
      <c r="AN5" s="114">
        <f>IFERROR(AM5/AJ5,0)</f>
        <v/>
      </c>
      <c r="AO5" s="63">
        <f>IFERROR(IF(AN5&lt;=25%,100,IF(AN5&lt;=30%,100-(AN5-25%)/5%*30,IF(AN5&lt;=35%,70-(AN5-30%)/5%*10,IF(AN5&lt;=40%,60-(AN5-35%)/5%*20,MAX(0,40-(AN5-40%)/10%*40))))),0)</f>
        <v/>
      </c>
      <c r="AP5" s="65">
        <f>IFERROR(AJ5-O5,0)</f>
        <v/>
      </c>
      <c r="AQ5" s="63">
        <f>IFERROR(MAX(0,MIN(100,(AP5-'Score Inputs'!$B$8)/('Score Inputs'!$B$9-'Score Inputs'!$B$8)*100)),0)</f>
        <v/>
      </c>
      <c r="AR5" s="63">
        <f>IFERROR(INDEX('State Funding Lookup'!$B$2:$B$86,MATCH($A5,'State Funding Lookup'!$A$2:$A$86,0)),0)</f>
        <v/>
      </c>
      <c r="AS5" s="67">
        <f>AK5</f>
        <v/>
      </c>
      <c r="AT5" s="67">
        <f>AN5</f>
        <v/>
      </c>
    </row>
    <row r="6" ht="30" customHeight="1" s="104">
      <c r="A6" s="64" t="inlineStr">
        <is>
          <t>Indian Prairie School District 204</t>
        </is>
      </c>
      <c r="B6" s="64">
        <f>IFERROR(INDEX('School District Profiles'!$B$2:$B$86,MATCH($A6,'School District Profiles'!$A$2:$A$86,0)),"")</f>
        <v/>
      </c>
      <c r="C6" s="64">
        <f>IFERROR(INDEX('School District Profiles'!$C$2:$C$86,MATCH($A6,'School District Profiles'!$A$2:$A$86,0)),"")</f>
        <v/>
      </c>
      <c r="D6" s="65">
        <f>IFERROR(SUMIFS('Teacher Salary Data'!$E$2:$E$1871,'Teacher Salary Data'!$A$2:$A$1871,$A6,'Teacher Salary Data'!$C$2:$C$1871,"Bachelor's",'Teacher Salary Data'!$D$2:$D$1871,0),0)</f>
        <v/>
      </c>
      <c r="E6" s="65">
        <f>IFERROR(SUMIFS('Teacher Salary Data'!$E$2:$E$1871,'Teacher Salary Data'!$A$2:$A$1871,$A6,'Teacher Salary Data'!$C$2:$C$1871,"Bachelor's",'Teacher Salary Data'!$D$2:$D$1871,5),0)</f>
        <v/>
      </c>
      <c r="F6" s="65">
        <f>IFERROR(SUMIFS('Teacher Salary Data'!$E$2:$E$1871,'Teacher Salary Data'!$A$2:$A$1871,$A6,'Teacher Salary Data'!$C$2:$C$1871,"Bachelor's",'Teacher Salary Data'!$D$2:$D$1871,10),0)</f>
        <v/>
      </c>
      <c r="G6" s="65">
        <f>IFERROR(SUMIFS('Teacher Salary Data'!$E$2:$E$1871,'Teacher Salary Data'!$A$2:$A$1871,$A6,'Teacher Salary Data'!$C$2:$C$1871,"Master's",'Teacher Salary Data'!$D$2:$D$1871,0),0)</f>
        <v/>
      </c>
      <c r="H6" s="65">
        <f>IFERROR(SUMIFS('Teacher Salary Data'!$E$2:$E$1871,'Teacher Salary Data'!$A$2:$A$1871,$A6,'Teacher Salary Data'!$C$2:$C$1871,"Master's",'Teacher Salary Data'!$D$2:$D$1871,5),0)</f>
        <v/>
      </c>
      <c r="I6" s="65">
        <f>IFERROR(SUMIFS('Teacher Salary Data'!$E$2:$E$1871,'Teacher Salary Data'!$A$2:$A$1871,$A6,'Teacher Salary Data'!$C$2:$C$1871,"Master's",'Teacher Salary Data'!$D$2:$D$1871,10),0)</f>
        <v/>
      </c>
      <c r="J6" s="65">
        <f>AVERAGE(D6,G6)</f>
        <v/>
      </c>
      <c r="K6" s="65">
        <f>AVERAGE(F6,I6)</f>
        <v/>
      </c>
      <c r="L6" s="114">
        <f>IFERROR((K6-J6)/J6,0)</f>
        <v/>
      </c>
      <c r="M6" s="65">
        <f>G6-D6</f>
        <v/>
      </c>
      <c r="N6" s="65">
        <f>IFERROR(INDEX('Median Home and Rent Prices'!$D$2:$D$86,MATCH($A6,'Median Home and Rent Prices'!$A$2:$A$86,0)),0)</f>
        <v/>
      </c>
      <c r="O6" s="65">
        <f>IFERROR(INDEX('Median Home and Rent Prices'!$E$2:$E$86,MATCH($A6,'Median Home and Rent Prices'!$A$2:$A$86,0)),0)</f>
        <v/>
      </c>
      <c r="P6" s="64">
        <f>IFERROR(INDEX('School District Profiles'!$H$2:$H$86,MATCH($A6,'School District Profiles'!$A$2:$A$86,0)),0)</f>
        <v/>
      </c>
      <c r="Q6" s="65">
        <f>IFERROR(INDEX('School District Profiles'!$I$2:$I$86,MATCH($A6,'School District Profiles'!$A$2:$A$86,0)),0)</f>
        <v/>
      </c>
      <c r="R6" s="63">
        <f>IFERROR(IF(($AI6-('Score Inputs'!$B$4*1500+IF('Score Inputs'!$B$3="Master's",4000,0)))&lt;53000,MAX(0,MIN(39.99,((($AI6-('Score Inputs'!$B$4*1500+IF('Score Inputs'!$B$3="Master's",4000,0))))-45000)/8000*39.99)),IF(($AI6-('Score Inputs'!$B$4*1500+IF('Score Inputs'!$B$3="Master's",4000,0)))&lt;58000,40+((($AI6-('Score Inputs'!$B$4*1500+IF('Score Inputs'!$B$3="Master's",4000,0))))-53000)/5000*20,IF(($AI6-('Score Inputs'!$B$4*1500+IF('Score Inputs'!$B$3="Master's",4000,0)))&lt;63000,60+((($AI6-('Score Inputs'!$B$4*1500+IF('Score Inputs'!$B$3="Master's",4000,0))))-58000)/5000*10,IF(($AI6-('Score Inputs'!$B$4*1500+IF('Score Inputs'!$B$3="Master's",4000,0)))&lt;70000,70+((($AI6-('Score Inputs'!$B$4*1500+IF('Score Inputs'!$B$3="Master's",4000,0))))-63000)/7000*10,IF(($AI6-('Score Inputs'!$B$4*1500+IF('Score Inputs'!$B$3="Master's",4000,0)))&lt;75000,80+((($AI6-('Score Inputs'!$B$4*1500+IF('Score Inputs'!$B$3="Master's",4000,0))))-70000)/5000*10,MIN(100,90+((($AI6-('Score Inputs'!$B$4*1500+IF('Score Inputs'!$B$3="Master's",4000,0))))-75000)/5000*10)))))),0)</f>
        <v/>
      </c>
      <c r="S6" s="63">
        <f>IFERROR(MAX(0,MIN(100,L6/0.48*100)),0)</f>
        <v/>
      </c>
      <c r="T6" s="63">
        <f>IFERROR(MAX(0,MIN(100,M6/15000*100)),0)</f>
        <v/>
      </c>
      <c r="U6" s="63">
        <f>IFERROR(0.5*R6+0.35*S6+0.15*T6,0)</f>
        <v/>
      </c>
      <c r="V6" s="63">
        <f>IFERROR(0.35*AL6+0.3*AO6+0.25*AB6+0.1*AQ6,0)</f>
        <v/>
      </c>
      <c r="W6" s="63">
        <f>IFERROR(MAX(0,MIN(100,(25-P6)/(25-12)*100)),0)</f>
        <v/>
      </c>
      <c r="X6" s="63">
        <f>IFERROR(MAX(0,MIN(100,(AD6-1)/(3-1)*100))*IF(OR($A6="North Clackamas School District",$A6="Provo City School District"),0.6,1),0)</f>
        <v/>
      </c>
      <c r="Y6" s="63">
        <f>IFERROR(MAX(0,MIN(100,(1-((IFERROR(INDEX('School District Profiles'!$D$2:$D$86,MATCH($A6,'School District Profiles'!$A$2:$A$86,0)),0)/100)^2+(IFERROR(INDEX('School District Profiles'!$E$2:$E$86,MATCH($A6,'School District Profiles'!$A$2:$A$86,0)),0)/100)^2+(IFERROR(INDEX('School District Profiles'!$F$2:$F$86,MATCH($A6,'School District Profiles'!$A$2:$A$86,0)),0)/100)^2+(IFERROR(INDEX('School District Profiles'!$G$2:$G$86,MATCH($A6,'School District Profiles'!$A$2:$A$86,0)),0)/100)^2+(AC6/100)^2))/0.8*100)),0)</f>
        <v/>
      </c>
      <c r="Z6" s="63">
        <f>IFERROR(AF6*AG6,0)</f>
        <v/>
      </c>
      <c r="AA6" s="69">
        <f>IFERROR(INDEX('Median Home and Rent Prices'!$F$2:$F$86,MATCH($A6,'Median Home and Rent Prices'!$A$2:$A$86,0)),0)</f>
        <v/>
      </c>
      <c r="AB6" s="63">
        <f>IFERROR(MAX(0,MIN(100,(800-AA6)/(800-150)*100)),0)</f>
        <v/>
      </c>
      <c r="AC6" s="114">
        <f>IFERROR(INDEX('School District Profiles'!$J$2:$J$86,MATCH($A6,'School District Profiles'!$A$2:$A$86,0)),0)</f>
        <v/>
      </c>
      <c r="AD6" s="63">
        <f>IFERROR(Q6*20/O6,0)</f>
        <v/>
      </c>
      <c r="AE6" s="63">
        <f>IFERROR(IF(AG6&gt;=1,100,IF(AG6&gt;=0.95,75,IF(AG6&gt;=0.9,60,IF(AG6&gt;=0.85,40,IF(AG6&gt;=0.8,25,0))))),0)</f>
        <v/>
      </c>
      <c r="AF6" s="63">
        <f>IFERROR(0.35*V6+0.3*U6+0.1*W6+0.1*X6+0.1*Y6+0.05*AR6,0)</f>
        <v/>
      </c>
      <c r="AG6" s="63" t="n">
        <v>1</v>
      </c>
      <c r="AH6" s="64" t="inlineStr">
        <is>
          <t>No current employment-stability penalty applied in this first-pass entry. Added as a high-sub-pay Chicago-suburban test district; verify sub pay directly with HR before treating as final.</t>
        </is>
      </c>
      <c r="AI6" s="65">
        <f>IF('Score Inputs'!$B$3="Bachelor's",CHOOSE(MATCH('Score Inputs'!$B$4,{0,5,10},0),D6,E6,F6),CHOOSE(MATCH('Score Inputs'!$B$4,{0,5,10},0),G6,H6,I6))</f>
        <v/>
      </c>
      <c r="AJ6" s="65">
        <f>IFERROR(AI6/12,0)</f>
        <v/>
      </c>
      <c r="AK6" s="114">
        <f>IFERROR(O6/AJ6,0)</f>
        <v/>
      </c>
      <c r="AL6" s="63">
        <f>IFERROR(IF(AK6&lt;=25%,100,IF(AK6&lt;=30%,100-(AK6-25%)/5%*30,IF(AK6&lt;=35%,70-(AK6-30%)/5%*10,IF(AK6&lt;=40%,60-(AK6-35%)/5%*20,MAX(0,40-(AK6-40%)/10%*40))))),0)</f>
        <v/>
      </c>
      <c r="AM6" s="65">
        <f>IFERROR(PMT('Score Inputs'!$B$5/12,'Score Inputs'!$B$7*12,-N6*(1-'Score Inputs'!$B$6)),0)</f>
        <v/>
      </c>
      <c r="AN6" s="114">
        <f>IFERROR(AM6/AJ6,0)</f>
        <v/>
      </c>
      <c r="AO6" s="63">
        <f>IFERROR(IF(AN6&lt;=25%,100,IF(AN6&lt;=30%,100-(AN6-25%)/5%*30,IF(AN6&lt;=35%,70-(AN6-30%)/5%*10,IF(AN6&lt;=40%,60-(AN6-35%)/5%*20,MAX(0,40-(AN6-40%)/10%*40))))),0)</f>
        <v/>
      </c>
      <c r="AP6" s="65">
        <f>IFERROR(AJ6-O6,0)</f>
        <v/>
      </c>
      <c r="AQ6" s="63">
        <f>IFERROR(MAX(0,MIN(100,(AP6-'Score Inputs'!$B$8)/('Score Inputs'!$B$9-'Score Inputs'!$B$8)*100)),0)</f>
        <v/>
      </c>
      <c r="AR6" s="63">
        <f>IFERROR(INDEX('State Funding Lookup'!$B$2:$B$86,MATCH($A6,'State Funding Lookup'!$A$2:$A$86,0)),0)</f>
        <v/>
      </c>
      <c r="AS6" s="67">
        <f>AK6</f>
        <v/>
      </c>
      <c r="AT6" s="67">
        <f>AN6</f>
        <v/>
      </c>
    </row>
    <row r="7" ht="30" customHeight="1" s="104">
      <c r="A7" s="88" t="inlineStr">
        <is>
          <t>Carlsbad Municipal Schools</t>
        </is>
      </c>
      <c r="B7" s="88">
        <f>IFERROR(INDEX('School District Profiles'!$B$2:$B$86,MATCH($A7,'School District Profiles'!$A$2:$A$86,0)),"")</f>
        <v/>
      </c>
      <c r="C7" s="88">
        <f>IFERROR(INDEX('School District Profiles'!$C$2:$C$86,MATCH($A7,'School District Profiles'!$A$2:$A$86,0)),"")</f>
        <v/>
      </c>
      <c r="D7" s="90">
        <f>IFERROR(SUMIFS('Teacher Salary Data'!$E$2:$E$1871,'Teacher Salary Data'!$A$2:$A$1871,$A7,'Teacher Salary Data'!$C$2:$C$1871,"Bachelor's",'Teacher Salary Data'!$D$2:$D$1871,0),0)</f>
        <v/>
      </c>
      <c r="E7" s="90">
        <f>IFERROR(SUMIFS('Teacher Salary Data'!$E$2:$E$1871,'Teacher Salary Data'!$A$2:$A$1871,$A7,'Teacher Salary Data'!$C$2:$C$1871,"Bachelor's",'Teacher Salary Data'!$D$2:$D$1871,5),0)</f>
        <v/>
      </c>
      <c r="F7" s="90">
        <f>IFERROR(SUMIFS('Teacher Salary Data'!$E$2:$E$1871,'Teacher Salary Data'!$A$2:$A$1871,$A7,'Teacher Salary Data'!$C$2:$C$1871,"Bachelor's",'Teacher Salary Data'!$D$2:$D$1871,10),0)</f>
        <v/>
      </c>
      <c r="G7" s="90">
        <f>IFERROR(SUMIFS('Teacher Salary Data'!$E$2:$E$1871,'Teacher Salary Data'!$A$2:$A$1871,$A7,'Teacher Salary Data'!$C$2:$C$1871,"Master's",'Teacher Salary Data'!$D$2:$D$1871,0),0)</f>
        <v/>
      </c>
      <c r="H7" s="90">
        <f>IFERROR(SUMIFS('Teacher Salary Data'!$E$2:$E$1871,'Teacher Salary Data'!$A$2:$A$1871,$A7,'Teacher Salary Data'!$C$2:$C$1871,"Master's",'Teacher Salary Data'!$D$2:$D$1871,5),0)</f>
        <v/>
      </c>
      <c r="I7" s="90">
        <f>IFERROR(SUMIFS('Teacher Salary Data'!$E$2:$E$1871,'Teacher Salary Data'!$A$2:$A$1871,$A7,'Teacher Salary Data'!$C$2:$C$1871,"Master's",'Teacher Salary Data'!$D$2:$D$1871,10),0)</f>
        <v/>
      </c>
      <c r="J7" s="90">
        <f>AVERAGE(D7,G7)</f>
        <v/>
      </c>
      <c r="K7" s="90">
        <f>AVERAGE(F7,I7)</f>
        <v/>
      </c>
      <c r="L7" s="115">
        <f>IFERROR((K7-J7)/J7,0)</f>
        <v/>
      </c>
      <c r="M7" s="88">
        <f>G7-D7</f>
        <v/>
      </c>
      <c r="N7" s="90">
        <f>IFERROR(INDEX('Median Home and Rent Prices'!$D$2:$D$86,MATCH($A7,'Median Home and Rent Prices'!$A$2:$A$86,0)),0)</f>
        <v/>
      </c>
      <c r="O7" s="90">
        <f>IFERROR(INDEX('Median Home and Rent Prices'!$E$2:$E$86,MATCH($A7,'Median Home and Rent Prices'!$A$2:$A$86,0)),0)</f>
        <v/>
      </c>
      <c r="P7" s="88">
        <f>IFERROR(INDEX('School District Profiles'!$H$2:$H$86,MATCH($A7,'School District Profiles'!$A$2:$A$86,0)),0)</f>
        <v/>
      </c>
      <c r="Q7" s="90">
        <f>IFERROR(INDEX('School District Profiles'!$I$2:$I$86,MATCH($A7,'School District Profiles'!$A$2:$A$86,0)),0)</f>
        <v/>
      </c>
      <c r="R7" s="95">
        <f>IFERROR(IF(($AI7-('Score Inputs'!$B$4*1500+IF('Score Inputs'!$B$3="Master's",4000,0)))&lt;53000,MAX(0,MIN(39.99,((($AI7-('Score Inputs'!$B$4*1500+IF('Score Inputs'!$B$3="Master's",4000,0))))-45000)/8000*39.99)),IF(($AI7-('Score Inputs'!$B$4*1500+IF('Score Inputs'!$B$3="Master's",4000,0)))&lt;58000,40+((($AI7-('Score Inputs'!$B$4*1500+IF('Score Inputs'!$B$3="Master's",4000,0))))-53000)/5000*20,IF(($AI7-('Score Inputs'!$B$4*1500+IF('Score Inputs'!$B$3="Master's",4000,0)))&lt;63000,60+((($AI7-('Score Inputs'!$B$4*1500+IF('Score Inputs'!$B$3="Master's",4000,0))))-58000)/5000*10,IF(($AI7-('Score Inputs'!$B$4*1500+IF('Score Inputs'!$B$3="Master's",4000,0)))&lt;70000,70+((($AI7-('Score Inputs'!$B$4*1500+IF('Score Inputs'!$B$3="Master's",4000,0))))-63000)/7000*10,IF(($AI7-('Score Inputs'!$B$4*1500+IF('Score Inputs'!$B$3="Master's",4000,0)))&lt;75000,80+((($AI7-('Score Inputs'!$B$4*1500+IF('Score Inputs'!$B$3="Master's",4000,0))))-70000)/5000*10,MIN(100,90+((($AI7-('Score Inputs'!$B$4*1500+IF('Score Inputs'!$B$3="Master's",4000,0))))-75000)/5000*10)))))),0)</f>
        <v/>
      </c>
      <c r="S7" s="95">
        <f>IFERROR(MAX(0,MIN(100,L7/0.48*100)),0)</f>
        <v/>
      </c>
      <c r="T7" s="95">
        <f>IFERROR(MAX(0,MIN(100,M7/15000*100)),0)</f>
        <v/>
      </c>
      <c r="U7" s="95">
        <f>IFERROR(0.5*R7+0.35*S7+0.15*T7,0)</f>
        <v/>
      </c>
      <c r="V7" s="95">
        <f>IFERROR(0.35*AL7+0.3*AO7+0.25*AB7+0.1*AQ7,0)</f>
        <v/>
      </c>
      <c r="W7" s="95">
        <f>IFERROR(MAX(0,MIN(100,(25-P7)/(25-12)*100)),0)</f>
        <v/>
      </c>
      <c r="X7" s="95">
        <f>IFERROR(MAX(0,MIN(100,(AD7-1)/(3-1)*100))*IF(OR($A7="North Clackamas School District",$A7="Provo City School District"),0.6,1),0)</f>
        <v/>
      </c>
      <c r="Y7" s="95">
        <f>IFERROR(MAX(0,MIN(100,(1-((IFERROR(INDEX('School District Profiles'!$D$2:$D$86,MATCH($A7,'School District Profiles'!$A$2:$A$86,0)),0)/100)^2+(IFERROR(INDEX('School District Profiles'!$E$2:$E$86,MATCH($A7,'School District Profiles'!$A$2:$A$86,0)),0)/100)^2+(IFERROR(INDEX('School District Profiles'!$F$2:$F$86,MATCH($A7,'School District Profiles'!$A$2:$A$86,0)),0)/100)^2+(IFERROR(INDEX('School District Profiles'!$G$2:$G$86,MATCH($A7,'School District Profiles'!$A$2:$A$86,0)),0)/100)^2+(AC7/100)^2))/0.8*100)),0)</f>
        <v/>
      </c>
      <c r="Z7" s="95">
        <f>IFERROR(AF7*AG7,0)</f>
        <v/>
      </c>
      <c r="AA7" s="88">
        <f>IFERROR(INDEX('Median Home and Rent Prices'!$F$2:$F$86,MATCH($A7,'Median Home and Rent Prices'!$A$2:$A$86,0)),0)</f>
        <v/>
      </c>
      <c r="AB7" s="95">
        <f>IFERROR(MAX(0,MIN(100,(800-AA7)/(800-150)*100)),0)</f>
        <v/>
      </c>
      <c r="AC7" s="88">
        <f>IFERROR(INDEX('School District Profiles'!$J$2:$J$86,MATCH($A7,'School District Profiles'!$A$2:$A$86,0)),0)</f>
        <v/>
      </c>
      <c r="AD7" s="95">
        <f>IFERROR(Q7*20/O7,0)</f>
        <v/>
      </c>
      <c r="AE7" s="95">
        <f>IFERROR(IF(AG7&gt;=1,100,IF(AG7&gt;=0.95,75,IF(AG7&gt;=0.9,60,IF(AG7&gt;=0.85,40,IF(AG7&gt;=0.8,25,0))))),0)</f>
        <v/>
      </c>
      <c r="AF7" s="95">
        <f>IFERROR(0.35*V7+0.3*U7+0.1*W7+0.1*X7+0.1*Y7+0.05*AR7,0)</f>
        <v/>
      </c>
      <c r="AG7" s="95" t="n">
        <v>1</v>
      </c>
      <c r="AH7" s="88" t="inlineStr">
        <is>
          <t>Salary source located as district Google Sheet, but teacher tab did not extract cleanly in this pass; salary values are first-pass NM schedule estimates and must be audited.</t>
        </is>
      </c>
      <c r="AI7" s="90">
        <f>IF('Score Inputs'!$B$3="Bachelor's",CHOOSE(MATCH('Score Inputs'!$B$4,{0,5,10},0),D7,E7,F7),CHOOSE(MATCH('Score Inputs'!$B$4,{0,5,10},0),G7,H7,I7))</f>
        <v/>
      </c>
      <c r="AJ7" s="90">
        <f>IFERROR(AI7/12,0)</f>
        <v/>
      </c>
      <c r="AK7" s="115">
        <f>IFERROR(O7/AJ7,0)</f>
        <v/>
      </c>
      <c r="AL7" s="95">
        <f>IFERROR(IF(AK7&lt;=25%,100,IF(AK7&lt;=30%,100-(AK7-25%)/5%*30,IF(AK7&lt;=35%,70-(AK7-30%)/5%*10,IF(AK7&lt;=40%,60-(AK7-35%)/5%*20,MAX(0,40-(AK7-40%)/10%*40))))),0)</f>
        <v/>
      </c>
      <c r="AM7" s="90">
        <f>IFERROR(PMT('Score Inputs'!$B$5/12,'Score Inputs'!$B$7*12,-N7*(1-'Score Inputs'!$B$6)),0)</f>
        <v/>
      </c>
      <c r="AN7" s="115">
        <f>IFERROR(AM7/AJ7,0)</f>
        <v/>
      </c>
      <c r="AO7" s="95">
        <f>IFERROR(IF(AN7&lt;=25%,100,IF(AN7&lt;=30%,100-(AN7-25%)/5%*30,IF(AN7&lt;=35%,70-(AN7-30%)/5%*10,IF(AN7&lt;=40%,60-(AN7-35%)/5%*20,MAX(0,40-(AN7-40%)/10%*40))))),0)</f>
        <v/>
      </c>
      <c r="AP7" s="90">
        <f>IFERROR(AJ7-O7,0)</f>
        <v/>
      </c>
      <c r="AQ7" s="95">
        <f>IFERROR(MAX(0,MIN(100,(AP7-'Score Inputs'!$B$8)/('Score Inputs'!$B$9-'Score Inputs'!$B$8)*100)),0)</f>
        <v/>
      </c>
      <c r="AR7" s="95">
        <f>IFERROR(INDEX('State Funding Lookup'!$B$2:$B$86,MATCH($A7,'State Funding Lookup'!$A$2:$A$86,0)),0)</f>
        <v/>
      </c>
      <c r="AS7" s="98">
        <f>AK7</f>
        <v/>
      </c>
      <c r="AT7" s="98">
        <f>AN7</f>
        <v/>
      </c>
    </row>
    <row r="8" ht="30" customHeight="1" s="104">
      <c r="A8" s="88" t="inlineStr">
        <is>
          <t>Galena Park ISD</t>
        </is>
      </c>
      <c r="B8" s="88">
        <f>IFERROR(INDEX('School District Profiles'!$B$2:$B$86,MATCH($A8,'School District Profiles'!$A$2:$A$86,0)),"")</f>
        <v/>
      </c>
      <c r="C8" s="88">
        <f>IFERROR(INDEX('School District Profiles'!$C$2:$C$86,MATCH($A8,'School District Profiles'!$A$2:$A$86,0)),"")</f>
        <v/>
      </c>
      <c r="D8" s="90">
        <f>IFERROR(SUMIFS('Teacher Salary Data'!$E$2:$E$1871,'Teacher Salary Data'!$A$2:$A$1871,$A8,'Teacher Salary Data'!$C$2:$C$1871,"Bachelor's",'Teacher Salary Data'!$D$2:$D$1871,0),0)</f>
        <v/>
      </c>
      <c r="E8" s="90">
        <f>IFERROR(SUMIFS('Teacher Salary Data'!$E$2:$E$1871,'Teacher Salary Data'!$A$2:$A$1871,$A8,'Teacher Salary Data'!$C$2:$C$1871,"Bachelor's",'Teacher Salary Data'!$D$2:$D$1871,5),0)</f>
        <v/>
      </c>
      <c r="F8" s="90">
        <f>IFERROR(SUMIFS('Teacher Salary Data'!$E$2:$E$1871,'Teacher Salary Data'!$A$2:$A$1871,$A8,'Teacher Salary Data'!$C$2:$C$1871,"Bachelor's",'Teacher Salary Data'!$D$2:$D$1871,10),0)</f>
        <v/>
      </c>
      <c r="G8" s="90">
        <f>IFERROR(SUMIFS('Teacher Salary Data'!$E$2:$E$1871,'Teacher Salary Data'!$A$2:$A$1871,$A8,'Teacher Salary Data'!$C$2:$C$1871,"Master's",'Teacher Salary Data'!$D$2:$D$1871,0),0)</f>
        <v/>
      </c>
      <c r="H8" s="90">
        <f>IFERROR(SUMIFS('Teacher Salary Data'!$E$2:$E$1871,'Teacher Salary Data'!$A$2:$A$1871,$A8,'Teacher Salary Data'!$C$2:$C$1871,"Master's",'Teacher Salary Data'!$D$2:$D$1871,5),0)</f>
        <v/>
      </c>
      <c r="I8" s="90">
        <f>IFERROR(SUMIFS('Teacher Salary Data'!$E$2:$E$1871,'Teacher Salary Data'!$A$2:$A$1871,$A8,'Teacher Salary Data'!$C$2:$C$1871,"Master's",'Teacher Salary Data'!$D$2:$D$1871,10),0)</f>
        <v/>
      </c>
      <c r="J8" s="90">
        <f>AVERAGE(D8,G8)</f>
        <v/>
      </c>
      <c r="K8" s="90">
        <f>AVERAGE(F8,I8)</f>
        <v/>
      </c>
      <c r="L8" s="115">
        <f>IFERROR((K8-J8)/J8,0)</f>
        <v/>
      </c>
      <c r="M8" s="88">
        <f>G8-D8</f>
        <v/>
      </c>
      <c r="N8" s="90">
        <f>IFERROR(INDEX('Median Home and Rent Prices'!$D$2:$D$86,MATCH($A8,'Median Home and Rent Prices'!$A$2:$A$86,0)),0)</f>
        <v/>
      </c>
      <c r="O8" s="90">
        <f>IFERROR(INDEX('Median Home and Rent Prices'!$E$2:$E$86,MATCH($A8,'Median Home and Rent Prices'!$A$2:$A$86,0)),0)</f>
        <v/>
      </c>
      <c r="P8" s="88">
        <f>IFERROR(INDEX('School District Profiles'!$H$2:$H$86,MATCH($A8,'School District Profiles'!$A$2:$A$86,0)),0)</f>
        <v/>
      </c>
      <c r="Q8" s="90">
        <f>IFERROR(INDEX('School District Profiles'!$I$2:$I$86,MATCH($A8,'School District Profiles'!$A$2:$A$86,0)),0)</f>
        <v/>
      </c>
      <c r="R8" s="95">
        <f>IFERROR(IF(($AI8-('Score Inputs'!$B$4*1500+IF('Score Inputs'!$B$3="Master's",4000,0)))&lt;53000,MAX(0,MIN(39.99,((($AI8-('Score Inputs'!$B$4*1500+IF('Score Inputs'!$B$3="Master's",4000,0))))-45000)/8000*39.99)),IF(($AI8-('Score Inputs'!$B$4*1500+IF('Score Inputs'!$B$3="Master's",4000,0)))&lt;58000,40+((($AI8-('Score Inputs'!$B$4*1500+IF('Score Inputs'!$B$3="Master's",4000,0))))-53000)/5000*20,IF(($AI8-('Score Inputs'!$B$4*1500+IF('Score Inputs'!$B$3="Master's",4000,0)))&lt;63000,60+((($AI8-('Score Inputs'!$B$4*1500+IF('Score Inputs'!$B$3="Master's",4000,0))))-58000)/5000*10,IF(($AI8-('Score Inputs'!$B$4*1500+IF('Score Inputs'!$B$3="Master's",4000,0)))&lt;70000,70+((($AI8-('Score Inputs'!$B$4*1500+IF('Score Inputs'!$B$3="Master's",4000,0))))-63000)/7000*10,IF(($AI8-('Score Inputs'!$B$4*1500+IF('Score Inputs'!$B$3="Master's",4000,0)))&lt;75000,80+((($AI8-('Score Inputs'!$B$4*1500+IF('Score Inputs'!$B$3="Master's",4000,0))))-70000)/5000*10,MIN(100,90+((($AI8-('Score Inputs'!$B$4*1500+IF('Score Inputs'!$B$3="Master's",4000,0))))-75000)/5000*10)))))),0)</f>
        <v/>
      </c>
      <c r="S8" s="95">
        <f>IFERROR(MAX(0,MIN(100,L8/0.48*100)),0)</f>
        <v/>
      </c>
      <c r="T8" s="95">
        <f>IFERROR(MAX(0,MIN(100,M8/15000*100)),0)</f>
        <v/>
      </c>
      <c r="U8" s="95">
        <f>IFERROR(0.5*R8+0.35*S8+0.15*T8,0)</f>
        <v/>
      </c>
      <c r="V8" s="95">
        <f>IFERROR(0.35*AL8+0.3*AO8+0.25*AB8+0.1*AQ8,0)</f>
        <v/>
      </c>
      <c r="W8" s="95">
        <f>IFERROR(MAX(0,MIN(100,(25-P8)/(25-12)*100)),0)</f>
        <v/>
      </c>
      <c r="X8" s="95">
        <f>IFERROR(MAX(0,MIN(100,(AD8-1)/(3-1)*100))*IF(OR($A8="North Clackamas School District",$A8="Provo City School District"),0.6,1),0)</f>
        <v/>
      </c>
      <c r="Y8" s="95">
        <f>IFERROR(MAX(0,MIN(100,(1-((IFERROR(INDEX('School District Profiles'!$D$2:$D$86,MATCH($A8,'School District Profiles'!$A$2:$A$86,0)),0)/100)^2+(IFERROR(INDEX('School District Profiles'!$E$2:$E$86,MATCH($A8,'School District Profiles'!$A$2:$A$86,0)),0)/100)^2+(IFERROR(INDEX('School District Profiles'!$F$2:$F$86,MATCH($A8,'School District Profiles'!$A$2:$A$86,0)),0)/100)^2+(IFERROR(INDEX('School District Profiles'!$G$2:$G$86,MATCH($A8,'School District Profiles'!$A$2:$A$86,0)),0)/100)^2+(AC8/100)^2))/0.8*100)),0)</f>
        <v/>
      </c>
      <c r="Z8" s="95">
        <f>IFERROR(AF8*AG8,0)</f>
        <v/>
      </c>
      <c r="AA8" s="95">
        <f>IFERROR(INDEX('Median Home and Rent Prices'!$F$2:$F$86,MATCH($A8,'Median Home and Rent Prices'!$A$2:$A$86,0)),0)</f>
        <v/>
      </c>
      <c r="AB8" s="95">
        <f>IFERROR(MAX(0,MIN(100,(800-AA8)/(800-150)*100)),0)</f>
        <v/>
      </c>
      <c r="AC8" s="95">
        <f>IFERROR(INDEX('School District Profiles'!$J$2:$J$86,MATCH($A8,'School District Profiles'!$A$2:$A$86,0)),0)</f>
        <v/>
      </c>
      <c r="AD8" s="95">
        <f>IFERROR(Q8*20/O8,0)</f>
        <v/>
      </c>
      <c r="AE8" s="95">
        <f>IFERROR(IF(AG8&gt;=1,100,IF(AG8&gt;=0.95,75,IF(AG8&gt;=0.9,60,IF(AG8&gt;=0.85,40,IF(AG8&gt;=0.8,25,0))))),0)</f>
        <v/>
      </c>
      <c r="AF8" s="95">
        <f>IFERROR(0.35*V8+0.3*U8+0.1*W8+0.1*X8+0.1*Y8+0.05*AR8,0)</f>
        <v/>
      </c>
      <c r="AG8" s="95" t="n">
        <v>1</v>
      </c>
      <c r="AH8" s="88" t="inlineStr">
        <is>
          <t>No employment-stability penalty applied in this first-pass addition; verify with adopted budget, enrollment trend, board packets, and HR/union notices before final scoring.</t>
        </is>
      </c>
      <c r="AI8" s="90">
        <f>IF('Score Inputs'!$B$3="Bachelor's",CHOOSE(MATCH('Score Inputs'!$B$4,{0,5,10},0),D8,E8,F8),CHOOSE(MATCH('Score Inputs'!$B$4,{0,5,10},0),G8,H8,I8))</f>
        <v/>
      </c>
      <c r="AJ8" s="90">
        <f>IFERROR(AI8/12,0)</f>
        <v/>
      </c>
      <c r="AK8" s="115">
        <f>IFERROR(O8/AJ8,0)</f>
        <v/>
      </c>
      <c r="AL8" s="95">
        <f>IFERROR(IF(AK8&lt;=25%,100,IF(AK8&lt;=30%,100-(AK8-25%)/5%*30,IF(AK8&lt;=35%,70-(AK8-30%)/5%*10,IF(AK8&lt;=40%,60-(AK8-35%)/5%*20,MAX(0,40-(AK8-40%)/10%*40))))),0)</f>
        <v/>
      </c>
      <c r="AM8" s="90">
        <f>IFERROR(PMT('Score Inputs'!$B$5/12,'Score Inputs'!$B$7*12,-N8*(1-'Score Inputs'!$B$6)),0)</f>
        <v/>
      </c>
      <c r="AN8" s="115">
        <f>IFERROR(AM8/AJ8,0)</f>
        <v/>
      </c>
      <c r="AO8" s="95">
        <f>IFERROR(IF(AN8&lt;=25%,100,IF(AN8&lt;=30%,100-(AN8-25%)/5%*30,IF(AN8&lt;=35%,70-(AN8-30%)/5%*10,IF(AN8&lt;=40%,60-(AN8-35%)/5%*20,MAX(0,40-(AN8-40%)/10%*40))))),0)</f>
        <v/>
      </c>
      <c r="AP8" s="90">
        <f>IFERROR(AJ8-O8,0)</f>
        <v/>
      </c>
      <c r="AQ8" s="95">
        <f>IFERROR(MAX(0,MIN(100,(AP8-'Score Inputs'!$B$8)/('Score Inputs'!$B$9-'Score Inputs'!$B$8)*100)),0)</f>
        <v/>
      </c>
      <c r="AR8" s="95">
        <f>IFERROR(INDEX('State Funding Lookup'!$B$2:$B$86,MATCH($A8,'State Funding Lookup'!$A$2:$A$86,0)),0)</f>
        <v/>
      </c>
      <c r="AS8" s="98">
        <f>AK8</f>
        <v/>
      </c>
      <c r="AT8" s="98">
        <f>AN8</f>
        <v/>
      </c>
    </row>
    <row r="9" ht="30" customHeight="1" s="104">
      <c r="A9" s="58" t="inlineStr">
        <is>
          <t>Cobb County School District</t>
        </is>
      </c>
      <c r="B9" s="58">
        <f>IFERROR(INDEX('School District Profiles'!$B$2:$B$86,MATCH($A9,'School District Profiles'!$A$2:$A$86,0)),"")</f>
        <v/>
      </c>
      <c r="C9" s="58">
        <f>IFERROR(INDEX('School District Profiles'!$C$2:$C$86,MATCH($A9,'School District Profiles'!$A$2:$A$86,0)),"")</f>
        <v/>
      </c>
      <c r="D9" s="59">
        <f>IFERROR(SUMIFS('Teacher Salary Data'!$E$2:$E$1871,'Teacher Salary Data'!$A$2:$A$1871,$A9,'Teacher Salary Data'!$C$2:$C$1871,"Bachelor's",'Teacher Salary Data'!$D$2:$D$1871,0),0)</f>
        <v/>
      </c>
      <c r="E9" s="59">
        <f>IFERROR(SUMIFS('Teacher Salary Data'!$E$2:$E$1871,'Teacher Salary Data'!$A$2:$A$1871,$A9,'Teacher Salary Data'!$C$2:$C$1871,"Bachelor's",'Teacher Salary Data'!$D$2:$D$1871,5),0)</f>
        <v/>
      </c>
      <c r="F9" s="59">
        <f>IFERROR(SUMIFS('Teacher Salary Data'!$E$2:$E$1871,'Teacher Salary Data'!$A$2:$A$1871,$A9,'Teacher Salary Data'!$C$2:$C$1871,"Bachelor's",'Teacher Salary Data'!$D$2:$D$1871,10),0)</f>
        <v/>
      </c>
      <c r="G9" s="59">
        <f>IFERROR(SUMIFS('Teacher Salary Data'!$E$2:$E$1871,'Teacher Salary Data'!$A$2:$A$1871,$A9,'Teacher Salary Data'!$C$2:$C$1871,"Master's",'Teacher Salary Data'!$D$2:$D$1871,0),0)</f>
        <v/>
      </c>
      <c r="H9" s="59">
        <f>IFERROR(SUMIFS('Teacher Salary Data'!$E$2:$E$1871,'Teacher Salary Data'!$A$2:$A$1871,$A9,'Teacher Salary Data'!$C$2:$C$1871,"Master's",'Teacher Salary Data'!$D$2:$D$1871,5),0)</f>
        <v/>
      </c>
      <c r="I9" s="59">
        <f>IFERROR(SUMIFS('Teacher Salary Data'!$E$2:$E$1871,'Teacher Salary Data'!$A$2:$A$1871,$A9,'Teacher Salary Data'!$C$2:$C$1871,"Master's",'Teacher Salary Data'!$D$2:$D$1871,10),0)</f>
        <v/>
      </c>
      <c r="J9" s="59">
        <f>AVERAGE(D9,G9)</f>
        <v/>
      </c>
      <c r="K9" s="59">
        <f>AVERAGE(F9,I9)</f>
        <v/>
      </c>
      <c r="L9" s="116">
        <f>IFERROR((K9-J9)/J9,0)</f>
        <v/>
      </c>
      <c r="M9" s="59">
        <f>G9-D9</f>
        <v/>
      </c>
      <c r="N9" s="59">
        <f>IFERROR(INDEX('Median Home and Rent Prices'!$D$2:$D$86,MATCH($A9,'Median Home and Rent Prices'!$A$2:$A$86,0)),0)</f>
        <v/>
      </c>
      <c r="O9" s="59">
        <f>IFERROR(INDEX('Median Home and Rent Prices'!$E$2:$E$86,MATCH($A9,'Median Home and Rent Prices'!$A$2:$A$86,0)),0)</f>
        <v/>
      </c>
      <c r="P9" s="61">
        <f>IFERROR(INDEX('School District Profiles'!$H$2:$H$86,MATCH($A9,'School District Profiles'!$A$2:$A$86,0)),0)</f>
        <v/>
      </c>
      <c r="Q9" s="59">
        <f>IFERROR(INDEX('School District Profiles'!$I$2:$I$86,MATCH($A9,'School District Profiles'!$A$2:$A$86,0)),0)</f>
        <v/>
      </c>
      <c r="R9" s="61">
        <f>IFERROR(IF(($AI9-('Score Inputs'!$B$4*1500+IF('Score Inputs'!$B$3="Master's",4000,0)))&lt;53000,MAX(0,MIN(39.99,((($AI9-('Score Inputs'!$B$4*1500+IF('Score Inputs'!$B$3="Master's",4000,0))))-45000)/8000*39.99)),IF(($AI9-('Score Inputs'!$B$4*1500+IF('Score Inputs'!$B$3="Master's",4000,0)))&lt;58000,40+((($AI9-('Score Inputs'!$B$4*1500+IF('Score Inputs'!$B$3="Master's",4000,0))))-53000)/5000*20,IF(($AI9-('Score Inputs'!$B$4*1500+IF('Score Inputs'!$B$3="Master's",4000,0)))&lt;63000,60+((($AI9-('Score Inputs'!$B$4*1500+IF('Score Inputs'!$B$3="Master's",4000,0))))-58000)/5000*10,IF(($AI9-('Score Inputs'!$B$4*1500+IF('Score Inputs'!$B$3="Master's",4000,0)))&lt;70000,70+((($AI9-('Score Inputs'!$B$4*1500+IF('Score Inputs'!$B$3="Master's",4000,0))))-63000)/7000*10,IF(($AI9-('Score Inputs'!$B$4*1500+IF('Score Inputs'!$B$3="Master's",4000,0)))&lt;75000,80+((($AI9-('Score Inputs'!$B$4*1500+IF('Score Inputs'!$B$3="Master's",4000,0))))-70000)/5000*10,MIN(100,90+((($AI9-('Score Inputs'!$B$4*1500+IF('Score Inputs'!$B$3="Master's",4000,0))))-75000)/5000*10)))))),0)</f>
        <v/>
      </c>
      <c r="S9" s="61">
        <f>IFERROR(MAX(0,MIN(100,L9/0.48*100)),0)</f>
        <v/>
      </c>
      <c r="T9" s="61">
        <f>IFERROR(MAX(0,MIN(100,M9/15000*100)),0)</f>
        <v/>
      </c>
      <c r="U9" s="61">
        <f>IFERROR(0.5*R9+0.35*S9+0.15*T9,0)</f>
        <v/>
      </c>
      <c r="V9" s="61">
        <f>IFERROR(0.35*AL9+0.3*AO9+0.25*AB9+0.1*AQ9,0)</f>
        <v/>
      </c>
      <c r="W9" s="61">
        <f>IFERROR(MAX(0,MIN(100,(25-P9)/(25-12)*100)),0)</f>
        <v/>
      </c>
      <c r="X9" s="61">
        <f>IFERROR(MAX(0,MIN(100,(AD9-1)/(3-1)*100))*IF(OR($A9="North Clackamas School District",$A9="Provo City School District"),0.6,1),0)</f>
        <v/>
      </c>
      <c r="Y9" s="61">
        <f>IFERROR(MAX(0,MIN(100,(1-((IFERROR(INDEX('School District Profiles'!$D$2:$D$86,MATCH($A9,'School District Profiles'!$A$2:$A$86,0)),0)/100)^2+(IFERROR(INDEX('School District Profiles'!$E$2:$E$86,MATCH($A9,'School District Profiles'!$A$2:$A$86,0)),0)/100)^2+(IFERROR(INDEX('School District Profiles'!$F$2:$F$86,MATCH($A9,'School District Profiles'!$A$2:$A$86,0)),0)/100)^2+(IFERROR(INDEX('School District Profiles'!$G$2:$G$86,MATCH($A9,'School District Profiles'!$A$2:$A$86,0)),0)/100)^2+(AC9/100)^2))/0.8*100)),0)</f>
        <v/>
      </c>
      <c r="Z9" s="61">
        <f>IFERROR(AF9*AG9,0)</f>
        <v/>
      </c>
      <c r="AA9" s="62">
        <f>IFERROR(INDEX('Median Home and Rent Prices'!$F$2:$F$86,MATCH($A9,'Median Home and Rent Prices'!$A$2:$A$86,0)),0)</f>
        <v/>
      </c>
      <c r="AB9" s="61">
        <f>IFERROR(MAX(0,MIN(100,(800-AA9)/(800-150)*100)),0)</f>
        <v/>
      </c>
      <c r="AC9" s="116">
        <f>IFERROR(INDEX('School District Profiles'!$J$2:$J$86,MATCH($A9,'School District Profiles'!$A$2:$A$86,0)),0)</f>
        <v/>
      </c>
      <c r="AD9" s="61">
        <f>IFERROR(Q9*20/O9,0)</f>
        <v/>
      </c>
      <c r="AE9" s="63">
        <f>IFERROR(IF(AG9&gt;=1,100,IF(AG9&gt;=0.95,75,IF(AG9&gt;=0.9,60,IF(AG9&gt;=0.85,40,IF(AG9&gt;=0.8,25,0))))),0)</f>
        <v/>
      </c>
      <c r="AF9" s="63">
        <f>IFERROR(0.35*V9+0.3*U9+0.1*W9+0.1*X9+0.1*Y9+0.05*AR9,0)</f>
        <v/>
      </c>
      <c r="AG9" s="63" t="n">
        <v>1</v>
      </c>
      <c r="AH9" s="64" t="inlineStr">
        <is>
          <t>No penalty applied. Cobb's FY2027 public budget messaging states no teacher layoffs and emphasizes classroom stability; local reporting notes staffing reductions are handled through attrition/reassignment rather than layoffs.</t>
        </is>
      </c>
      <c r="AI9" s="65">
        <f>IF('Score Inputs'!$B$3="Bachelor's",CHOOSE(MATCH('Score Inputs'!$B$4,{0,5,10},0),D9,E9,F9),CHOOSE(MATCH('Score Inputs'!$B$4,{0,5,10},0),G9,H9,I9))</f>
        <v/>
      </c>
      <c r="AJ9" s="65">
        <f>IFERROR(AI9/12,0)</f>
        <v/>
      </c>
      <c r="AK9" s="114">
        <f>IFERROR(O9/AJ9,0)</f>
        <v/>
      </c>
      <c r="AL9" s="63">
        <f>IFERROR(IF(AK9&lt;=25%,100,IF(AK9&lt;=30%,100-(AK9-25%)/5%*30,IF(AK9&lt;=35%,70-(AK9-30%)/5%*10,IF(AK9&lt;=40%,60-(AK9-35%)/5%*20,MAX(0,40-(AK9-40%)/10%*40))))),0)</f>
        <v/>
      </c>
      <c r="AM9" s="65">
        <f>IFERROR(PMT('Score Inputs'!$B$5/12,'Score Inputs'!$B$7*12,-N9*(1-'Score Inputs'!$B$6)),0)</f>
        <v/>
      </c>
      <c r="AN9" s="114">
        <f>IFERROR(AM9/AJ9,0)</f>
        <v/>
      </c>
      <c r="AO9" s="63">
        <f>IFERROR(IF(AN9&lt;=25%,100,IF(AN9&lt;=30%,100-(AN9-25%)/5%*30,IF(AN9&lt;=35%,70-(AN9-30%)/5%*10,IF(AN9&lt;=40%,60-(AN9-35%)/5%*20,MAX(0,40-(AN9-40%)/10%*40))))),0)</f>
        <v/>
      </c>
      <c r="AP9" s="65">
        <f>IFERROR(AJ9-O9,0)</f>
        <v/>
      </c>
      <c r="AQ9" s="63">
        <f>IFERROR(MAX(0,MIN(100,(AP9-'Score Inputs'!$B$8)/('Score Inputs'!$B$9-'Score Inputs'!$B$8)*100)),0)</f>
        <v/>
      </c>
      <c r="AR9" s="63">
        <f>IFERROR(INDEX('State Funding Lookup'!$B$2:$B$86,MATCH($A9,'State Funding Lookup'!$A$2:$A$86,0)),0)</f>
        <v/>
      </c>
      <c r="AS9" s="67">
        <f>AK9</f>
        <v/>
      </c>
      <c r="AT9" s="67">
        <f>AN9</f>
        <v/>
      </c>
    </row>
    <row r="10" ht="30" customHeight="1" s="104">
      <c r="A10" s="58" t="inlineStr">
        <is>
          <t>Alief ISD</t>
        </is>
      </c>
      <c r="B10" s="58">
        <f>IFERROR(INDEX('School District Profiles'!$B$2:$B$86,MATCH($A10,'School District Profiles'!$A$2:$A$86,0)),"")</f>
        <v/>
      </c>
      <c r="C10" s="58">
        <f>IFERROR(INDEX('School District Profiles'!$C$2:$C$86,MATCH($A10,'School District Profiles'!$A$2:$A$86,0)),"")</f>
        <v/>
      </c>
      <c r="D10" s="59">
        <f>IFERROR(SUMIFS('Teacher Salary Data'!$E$2:$E$1871,'Teacher Salary Data'!$A$2:$A$1871,$A10,'Teacher Salary Data'!$C$2:$C$1871,"Bachelor's",'Teacher Salary Data'!$D$2:$D$1871,0),0)</f>
        <v/>
      </c>
      <c r="E10" s="59">
        <f>IFERROR(SUMIFS('Teacher Salary Data'!$E$2:$E$1871,'Teacher Salary Data'!$A$2:$A$1871,$A10,'Teacher Salary Data'!$C$2:$C$1871,"Bachelor's",'Teacher Salary Data'!$D$2:$D$1871,5),0)</f>
        <v/>
      </c>
      <c r="F10" s="59">
        <f>IFERROR(SUMIFS('Teacher Salary Data'!$E$2:$E$1871,'Teacher Salary Data'!$A$2:$A$1871,$A10,'Teacher Salary Data'!$C$2:$C$1871,"Bachelor's",'Teacher Salary Data'!$D$2:$D$1871,10),0)</f>
        <v/>
      </c>
      <c r="G10" s="59">
        <f>IFERROR(SUMIFS('Teacher Salary Data'!$E$2:$E$1871,'Teacher Salary Data'!$A$2:$A$1871,$A10,'Teacher Salary Data'!$C$2:$C$1871,"Master's",'Teacher Salary Data'!$D$2:$D$1871,0),0)</f>
        <v/>
      </c>
      <c r="H10" s="59">
        <f>IFERROR(SUMIFS('Teacher Salary Data'!$E$2:$E$1871,'Teacher Salary Data'!$A$2:$A$1871,$A10,'Teacher Salary Data'!$C$2:$C$1871,"Master's",'Teacher Salary Data'!$D$2:$D$1871,5),0)</f>
        <v/>
      </c>
      <c r="I10" s="59">
        <f>IFERROR(SUMIFS('Teacher Salary Data'!$E$2:$E$1871,'Teacher Salary Data'!$A$2:$A$1871,$A10,'Teacher Salary Data'!$C$2:$C$1871,"Master's",'Teacher Salary Data'!$D$2:$D$1871,10),0)</f>
        <v/>
      </c>
      <c r="J10" s="59">
        <f>AVERAGE(D10,G10)</f>
        <v/>
      </c>
      <c r="K10" s="59">
        <f>AVERAGE(F10,I10)</f>
        <v/>
      </c>
      <c r="L10" s="116">
        <f>IFERROR((K10-J10)/J10,0)</f>
        <v/>
      </c>
      <c r="M10" s="59">
        <f>G10-D10</f>
        <v/>
      </c>
      <c r="N10" s="59">
        <f>IFERROR(INDEX('Median Home and Rent Prices'!$D$2:$D$86,MATCH($A10,'Median Home and Rent Prices'!$A$2:$A$86,0)),0)</f>
        <v/>
      </c>
      <c r="O10" s="59">
        <f>IFERROR(INDEX('Median Home and Rent Prices'!$E$2:$E$86,MATCH($A10,'Median Home and Rent Prices'!$A$2:$A$86,0)),0)</f>
        <v/>
      </c>
      <c r="P10" s="61">
        <f>IFERROR(INDEX('School District Profiles'!$H$2:$H$86,MATCH($A10,'School District Profiles'!$A$2:$A$86,0)),0)</f>
        <v/>
      </c>
      <c r="Q10" s="59">
        <f>IFERROR(INDEX('School District Profiles'!$I$2:$I$86,MATCH($A10,'School District Profiles'!$A$2:$A$86,0)),0)</f>
        <v/>
      </c>
      <c r="R10" s="61">
        <f>IFERROR(IF(($AI10-('Score Inputs'!$B$4*1500+IF('Score Inputs'!$B$3="Master's",4000,0)))&lt;53000,MAX(0,MIN(39.99,((($AI10-('Score Inputs'!$B$4*1500+IF('Score Inputs'!$B$3="Master's",4000,0))))-45000)/8000*39.99)),IF(($AI10-('Score Inputs'!$B$4*1500+IF('Score Inputs'!$B$3="Master's",4000,0)))&lt;58000,40+((($AI10-('Score Inputs'!$B$4*1500+IF('Score Inputs'!$B$3="Master's",4000,0))))-53000)/5000*20,IF(($AI10-('Score Inputs'!$B$4*1500+IF('Score Inputs'!$B$3="Master's",4000,0)))&lt;63000,60+((($AI10-('Score Inputs'!$B$4*1500+IF('Score Inputs'!$B$3="Master's",4000,0))))-58000)/5000*10,IF(($AI10-('Score Inputs'!$B$4*1500+IF('Score Inputs'!$B$3="Master's",4000,0)))&lt;70000,70+((($AI10-('Score Inputs'!$B$4*1500+IF('Score Inputs'!$B$3="Master's",4000,0))))-63000)/7000*10,IF(($AI10-('Score Inputs'!$B$4*1500+IF('Score Inputs'!$B$3="Master's",4000,0)))&lt;75000,80+((($AI10-('Score Inputs'!$B$4*1500+IF('Score Inputs'!$B$3="Master's",4000,0))))-70000)/5000*10,MIN(100,90+((($AI10-('Score Inputs'!$B$4*1500+IF('Score Inputs'!$B$3="Master's",4000,0))))-75000)/5000*10)))))),0)</f>
        <v/>
      </c>
      <c r="S10" s="61">
        <f>IFERROR(MAX(0,MIN(100,L10/0.48*100)),0)</f>
        <v/>
      </c>
      <c r="T10" s="61">
        <f>IFERROR(MAX(0,MIN(100,M10/15000*100)),0)</f>
        <v/>
      </c>
      <c r="U10" s="61">
        <f>IFERROR(0.5*R10+0.35*S10+0.15*T10,0)</f>
        <v/>
      </c>
      <c r="V10" s="61">
        <f>IFERROR(0.35*AL10+0.3*AO10+0.25*AB10+0.1*AQ10,0)</f>
        <v/>
      </c>
      <c r="W10" s="61">
        <f>IFERROR(MAX(0,MIN(100,(25-P10)/(25-12)*100)),0)</f>
        <v/>
      </c>
      <c r="X10" s="61">
        <f>IFERROR(MAX(0,MIN(100,(AD10-1)/(3-1)*100))*IF(OR($A10="North Clackamas School District",$A10="Provo City School District"),0.6,1),0)</f>
        <v/>
      </c>
      <c r="Y10" s="61">
        <f>IFERROR(MAX(0,MIN(100,(1-((IFERROR(INDEX('School District Profiles'!$D$2:$D$86,MATCH($A10,'School District Profiles'!$A$2:$A$86,0)),0)/100)^2+(IFERROR(INDEX('School District Profiles'!$E$2:$E$86,MATCH($A10,'School District Profiles'!$A$2:$A$86,0)),0)/100)^2+(IFERROR(INDEX('School District Profiles'!$F$2:$F$86,MATCH($A10,'School District Profiles'!$A$2:$A$86,0)),0)/100)^2+(IFERROR(INDEX('School District Profiles'!$G$2:$G$86,MATCH($A10,'School District Profiles'!$A$2:$A$86,0)),0)/100)^2+(AC10/100)^2))/0.8*100)),0)</f>
        <v/>
      </c>
      <c r="Z10" s="61">
        <f>IFERROR(AF10*AG10,0)</f>
        <v/>
      </c>
      <c r="AA10" s="62">
        <f>IFERROR(INDEX('Median Home and Rent Prices'!$F$2:$F$86,MATCH($A10,'Median Home and Rent Prices'!$A$2:$A$86,0)),0)</f>
        <v/>
      </c>
      <c r="AB10" s="61">
        <f>IFERROR(MAX(0,MIN(100,(800-AA10)/(800-150)*100)),0)</f>
        <v/>
      </c>
      <c r="AC10" s="116">
        <f>IFERROR(INDEX('School District Profiles'!$J$2:$J$86,MATCH($A10,'School District Profiles'!$A$2:$A$86,0)),0)</f>
        <v/>
      </c>
      <c r="AD10" s="61">
        <f>IFERROR(Q10*20/O10,0)</f>
        <v/>
      </c>
      <c r="AE10" s="63">
        <f>IFERROR(IF(AG10&gt;=1,100,IF(AG10&gt;=0.95,75,IF(AG10&gt;=0.9,60,IF(AG10&gt;=0.85,40,IF(AG10&gt;=0.8,25,0))))),0)</f>
        <v/>
      </c>
      <c r="AF10" s="63">
        <f>IFERROR(0.35*V10+0.3*U10+0.1*W10+0.1*X10+0.1*Y10+0.05*AR10,0)</f>
        <v/>
      </c>
      <c r="AG10" s="63" t="n">
        <v>0.9</v>
      </c>
      <c r="AH10" s="64" t="inlineStr">
        <is>
          <t>10% employment-stability penalty due to enrollment-loss pressure, charter competition, and budget-cut concerns.</t>
        </is>
      </c>
      <c r="AI10" s="65">
        <f>IF('Score Inputs'!$B$3="Bachelor's",CHOOSE(MATCH('Score Inputs'!$B$4,{0,5,10},0),D10,E10,F10),CHOOSE(MATCH('Score Inputs'!$B$4,{0,5,10},0),G10,H10,I10))</f>
        <v/>
      </c>
      <c r="AJ10" s="65">
        <f>IFERROR(AI10/12,0)</f>
        <v/>
      </c>
      <c r="AK10" s="114">
        <f>IFERROR(O10/AJ10,0)</f>
        <v/>
      </c>
      <c r="AL10" s="63">
        <f>IFERROR(IF(AK10&lt;=25%,100,IF(AK10&lt;=30%,100-(AK10-25%)/5%*30,IF(AK10&lt;=35%,70-(AK10-30%)/5%*10,IF(AK10&lt;=40%,60-(AK10-35%)/5%*20,MAX(0,40-(AK10-40%)/10%*40))))),0)</f>
        <v/>
      </c>
      <c r="AM10" s="65">
        <f>IFERROR(PMT('Score Inputs'!$B$5/12,'Score Inputs'!$B$7*12,-N10*(1-'Score Inputs'!$B$6)),0)</f>
        <v/>
      </c>
      <c r="AN10" s="114">
        <f>IFERROR(AM10/AJ10,0)</f>
        <v/>
      </c>
      <c r="AO10" s="63">
        <f>IFERROR(IF(AN10&lt;=25%,100,IF(AN10&lt;=30%,100-(AN10-25%)/5%*30,IF(AN10&lt;=35%,70-(AN10-30%)/5%*10,IF(AN10&lt;=40%,60-(AN10-35%)/5%*20,MAX(0,40-(AN10-40%)/10%*40))))),0)</f>
        <v/>
      </c>
      <c r="AP10" s="65">
        <f>IFERROR(AJ10-O10,0)</f>
        <v/>
      </c>
      <c r="AQ10" s="63">
        <f>IFERROR(MAX(0,MIN(100,(AP10-'Score Inputs'!$B$8)/('Score Inputs'!$B$9-'Score Inputs'!$B$8)*100)),0)</f>
        <v/>
      </c>
      <c r="AR10" s="63">
        <f>IFERROR(INDEX('State Funding Lookup'!$B$2:$B$86,MATCH($A10,'State Funding Lookup'!$A$2:$A$86,0)),0)</f>
        <v/>
      </c>
      <c r="AS10" s="67">
        <f>AK10</f>
        <v/>
      </c>
      <c r="AT10" s="67">
        <f>AN10</f>
        <v/>
      </c>
    </row>
    <row r="11" ht="30" customHeight="1" s="104">
      <c r="A11" s="88" t="inlineStr">
        <is>
          <t>Anoka-Hennepin Schools</t>
        </is>
      </c>
      <c r="B11" s="88">
        <f>IFERROR(INDEX('School District Profiles'!$B$2:$B$86,MATCH($A11,'School District Profiles'!$A$2:$A$86,0)),"")</f>
        <v/>
      </c>
      <c r="C11" s="88">
        <f>IFERROR(INDEX('School District Profiles'!$C$2:$C$86,MATCH($A11,'School District Profiles'!$A$2:$A$86,0)),"")</f>
        <v/>
      </c>
      <c r="D11" s="90">
        <f>IFERROR(SUMIFS('Teacher Salary Data'!$E$2:$E$1871,'Teacher Salary Data'!$A$2:$A$1871,$A11,'Teacher Salary Data'!$C$2:$C$1871,"Bachelor's",'Teacher Salary Data'!$D$2:$D$1871,0),0)</f>
        <v/>
      </c>
      <c r="E11" s="90">
        <f>IFERROR(SUMIFS('Teacher Salary Data'!$E$2:$E$1871,'Teacher Salary Data'!$A$2:$A$1871,$A11,'Teacher Salary Data'!$C$2:$C$1871,"Bachelor's",'Teacher Salary Data'!$D$2:$D$1871,5),0)</f>
        <v/>
      </c>
      <c r="F11" s="90">
        <f>IFERROR(SUMIFS('Teacher Salary Data'!$E$2:$E$1871,'Teacher Salary Data'!$A$2:$A$1871,$A11,'Teacher Salary Data'!$C$2:$C$1871,"Bachelor's",'Teacher Salary Data'!$D$2:$D$1871,10),0)</f>
        <v/>
      </c>
      <c r="G11" s="90">
        <f>IFERROR(SUMIFS('Teacher Salary Data'!$E$2:$E$1871,'Teacher Salary Data'!$A$2:$A$1871,$A11,'Teacher Salary Data'!$C$2:$C$1871,"Master's",'Teacher Salary Data'!$D$2:$D$1871,0),0)</f>
        <v/>
      </c>
      <c r="H11" s="90">
        <f>IFERROR(SUMIFS('Teacher Salary Data'!$E$2:$E$1871,'Teacher Salary Data'!$A$2:$A$1871,$A11,'Teacher Salary Data'!$C$2:$C$1871,"Master's",'Teacher Salary Data'!$D$2:$D$1871,5),0)</f>
        <v/>
      </c>
      <c r="I11" s="90">
        <f>IFERROR(SUMIFS('Teacher Salary Data'!$E$2:$E$1871,'Teacher Salary Data'!$A$2:$A$1871,$A11,'Teacher Salary Data'!$C$2:$C$1871,"Master's",'Teacher Salary Data'!$D$2:$D$1871,10),0)</f>
        <v/>
      </c>
      <c r="J11" s="90">
        <f>AVERAGE(D11,G11)</f>
        <v/>
      </c>
      <c r="K11" s="90">
        <f>AVERAGE(F11,I11)</f>
        <v/>
      </c>
      <c r="L11" s="115">
        <f>IFERROR((K11-J11)/J11,0)</f>
        <v/>
      </c>
      <c r="M11" s="88">
        <f>G11-D11</f>
        <v/>
      </c>
      <c r="N11" s="90">
        <f>IFERROR(INDEX('Median Home and Rent Prices'!$D$2:$D$86,MATCH($A11,'Median Home and Rent Prices'!$A$2:$A$86,0)),0)</f>
        <v/>
      </c>
      <c r="O11" s="90">
        <f>IFERROR(INDEX('Median Home and Rent Prices'!$E$2:$E$86,MATCH($A11,'Median Home and Rent Prices'!$A$2:$A$86,0)),0)</f>
        <v/>
      </c>
      <c r="P11" s="88">
        <f>IFERROR(INDEX('School District Profiles'!$H$2:$H$86,MATCH($A11,'School District Profiles'!$A$2:$A$86,0)),0)</f>
        <v/>
      </c>
      <c r="Q11" s="90">
        <f>IFERROR(INDEX('School District Profiles'!$I$2:$I$86,MATCH($A11,'School District Profiles'!$A$2:$A$86,0)),0)</f>
        <v/>
      </c>
      <c r="R11" s="95">
        <f>IFERROR(IF(($AI11-('Score Inputs'!$B$4*1500+IF('Score Inputs'!$B$3="Master's",4000,0)))&lt;53000,MAX(0,MIN(39.99,((($AI11-('Score Inputs'!$B$4*1500+IF('Score Inputs'!$B$3="Master's",4000,0))))-45000)/8000*39.99)),IF(($AI11-('Score Inputs'!$B$4*1500+IF('Score Inputs'!$B$3="Master's",4000,0)))&lt;58000,40+((($AI11-('Score Inputs'!$B$4*1500+IF('Score Inputs'!$B$3="Master's",4000,0))))-53000)/5000*20,IF(($AI11-('Score Inputs'!$B$4*1500+IF('Score Inputs'!$B$3="Master's",4000,0)))&lt;63000,60+((($AI11-('Score Inputs'!$B$4*1500+IF('Score Inputs'!$B$3="Master's",4000,0))))-58000)/5000*10,IF(($AI11-('Score Inputs'!$B$4*1500+IF('Score Inputs'!$B$3="Master's",4000,0)))&lt;70000,70+((($AI11-('Score Inputs'!$B$4*1500+IF('Score Inputs'!$B$3="Master's",4000,0))))-63000)/7000*10,IF(($AI11-('Score Inputs'!$B$4*1500+IF('Score Inputs'!$B$3="Master's",4000,0)))&lt;75000,80+((($AI11-('Score Inputs'!$B$4*1500+IF('Score Inputs'!$B$3="Master's",4000,0))))-70000)/5000*10,MIN(100,90+((($AI11-('Score Inputs'!$B$4*1500+IF('Score Inputs'!$B$3="Master's",4000,0))))-75000)/5000*10)))))),0)</f>
        <v/>
      </c>
      <c r="S11" s="95">
        <f>IFERROR(MAX(0,MIN(100,L11/0.48*100)),0)</f>
        <v/>
      </c>
      <c r="T11" s="95">
        <f>IFERROR(MAX(0,MIN(100,M11/15000*100)),0)</f>
        <v/>
      </c>
      <c r="U11" s="95">
        <f>IFERROR(0.5*R11+0.35*S11+0.15*T11,0)</f>
        <v/>
      </c>
      <c r="V11" s="95">
        <f>IFERROR(0.35*AL11+0.3*AO11+0.25*AB11+0.1*AQ11,0)</f>
        <v/>
      </c>
      <c r="W11" s="95">
        <f>IFERROR(MAX(0,MIN(100,(25-P11)/(25-12)*100)),0)</f>
        <v/>
      </c>
      <c r="X11" s="95">
        <f>IFERROR(MAX(0,MIN(100,(AD11-1)/(3-1)*100))*IF(OR($A11="North Clackamas School District",$A11="Provo City School District"),0.6,1),0)</f>
        <v/>
      </c>
      <c r="Y11" s="95">
        <f>IFERROR(MAX(0,MIN(100,(1-((IFERROR(INDEX('School District Profiles'!$D$2:$D$86,MATCH($A11,'School District Profiles'!$A$2:$A$86,0)),0)/100)^2+(IFERROR(INDEX('School District Profiles'!$E$2:$E$86,MATCH($A11,'School District Profiles'!$A$2:$A$86,0)),0)/100)^2+(IFERROR(INDEX('School District Profiles'!$F$2:$F$86,MATCH($A11,'School District Profiles'!$A$2:$A$86,0)),0)/100)^2+(IFERROR(INDEX('School District Profiles'!$G$2:$G$86,MATCH($A11,'School District Profiles'!$A$2:$A$86,0)),0)/100)^2+(AC11/100)^2))/0.8*100)),0)</f>
        <v/>
      </c>
      <c r="Z11" s="95">
        <f>IFERROR(AF11*AG11,0)</f>
        <v/>
      </c>
      <c r="AA11" s="88">
        <f>IFERROR(INDEX('Median Home and Rent Prices'!$F$2:$F$86,MATCH($A11,'Median Home and Rent Prices'!$A$2:$A$86,0)),0)</f>
        <v/>
      </c>
      <c r="AB11" s="95">
        <f>IFERROR(MAX(0,MIN(100,(800-AA11)/(800-150)*100)),0)</f>
        <v/>
      </c>
      <c r="AC11" s="88">
        <f>IFERROR(INDEX('School District Profiles'!$J$2:$J$86,MATCH($A11,'School District Profiles'!$A$2:$A$86,0)),0)</f>
        <v/>
      </c>
      <c r="AD11" s="95">
        <f>IFERROR(Q11*20/O11,0)</f>
        <v/>
      </c>
      <c r="AE11" s="95">
        <f>IFERROR(IF(AG11&gt;=1,100,IF(AG11&gt;=0.95,75,IF(AG11&gt;=0.9,60,IF(AG11&gt;=0.85,40,IF(AG11&gt;=0.8,25,0))))),0)</f>
        <v/>
      </c>
      <c r="AF11" s="95">
        <f>IFERROR(0.35*V11+0.3*U11+0.1*W11+0.1*X11+0.1*Y11+0.05*AR11,0)</f>
        <v/>
      </c>
      <c r="AG11" s="95" t="n">
        <v>1</v>
      </c>
      <c r="AH11" s="88" t="inlineStr">
        <is>
          <t>Official contract and sub-pay pages located; exact salary table did not extract cleanly. Starting BA/MA values use public job/schedule references; later steps are first-pass estimates.</t>
        </is>
      </c>
      <c r="AI11" s="90">
        <f>IF('Score Inputs'!$B$3="Bachelor's",CHOOSE(MATCH('Score Inputs'!$B$4,{0,5,10},0),D11,E11,F11),CHOOSE(MATCH('Score Inputs'!$B$4,{0,5,10},0),G11,H11,I11))</f>
        <v/>
      </c>
      <c r="AJ11" s="90">
        <f>IFERROR(AI11/12,0)</f>
        <v/>
      </c>
      <c r="AK11" s="115">
        <f>IFERROR(O11/AJ11,0)</f>
        <v/>
      </c>
      <c r="AL11" s="95">
        <f>IFERROR(IF(AK11&lt;=25%,100,IF(AK11&lt;=30%,100-(AK11-25%)/5%*30,IF(AK11&lt;=35%,70-(AK11-30%)/5%*10,IF(AK11&lt;=40%,60-(AK11-35%)/5%*20,MAX(0,40-(AK11-40%)/10%*40))))),0)</f>
        <v/>
      </c>
      <c r="AM11" s="90">
        <f>IFERROR(PMT('Score Inputs'!$B$5/12,'Score Inputs'!$B$7*12,-N11*(1-'Score Inputs'!$B$6)),0)</f>
        <v/>
      </c>
      <c r="AN11" s="115">
        <f>IFERROR(AM11/AJ11,0)</f>
        <v/>
      </c>
      <c r="AO11" s="95">
        <f>IFERROR(IF(AN11&lt;=25%,100,IF(AN11&lt;=30%,100-(AN11-25%)/5%*30,IF(AN11&lt;=35%,70-(AN11-30%)/5%*10,IF(AN11&lt;=40%,60-(AN11-35%)/5%*20,MAX(0,40-(AN11-40%)/10%*40))))),0)</f>
        <v/>
      </c>
      <c r="AP11" s="90">
        <f>IFERROR(AJ11-O11,0)</f>
        <v/>
      </c>
      <c r="AQ11" s="95">
        <f>IFERROR(MAX(0,MIN(100,(AP11-'Score Inputs'!$B$8)/('Score Inputs'!$B$9-'Score Inputs'!$B$8)*100)),0)</f>
        <v/>
      </c>
      <c r="AR11" s="95">
        <f>IFERROR(INDEX('State Funding Lookup'!$B$2:$B$86,MATCH($A11,'State Funding Lookup'!$A$2:$A$86,0)),0)</f>
        <v/>
      </c>
      <c r="AS11" s="98">
        <f>AK11</f>
        <v/>
      </c>
      <c r="AT11" s="98">
        <f>AN11</f>
        <v/>
      </c>
    </row>
    <row r="12" ht="30" customHeight="1" s="104">
      <c r="A12" s="88" t="inlineStr">
        <is>
          <t>Port Arthur ISD</t>
        </is>
      </c>
      <c r="B12" s="88">
        <f>IFERROR(INDEX('School District Profiles'!$B$2:$B$86,MATCH($A12,'School District Profiles'!$A$2:$A$86,0)),"")</f>
        <v/>
      </c>
      <c r="C12" s="88">
        <f>IFERROR(INDEX('School District Profiles'!$C$2:$C$86,MATCH($A12,'School District Profiles'!$A$2:$A$86,0)),"")</f>
        <v/>
      </c>
      <c r="D12" s="90">
        <f>IFERROR(SUMIFS('Teacher Salary Data'!$E$2:$E$1871,'Teacher Salary Data'!$A$2:$A$1871,$A12,'Teacher Salary Data'!$C$2:$C$1871,"Bachelor's",'Teacher Salary Data'!$D$2:$D$1871,0),0)</f>
        <v/>
      </c>
      <c r="E12" s="90">
        <f>IFERROR(SUMIFS('Teacher Salary Data'!$E$2:$E$1871,'Teacher Salary Data'!$A$2:$A$1871,$A12,'Teacher Salary Data'!$C$2:$C$1871,"Bachelor's",'Teacher Salary Data'!$D$2:$D$1871,5),0)</f>
        <v/>
      </c>
      <c r="F12" s="90">
        <f>IFERROR(SUMIFS('Teacher Salary Data'!$E$2:$E$1871,'Teacher Salary Data'!$A$2:$A$1871,$A12,'Teacher Salary Data'!$C$2:$C$1871,"Bachelor's",'Teacher Salary Data'!$D$2:$D$1871,10),0)</f>
        <v/>
      </c>
      <c r="G12" s="90">
        <f>IFERROR(SUMIFS('Teacher Salary Data'!$E$2:$E$1871,'Teacher Salary Data'!$A$2:$A$1871,$A12,'Teacher Salary Data'!$C$2:$C$1871,"Master's",'Teacher Salary Data'!$D$2:$D$1871,0),0)</f>
        <v/>
      </c>
      <c r="H12" s="90">
        <f>IFERROR(SUMIFS('Teacher Salary Data'!$E$2:$E$1871,'Teacher Salary Data'!$A$2:$A$1871,$A12,'Teacher Salary Data'!$C$2:$C$1871,"Master's",'Teacher Salary Data'!$D$2:$D$1871,5),0)</f>
        <v/>
      </c>
      <c r="I12" s="90">
        <f>IFERROR(SUMIFS('Teacher Salary Data'!$E$2:$E$1871,'Teacher Salary Data'!$A$2:$A$1871,$A12,'Teacher Salary Data'!$C$2:$C$1871,"Master's",'Teacher Salary Data'!$D$2:$D$1871,10),0)</f>
        <v/>
      </c>
      <c r="J12" s="90">
        <f>AVERAGE(D12,G12)</f>
        <v/>
      </c>
      <c r="K12" s="90">
        <f>AVERAGE(F12,I12)</f>
        <v/>
      </c>
      <c r="L12" s="115">
        <f>IFERROR((K12-J12)/J12,0)</f>
        <v/>
      </c>
      <c r="M12" s="88">
        <f>G12-D12</f>
        <v/>
      </c>
      <c r="N12" s="90">
        <f>IFERROR(INDEX('Median Home and Rent Prices'!$D$2:$D$86,MATCH($A12,'Median Home and Rent Prices'!$A$2:$A$86,0)),0)</f>
        <v/>
      </c>
      <c r="O12" s="90">
        <f>IFERROR(INDEX('Median Home and Rent Prices'!$E$2:$E$86,MATCH($A12,'Median Home and Rent Prices'!$A$2:$A$86,0)),0)</f>
        <v/>
      </c>
      <c r="P12" s="88">
        <f>IFERROR(INDEX('School District Profiles'!$H$2:$H$86,MATCH($A12,'School District Profiles'!$A$2:$A$86,0)),0)</f>
        <v/>
      </c>
      <c r="Q12" s="90">
        <f>IFERROR(INDEX('School District Profiles'!$I$2:$I$86,MATCH($A12,'School District Profiles'!$A$2:$A$86,0)),0)</f>
        <v/>
      </c>
      <c r="R12" s="95">
        <f>IFERROR(IF(($AI12-('Score Inputs'!$B$4*1500+IF('Score Inputs'!$B$3="Master's",4000,0)))&lt;53000,MAX(0,MIN(39.99,((($AI12-('Score Inputs'!$B$4*1500+IF('Score Inputs'!$B$3="Master's",4000,0))))-45000)/8000*39.99)),IF(($AI12-('Score Inputs'!$B$4*1500+IF('Score Inputs'!$B$3="Master's",4000,0)))&lt;58000,40+((($AI12-('Score Inputs'!$B$4*1500+IF('Score Inputs'!$B$3="Master's",4000,0))))-53000)/5000*20,IF(($AI12-('Score Inputs'!$B$4*1500+IF('Score Inputs'!$B$3="Master's",4000,0)))&lt;63000,60+((($AI12-('Score Inputs'!$B$4*1500+IF('Score Inputs'!$B$3="Master's",4000,0))))-58000)/5000*10,IF(($AI12-('Score Inputs'!$B$4*1500+IF('Score Inputs'!$B$3="Master's",4000,0)))&lt;70000,70+((($AI12-('Score Inputs'!$B$4*1500+IF('Score Inputs'!$B$3="Master's",4000,0))))-63000)/7000*10,IF(($AI12-('Score Inputs'!$B$4*1500+IF('Score Inputs'!$B$3="Master's",4000,0)))&lt;75000,80+((($AI12-('Score Inputs'!$B$4*1500+IF('Score Inputs'!$B$3="Master's",4000,0))))-70000)/5000*10,MIN(100,90+((($AI12-('Score Inputs'!$B$4*1500+IF('Score Inputs'!$B$3="Master's",4000,0))))-75000)/5000*10)))))),0)</f>
        <v/>
      </c>
      <c r="S12" s="95">
        <f>IFERROR(MAX(0,MIN(100,L12/0.48*100)),0)</f>
        <v/>
      </c>
      <c r="T12" s="95">
        <f>IFERROR(MAX(0,MIN(100,M12/15000*100)),0)</f>
        <v/>
      </c>
      <c r="U12" s="95">
        <f>IFERROR(0.5*R12+0.35*S12+0.15*T12,0)</f>
        <v/>
      </c>
      <c r="V12" s="95">
        <f>IFERROR(0.35*AL12+0.3*AO12+0.25*AB12+0.1*AQ12,0)</f>
        <v/>
      </c>
      <c r="W12" s="95">
        <f>IFERROR(MAX(0,MIN(100,(25-P12)/(25-12)*100)),0)</f>
        <v/>
      </c>
      <c r="X12" s="95">
        <f>IFERROR(MAX(0,MIN(100,(AD12-1)/(3-1)*100))*IF(OR($A12="North Clackamas School District",$A12="Provo City School District"),0.6,1),0)</f>
        <v/>
      </c>
      <c r="Y12" s="95">
        <f>IFERROR(MAX(0,MIN(100,(1-((IFERROR(INDEX('School District Profiles'!$D$2:$D$86,MATCH($A12,'School District Profiles'!$A$2:$A$86,0)),0)/100)^2+(IFERROR(INDEX('School District Profiles'!$E$2:$E$86,MATCH($A12,'School District Profiles'!$A$2:$A$86,0)),0)/100)^2+(IFERROR(INDEX('School District Profiles'!$F$2:$F$86,MATCH($A12,'School District Profiles'!$A$2:$A$86,0)),0)/100)^2+(IFERROR(INDEX('School District Profiles'!$G$2:$G$86,MATCH($A12,'School District Profiles'!$A$2:$A$86,0)),0)/100)^2+(AC12/100)^2))/0.8*100)),0)</f>
        <v/>
      </c>
      <c r="Z12" s="95">
        <f>IFERROR(AF12*AG12,0)</f>
        <v/>
      </c>
      <c r="AA12" s="95">
        <f>IFERROR(INDEX('Median Home and Rent Prices'!$F$2:$F$86,MATCH($A12,'Median Home and Rent Prices'!$A$2:$A$86,0)),0)</f>
        <v/>
      </c>
      <c r="AB12" s="95">
        <f>IFERROR(MAX(0,MIN(100,(800-AA12)/(800-150)*100)),0)</f>
        <v/>
      </c>
      <c r="AC12" s="95">
        <f>IFERROR(INDEX('School District Profiles'!$J$2:$J$86,MATCH($A12,'School District Profiles'!$A$2:$A$86,0)),0)</f>
        <v/>
      </c>
      <c r="AD12" s="95">
        <f>IFERROR(Q12*20/O12,0)</f>
        <v/>
      </c>
      <c r="AE12" s="95">
        <f>IFERROR(IF(AG12&gt;=1,100,IF(AG12&gt;=0.95,75,IF(AG12&gt;=0.9,60,IF(AG12&gt;=0.85,40,IF(AG12&gt;=0.8,25,0))))),0)</f>
        <v/>
      </c>
      <c r="AF12" s="95">
        <f>IFERROR(0.35*V12+0.3*U12+0.1*W12+0.1*X12+0.1*Y12+0.05*AR12,0)</f>
        <v/>
      </c>
      <c r="AG12" s="95" t="n">
        <v>1</v>
      </c>
      <c r="AH12" s="88" t="inlineStr">
        <is>
          <t>No employment-stability penalty applied in this first-pass addition; verify with adopted budget, enrollment trend, board packets, and HR/union notices before final scoring.</t>
        </is>
      </c>
      <c r="AI12" s="90">
        <f>IF('Score Inputs'!$B$3="Bachelor's",CHOOSE(MATCH('Score Inputs'!$B$4,{0,5,10},0),D12,E12,F12),CHOOSE(MATCH('Score Inputs'!$B$4,{0,5,10},0),G12,H12,I12))</f>
        <v/>
      </c>
      <c r="AJ12" s="90">
        <f>IFERROR(AI12/12,0)</f>
        <v/>
      </c>
      <c r="AK12" s="115">
        <f>IFERROR(O12/AJ12,0)</f>
        <v/>
      </c>
      <c r="AL12" s="95">
        <f>IFERROR(IF(AK12&lt;=25%,100,IF(AK12&lt;=30%,100-(AK12-25%)/5%*30,IF(AK12&lt;=35%,70-(AK12-30%)/5%*10,IF(AK12&lt;=40%,60-(AK12-35%)/5%*20,MAX(0,40-(AK12-40%)/10%*40))))),0)</f>
        <v/>
      </c>
      <c r="AM12" s="90">
        <f>IFERROR(PMT('Score Inputs'!$B$5/12,'Score Inputs'!$B$7*12,-N12*(1-'Score Inputs'!$B$6)),0)</f>
        <v/>
      </c>
      <c r="AN12" s="115">
        <f>IFERROR(AM12/AJ12,0)</f>
        <v/>
      </c>
      <c r="AO12" s="95">
        <f>IFERROR(IF(AN12&lt;=25%,100,IF(AN12&lt;=30%,100-(AN12-25%)/5%*30,IF(AN12&lt;=35%,70-(AN12-30%)/5%*10,IF(AN12&lt;=40%,60-(AN12-35%)/5%*20,MAX(0,40-(AN12-40%)/10%*40))))),0)</f>
        <v/>
      </c>
      <c r="AP12" s="90">
        <f>IFERROR(AJ12-O12,0)</f>
        <v/>
      </c>
      <c r="AQ12" s="95">
        <f>IFERROR(MAX(0,MIN(100,(AP12-'Score Inputs'!$B$8)/('Score Inputs'!$B$9-'Score Inputs'!$B$8)*100)),0)</f>
        <v/>
      </c>
      <c r="AR12" s="95">
        <f>IFERROR(INDEX('State Funding Lookup'!$B$2:$B$86,MATCH($A12,'State Funding Lookup'!$A$2:$A$86,0)),0)</f>
        <v/>
      </c>
      <c r="AS12" s="98">
        <f>AK12</f>
        <v/>
      </c>
      <c r="AT12" s="98">
        <f>AN12</f>
        <v/>
      </c>
    </row>
    <row r="13" ht="30" customHeight="1" s="104">
      <c r="A13" s="64" t="inlineStr">
        <is>
          <t>West Des Moines Community Schools</t>
        </is>
      </c>
      <c r="B13" s="64">
        <f>IFERROR(INDEX('School District Profiles'!$B$2:$B$86,MATCH($A13,'School District Profiles'!$A$2:$A$86,0)),"")</f>
        <v/>
      </c>
      <c r="C13" s="64">
        <f>IFERROR(INDEX('School District Profiles'!$C$2:$C$86,MATCH($A13,'School District Profiles'!$A$2:$A$86,0)),"")</f>
        <v/>
      </c>
      <c r="D13" s="65">
        <f>IFERROR(SUMIFS('Teacher Salary Data'!$E$2:$E$1871,'Teacher Salary Data'!$A$2:$A$1871,$A13,'Teacher Salary Data'!$C$2:$C$1871,"Bachelor's",'Teacher Salary Data'!$D$2:$D$1871,0),0)</f>
        <v/>
      </c>
      <c r="E13" s="65">
        <f>IFERROR(SUMIFS('Teacher Salary Data'!$E$2:$E$1871,'Teacher Salary Data'!$A$2:$A$1871,$A13,'Teacher Salary Data'!$C$2:$C$1871,"Bachelor's",'Teacher Salary Data'!$D$2:$D$1871,5),0)</f>
        <v/>
      </c>
      <c r="F13" s="65">
        <f>IFERROR(SUMIFS('Teacher Salary Data'!$E$2:$E$1871,'Teacher Salary Data'!$A$2:$A$1871,$A13,'Teacher Salary Data'!$C$2:$C$1871,"Bachelor's",'Teacher Salary Data'!$D$2:$D$1871,10),0)</f>
        <v/>
      </c>
      <c r="G13" s="65">
        <f>IFERROR(SUMIFS('Teacher Salary Data'!$E$2:$E$1871,'Teacher Salary Data'!$A$2:$A$1871,$A13,'Teacher Salary Data'!$C$2:$C$1871,"Master's",'Teacher Salary Data'!$D$2:$D$1871,0),0)</f>
        <v/>
      </c>
      <c r="H13" s="65">
        <f>IFERROR(SUMIFS('Teacher Salary Data'!$E$2:$E$1871,'Teacher Salary Data'!$A$2:$A$1871,$A13,'Teacher Salary Data'!$C$2:$C$1871,"Master's",'Teacher Salary Data'!$D$2:$D$1871,5),0)</f>
        <v/>
      </c>
      <c r="I13" s="65">
        <f>IFERROR(SUMIFS('Teacher Salary Data'!$E$2:$E$1871,'Teacher Salary Data'!$A$2:$A$1871,$A13,'Teacher Salary Data'!$C$2:$C$1871,"Master's",'Teacher Salary Data'!$D$2:$D$1871,10),0)</f>
        <v/>
      </c>
      <c r="J13" s="65">
        <f>AVERAGE(D13,G13)</f>
        <v/>
      </c>
      <c r="K13" s="65">
        <f>AVERAGE(F13,I13)</f>
        <v/>
      </c>
      <c r="L13" s="114">
        <f>IFERROR((K13-J13)/J13,0)</f>
        <v/>
      </c>
      <c r="M13" s="65">
        <f>G13-D13</f>
        <v/>
      </c>
      <c r="N13" s="65">
        <f>IFERROR(INDEX('Median Home and Rent Prices'!$D$2:$D$86,MATCH($A13,'Median Home and Rent Prices'!$A$2:$A$86,0)),0)</f>
        <v/>
      </c>
      <c r="O13" s="65">
        <f>IFERROR(INDEX('Median Home and Rent Prices'!$E$2:$E$86,MATCH($A13,'Median Home and Rent Prices'!$A$2:$A$86,0)),0)</f>
        <v/>
      </c>
      <c r="P13" s="64">
        <f>IFERROR(INDEX('School District Profiles'!$H$2:$H$86,MATCH($A13,'School District Profiles'!$A$2:$A$86,0)),0)</f>
        <v/>
      </c>
      <c r="Q13" s="65">
        <f>IFERROR(INDEX('School District Profiles'!$I$2:$I$86,MATCH($A13,'School District Profiles'!$A$2:$A$86,0)),0)</f>
        <v/>
      </c>
      <c r="R13" s="63">
        <f>IFERROR(IF(($AI13-('Score Inputs'!$B$4*1500+IF('Score Inputs'!$B$3="Master's",4000,0)))&lt;53000,MAX(0,MIN(39.99,((($AI13-('Score Inputs'!$B$4*1500+IF('Score Inputs'!$B$3="Master's",4000,0))))-45000)/8000*39.99)),IF(($AI13-('Score Inputs'!$B$4*1500+IF('Score Inputs'!$B$3="Master's",4000,0)))&lt;58000,40+((($AI13-('Score Inputs'!$B$4*1500+IF('Score Inputs'!$B$3="Master's",4000,0))))-53000)/5000*20,IF(($AI13-('Score Inputs'!$B$4*1500+IF('Score Inputs'!$B$3="Master's",4000,0)))&lt;63000,60+((($AI13-('Score Inputs'!$B$4*1500+IF('Score Inputs'!$B$3="Master's",4000,0))))-58000)/5000*10,IF(($AI13-('Score Inputs'!$B$4*1500+IF('Score Inputs'!$B$3="Master's",4000,0)))&lt;70000,70+((($AI13-('Score Inputs'!$B$4*1500+IF('Score Inputs'!$B$3="Master's",4000,0))))-63000)/7000*10,IF(($AI13-('Score Inputs'!$B$4*1500+IF('Score Inputs'!$B$3="Master's",4000,0)))&lt;75000,80+((($AI13-('Score Inputs'!$B$4*1500+IF('Score Inputs'!$B$3="Master's",4000,0))))-70000)/5000*10,MIN(100,90+((($AI13-('Score Inputs'!$B$4*1500+IF('Score Inputs'!$B$3="Master's",4000,0))))-75000)/5000*10)))))),0)</f>
        <v/>
      </c>
      <c r="S13" s="63">
        <f>IFERROR(MAX(0,MIN(100,L13/0.48*100)),0)</f>
        <v/>
      </c>
      <c r="T13" s="63">
        <f>IFERROR(MAX(0,MIN(100,M13/15000*100)),0)</f>
        <v/>
      </c>
      <c r="U13" s="63">
        <f>IFERROR(0.5*R13+0.35*S13+0.15*T13,0)</f>
        <v/>
      </c>
      <c r="V13" s="63">
        <f>IFERROR(0.35*AL13+0.3*AO13+0.25*AB13+0.1*AQ13,0)</f>
        <v/>
      </c>
      <c r="W13" s="63">
        <f>IFERROR(MAX(0,MIN(100,(25-P13)/(25-12)*100)),0)</f>
        <v/>
      </c>
      <c r="X13" s="63">
        <f>IFERROR(MAX(0,MIN(100,(AD13-1)/(3-1)*100))*IF(OR($A13="North Clackamas School District",$A13="Provo City School District"),0.6,1),0)</f>
        <v/>
      </c>
      <c r="Y13" s="63">
        <f>IFERROR(MAX(0,MIN(100,(1-((IFERROR(INDEX('School District Profiles'!$D$2:$D$86,MATCH($A13,'School District Profiles'!$A$2:$A$86,0)),0)/100)^2+(IFERROR(INDEX('School District Profiles'!$E$2:$E$86,MATCH($A13,'School District Profiles'!$A$2:$A$86,0)),0)/100)^2+(IFERROR(INDEX('School District Profiles'!$F$2:$F$86,MATCH($A13,'School District Profiles'!$A$2:$A$86,0)),0)/100)^2+(IFERROR(INDEX('School District Profiles'!$G$2:$G$86,MATCH($A13,'School District Profiles'!$A$2:$A$86,0)),0)/100)^2+(AC13/100)^2))/0.8*100)),0)</f>
        <v/>
      </c>
      <c r="Z13" s="63">
        <f>IFERROR(AF13*AG13,0)</f>
        <v/>
      </c>
      <c r="AA13" s="69">
        <f>IFERROR(INDEX('Median Home and Rent Prices'!$F$2:$F$86,MATCH($A13,'Median Home and Rent Prices'!$A$2:$A$86,0)),0)</f>
        <v/>
      </c>
      <c r="AB13" s="63">
        <f>IFERROR(MAX(0,MIN(100,(800-AA13)/(800-150)*100)),0)</f>
        <v/>
      </c>
      <c r="AC13" s="114">
        <f>IFERROR(INDEX('School District Profiles'!$J$2:$J$86,MATCH($A13,'School District Profiles'!$A$2:$A$86,0)),0)</f>
        <v/>
      </c>
      <c r="AD13" s="63">
        <f>IFERROR(Q13*20/O13,0)</f>
        <v/>
      </c>
      <c r="AE13" s="63">
        <f>IFERROR(IF(AG13&gt;=1,100,IF(AG13&gt;=0.95,75,IF(AG13&gt;=0.9,60,IF(AG13&gt;=0.85,40,IF(AG13&gt;=0.8,25,0))))),0)</f>
        <v/>
      </c>
      <c r="AF13" s="63">
        <f>IFERROR(0.35*V13+0.3*U13+0.1*W13+0.1*X13+0.1*Y13+0.05*AR13,0)</f>
        <v/>
      </c>
      <c r="AG13" s="63" t="n">
        <v>1</v>
      </c>
      <c r="AH13" s="64" t="inlineStr">
        <is>
          <t>No current employment-stability penalty applied. First-pass public-source screening did not find current broad layoff or fiscal-crisis evidence; keep monitoring Iowa enrollment/funding pressures.</t>
        </is>
      </c>
      <c r="AI13" s="65">
        <f>IF('Score Inputs'!$B$3="Bachelor's",CHOOSE(MATCH('Score Inputs'!$B$4,{0,5,10},0),D13,E13,F13),CHOOSE(MATCH('Score Inputs'!$B$4,{0,5,10},0),G13,H13,I13))</f>
        <v/>
      </c>
      <c r="AJ13" s="65">
        <f>IFERROR(AI13/12,0)</f>
        <v/>
      </c>
      <c r="AK13" s="114">
        <f>IFERROR(O13/AJ13,0)</f>
        <v/>
      </c>
      <c r="AL13" s="63">
        <f>IFERROR(IF(AK13&lt;=25%,100,IF(AK13&lt;=30%,100-(AK13-25%)/5%*30,IF(AK13&lt;=35%,70-(AK13-30%)/5%*10,IF(AK13&lt;=40%,60-(AK13-35%)/5%*20,MAX(0,40-(AK13-40%)/10%*40))))),0)</f>
        <v/>
      </c>
      <c r="AM13" s="65">
        <f>IFERROR(PMT('Score Inputs'!$B$5/12,'Score Inputs'!$B$7*12,-N13*(1-'Score Inputs'!$B$6)),0)</f>
        <v/>
      </c>
      <c r="AN13" s="114">
        <f>IFERROR(AM13/AJ13,0)</f>
        <v/>
      </c>
      <c r="AO13" s="63">
        <f>IFERROR(IF(AN13&lt;=25%,100,IF(AN13&lt;=30%,100-(AN13-25%)/5%*30,IF(AN13&lt;=35%,70-(AN13-30%)/5%*10,IF(AN13&lt;=40%,60-(AN13-35%)/5%*20,MAX(0,40-(AN13-40%)/10%*40))))),0)</f>
        <v/>
      </c>
      <c r="AP13" s="65">
        <f>IFERROR(AJ13-O13,0)</f>
        <v/>
      </c>
      <c r="AQ13" s="63">
        <f>IFERROR(MAX(0,MIN(100,(AP13-'Score Inputs'!$B$8)/('Score Inputs'!$B$9-'Score Inputs'!$B$8)*100)),0)</f>
        <v/>
      </c>
      <c r="AR13" s="63">
        <f>IFERROR(INDEX('State Funding Lookup'!$B$2:$B$86,MATCH($A13,'State Funding Lookup'!$A$2:$A$86,0)),0)</f>
        <v/>
      </c>
      <c r="AS13" s="67">
        <f>AK13</f>
        <v/>
      </c>
      <c r="AT13" s="67">
        <f>AN13</f>
        <v/>
      </c>
    </row>
    <row r="14" ht="30" customHeight="1" s="104">
      <c r="A14" s="88" t="inlineStr">
        <is>
          <t>Farmington Municipal Schools</t>
        </is>
      </c>
      <c r="B14" s="88">
        <f>IFERROR(INDEX('School District Profiles'!$B$2:$B$86,MATCH($A14,'School District Profiles'!$A$2:$A$86,0)),"")</f>
        <v/>
      </c>
      <c r="C14" s="88">
        <f>IFERROR(INDEX('School District Profiles'!$C$2:$C$86,MATCH($A14,'School District Profiles'!$A$2:$A$86,0)),"")</f>
        <v/>
      </c>
      <c r="D14" s="90">
        <f>IFERROR(SUMIFS('Teacher Salary Data'!$E$2:$E$1871,'Teacher Salary Data'!$A$2:$A$1871,$A14,'Teacher Salary Data'!$C$2:$C$1871,"Bachelor's",'Teacher Salary Data'!$D$2:$D$1871,0),0)</f>
        <v/>
      </c>
      <c r="E14" s="90">
        <f>IFERROR(SUMIFS('Teacher Salary Data'!$E$2:$E$1871,'Teacher Salary Data'!$A$2:$A$1871,$A14,'Teacher Salary Data'!$C$2:$C$1871,"Bachelor's",'Teacher Salary Data'!$D$2:$D$1871,5),0)</f>
        <v/>
      </c>
      <c r="F14" s="90">
        <f>IFERROR(SUMIFS('Teacher Salary Data'!$E$2:$E$1871,'Teacher Salary Data'!$A$2:$A$1871,$A14,'Teacher Salary Data'!$C$2:$C$1871,"Bachelor's",'Teacher Salary Data'!$D$2:$D$1871,10),0)</f>
        <v/>
      </c>
      <c r="G14" s="90">
        <f>IFERROR(SUMIFS('Teacher Salary Data'!$E$2:$E$1871,'Teacher Salary Data'!$A$2:$A$1871,$A14,'Teacher Salary Data'!$C$2:$C$1871,"Master's",'Teacher Salary Data'!$D$2:$D$1871,0),0)</f>
        <v/>
      </c>
      <c r="H14" s="90">
        <f>IFERROR(SUMIFS('Teacher Salary Data'!$E$2:$E$1871,'Teacher Salary Data'!$A$2:$A$1871,$A14,'Teacher Salary Data'!$C$2:$C$1871,"Master's",'Teacher Salary Data'!$D$2:$D$1871,5),0)</f>
        <v/>
      </c>
      <c r="I14" s="90">
        <f>IFERROR(SUMIFS('Teacher Salary Data'!$E$2:$E$1871,'Teacher Salary Data'!$A$2:$A$1871,$A14,'Teacher Salary Data'!$C$2:$C$1871,"Master's",'Teacher Salary Data'!$D$2:$D$1871,10),0)</f>
        <v/>
      </c>
      <c r="J14" s="90">
        <f>AVERAGE(D14,G14)</f>
        <v/>
      </c>
      <c r="K14" s="90">
        <f>AVERAGE(F14,I14)</f>
        <v/>
      </c>
      <c r="L14" s="115">
        <f>IFERROR((K14-J14)/J14,0)</f>
        <v/>
      </c>
      <c r="M14" s="88">
        <f>G14-D14</f>
        <v/>
      </c>
      <c r="N14" s="90">
        <f>IFERROR(INDEX('Median Home and Rent Prices'!$D$2:$D$86,MATCH($A14,'Median Home and Rent Prices'!$A$2:$A$86,0)),0)</f>
        <v/>
      </c>
      <c r="O14" s="90">
        <f>IFERROR(INDEX('Median Home and Rent Prices'!$E$2:$E$86,MATCH($A14,'Median Home and Rent Prices'!$A$2:$A$86,0)),0)</f>
        <v/>
      </c>
      <c r="P14" s="88">
        <f>IFERROR(INDEX('School District Profiles'!$H$2:$H$86,MATCH($A14,'School District Profiles'!$A$2:$A$86,0)),0)</f>
        <v/>
      </c>
      <c r="Q14" s="90">
        <f>IFERROR(INDEX('School District Profiles'!$I$2:$I$86,MATCH($A14,'School District Profiles'!$A$2:$A$86,0)),0)</f>
        <v/>
      </c>
      <c r="R14" s="95">
        <f>IFERROR(IF(($AI14-('Score Inputs'!$B$4*1500+IF('Score Inputs'!$B$3="Master's",4000,0)))&lt;53000,MAX(0,MIN(39.99,((($AI14-('Score Inputs'!$B$4*1500+IF('Score Inputs'!$B$3="Master's",4000,0))))-45000)/8000*39.99)),IF(($AI14-('Score Inputs'!$B$4*1500+IF('Score Inputs'!$B$3="Master's",4000,0)))&lt;58000,40+((($AI14-('Score Inputs'!$B$4*1500+IF('Score Inputs'!$B$3="Master's",4000,0))))-53000)/5000*20,IF(($AI14-('Score Inputs'!$B$4*1500+IF('Score Inputs'!$B$3="Master's",4000,0)))&lt;63000,60+((($AI14-('Score Inputs'!$B$4*1500+IF('Score Inputs'!$B$3="Master's",4000,0))))-58000)/5000*10,IF(($AI14-('Score Inputs'!$B$4*1500+IF('Score Inputs'!$B$3="Master's",4000,0)))&lt;70000,70+((($AI14-('Score Inputs'!$B$4*1500+IF('Score Inputs'!$B$3="Master's",4000,0))))-63000)/7000*10,IF(($AI14-('Score Inputs'!$B$4*1500+IF('Score Inputs'!$B$3="Master's",4000,0)))&lt;75000,80+((($AI14-('Score Inputs'!$B$4*1500+IF('Score Inputs'!$B$3="Master's",4000,0))))-70000)/5000*10,MIN(100,90+((($AI14-('Score Inputs'!$B$4*1500+IF('Score Inputs'!$B$3="Master's",4000,0))))-75000)/5000*10)))))),0)</f>
        <v/>
      </c>
      <c r="S14" s="95">
        <f>IFERROR(MAX(0,MIN(100,L14/0.48*100)),0)</f>
        <v/>
      </c>
      <c r="T14" s="95">
        <f>IFERROR(MAX(0,MIN(100,M14/15000*100)),0)</f>
        <v/>
      </c>
      <c r="U14" s="95">
        <f>IFERROR(0.5*R14+0.35*S14+0.15*T14,0)</f>
        <v/>
      </c>
      <c r="V14" s="95">
        <f>IFERROR(0.35*AL14+0.3*AO14+0.25*AB14+0.1*AQ14,0)</f>
        <v/>
      </c>
      <c r="W14" s="95">
        <f>IFERROR(MAX(0,MIN(100,(25-P14)/(25-12)*100)),0)</f>
        <v/>
      </c>
      <c r="X14" s="95">
        <f>IFERROR(MAX(0,MIN(100,(AD14-1)/(3-1)*100))*IF(OR($A14="North Clackamas School District",$A14="Provo City School District"),0.6,1),0)</f>
        <v/>
      </c>
      <c r="Y14" s="95">
        <f>IFERROR(MAX(0,MIN(100,(1-((IFERROR(INDEX('School District Profiles'!$D$2:$D$86,MATCH($A14,'School District Profiles'!$A$2:$A$86,0)),0)/100)^2+(IFERROR(INDEX('School District Profiles'!$E$2:$E$86,MATCH($A14,'School District Profiles'!$A$2:$A$86,0)),0)/100)^2+(IFERROR(INDEX('School District Profiles'!$F$2:$F$86,MATCH($A14,'School District Profiles'!$A$2:$A$86,0)),0)/100)^2+(IFERROR(INDEX('School District Profiles'!$G$2:$G$86,MATCH($A14,'School District Profiles'!$A$2:$A$86,0)),0)/100)^2+(AC14/100)^2))/0.8*100)),0)</f>
        <v/>
      </c>
      <c r="Z14" s="95">
        <f>IFERROR(AF14*AG14,0)</f>
        <v/>
      </c>
      <c r="AA14" s="88">
        <f>IFERROR(INDEX('Median Home and Rent Prices'!$F$2:$F$86,MATCH($A14,'Median Home and Rent Prices'!$A$2:$A$86,0)),0)</f>
        <v/>
      </c>
      <c r="AB14" s="95">
        <f>IFERROR(MAX(0,MIN(100,(800-AA14)/(800-150)*100)),0)</f>
        <v/>
      </c>
      <c r="AC14" s="88">
        <f>IFERROR(INDEX('School District Profiles'!$J$2:$J$86,MATCH($A14,'School District Profiles'!$A$2:$A$86,0)),0)</f>
        <v/>
      </c>
      <c r="AD14" s="95">
        <f>IFERROR(Q14*20/O14,0)</f>
        <v/>
      </c>
      <c r="AE14" s="95">
        <f>IFERROR(IF(AG14&gt;=1,100,IF(AG14&gt;=0.95,75,IF(AG14&gt;=0.9,60,IF(AG14&gt;=0.85,40,IF(AG14&gt;=0.8,25,0))))),0)</f>
        <v/>
      </c>
      <c r="AF14" s="95">
        <f>IFERROR(0.35*V14+0.3*U14+0.1*W14+0.1*X14+0.1*Y14+0.05*AR14,0)</f>
        <v/>
      </c>
      <c r="AG14" s="95" t="n">
        <v>1</v>
      </c>
      <c r="AH14" s="88" t="inlineStr">
        <is>
          <t>Official teacher schedule extracted. BA uses BA01; MA uses MA01. Sub pay/housing/demographics remain first-pass.</t>
        </is>
      </c>
      <c r="AI14" s="90">
        <f>IF('Score Inputs'!$B$3="Bachelor's",CHOOSE(MATCH('Score Inputs'!$B$4,{0,5,10},0),D14,E14,F14),CHOOSE(MATCH('Score Inputs'!$B$4,{0,5,10},0),G14,H14,I14))</f>
        <v/>
      </c>
      <c r="AJ14" s="90">
        <f>IFERROR(AI14/12,0)</f>
        <v/>
      </c>
      <c r="AK14" s="115">
        <f>IFERROR(O14/AJ14,0)</f>
        <v/>
      </c>
      <c r="AL14" s="95">
        <f>IFERROR(IF(AK14&lt;=25%,100,IF(AK14&lt;=30%,100-(AK14-25%)/5%*30,IF(AK14&lt;=35%,70-(AK14-30%)/5%*10,IF(AK14&lt;=40%,60-(AK14-35%)/5%*20,MAX(0,40-(AK14-40%)/10%*40))))),0)</f>
        <v/>
      </c>
      <c r="AM14" s="90">
        <f>IFERROR(PMT('Score Inputs'!$B$5/12,'Score Inputs'!$B$7*12,-N14*(1-'Score Inputs'!$B$6)),0)</f>
        <v/>
      </c>
      <c r="AN14" s="115">
        <f>IFERROR(AM14/AJ14,0)</f>
        <v/>
      </c>
      <c r="AO14" s="95">
        <f>IFERROR(IF(AN14&lt;=25%,100,IF(AN14&lt;=30%,100-(AN14-25%)/5%*30,IF(AN14&lt;=35%,70-(AN14-30%)/5%*10,IF(AN14&lt;=40%,60-(AN14-35%)/5%*20,MAX(0,40-(AN14-40%)/10%*40))))),0)</f>
        <v/>
      </c>
      <c r="AP14" s="90">
        <f>IFERROR(AJ14-O14,0)</f>
        <v/>
      </c>
      <c r="AQ14" s="95">
        <f>IFERROR(MAX(0,MIN(100,(AP14-'Score Inputs'!$B$8)/('Score Inputs'!$B$9-'Score Inputs'!$B$8)*100)),0)</f>
        <v/>
      </c>
      <c r="AR14" s="95">
        <f>IFERROR(INDEX('State Funding Lookup'!$B$2:$B$86,MATCH($A14,'State Funding Lookup'!$A$2:$A$86,0)),0)</f>
        <v/>
      </c>
      <c r="AS14" s="98">
        <f>AK14</f>
        <v/>
      </c>
      <c r="AT14" s="98">
        <f>AN14</f>
        <v/>
      </c>
    </row>
    <row r="15" ht="30" customHeight="1" s="104">
      <c r="A15" s="88" t="inlineStr">
        <is>
          <t>New Trier Township High School District 203</t>
        </is>
      </c>
      <c r="B15" s="88">
        <f>IFERROR(INDEX('School District Profiles'!$B$2:$B$86,MATCH($A15,'School District Profiles'!$A$2:$A$86,0)),"")</f>
        <v/>
      </c>
      <c r="C15" s="88">
        <f>IFERROR(INDEX('School District Profiles'!$C$2:$C$86,MATCH($A15,'School District Profiles'!$A$2:$A$86,0)),"")</f>
        <v/>
      </c>
      <c r="D15" s="90">
        <f>IFERROR(SUMIFS('Teacher Salary Data'!$E$2:$E$1871,'Teacher Salary Data'!$A$2:$A$1871,$A15,'Teacher Salary Data'!$C$2:$C$1871,"Bachelor's",'Teacher Salary Data'!$D$2:$D$1871,0),0)</f>
        <v/>
      </c>
      <c r="E15" s="90">
        <f>IFERROR(SUMIFS('Teacher Salary Data'!$E$2:$E$1871,'Teacher Salary Data'!$A$2:$A$1871,$A15,'Teacher Salary Data'!$C$2:$C$1871,"Bachelor's",'Teacher Salary Data'!$D$2:$D$1871,5),0)</f>
        <v/>
      </c>
      <c r="F15" s="90">
        <f>IFERROR(SUMIFS('Teacher Salary Data'!$E$2:$E$1871,'Teacher Salary Data'!$A$2:$A$1871,$A15,'Teacher Salary Data'!$C$2:$C$1871,"Bachelor's",'Teacher Salary Data'!$D$2:$D$1871,10),0)</f>
        <v/>
      </c>
      <c r="G15" s="90">
        <f>IFERROR(SUMIFS('Teacher Salary Data'!$E$2:$E$1871,'Teacher Salary Data'!$A$2:$A$1871,$A15,'Teacher Salary Data'!$C$2:$C$1871,"Master's",'Teacher Salary Data'!$D$2:$D$1871,0),0)</f>
        <v/>
      </c>
      <c r="H15" s="90">
        <f>IFERROR(SUMIFS('Teacher Salary Data'!$E$2:$E$1871,'Teacher Salary Data'!$A$2:$A$1871,$A15,'Teacher Salary Data'!$C$2:$C$1871,"Master's",'Teacher Salary Data'!$D$2:$D$1871,5),0)</f>
        <v/>
      </c>
      <c r="I15" s="90">
        <f>IFERROR(SUMIFS('Teacher Salary Data'!$E$2:$E$1871,'Teacher Salary Data'!$A$2:$A$1871,$A15,'Teacher Salary Data'!$C$2:$C$1871,"Master's",'Teacher Salary Data'!$D$2:$D$1871,10),0)</f>
        <v/>
      </c>
      <c r="J15" s="90">
        <f>AVERAGE(D15,G15)</f>
        <v/>
      </c>
      <c r="K15" s="90">
        <f>AVERAGE(F15,I15)</f>
        <v/>
      </c>
      <c r="L15" s="115">
        <f>IFERROR((K15-J15)/J15,0)</f>
        <v/>
      </c>
      <c r="M15" s="90">
        <f>G15-D15</f>
        <v/>
      </c>
      <c r="N15" s="90">
        <f>IFERROR(INDEX('Median Home and Rent Prices'!$D$2:$D$86,MATCH($A15,'Median Home and Rent Prices'!$A$2:$A$86,0)),0)</f>
        <v/>
      </c>
      <c r="O15" s="90">
        <f>IFERROR(INDEX('Median Home and Rent Prices'!$E$2:$E$86,MATCH($A15,'Median Home and Rent Prices'!$A$2:$A$86,0)),0)</f>
        <v/>
      </c>
      <c r="P15" s="88">
        <f>IFERROR(INDEX('School District Profiles'!$H$2:$H$86,MATCH($A15,'School District Profiles'!$A$2:$A$86,0)),0)</f>
        <v/>
      </c>
      <c r="Q15" s="90">
        <f>IFERROR(INDEX('School District Profiles'!$I$2:$I$86,MATCH($A15,'School District Profiles'!$A$2:$A$86,0)),0)</f>
        <v/>
      </c>
      <c r="R15" s="95">
        <f>IFERROR(IF(($AI15-('Score Inputs'!$B$4*1500+IF('Score Inputs'!$B$3="Master's",4000,0)))&lt;53000,MAX(0,MIN(39.99,((($AI15-('Score Inputs'!$B$4*1500+IF('Score Inputs'!$B$3="Master's",4000,0))))-45000)/8000*39.99)),IF(($AI15-('Score Inputs'!$B$4*1500+IF('Score Inputs'!$B$3="Master's",4000,0)))&lt;58000,40+((($AI15-('Score Inputs'!$B$4*1500+IF('Score Inputs'!$B$3="Master's",4000,0))))-53000)/5000*20,IF(($AI15-('Score Inputs'!$B$4*1500+IF('Score Inputs'!$B$3="Master's",4000,0)))&lt;63000,60+((($AI15-('Score Inputs'!$B$4*1500+IF('Score Inputs'!$B$3="Master's",4000,0))))-58000)/5000*10,IF(($AI15-('Score Inputs'!$B$4*1500+IF('Score Inputs'!$B$3="Master's",4000,0)))&lt;70000,70+((($AI15-('Score Inputs'!$B$4*1500+IF('Score Inputs'!$B$3="Master's",4000,0))))-63000)/7000*10,IF(($AI15-('Score Inputs'!$B$4*1500+IF('Score Inputs'!$B$3="Master's",4000,0)))&lt;75000,80+((($AI15-('Score Inputs'!$B$4*1500+IF('Score Inputs'!$B$3="Master's",4000,0))))-70000)/5000*10,MIN(100,90+((($AI15-('Score Inputs'!$B$4*1500+IF('Score Inputs'!$B$3="Master's",4000,0))))-75000)/5000*10)))))),0)</f>
        <v/>
      </c>
      <c r="S15" s="95">
        <f>IFERROR(MAX(0,MIN(100,L15/0.48*100)),0)</f>
        <v/>
      </c>
      <c r="T15" s="95">
        <f>IFERROR(MAX(0,MIN(100,M15/15000*100)),0)</f>
        <v/>
      </c>
      <c r="U15" s="95">
        <f>IFERROR(0.5*R15+0.35*S15+0.15*T15,0)</f>
        <v/>
      </c>
      <c r="V15" s="95">
        <f>IFERROR(0.35*AL15+0.3*AO15+0.25*AB15+0.1*AQ15,0)</f>
        <v/>
      </c>
      <c r="W15" s="95">
        <f>IFERROR(MAX(0,MIN(100,(25-P15)/(25-12)*100)),0)</f>
        <v/>
      </c>
      <c r="X15" s="95">
        <f>IFERROR(MAX(0,MIN(100,(AD15-1)/(3-1)*100))*IF(OR($A15="North Clackamas School District",$A15="Provo City School District"),0.6,1),0)</f>
        <v/>
      </c>
      <c r="Y15" s="95">
        <f>IFERROR(MAX(0,MIN(100,(1-((IFERROR(INDEX('School District Profiles'!$D$2:$D$86,MATCH($A15,'School District Profiles'!$A$2:$A$86,0)),0)/100)^2+(IFERROR(INDEX('School District Profiles'!$E$2:$E$86,MATCH($A15,'School District Profiles'!$A$2:$A$86,0)),0)/100)^2+(IFERROR(INDEX('School District Profiles'!$F$2:$F$86,MATCH($A15,'School District Profiles'!$A$2:$A$86,0)),0)/100)^2+(IFERROR(INDEX('School District Profiles'!$G$2:$G$86,MATCH($A15,'School District Profiles'!$A$2:$A$86,0)),0)/100)^2+(AC15/100)^2))/0.8*100)),0)</f>
        <v/>
      </c>
      <c r="Z15" s="95">
        <f>IFERROR(AF15*AG15,0)</f>
        <v/>
      </c>
      <c r="AA15" s="97">
        <f>IFERROR(INDEX('Median Home and Rent Prices'!$F$2:$F$86,MATCH($A15,'Median Home and Rent Prices'!$A$2:$A$86,0)),0)</f>
        <v/>
      </c>
      <c r="AB15" s="95">
        <f>IFERROR(MAX(0,MIN(100,(800-AA15)/(800-150)*100)),0)</f>
        <v/>
      </c>
      <c r="AC15" s="88">
        <f>IFERROR(INDEX('School District Profiles'!$J$2:$J$86,MATCH($A15,'School District Profiles'!$A$2:$A$86,0)),0)</f>
        <v/>
      </c>
      <c r="AD15" s="95">
        <f>IFERROR(Q15*20/O15,0)</f>
        <v/>
      </c>
      <c r="AE15" s="95">
        <f>IFERROR(IF(AG15&gt;=1,100,IF(AG15&gt;=0.95,75,IF(AG15&gt;=0.9,60,IF(AG15&gt;=0.85,40,IF(AG15&gt;=0.8,25,0))))),0)</f>
        <v/>
      </c>
      <c r="AF15" s="95">
        <f>IFERROR(0.35*V15+0.3*U15+0.1*W15+0.1*X15+0.1*Y15+0.05*AR15,0)</f>
        <v/>
      </c>
      <c r="AG15" s="95" t="n">
        <v>1</v>
      </c>
      <c r="AH15" s="88" t="inlineStr">
        <is>
          <t>Round 3 first-pass entry; New Trier salary lane is estimated and housing affordability is very high-cost.</t>
        </is>
      </c>
      <c r="AI15" s="90">
        <f>IF('Score Inputs'!$B$3="Bachelor's",CHOOSE(MATCH('Score Inputs'!$B$4,{0,5,10},0),D15,E15,F15),CHOOSE(MATCH('Score Inputs'!$B$4,{0,5,10},0),G15,H15,I15))</f>
        <v/>
      </c>
      <c r="AJ15" s="90">
        <f>IFERROR(AI15/12,0)</f>
        <v/>
      </c>
      <c r="AK15" s="115">
        <f>IFERROR(O15/AJ15,0)</f>
        <v/>
      </c>
      <c r="AL15" s="95">
        <f>IFERROR(IF(AK15&lt;=25%,100,IF(AK15&lt;=30%,100-(AK15-25%)/5%*30,IF(AK15&lt;=35%,70-(AK15-30%)/5%*10,IF(AK15&lt;=40%,60-(AK15-35%)/5%*20,MAX(0,40-(AK15-40%)/10%*40))))),0)</f>
        <v/>
      </c>
      <c r="AM15" s="90">
        <f>IFERROR(PMT('Score Inputs'!$B$5/12,'Score Inputs'!$B$7*12,-N15*(1-'Score Inputs'!$B$6)),0)</f>
        <v/>
      </c>
      <c r="AN15" s="115">
        <f>IFERROR(AM15/AJ15,0)</f>
        <v/>
      </c>
      <c r="AO15" s="95">
        <f>IFERROR(IF(AN15&lt;=25%,100,IF(AN15&lt;=30%,100-(AN15-25%)/5%*30,IF(AN15&lt;=35%,70-(AN15-30%)/5%*10,IF(AN15&lt;=40%,60-(AN15-35%)/5%*20,MAX(0,40-(AN15-40%)/10%*40))))),0)</f>
        <v/>
      </c>
      <c r="AP15" s="90">
        <f>IFERROR(AJ15-O15,0)</f>
        <v/>
      </c>
      <c r="AQ15" s="95">
        <f>IFERROR(MAX(0,MIN(100,(AP15-'Score Inputs'!$B$8)/('Score Inputs'!$B$9-'Score Inputs'!$B$8)*100)),0)</f>
        <v/>
      </c>
      <c r="AR15" s="95">
        <f>IFERROR(INDEX('State Funding Lookup'!$B$2:$B$86,MATCH($A15,'State Funding Lookup'!$A$2:$A$86,0)),0)</f>
        <v/>
      </c>
      <c r="AS15" s="98">
        <f>AK15</f>
        <v/>
      </c>
      <c r="AT15" s="98">
        <f>AN15</f>
        <v/>
      </c>
    </row>
    <row r="16" ht="30" customHeight="1" s="104">
      <c r="A16" s="88" t="inlineStr">
        <is>
          <t>Las Cruces Public Schools</t>
        </is>
      </c>
      <c r="B16" s="88">
        <f>IFERROR(INDEX('School District Profiles'!$B$2:$B$86,MATCH($A16,'School District Profiles'!$A$2:$A$86,0)),"")</f>
        <v/>
      </c>
      <c r="C16" s="88">
        <f>IFERROR(INDEX('School District Profiles'!$C$2:$C$86,MATCH($A16,'School District Profiles'!$A$2:$A$86,0)),"")</f>
        <v/>
      </c>
      <c r="D16" s="90">
        <f>IFERROR(SUMIFS('Teacher Salary Data'!$E$2:$E$1871,'Teacher Salary Data'!$A$2:$A$1871,$A16,'Teacher Salary Data'!$C$2:$C$1871,"Bachelor's",'Teacher Salary Data'!$D$2:$D$1871,0),0)</f>
        <v/>
      </c>
      <c r="E16" s="90">
        <f>IFERROR(SUMIFS('Teacher Salary Data'!$E$2:$E$1871,'Teacher Salary Data'!$A$2:$A$1871,$A16,'Teacher Salary Data'!$C$2:$C$1871,"Bachelor's",'Teacher Salary Data'!$D$2:$D$1871,5),0)</f>
        <v/>
      </c>
      <c r="F16" s="90">
        <f>IFERROR(SUMIFS('Teacher Salary Data'!$E$2:$E$1871,'Teacher Salary Data'!$A$2:$A$1871,$A16,'Teacher Salary Data'!$C$2:$C$1871,"Bachelor's",'Teacher Salary Data'!$D$2:$D$1871,10),0)</f>
        <v/>
      </c>
      <c r="G16" s="90">
        <f>IFERROR(SUMIFS('Teacher Salary Data'!$E$2:$E$1871,'Teacher Salary Data'!$A$2:$A$1871,$A16,'Teacher Salary Data'!$C$2:$C$1871,"Master's",'Teacher Salary Data'!$D$2:$D$1871,0),0)</f>
        <v/>
      </c>
      <c r="H16" s="90">
        <f>IFERROR(SUMIFS('Teacher Salary Data'!$E$2:$E$1871,'Teacher Salary Data'!$A$2:$A$1871,$A16,'Teacher Salary Data'!$C$2:$C$1871,"Master's",'Teacher Salary Data'!$D$2:$D$1871,5),0)</f>
        <v/>
      </c>
      <c r="I16" s="90">
        <f>IFERROR(SUMIFS('Teacher Salary Data'!$E$2:$E$1871,'Teacher Salary Data'!$A$2:$A$1871,$A16,'Teacher Salary Data'!$C$2:$C$1871,"Master's",'Teacher Salary Data'!$D$2:$D$1871,10),0)</f>
        <v/>
      </c>
      <c r="J16" s="90">
        <f>AVERAGE(D16,G16)</f>
        <v/>
      </c>
      <c r="K16" s="90">
        <f>AVERAGE(F16,I16)</f>
        <v/>
      </c>
      <c r="L16" s="115">
        <f>IFERROR((K16-J16)/J16,0)</f>
        <v/>
      </c>
      <c r="M16" s="88">
        <f>G16-D16</f>
        <v/>
      </c>
      <c r="N16" s="90">
        <f>IFERROR(INDEX('Median Home and Rent Prices'!$D$2:$D$86,MATCH($A16,'Median Home and Rent Prices'!$A$2:$A$86,0)),0)</f>
        <v/>
      </c>
      <c r="O16" s="90">
        <f>IFERROR(INDEX('Median Home and Rent Prices'!$E$2:$E$86,MATCH($A16,'Median Home and Rent Prices'!$A$2:$A$86,0)),0)</f>
        <v/>
      </c>
      <c r="P16" s="88">
        <f>IFERROR(INDEX('School District Profiles'!$H$2:$H$86,MATCH($A16,'School District Profiles'!$A$2:$A$86,0)),0)</f>
        <v/>
      </c>
      <c r="Q16" s="90">
        <f>IFERROR(INDEX('School District Profiles'!$I$2:$I$86,MATCH($A16,'School District Profiles'!$A$2:$A$86,0)),0)</f>
        <v/>
      </c>
      <c r="R16" s="95">
        <f>IFERROR(IF(($AI16-('Score Inputs'!$B$4*1500+IF('Score Inputs'!$B$3="Master's",4000,0)))&lt;53000,MAX(0,MIN(39.99,((($AI16-('Score Inputs'!$B$4*1500+IF('Score Inputs'!$B$3="Master's",4000,0))))-45000)/8000*39.99)),IF(($AI16-('Score Inputs'!$B$4*1500+IF('Score Inputs'!$B$3="Master's",4000,0)))&lt;58000,40+((($AI16-('Score Inputs'!$B$4*1500+IF('Score Inputs'!$B$3="Master's",4000,0))))-53000)/5000*20,IF(($AI16-('Score Inputs'!$B$4*1500+IF('Score Inputs'!$B$3="Master's",4000,0)))&lt;63000,60+((($AI16-('Score Inputs'!$B$4*1500+IF('Score Inputs'!$B$3="Master's",4000,0))))-58000)/5000*10,IF(($AI16-('Score Inputs'!$B$4*1500+IF('Score Inputs'!$B$3="Master's",4000,0)))&lt;70000,70+((($AI16-('Score Inputs'!$B$4*1500+IF('Score Inputs'!$B$3="Master's",4000,0))))-63000)/7000*10,IF(($AI16-('Score Inputs'!$B$4*1500+IF('Score Inputs'!$B$3="Master's",4000,0)))&lt;75000,80+((($AI16-('Score Inputs'!$B$4*1500+IF('Score Inputs'!$B$3="Master's",4000,0))))-70000)/5000*10,MIN(100,90+((($AI16-('Score Inputs'!$B$4*1500+IF('Score Inputs'!$B$3="Master's",4000,0))))-75000)/5000*10)))))),0)</f>
        <v/>
      </c>
      <c r="S16" s="95">
        <f>IFERROR(MAX(0,MIN(100,L16/0.48*100)),0)</f>
        <v/>
      </c>
      <c r="T16" s="95">
        <f>IFERROR(MAX(0,MIN(100,M16/15000*100)),0)</f>
        <v/>
      </c>
      <c r="U16" s="95">
        <f>IFERROR(0.5*R16+0.35*S16+0.15*T16,0)</f>
        <v/>
      </c>
      <c r="V16" s="95">
        <f>IFERROR(0.35*AL16+0.3*AO16+0.25*AB16+0.1*AQ16,0)</f>
        <v/>
      </c>
      <c r="W16" s="95">
        <f>IFERROR(MAX(0,MIN(100,(25-P16)/(25-12)*100)),0)</f>
        <v/>
      </c>
      <c r="X16" s="95">
        <f>IFERROR(MAX(0,MIN(100,(AD16-1)/(3-1)*100))*IF(OR($A16="North Clackamas School District",$A16="Provo City School District"),0.6,1),0)</f>
        <v/>
      </c>
      <c r="Y16" s="95">
        <f>IFERROR(MAX(0,MIN(100,(1-((IFERROR(INDEX('School District Profiles'!$D$2:$D$86,MATCH($A16,'School District Profiles'!$A$2:$A$86,0)),0)/100)^2+(IFERROR(INDEX('School District Profiles'!$E$2:$E$86,MATCH($A16,'School District Profiles'!$A$2:$A$86,0)),0)/100)^2+(IFERROR(INDEX('School District Profiles'!$F$2:$F$86,MATCH($A16,'School District Profiles'!$A$2:$A$86,0)),0)/100)^2+(IFERROR(INDEX('School District Profiles'!$G$2:$G$86,MATCH($A16,'School District Profiles'!$A$2:$A$86,0)),0)/100)^2+(AC16/100)^2))/0.8*100)),0)</f>
        <v/>
      </c>
      <c r="Z16" s="95">
        <f>IFERROR(AF16*AG16,0)</f>
        <v/>
      </c>
      <c r="AA16" s="88">
        <f>IFERROR(INDEX('Median Home and Rent Prices'!$F$2:$F$86,MATCH($A16,'Median Home and Rent Prices'!$A$2:$A$86,0)),0)</f>
        <v/>
      </c>
      <c r="AB16" s="95">
        <f>IFERROR(MAX(0,MIN(100,(800-AA16)/(800-150)*100)),0)</f>
        <v/>
      </c>
      <c r="AC16" s="88">
        <f>IFERROR(INDEX('School District Profiles'!$J$2:$J$86,MATCH($A16,'School District Profiles'!$A$2:$A$86,0)),0)</f>
        <v/>
      </c>
      <c r="AD16" s="95">
        <f>IFERROR(Q16*20/O16,0)</f>
        <v/>
      </c>
      <c r="AE16" s="95">
        <f>IFERROR(IF(AG16&gt;=1,100,IF(AG16&gt;=0.95,75,IF(AG16&gt;=0.9,60,IF(AG16&gt;=0.85,40,IF(AG16&gt;=0.8,25,0))))),0)</f>
        <v/>
      </c>
      <c r="AF16" s="95">
        <f>IFERROR(0.35*V16+0.3*U16+0.1*W16+0.1*X16+0.1*Y16+0.05*AR16,0)</f>
        <v/>
      </c>
      <c r="AG16" s="95" t="n">
        <v>1</v>
      </c>
      <c r="AH16" s="88" t="inlineStr">
        <is>
          <t>First-pass addition from public salary/housing sources. Verify official step placement, current sub pay, enrollment/budget stability, and district-boundary housing before final public ranking claims.</t>
        </is>
      </c>
      <c r="AI16" s="90">
        <f>IF('Score Inputs'!$B$3="Bachelor's",CHOOSE(MATCH('Score Inputs'!$B$4,{0,5,10},0),D16,E16,F16),CHOOSE(MATCH('Score Inputs'!$B$4,{0,5,10},0),G16,H16,I16))</f>
        <v/>
      </c>
      <c r="AJ16" s="90">
        <f>IFERROR(AI16/12,0)</f>
        <v/>
      </c>
      <c r="AK16" s="115">
        <f>IFERROR(O16/AJ16,0)</f>
        <v/>
      </c>
      <c r="AL16" s="95">
        <f>IFERROR(IF(AK16&lt;=25%,100,IF(AK16&lt;=30%,100-(AK16-25%)/5%*30,IF(AK16&lt;=35%,70-(AK16-30%)/5%*10,IF(AK16&lt;=40%,60-(AK16-35%)/5%*20,MAX(0,40-(AK16-40%)/10%*40))))),0)</f>
        <v/>
      </c>
      <c r="AM16" s="90">
        <f>IFERROR(PMT('Score Inputs'!$B$5/12,'Score Inputs'!$B$7*12,-N16*(1-'Score Inputs'!$B$6)),0)</f>
        <v/>
      </c>
      <c r="AN16" s="115">
        <f>IFERROR(AM16/AJ16,0)</f>
        <v/>
      </c>
      <c r="AO16" s="95">
        <f>IFERROR(IF(AN16&lt;=25%,100,IF(AN16&lt;=30%,100-(AN16-25%)/5%*30,IF(AN16&lt;=35%,70-(AN16-30%)/5%*10,IF(AN16&lt;=40%,60-(AN16-35%)/5%*20,MAX(0,40-(AN16-40%)/10%*40))))),0)</f>
        <v/>
      </c>
      <c r="AP16" s="90">
        <f>IFERROR(AJ16-O16,0)</f>
        <v/>
      </c>
      <c r="AQ16" s="95">
        <f>IFERROR(MAX(0,MIN(100,(AP16-'Score Inputs'!$B$8)/('Score Inputs'!$B$9-'Score Inputs'!$B$8)*100)),0)</f>
        <v/>
      </c>
      <c r="AR16" s="95">
        <f>IFERROR(INDEX('State Funding Lookup'!$B$2:$B$86,MATCH($A16,'State Funding Lookup'!$A$2:$A$86,0)),0)</f>
        <v/>
      </c>
      <c r="AS16" s="98">
        <f>AK16</f>
        <v/>
      </c>
      <c r="AT16" s="98">
        <f>AN16</f>
        <v/>
      </c>
    </row>
    <row r="17" ht="30" customHeight="1" s="104">
      <c r="A17" s="64" t="inlineStr">
        <is>
          <t>Eden Prairie Schools</t>
        </is>
      </c>
      <c r="B17" s="64">
        <f>IFERROR(INDEX('School District Profiles'!$B$2:$B$86,MATCH($A17,'School District Profiles'!$A$2:$A$86,0)),"")</f>
        <v/>
      </c>
      <c r="C17" s="64">
        <f>IFERROR(INDEX('School District Profiles'!$C$2:$C$86,MATCH($A17,'School District Profiles'!$A$2:$A$86,0)),"")</f>
        <v/>
      </c>
      <c r="D17" s="65">
        <f>IFERROR(SUMIFS('Teacher Salary Data'!$E$2:$E$1871,'Teacher Salary Data'!$A$2:$A$1871,$A17,'Teacher Salary Data'!$C$2:$C$1871,"Bachelor's",'Teacher Salary Data'!$D$2:$D$1871,0),0)</f>
        <v/>
      </c>
      <c r="E17" s="65">
        <f>IFERROR(SUMIFS('Teacher Salary Data'!$E$2:$E$1871,'Teacher Salary Data'!$A$2:$A$1871,$A17,'Teacher Salary Data'!$C$2:$C$1871,"Bachelor's",'Teacher Salary Data'!$D$2:$D$1871,5),0)</f>
        <v/>
      </c>
      <c r="F17" s="65">
        <f>IFERROR(SUMIFS('Teacher Salary Data'!$E$2:$E$1871,'Teacher Salary Data'!$A$2:$A$1871,$A17,'Teacher Salary Data'!$C$2:$C$1871,"Bachelor's",'Teacher Salary Data'!$D$2:$D$1871,10),0)</f>
        <v/>
      </c>
      <c r="G17" s="65">
        <f>IFERROR(SUMIFS('Teacher Salary Data'!$E$2:$E$1871,'Teacher Salary Data'!$A$2:$A$1871,$A17,'Teacher Salary Data'!$C$2:$C$1871,"Master's",'Teacher Salary Data'!$D$2:$D$1871,0),0)</f>
        <v/>
      </c>
      <c r="H17" s="65">
        <f>IFERROR(SUMIFS('Teacher Salary Data'!$E$2:$E$1871,'Teacher Salary Data'!$A$2:$A$1871,$A17,'Teacher Salary Data'!$C$2:$C$1871,"Master's",'Teacher Salary Data'!$D$2:$D$1871,5),0)</f>
        <v/>
      </c>
      <c r="I17" s="65">
        <f>IFERROR(SUMIFS('Teacher Salary Data'!$E$2:$E$1871,'Teacher Salary Data'!$A$2:$A$1871,$A17,'Teacher Salary Data'!$C$2:$C$1871,"Master's",'Teacher Salary Data'!$D$2:$D$1871,10),0)</f>
        <v/>
      </c>
      <c r="J17" s="65">
        <f>AVERAGE(D17,G17)</f>
        <v/>
      </c>
      <c r="K17" s="65">
        <f>AVERAGE(F17,I17)</f>
        <v/>
      </c>
      <c r="L17" s="114">
        <f>IFERROR((K17-J17)/J17,0)</f>
        <v/>
      </c>
      <c r="M17" s="65">
        <f>G17-D17</f>
        <v/>
      </c>
      <c r="N17" s="65">
        <f>IFERROR(INDEX('Median Home and Rent Prices'!$D$2:$D$86,MATCH($A17,'Median Home and Rent Prices'!$A$2:$A$86,0)),0)</f>
        <v/>
      </c>
      <c r="O17" s="65">
        <f>IFERROR(INDEX('Median Home and Rent Prices'!$E$2:$E$86,MATCH($A17,'Median Home and Rent Prices'!$A$2:$A$86,0)),0)</f>
        <v/>
      </c>
      <c r="P17" s="64">
        <f>IFERROR(INDEX('School District Profiles'!$H$2:$H$86,MATCH($A17,'School District Profiles'!$A$2:$A$86,0)),0)</f>
        <v/>
      </c>
      <c r="Q17" s="65">
        <f>IFERROR(INDEX('School District Profiles'!$I$2:$I$86,MATCH($A17,'School District Profiles'!$A$2:$A$86,0)),0)</f>
        <v/>
      </c>
      <c r="R17" s="63">
        <f>IFERROR(IF(($AI17-('Score Inputs'!$B$4*1500+IF('Score Inputs'!$B$3="Master's",4000,0)))&lt;53000,MAX(0,MIN(39.99,((($AI17-('Score Inputs'!$B$4*1500+IF('Score Inputs'!$B$3="Master's",4000,0))))-45000)/8000*39.99)),IF(($AI17-('Score Inputs'!$B$4*1500+IF('Score Inputs'!$B$3="Master's",4000,0)))&lt;58000,40+((($AI17-('Score Inputs'!$B$4*1500+IF('Score Inputs'!$B$3="Master's",4000,0))))-53000)/5000*20,IF(($AI17-('Score Inputs'!$B$4*1500+IF('Score Inputs'!$B$3="Master's",4000,0)))&lt;63000,60+((($AI17-('Score Inputs'!$B$4*1500+IF('Score Inputs'!$B$3="Master's",4000,0))))-58000)/5000*10,IF(($AI17-('Score Inputs'!$B$4*1500+IF('Score Inputs'!$B$3="Master's",4000,0)))&lt;70000,70+((($AI17-('Score Inputs'!$B$4*1500+IF('Score Inputs'!$B$3="Master's",4000,0))))-63000)/7000*10,IF(($AI17-('Score Inputs'!$B$4*1500+IF('Score Inputs'!$B$3="Master's",4000,0)))&lt;75000,80+((($AI17-('Score Inputs'!$B$4*1500+IF('Score Inputs'!$B$3="Master's",4000,0))))-70000)/5000*10,MIN(100,90+((($AI17-('Score Inputs'!$B$4*1500+IF('Score Inputs'!$B$3="Master's",4000,0))))-75000)/5000*10)))))),0)</f>
        <v/>
      </c>
      <c r="S17" s="63">
        <f>IFERROR(MAX(0,MIN(100,L17/0.48*100)),0)</f>
        <v/>
      </c>
      <c r="T17" s="63">
        <f>IFERROR(MAX(0,MIN(100,M17/15000*100)),0)</f>
        <v/>
      </c>
      <c r="U17" s="63">
        <f>IFERROR(0.5*R17+0.35*S17+0.15*T17,0)</f>
        <v/>
      </c>
      <c r="V17" s="63">
        <f>IFERROR(0.35*AL17+0.3*AO17+0.25*AB17+0.1*AQ17,0)</f>
        <v/>
      </c>
      <c r="W17" s="63">
        <f>IFERROR(MAX(0,MIN(100,(25-P17)/(25-12)*100)),0)</f>
        <v/>
      </c>
      <c r="X17" s="63">
        <f>IFERROR(MAX(0,MIN(100,(AD17-1)/(3-1)*100))*IF(OR($A17="North Clackamas School District",$A17="Provo City School District"),0.6,1),0)</f>
        <v/>
      </c>
      <c r="Y17" s="63">
        <f>IFERROR(MAX(0,MIN(100,(1-((IFERROR(INDEX('School District Profiles'!$D$2:$D$86,MATCH($A17,'School District Profiles'!$A$2:$A$86,0)),0)/100)^2+(IFERROR(INDEX('School District Profiles'!$E$2:$E$86,MATCH($A17,'School District Profiles'!$A$2:$A$86,0)),0)/100)^2+(IFERROR(INDEX('School District Profiles'!$F$2:$F$86,MATCH($A17,'School District Profiles'!$A$2:$A$86,0)),0)/100)^2+(IFERROR(INDEX('School District Profiles'!$G$2:$G$86,MATCH($A17,'School District Profiles'!$A$2:$A$86,0)),0)/100)^2+(AC17/100)^2))/0.8*100)),0)</f>
        <v/>
      </c>
      <c r="Z17" s="63">
        <f>IFERROR(AF17*AG17,0)</f>
        <v/>
      </c>
      <c r="AA17" s="69">
        <f>IFERROR(INDEX('Median Home and Rent Prices'!$F$2:$F$86,MATCH($A17,'Median Home and Rent Prices'!$A$2:$A$86,0)),0)</f>
        <v/>
      </c>
      <c r="AB17" s="63">
        <f>IFERROR(MAX(0,MIN(100,(800-AA17)/(800-150)*100)),0)</f>
        <v/>
      </c>
      <c r="AC17" s="114">
        <f>IFERROR(INDEX('School District Profiles'!$J$2:$J$86,MATCH($A17,'School District Profiles'!$A$2:$A$86,0)),0)</f>
        <v/>
      </c>
      <c r="AD17" s="63">
        <f>IFERROR(Q17*20/O17,0)</f>
        <v/>
      </c>
      <c r="AE17" s="63">
        <f>IFERROR(IF(AG17&gt;=1,100,IF(AG17&gt;=0.95,75,IF(AG17&gt;=0.9,60,IF(AG17&gt;=0.85,40,IF(AG17&gt;=0.8,25,0))))),0)</f>
        <v/>
      </c>
      <c r="AF17" s="63">
        <f>IFERROR(0.35*V17+0.3*U17+0.1*W17+0.1*X17+0.1*Y17+0.05*AR17,0)</f>
        <v/>
      </c>
      <c r="AG17" s="63" t="n">
        <v>1</v>
      </c>
      <c r="AH17" s="64" t="inlineStr">
        <is>
          <t>No current employment-stability penalty applied in this first-pass entry. Salary schedule has a Step 10-14 band; years 9 and 10 were entered at that band for this pass.</t>
        </is>
      </c>
      <c r="AI17" s="65">
        <f>IF('Score Inputs'!$B$3="Bachelor's",CHOOSE(MATCH('Score Inputs'!$B$4,{0,5,10},0),D17,E17,F17),CHOOSE(MATCH('Score Inputs'!$B$4,{0,5,10},0),G17,H17,I17))</f>
        <v/>
      </c>
      <c r="AJ17" s="65">
        <f>IFERROR(AI17/12,0)</f>
        <v/>
      </c>
      <c r="AK17" s="114">
        <f>IFERROR(O17/AJ17,0)</f>
        <v/>
      </c>
      <c r="AL17" s="63">
        <f>IFERROR(IF(AK17&lt;=25%,100,IF(AK17&lt;=30%,100-(AK17-25%)/5%*30,IF(AK17&lt;=35%,70-(AK17-30%)/5%*10,IF(AK17&lt;=40%,60-(AK17-35%)/5%*20,MAX(0,40-(AK17-40%)/10%*40))))),0)</f>
        <v/>
      </c>
      <c r="AM17" s="65">
        <f>IFERROR(PMT('Score Inputs'!$B$5/12,'Score Inputs'!$B$7*12,-N17*(1-'Score Inputs'!$B$6)),0)</f>
        <v/>
      </c>
      <c r="AN17" s="114">
        <f>IFERROR(AM17/AJ17,0)</f>
        <v/>
      </c>
      <c r="AO17" s="63">
        <f>IFERROR(IF(AN17&lt;=25%,100,IF(AN17&lt;=30%,100-(AN17-25%)/5%*30,IF(AN17&lt;=35%,70-(AN17-30%)/5%*10,IF(AN17&lt;=40%,60-(AN17-35%)/5%*20,MAX(0,40-(AN17-40%)/10%*40))))),0)</f>
        <v/>
      </c>
      <c r="AP17" s="65">
        <f>IFERROR(AJ17-O17,0)</f>
        <v/>
      </c>
      <c r="AQ17" s="63">
        <f>IFERROR(MAX(0,MIN(100,(AP17-'Score Inputs'!$B$8)/('Score Inputs'!$B$9-'Score Inputs'!$B$8)*100)),0)</f>
        <v/>
      </c>
      <c r="AR17" s="63">
        <f>IFERROR(INDEX('State Funding Lookup'!$B$2:$B$86,MATCH($A17,'State Funding Lookup'!$A$2:$A$86,0)),0)</f>
        <v/>
      </c>
      <c r="AS17" s="67">
        <f>AK17</f>
        <v/>
      </c>
      <c r="AT17" s="67">
        <f>AN17</f>
        <v/>
      </c>
    </row>
    <row r="18" ht="30" customHeight="1" s="104">
      <c r="A18" s="58" t="inlineStr">
        <is>
          <t>Barbers Hill ISD</t>
        </is>
      </c>
      <c r="B18" s="58">
        <f>IFERROR(INDEX('School District Profiles'!$B$2:$B$86,MATCH($A18,'School District Profiles'!$A$2:$A$86,0)),"")</f>
        <v/>
      </c>
      <c r="C18" s="58">
        <f>IFERROR(INDEX('School District Profiles'!$C$2:$C$86,MATCH($A18,'School District Profiles'!$A$2:$A$86,0)),"")</f>
        <v/>
      </c>
      <c r="D18" s="59">
        <f>IFERROR(SUMIFS('Teacher Salary Data'!$E$2:$E$1871,'Teacher Salary Data'!$A$2:$A$1871,$A18,'Teacher Salary Data'!$C$2:$C$1871,"Bachelor's",'Teacher Salary Data'!$D$2:$D$1871,0),0)</f>
        <v/>
      </c>
      <c r="E18" s="59">
        <f>IFERROR(SUMIFS('Teacher Salary Data'!$E$2:$E$1871,'Teacher Salary Data'!$A$2:$A$1871,$A18,'Teacher Salary Data'!$C$2:$C$1871,"Bachelor's",'Teacher Salary Data'!$D$2:$D$1871,5),0)</f>
        <v/>
      </c>
      <c r="F18" s="59">
        <f>IFERROR(SUMIFS('Teacher Salary Data'!$E$2:$E$1871,'Teacher Salary Data'!$A$2:$A$1871,$A18,'Teacher Salary Data'!$C$2:$C$1871,"Bachelor's",'Teacher Salary Data'!$D$2:$D$1871,10),0)</f>
        <v/>
      </c>
      <c r="G18" s="59">
        <f>IFERROR(SUMIFS('Teacher Salary Data'!$E$2:$E$1871,'Teacher Salary Data'!$A$2:$A$1871,$A18,'Teacher Salary Data'!$C$2:$C$1871,"Master's",'Teacher Salary Data'!$D$2:$D$1871,0),0)</f>
        <v/>
      </c>
      <c r="H18" s="59">
        <f>IFERROR(SUMIFS('Teacher Salary Data'!$E$2:$E$1871,'Teacher Salary Data'!$A$2:$A$1871,$A18,'Teacher Salary Data'!$C$2:$C$1871,"Master's",'Teacher Salary Data'!$D$2:$D$1871,5),0)</f>
        <v/>
      </c>
      <c r="I18" s="59">
        <f>IFERROR(SUMIFS('Teacher Salary Data'!$E$2:$E$1871,'Teacher Salary Data'!$A$2:$A$1871,$A18,'Teacher Salary Data'!$C$2:$C$1871,"Master's",'Teacher Salary Data'!$D$2:$D$1871,10),0)</f>
        <v/>
      </c>
      <c r="J18" s="59">
        <f>AVERAGE(D18,G18)</f>
        <v/>
      </c>
      <c r="K18" s="59">
        <f>AVERAGE(F18,I18)</f>
        <v/>
      </c>
      <c r="L18" s="116">
        <f>IFERROR((K18-J18)/J18,0)</f>
        <v/>
      </c>
      <c r="M18" s="59">
        <f>G18-D18</f>
        <v/>
      </c>
      <c r="N18" s="59">
        <f>IFERROR(INDEX('Median Home and Rent Prices'!$D$2:$D$86,MATCH($A18,'Median Home and Rent Prices'!$A$2:$A$86,0)),0)</f>
        <v/>
      </c>
      <c r="O18" s="59">
        <f>IFERROR(INDEX('Median Home and Rent Prices'!$E$2:$E$86,MATCH($A18,'Median Home and Rent Prices'!$A$2:$A$86,0)),0)</f>
        <v/>
      </c>
      <c r="P18" s="61">
        <f>IFERROR(INDEX('School District Profiles'!$H$2:$H$86,MATCH($A18,'School District Profiles'!$A$2:$A$86,0)),0)</f>
        <v/>
      </c>
      <c r="Q18" s="59">
        <f>IFERROR(INDEX('School District Profiles'!$I$2:$I$86,MATCH($A18,'School District Profiles'!$A$2:$A$86,0)),0)</f>
        <v/>
      </c>
      <c r="R18" s="61">
        <f>IFERROR(IF(($AI18-('Score Inputs'!$B$4*1500+IF('Score Inputs'!$B$3="Master's",4000,0)))&lt;53000,MAX(0,MIN(39.99,((($AI18-('Score Inputs'!$B$4*1500+IF('Score Inputs'!$B$3="Master's",4000,0))))-45000)/8000*39.99)),IF(($AI18-('Score Inputs'!$B$4*1500+IF('Score Inputs'!$B$3="Master's",4000,0)))&lt;58000,40+((($AI18-('Score Inputs'!$B$4*1500+IF('Score Inputs'!$B$3="Master's",4000,0))))-53000)/5000*20,IF(($AI18-('Score Inputs'!$B$4*1500+IF('Score Inputs'!$B$3="Master's",4000,0)))&lt;63000,60+((($AI18-('Score Inputs'!$B$4*1500+IF('Score Inputs'!$B$3="Master's",4000,0))))-58000)/5000*10,IF(($AI18-('Score Inputs'!$B$4*1500+IF('Score Inputs'!$B$3="Master's",4000,0)))&lt;70000,70+((($AI18-('Score Inputs'!$B$4*1500+IF('Score Inputs'!$B$3="Master's",4000,0))))-63000)/7000*10,IF(($AI18-('Score Inputs'!$B$4*1500+IF('Score Inputs'!$B$3="Master's",4000,0)))&lt;75000,80+((($AI18-('Score Inputs'!$B$4*1500+IF('Score Inputs'!$B$3="Master's",4000,0))))-70000)/5000*10,MIN(100,90+((($AI18-('Score Inputs'!$B$4*1500+IF('Score Inputs'!$B$3="Master's",4000,0))))-75000)/5000*10)))))),0)</f>
        <v/>
      </c>
      <c r="S18" s="61">
        <f>IFERROR(MAX(0,MIN(100,L18/0.48*100)),0)</f>
        <v/>
      </c>
      <c r="T18" s="61">
        <f>IFERROR(MAX(0,MIN(100,M18/15000*100)),0)</f>
        <v/>
      </c>
      <c r="U18" s="61">
        <f>IFERROR(0.5*R18+0.35*S18+0.15*T18,0)</f>
        <v/>
      </c>
      <c r="V18" s="61">
        <f>IFERROR(0.35*AL18+0.3*AO18+0.25*AB18+0.1*AQ18,0)</f>
        <v/>
      </c>
      <c r="W18" s="61">
        <f>IFERROR(MAX(0,MIN(100,(25-P18)/(25-12)*100)),0)</f>
        <v/>
      </c>
      <c r="X18" s="61">
        <f>IFERROR(MAX(0,MIN(100,(AD18-1)/(3-1)*100))*IF(OR($A18="North Clackamas School District",$A18="Provo City School District"),0.6,1),0)</f>
        <v/>
      </c>
      <c r="Y18" s="61">
        <f>IFERROR(MAX(0,MIN(100,(1-((IFERROR(INDEX('School District Profiles'!$D$2:$D$86,MATCH($A18,'School District Profiles'!$A$2:$A$86,0)),0)/100)^2+(IFERROR(INDEX('School District Profiles'!$E$2:$E$86,MATCH($A18,'School District Profiles'!$A$2:$A$86,0)),0)/100)^2+(IFERROR(INDEX('School District Profiles'!$F$2:$F$86,MATCH($A18,'School District Profiles'!$A$2:$A$86,0)),0)/100)^2+(IFERROR(INDEX('School District Profiles'!$G$2:$G$86,MATCH($A18,'School District Profiles'!$A$2:$A$86,0)),0)/100)^2+(AC18/100)^2))/0.8*100)),0)</f>
        <v/>
      </c>
      <c r="Z18" s="61">
        <f>IFERROR(AF18*AG18,0)</f>
        <v/>
      </c>
      <c r="AA18" s="62">
        <f>IFERROR(INDEX('Median Home and Rent Prices'!$F$2:$F$86,MATCH($A18,'Median Home and Rent Prices'!$A$2:$A$86,0)),0)</f>
        <v/>
      </c>
      <c r="AB18" s="61">
        <f>IFERROR(MAX(0,MIN(100,(800-AA18)/(800-150)*100)),0)</f>
        <v/>
      </c>
      <c r="AC18" s="116">
        <f>IFERROR(INDEX('School District Profiles'!$J$2:$J$86,MATCH($A18,'School District Profiles'!$A$2:$A$86,0)),0)</f>
        <v/>
      </c>
      <c r="AD18" s="61">
        <f>IFERROR(Q18*20/O18,0)</f>
        <v/>
      </c>
      <c r="AE18" s="63">
        <f>IFERROR(IF(AG18&gt;=1,100,IF(AG18&gt;=0.95,75,IF(AG18&gt;=0.9,60,IF(AG18&gt;=0.85,40,IF(AG18&gt;=0.8,25,0))))),0)</f>
        <v/>
      </c>
      <c r="AF18" s="63">
        <f>IFERROR(0.35*V18+0.3*U18+0.1*W18+0.1*X18+0.1*Y18+0.05*AR18,0)</f>
        <v/>
      </c>
      <c r="AG18" s="63" t="n">
        <v>1</v>
      </c>
      <c r="AH18" s="64" t="inlineStr">
        <is>
          <t>No penalty applied. Low current layoff risk: Barbers Hill shows strong enrollment growth and public-facing hiring/retention language; no current public evidence found of broad layoffs, closures, or fiscal-crisis cuts in this pass.</t>
        </is>
      </c>
      <c r="AI18" s="65">
        <f>IF('Score Inputs'!$B$3="Bachelor's",CHOOSE(MATCH('Score Inputs'!$B$4,{0,5,10},0),D18,E18,F18),CHOOSE(MATCH('Score Inputs'!$B$4,{0,5,10},0),G18,H18,I18))</f>
        <v/>
      </c>
      <c r="AJ18" s="65">
        <f>IFERROR(AI18/12,0)</f>
        <v/>
      </c>
      <c r="AK18" s="114">
        <f>IFERROR(O18/AJ18,0)</f>
        <v/>
      </c>
      <c r="AL18" s="63">
        <f>IFERROR(IF(AK18&lt;=25%,100,IF(AK18&lt;=30%,100-(AK18-25%)/5%*30,IF(AK18&lt;=35%,70-(AK18-30%)/5%*10,IF(AK18&lt;=40%,60-(AK18-35%)/5%*20,MAX(0,40-(AK18-40%)/10%*40))))),0)</f>
        <v/>
      </c>
      <c r="AM18" s="65">
        <f>IFERROR(PMT('Score Inputs'!$B$5/12,'Score Inputs'!$B$7*12,-N18*(1-'Score Inputs'!$B$6)),0)</f>
        <v/>
      </c>
      <c r="AN18" s="114">
        <f>IFERROR(AM18/AJ18,0)</f>
        <v/>
      </c>
      <c r="AO18" s="63">
        <f>IFERROR(IF(AN18&lt;=25%,100,IF(AN18&lt;=30%,100-(AN18-25%)/5%*30,IF(AN18&lt;=35%,70-(AN18-30%)/5%*10,IF(AN18&lt;=40%,60-(AN18-35%)/5%*20,MAX(0,40-(AN18-40%)/10%*40))))),0)</f>
        <v/>
      </c>
      <c r="AP18" s="65">
        <f>IFERROR(AJ18-O18,0)</f>
        <v/>
      </c>
      <c r="AQ18" s="63">
        <f>IFERROR(MAX(0,MIN(100,(AP18-'Score Inputs'!$B$8)/('Score Inputs'!$B$9-'Score Inputs'!$B$8)*100)),0)</f>
        <v/>
      </c>
      <c r="AR18" s="63">
        <f>IFERROR(INDEX('State Funding Lookup'!$B$2:$B$86,MATCH($A18,'State Funding Lookup'!$A$2:$A$86,0)),0)</f>
        <v/>
      </c>
      <c r="AS18" s="67">
        <f>AK18</f>
        <v/>
      </c>
      <c r="AT18" s="67">
        <f>AN18</f>
        <v/>
      </c>
    </row>
    <row r="19" ht="30" customHeight="1" s="104">
      <c r="A19" s="64" t="inlineStr">
        <is>
          <t>Naperville CUSD 203</t>
        </is>
      </c>
      <c r="B19" s="64">
        <f>IFERROR(INDEX('School District Profiles'!$B$2:$B$86,MATCH($A19,'School District Profiles'!$A$2:$A$86,0)),"")</f>
        <v/>
      </c>
      <c r="C19" s="64">
        <f>IFERROR(INDEX('School District Profiles'!$C$2:$C$86,MATCH($A19,'School District Profiles'!$A$2:$A$86,0)),"")</f>
        <v/>
      </c>
      <c r="D19" s="65">
        <f>IFERROR(SUMIFS('Teacher Salary Data'!$E$2:$E$1871,'Teacher Salary Data'!$A$2:$A$1871,$A19,'Teacher Salary Data'!$C$2:$C$1871,"Bachelor's",'Teacher Salary Data'!$D$2:$D$1871,0),0)</f>
        <v/>
      </c>
      <c r="E19" s="65">
        <f>IFERROR(SUMIFS('Teacher Salary Data'!$E$2:$E$1871,'Teacher Salary Data'!$A$2:$A$1871,$A19,'Teacher Salary Data'!$C$2:$C$1871,"Bachelor's",'Teacher Salary Data'!$D$2:$D$1871,5),0)</f>
        <v/>
      </c>
      <c r="F19" s="65">
        <f>IFERROR(SUMIFS('Teacher Salary Data'!$E$2:$E$1871,'Teacher Salary Data'!$A$2:$A$1871,$A19,'Teacher Salary Data'!$C$2:$C$1871,"Bachelor's",'Teacher Salary Data'!$D$2:$D$1871,10),0)</f>
        <v/>
      </c>
      <c r="G19" s="65">
        <f>IFERROR(SUMIFS('Teacher Salary Data'!$E$2:$E$1871,'Teacher Salary Data'!$A$2:$A$1871,$A19,'Teacher Salary Data'!$C$2:$C$1871,"Master's",'Teacher Salary Data'!$D$2:$D$1871,0),0)</f>
        <v/>
      </c>
      <c r="H19" s="65">
        <f>IFERROR(SUMIFS('Teacher Salary Data'!$E$2:$E$1871,'Teacher Salary Data'!$A$2:$A$1871,$A19,'Teacher Salary Data'!$C$2:$C$1871,"Master's",'Teacher Salary Data'!$D$2:$D$1871,5),0)</f>
        <v/>
      </c>
      <c r="I19" s="65">
        <f>IFERROR(SUMIFS('Teacher Salary Data'!$E$2:$E$1871,'Teacher Salary Data'!$A$2:$A$1871,$A19,'Teacher Salary Data'!$C$2:$C$1871,"Master's",'Teacher Salary Data'!$D$2:$D$1871,10),0)</f>
        <v/>
      </c>
      <c r="J19" s="65">
        <f>AVERAGE(D19,G19)</f>
        <v/>
      </c>
      <c r="K19" s="65">
        <f>AVERAGE(F19,I19)</f>
        <v/>
      </c>
      <c r="L19" s="114">
        <f>IFERROR((K19-J19)/J19,0)</f>
        <v/>
      </c>
      <c r="M19" s="65">
        <f>G19-D19</f>
        <v/>
      </c>
      <c r="N19" s="65">
        <f>IFERROR(INDEX('Median Home and Rent Prices'!$D$2:$D$86,MATCH($A19,'Median Home and Rent Prices'!$A$2:$A$86,0)),0)</f>
        <v/>
      </c>
      <c r="O19" s="65">
        <f>IFERROR(INDEX('Median Home and Rent Prices'!$E$2:$E$86,MATCH($A19,'Median Home and Rent Prices'!$A$2:$A$86,0)),0)</f>
        <v/>
      </c>
      <c r="P19" s="64">
        <f>IFERROR(INDEX('School District Profiles'!$H$2:$H$86,MATCH($A19,'School District Profiles'!$A$2:$A$86,0)),0)</f>
        <v/>
      </c>
      <c r="Q19" s="65">
        <f>IFERROR(INDEX('School District Profiles'!$I$2:$I$86,MATCH($A19,'School District Profiles'!$A$2:$A$86,0)),0)</f>
        <v/>
      </c>
      <c r="R19" s="63">
        <f>IFERROR(IF(($AI19-('Score Inputs'!$B$4*1500+IF('Score Inputs'!$B$3="Master's",4000,0)))&lt;53000,MAX(0,MIN(39.99,((($AI19-('Score Inputs'!$B$4*1500+IF('Score Inputs'!$B$3="Master's",4000,0))))-45000)/8000*39.99)),IF(($AI19-('Score Inputs'!$B$4*1500+IF('Score Inputs'!$B$3="Master's",4000,0)))&lt;58000,40+((($AI19-('Score Inputs'!$B$4*1500+IF('Score Inputs'!$B$3="Master's",4000,0))))-53000)/5000*20,IF(($AI19-('Score Inputs'!$B$4*1500+IF('Score Inputs'!$B$3="Master's",4000,0)))&lt;63000,60+((($AI19-('Score Inputs'!$B$4*1500+IF('Score Inputs'!$B$3="Master's",4000,0))))-58000)/5000*10,IF(($AI19-('Score Inputs'!$B$4*1500+IF('Score Inputs'!$B$3="Master's",4000,0)))&lt;70000,70+((($AI19-('Score Inputs'!$B$4*1500+IF('Score Inputs'!$B$3="Master's",4000,0))))-63000)/7000*10,IF(($AI19-('Score Inputs'!$B$4*1500+IF('Score Inputs'!$B$3="Master's",4000,0)))&lt;75000,80+((($AI19-('Score Inputs'!$B$4*1500+IF('Score Inputs'!$B$3="Master's",4000,0))))-70000)/5000*10,MIN(100,90+((($AI19-('Score Inputs'!$B$4*1500+IF('Score Inputs'!$B$3="Master's",4000,0))))-75000)/5000*10)))))),0)</f>
        <v/>
      </c>
      <c r="S19" s="63">
        <f>IFERROR(MAX(0,MIN(100,L19/0.48*100)),0)</f>
        <v/>
      </c>
      <c r="T19" s="63">
        <f>IFERROR(MAX(0,MIN(100,M19/15000*100)),0)</f>
        <v/>
      </c>
      <c r="U19" s="63">
        <f>IFERROR(0.5*R19+0.35*S19+0.15*T19,0)</f>
        <v/>
      </c>
      <c r="V19" s="63">
        <f>IFERROR(0.35*AL19+0.3*AO19+0.25*AB19+0.1*AQ19,0)</f>
        <v/>
      </c>
      <c r="W19" s="63">
        <f>IFERROR(MAX(0,MIN(100,(25-P19)/(25-12)*100)),0)</f>
        <v/>
      </c>
      <c r="X19" s="63">
        <f>IFERROR(MAX(0,MIN(100,(AD19-1)/(3-1)*100))*IF(OR($A19="North Clackamas School District",$A19="Provo City School District"),0.6,1),0)</f>
        <v/>
      </c>
      <c r="Y19" s="63">
        <f>IFERROR(MAX(0,MIN(100,(1-((IFERROR(INDEX('School District Profiles'!$D$2:$D$86,MATCH($A19,'School District Profiles'!$A$2:$A$86,0)),0)/100)^2+(IFERROR(INDEX('School District Profiles'!$E$2:$E$86,MATCH($A19,'School District Profiles'!$A$2:$A$86,0)),0)/100)^2+(IFERROR(INDEX('School District Profiles'!$F$2:$F$86,MATCH($A19,'School District Profiles'!$A$2:$A$86,0)),0)/100)^2+(IFERROR(INDEX('School District Profiles'!$G$2:$G$86,MATCH($A19,'School District Profiles'!$A$2:$A$86,0)),0)/100)^2+(AC19/100)^2))/0.8*100)),0)</f>
        <v/>
      </c>
      <c r="Z19" s="63">
        <f>IFERROR(AF19*AG19,0)</f>
        <v/>
      </c>
      <c r="AA19" s="69">
        <f>IFERROR(INDEX('Median Home and Rent Prices'!$F$2:$F$86,MATCH($A19,'Median Home and Rent Prices'!$A$2:$A$86,0)),0)</f>
        <v/>
      </c>
      <c r="AB19" s="63">
        <f>IFERROR(MAX(0,MIN(100,(800-AA19)/(800-150)*100)),0)</f>
        <v/>
      </c>
      <c r="AC19" s="114">
        <f>IFERROR(INDEX('School District Profiles'!$J$2:$J$86,MATCH($A19,'School District Profiles'!$A$2:$A$86,0)),0)</f>
        <v/>
      </c>
      <c r="AD19" s="63">
        <f>IFERROR(Q19*20/O19,0)</f>
        <v/>
      </c>
      <c r="AE19" s="63">
        <f>IFERROR(IF(AG19&gt;=1,100,IF(AG19&gt;=0.95,75,IF(AG19&gt;=0.9,60,IF(AG19&gt;=0.85,40,IF(AG19&gt;=0.8,25,0))))),0)</f>
        <v/>
      </c>
      <c r="AF19" s="63">
        <f>IFERROR(0.35*V19+0.3*U19+0.1*W19+0.1*X19+0.1*Y19+0.05*AR19,0)</f>
        <v/>
      </c>
      <c r="AG19" s="63" t="n">
        <v>1</v>
      </c>
      <c r="AH19" s="64" t="inlineStr">
        <is>
          <t>No current employment-stability penalty applied in this first-pass entry. Salary values are first-pass estimates derived from the current contract and published schedule structure; verify exact 2025-26 salary schedule before final ranking.</t>
        </is>
      </c>
      <c r="AI19" s="65">
        <f>IF('Score Inputs'!$B$3="Bachelor's",CHOOSE(MATCH('Score Inputs'!$B$4,{0,5,10},0),D19,E19,F19),CHOOSE(MATCH('Score Inputs'!$B$4,{0,5,10},0),G19,H19,I19))</f>
        <v/>
      </c>
      <c r="AJ19" s="65">
        <f>IFERROR(AI19/12,0)</f>
        <v/>
      </c>
      <c r="AK19" s="114">
        <f>IFERROR(O19/AJ19,0)</f>
        <v/>
      </c>
      <c r="AL19" s="63">
        <f>IFERROR(IF(AK19&lt;=25%,100,IF(AK19&lt;=30%,100-(AK19-25%)/5%*30,IF(AK19&lt;=35%,70-(AK19-30%)/5%*10,IF(AK19&lt;=40%,60-(AK19-35%)/5%*20,MAX(0,40-(AK19-40%)/10%*40))))),0)</f>
        <v/>
      </c>
      <c r="AM19" s="65">
        <f>IFERROR(PMT('Score Inputs'!$B$5/12,'Score Inputs'!$B$7*12,-N19*(1-'Score Inputs'!$B$6)),0)</f>
        <v/>
      </c>
      <c r="AN19" s="114">
        <f>IFERROR(AM19/AJ19,0)</f>
        <v/>
      </c>
      <c r="AO19" s="63">
        <f>IFERROR(IF(AN19&lt;=25%,100,IF(AN19&lt;=30%,100-(AN19-25%)/5%*30,IF(AN19&lt;=35%,70-(AN19-30%)/5%*10,IF(AN19&lt;=40%,60-(AN19-35%)/5%*20,MAX(0,40-(AN19-40%)/10%*40))))),0)</f>
        <v/>
      </c>
      <c r="AP19" s="65">
        <f>IFERROR(AJ19-O19,0)</f>
        <v/>
      </c>
      <c r="AQ19" s="63">
        <f>IFERROR(MAX(0,MIN(100,(AP19-'Score Inputs'!$B$8)/('Score Inputs'!$B$9-'Score Inputs'!$B$8)*100)),0)</f>
        <v/>
      </c>
      <c r="AR19" s="63">
        <f>IFERROR(INDEX('State Funding Lookup'!$B$2:$B$86,MATCH($A19,'State Funding Lookup'!$A$2:$A$86,0)),0)</f>
        <v/>
      </c>
      <c r="AS19" s="67">
        <f>AK19</f>
        <v/>
      </c>
      <c r="AT19" s="67">
        <f>AN19</f>
        <v/>
      </c>
    </row>
    <row r="20" ht="30" customHeight="1" s="104">
      <c r="A20" s="88" t="inlineStr">
        <is>
          <t>Kern High School District</t>
        </is>
      </c>
      <c r="B20" s="88">
        <f>IFERROR(INDEX('School District Profiles'!$B$2:$B$86,MATCH($A20,'School District Profiles'!$A$2:$A$86,0)),"")</f>
        <v/>
      </c>
      <c r="C20" s="88">
        <f>IFERROR(INDEX('School District Profiles'!$C$2:$C$86,MATCH($A20,'School District Profiles'!$A$2:$A$86,0)),"")</f>
        <v/>
      </c>
      <c r="D20" s="90">
        <f>IFERROR(SUMIFS('Teacher Salary Data'!$E$2:$E$1871,'Teacher Salary Data'!$A$2:$A$1871,$A20,'Teacher Salary Data'!$C$2:$C$1871,"Bachelor's",'Teacher Salary Data'!$D$2:$D$1871,0),0)</f>
        <v/>
      </c>
      <c r="E20" s="90">
        <f>IFERROR(SUMIFS('Teacher Salary Data'!$E$2:$E$1871,'Teacher Salary Data'!$A$2:$A$1871,$A20,'Teacher Salary Data'!$C$2:$C$1871,"Bachelor's",'Teacher Salary Data'!$D$2:$D$1871,5),0)</f>
        <v/>
      </c>
      <c r="F20" s="90">
        <f>IFERROR(SUMIFS('Teacher Salary Data'!$E$2:$E$1871,'Teacher Salary Data'!$A$2:$A$1871,$A20,'Teacher Salary Data'!$C$2:$C$1871,"Bachelor's",'Teacher Salary Data'!$D$2:$D$1871,10),0)</f>
        <v/>
      </c>
      <c r="G20" s="90">
        <f>IFERROR(SUMIFS('Teacher Salary Data'!$E$2:$E$1871,'Teacher Salary Data'!$A$2:$A$1871,$A20,'Teacher Salary Data'!$C$2:$C$1871,"Master's",'Teacher Salary Data'!$D$2:$D$1871,0),0)</f>
        <v/>
      </c>
      <c r="H20" s="90">
        <f>IFERROR(SUMIFS('Teacher Salary Data'!$E$2:$E$1871,'Teacher Salary Data'!$A$2:$A$1871,$A20,'Teacher Salary Data'!$C$2:$C$1871,"Master's",'Teacher Salary Data'!$D$2:$D$1871,5),0)</f>
        <v/>
      </c>
      <c r="I20" s="90">
        <f>IFERROR(SUMIFS('Teacher Salary Data'!$E$2:$E$1871,'Teacher Salary Data'!$A$2:$A$1871,$A20,'Teacher Salary Data'!$C$2:$C$1871,"Master's",'Teacher Salary Data'!$D$2:$D$1871,10),0)</f>
        <v/>
      </c>
      <c r="J20" s="90">
        <f>AVERAGE(D20,G20)</f>
        <v/>
      </c>
      <c r="K20" s="90">
        <f>AVERAGE(F20,I20)</f>
        <v/>
      </c>
      <c r="L20" s="115">
        <f>IFERROR((K20-J20)/J20,0)</f>
        <v/>
      </c>
      <c r="M20" s="88">
        <f>G20-D20</f>
        <v/>
      </c>
      <c r="N20" s="90">
        <f>IFERROR(INDEX('Median Home and Rent Prices'!$D$2:$D$86,MATCH($A20,'Median Home and Rent Prices'!$A$2:$A$86,0)),0)</f>
        <v/>
      </c>
      <c r="O20" s="90">
        <f>IFERROR(INDEX('Median Home and Rent Prices'!$E$2:$E$86,MATCH($A20,'Median Home and Rent Prices'!$A$2:$A$86,0)),0)</f>
        <v/>
      </c>
      <c r="P20" s="88">
        <f>IFERROR(INDEX('School District Profiles'!$H$2:$H$86,MATCH($A20,'School District Profiles'!$A$2:$A$86,0)),0)</f>
        <v/>
      </c>
      <c r="Q20" s="90">
        <f>IFERROR(INDEX('School District Profiles'!$I$2:$I$86,MATCH($A20,'School District Profiles'!$A$2:$A$86,0)),0)</f>
        <v/>
      </c>
      <c r="R20" s="95">
        <f>IFERROR(IF(($AI20-('Score Inputs'!$B$4*1500+IF('Score Inputs'!$B$3="Master's",4000,0)))&lt;53000,MAX(0,MIN(39.99,((($AI20-('Score Inputs'!$B$4*1500+IF('Score Inputs'!$B$3="Master's",4000,0))))-45000)/8000*39.99)),IF(($AI20-('Score Inputs'!$B$4*1500+IF('Score Inputs'!$B$3="Master's",4000,0)))&lt;58000,40+((($AI20-('Score Inputs'!$B$4*1500+IF('Score Inputs'!$B$3="Master's",4000,0))))-53000)/5000*20,IF(($AI20-('Score Inputs'!$B$4*1500+IF('Score Inputs'!$B$3="Master's",4000,0)))&lt;63000,60+((($AI20-('Score Inputs'!$B$4*1500+IF('Score Inputs'!$B$3="Master's",4000,0))))-58000)/5000*10,IF(($AI20-('Score Inputs'!$B$4*1500+IF('Score Inputs'!$B$3="Master's",4000,0)))&lt;70000,70+((($AI20-('Score Inputs'!$B$4*1500+IF('Score Inputs'!$B$3="Master's",4000,0))))-63000)/7000*10,IF(($AI20-('Score Inputs'!$B$4*1500+IF('Score Inputs'!$B$3="Master's",4000,0)))&lt;75000,80+((($AI20-('Score Inputs'!$B$4*1500+IF('Score Inputs'!$B$3="Master's",4000,0))))-70000)/5000*10,MIN(100,90+((($AI20-('Score Inputs'!$B$4*1500+IF('Score Inputs'!$B$3="Master's",4000,0))))-75000)/5000*10)))))),0)</f>
        <v/>
      </c>
      <c r="S20" s="95">
        <f>IFERROR(MAX(0,MIN(100,L20/0.48*100)),0)</f>
        <v/>
      </c>
      <c r="T20" s="95">
        <f>IFERROR(MAX(0,MIN(100,M20/15000*100)),0)</f>
        <v/>
      </c>
      <c r="U20" s="95">
        <f>IFERROR(0.5*R20+0.35*S20+0.15*T20,0)</f>
        <v/>
      </c>
      <c r="V20" s="95">
        <f>IFERROR(0.35*AL20+0.3*AO20+0.25*AB20+0.1*AQ20,0)</f>
        <v/>
      </c>
      <c r="W20" s="95">
        <f>IFERROR(MAX(0,MIN(100,(25-P20)/(25-12)*100)),0)</f>
        <v/>
      </c>
      <c r="X20" s="95">
        <f>IFERROR(MAX(0,MIN(100,(AD20-1)/(3-1)*100))*IF(OR($A20="North Clackamas School District",$A20="Provo City School District"),0.6,1),0)</f>
        <v/>
      </c>
      <c r="Y20" s="95">
        <f>IFERROR(MAX(0,MIN(100,(1-((IFERROR(INDEX('School District Profiles'!$D$2:$D$86,MATCH($A20,'School District Profiles'!$A$2:$A$86,0)),0)/100)^2+(IFERROR(INDEX('School District Profiles'!$E$2:$E$86,MATCH($A20,'School District Profiles'!$A$2:$A$86,0)),0)/100)^2+(IFERROR(INDEX('School District Profiles'!$F$2:$F$86,MATCH($A20,'School District Profiles'!$A$2:$A$86,0)),0)/100)^2+(IFERROR(INDEX('School District Profiles'!$G$2:$G$86,MATCH($A20,'School District Profiles'!$A$2:$A$86,0)),0)/100)^2+(AC20/100)^2))/0.8*100)),0)</f>
        <v/>
      </c>
      <c r="Z20" s="95">
        <f>IFERROR(AF20*AG20,0)</f>
        <v/>
      </c>
      <c r="AA20" s="88">
        <f>IFERROR(INDEX('Median Home and Rent Prices'!$F$2:$F$86,MATCH($A20,'Median Home and Rent Prices'!$A$2:$A$86,0)),0)</f>
        <v/>
      </c>
      <c r="AB20" s="95">
        <f>IFERROR(MAX(0,MIN(100,(800-AA20)/(800-150)*100)),0)</f>
        <v/>
      </c>
      <c r="AC20" s="88">
        <f>IFERROR(INDEX('School District Profiles'!$J$2:$J$86,MATCH($A20,'School District Profiles'!$A$2:$A$86,0)),0)</f>
        <v/>
      </c>
      <c r="AD20" s="95">
        <f>IFERROR(Q20*20/O20,0)</f>
        <v/>
      </c>
      <c r="AE20" s="95">
        <f>IFERROR(IF(AG20&gt;=1,100,IF(AG20&gt;=0.95,75,IF(AG20&gt;=0.9,60,IF(AG20&gt;=0.85,40,IF(AG20&gt;=0.8,25,0))))),0)</f>
        <v/>
      </c>
      <c r="AF20" s="95">
        <f>IFERROR(0.35*V20+0.3*U20+0.1*W20+0.1*X20+0.1*Y20+0.05*AR20,0)</f>
        <v/>
      </c>
      <c r="AG20" s="95" t="n">
        <v>1</v>
      </c>
      <c r="AH20" s="88" t="inlineStr">
        <is>
          <t>Corrected 2025-26 Kern High School District salary schedule using uploaded certificated base salary schedule; BA mapped to Class I without masters and Master's mapped to Class III with masters. Housing, sub pay, demographics, and stability unchanged from prior pass.</t>
        </is>
      </c>
      <c r="AI20" s="90">
        <f>IF('Score Inputs'!$B$3="Bachelor's",CHOOSE(MATCH('Score Inputs'!$B$4,{0,5,10},0),D20,E20,F20),CHOOSE(MATCH('Score Inputs'!$B$4,{0,5,10},0),G20,H20,I20))</f>
        <v/>
      </c>
      <c r="AJ20" s="90">
        <f>IFERROR(AI20/12,0)</f>
        <v/>
      </c>
      <c r="AK20" s="115">
        <f>IFERROR(O20/AJ20,0)</f>
        <v/>
      </c>
      <c r="AL20" s="95">
        <f>IFERROR(IF(AK20&lt;=25%,100,IF(AK20&lt;=30%,100-(AK20-25%)/5%*30,IF(AK20&lt;=35%,70-(AK20-30%)/5%*10,IF(AK20&lt;=40%,60-(AK20-35%)/5%*20,MAX(0,40-(AK20-40%)/10%*40))))),0)</f>
        <v/>
      </c>
      <c r="AM20" s="90">
        <f>IFERROR(PMT('Score Inputs'!$B$5/12,'Score Inputs'!$B$7*12,-N20*(1-'Score Inputs'!$B$6)),0)</f>
        <v/>
      </c>
      <c r="AN20" s="115">
        <f>IFERROR(AM20/AJ20,0)</f>
        <v/>
      </c>
      <c r="AO20" s="95">
        <f>IFERROR(IF(AN20&lt;=25%,100,IF(AN20&lt;=30%,100-(AN20-25%)/5%*30,IF(AN20&lt;=35%,70-(AN20-30%)/5%*10,IF(AN20&lt;=40%,60-(AN20-35%)/5%*20,MAX(0,40-(AN20-40%)/10%*40))))),0)</f>
        <v/>
      </c>
      <c r="AP20" s="90">
        <f>IFERROR(AJ20-O20,0)</f>
        <v/>
      </c>
      <c r="AQ20" s="95">
        <f>IFERROR(MAX(0,MIN(100,(AP20-'Score Inputs'!$B$8)/('Score Inputs'!$B$9-'Score Inputs'!$B$8)*100)),0)</f>
        <v/>
      </c>
      <c r="AR20" s="95">
        <f>IFERROR(INDEX('State Funding Lookup'!$B$2:$B$86,MATCH($A20,'State Funding Lookup'!$A$2:$A$86,0)),0)</f>
        <v/>
      </c>
      <c r="AS20" s="98">
        <f>AK20</f>
        <v/>
      </c>
      <c r="AT20" s="98">
        <f>AN20</f>
        <v/>
      </c>
    </row>
    <row r="21" ht="30" customHeight="1" s="104">
      <c r="A21" s="88" t="inlineStr">
        <is>
          <t>Rosemount-Apple Valley-Eagan ISD 196</t>
        </is>
      </c>
      <c r="B21" s="88">
        <f>IFERROR(INDEX('School District Profiles'!$B$2:$B$86,MATCH($A21,'School District Profiles'!$A$2:$A$86,0)),"")</f>
        <v/>
      </c>
      <c r="C21" s="88">
        <f>IFERROR(INDEX('School District Profiles'!$C$2:$C$86,MATCH($A21,'School District Profiles'!$A$2:$A$86,0)),"")</f>
        <v/>
      </c>
      <c r="D21" s="90">
        <f>IFERROR(SUMIFS('Teacher Salary Data'!$E$2:$E$1871,'Teacher Salary Data'!$A$2:$A$1871,$A21,'Teacher Salary Data'!$C$2:$C$1871,"Bachelor's",'Teacher Salary Data'!$D$2:$D$1871,0),0)</f>
        <v/>
      </c>
      <c r="E21" s="90">
        <f>IFERROR(SUMIFS('Teacher Salary Data'!$E$2:$E$1871,'Teacher Salary Data'!$A$2:$A$1871,$A21,'Teacher Salary Data'!$C$2:$C$1871,"Bachelor's",'Teacher Salary Data'!$D$2:$D$1871,5),0)</f>
        <v/>
      </c>
      <c r="F21" s="90">
        <f>IFERROR(SUMIFS('Teacher Salary Data'!$E$2:$E$1871,'Teacher Salary Data'!$A$2:$A$1871,$A21,'Teacher Salary Data'!$C$2:$C$1871,"Bachelor's",'Teacher Salary Data'!$D$2:$D$1871,10),0)</f>
        <v/>
      </c>
      <c r="G21" s="90">
        <f>IFERROR(SUMIFS('Teacher Salary Data'!$E$2:$E$1871,'Teacher Salary Data'!$A$2:$A$1871,$A21,'Teacher Salary Data'!$C$2:$C$1871,"Master's",'Teacher Salary Data'!$D$2:$D$1871,0),0)</f>
        <v/>
      </c>
      <c r="H21" s="90">
        <f>IFERROR(SUMIFS('Teacher Salary Data'!$E$2:$E$1871,'Teacher Salary Data'!$A$2:$A$1871,$A21,'Teacher Salary Data'!$C$2:$C$1871,"Master's",'Teacher Salary Data'!$D$2:$D$1871,5),0)</f>
        <v/>
      </c>
      <c r="I21" s="90">
        <f>IFERROR(SUMIFS('Teacher Salary Data'!$E$2:$E$1871,'Teacher Salary Data'!$A$2:$A$1871,$A21,'Teacher Salary Data'!$C$2:$C$1871,"Master's",'Teacher Salary Data'!$D$2:$D$1871,10),0)</f>
        <v/>
      </c>
      <c r="J21" s="90">
        <f>AVERAGE(D21,G21)</f>
        <v/>
      </c>
      <c r="K21" s="90">
        <f>AVERAGE(F21,I21)</f>
        <v/>
      </c>
      <c r="L21" s="115">
        <f>IFERROR((K21-J21)/J21,0)</f>
        <v/>
      </c>
      <c r="M21" s="90">
        <f>G21-D21</f>
        <v/>
      </c>
      <c r="N21" s="90">
        <f>IFERROR(INDEX('Median Home and Rent Prices'!$D$2:$D$86,MATCH($A21,'Median Home and Rent Prices'!$A$2:$A$86,0)),0)</f>
        <v/>
      </c>
      <c r="O21" s="90">
        <f>IFERROR(INDEX('Median Home and Rent Prices'!$E$2:$E$86,MATCH($A21,'Median Home and Rent Prices'!$A$2:$A$86,0)),0)</f>
        <v/>
      </c>
      <c r="P21" s="88">
        <f>IFERROR(INDEX('School District Profiles'!$H$2:$H$86,MATCH($A21,'School District Profiles'!$A$2:$A$86,0)),0)</f>
        <v/>
      </c>
      <c r="Q21" s="90">
        <f>IFERROR(INDEX('School District Profiles'!$I$2:$I$86,MATCH($A21,'School District Profiles'!$A$2:$A$86,0)),0)</f>
        <v/>
      </c>
      <c r="R21" s="95">
        <f>IFERROR(IF(($AI21-('Score Inputs'!$B$4*1500+IF('Score Inputs'!$B$3="Master's",4000,0)))&lt;53000,MAX(0,MIN(39.99,((($AI21-('Score Inputs'!$B$4*1500+IF('Score Inputs'!$B$3="Master's",4000,0))))-45000)/8000*39.99)),IF(($AI21-('Score Inputs'!$B$4*1500+IF('Score Inputs'!$B$3="Master's",4000,0)))&lt;58000,40+((($AI21-('Score Inputs'!$B$4*1500+IF('Score Inputs'!$B$3="Master's",4000,0))))-53000)/5000*20,IF(($AI21-('Score Inputs'!$B$4*1500+IF('Score Inputs'!$B$3="Master's",4000,0)))&lt;63000,60+((($AI21-('Score Inputs'!$B$4*1500+IF('Score Inputs'!$B$3="Master's",4000,0))))-58000)/5000*10,IF(($AI21-('Score Inputs'!$B$4*1500+IF('Score Inputs'!$B$3="Master's",4000,0)))&lt;70000,70+((($AI21-('Score Inputs'!$B$4*1500+IF('Score Inputs'!$B$3="Master's",4000,0))))-63000)/7000*10,IF(($AI21-('Score Inputs'!$B$4*1500+IF('Score Inputs'!$B$3="Master's",4000,0)))&lt;75000,80+((($AI21-('Score Inputs'!$B$4*1500+IF('Score Inputs'!$B$3="Master's",4000,0))))-70000)/5000*10,MIN(100,90+((($AI21-('Score Inputs'!$B$4*1500+IF('Score Inputs'!$B$3="Master's",4000,0))))-75000)/5000*10)))))),0)</f>
        <v/>
      </c>
      <c r="S21" s="95">
        <f>IFERROR(MAX(0,MIN(100,L21/0.48*100)),0)</f>
        <v/>
      </c>
      <c r="T21" s="95">
        <f>IFERROR(MAX(0,MIN(100,M21/15000*100)),0)</f>
        <v/>
      </c>
      <c r="U21" s="95">
        <f>IFERROR(0.5*R21+0.35*S21+0.15*T21,0)</f>
        <v/>
      </c>
      <c r="V21" s="95">
        <f>IFERROR(0.35*AL21+0.3*AO21+0.25*AB21+0.1*AQ21,0)</f>
        <v/>
      </c>
      <c r="W21" s="95">
        <f>IFERROR(MAX(0,MIN(100,(25-P21)/(25-12)*100)),0)</f>
        <v/>
      </c>
      <c r="X21" s="95">
        <f>IFERROR(MAX(0,MIN(100,(AD21-1)/(3-1)*100))*IF(OR($A21="North Clackamas School District",$A21="Provo City School District"),0.6,1),0)</f>
        <v/>
      </c>
      <c r="Y21" s="95">
        <f>IFERROR(MAX(0,MIN(100,(1-((IFERROR(INDEX('School District Profiles'!$D$2:$D$86,MATCH($A21,'School District Profiles'!$A$2:$A$86,0)),0)/100)^2+(IFERROR(INDEX('School District Profiles'!$E$2:$E$86,MATCH($A21,'School District Profiles'!$A$2:$A$86,0)),0)/100)^2+(IFERROR(INDEX('School District Profiles'!$F$2:$F$86,MATCH($A21,'School District Profiles'!$A$2:$A$86,0)),0)/100)^2+(IFERROR(INDEX('School District Profiles'!$G$2:$G$86,MATCH($A21,'School District Profiles'!$A$2:$A$86,0)),0)/100)^2+(AC21/100)^2))/0.8*100)),0)</f>
        <v/>
      </c>
      <c r="Z21" s="95">
        <f>IFERROR(AF21*AG21,0)</f>
        <v/>
      </c>
      <c r="AA21" s="97">
        <f>IFERROR(INDEX('Median Home and Rent Prices'!$F$2:$F$86,MATCH($A21,'Median Home and Rent Prices'!$A$2:$A$86,0)),0)</f>
        <v/>
      </c>
      <c r="AB21" s="95">
        <f>IFERROR(MAX(0,MIN(100,(800-AA21)/(800-150)*100)),0)</f>
        <v/>
      </c>
      <c r="AC21" s="88">
        <f>IFERROR(INDEX('School District Profiles'!$J$2:$J$86,MATCH($A21,'School District Profiles'!$A$2:$A$86,0)),0)</f>
        <v/>
      </c>
      <c r="AD21" s="95">
        <f>IFERROR(Q21*20/O21,0)</f>
        <v/>
      </c>
      <c r="AE21" s="95">
        <f>IFERROR(IF(AG21&gt;=1,100,IF(AG21&gt;=0.95,75,IF(AG21&gt;=0.9,60,IF(AG21&gt;=0.85,40,IF(AG21&gt;=0.8,25,0))))),0)</f>
        <v/>
      </c>
      <c r="AF21" s="95">
        <f>IFERROR(0.35*V21+0.3*U21+0.1*W21+0.1*X21+0.1*Y21+0.05*AR21,0)</f>
        <v/>
      </c>
      <c r="AG21" s="95" t="n">
        <v>1</v>
      </c>
      <c r="AH21" s="88" t="inlineStr">
        <is>
          <t>Round 3 first-pass entry; ISD 196 has negotiated placement discretion / higher-step blanks, so verify BA/MA comparisons with HR.</t>
        </is>
      </c>
      <c r="AI21" s="90">
        <f>IF('Score Inputs'!$B$3="Bachelor's",CHOOSE(MATCH('Score Inputs'!$B$4,{0,5,10},0),D21,E21,F21),CHOOSE(MATCH('Score Inputs'!$B$4,{0,5,10},0),G21,H21,I21))</f>
        <v/>
      </c>
      <c r="AJ21" s="90">
        <f>IFERROR(AI21/12,0)</f>
        <v/>
      </c>
      <c r="AK21" s="115">
        <f>IFERROR(O21/AJ21,0)</f>
        <v/>
      </c>
      <c r="AL21" s="95">
        <f>IFERROR(IF(AK21&lt;=25%,100,IF(AK21&lt;=30%,100-(AK21-25%)/5%*30,IF(AK21&lt;=35%,70-(AK21-30%)/5%*10,IF(AK21&lt;=40%,60-(AK21-35%)/5%*20,MAX(0,40-(AK21-40%)/10%*40))))),0)</f>
        <v/>
      </c>
      <c r="AM21" s="90">
        <f>IFERROR(PMT('Score Inputs'!$B$5/12,'Score Inputs'!$B$7*12,-N21*(1-'Score Inputs'!$B$6)),0)</f>
        <v/>
      </c>
      <c r="AN21" s="115">
        <f>IFERROR(AM21/AJ21,0)</f>
        <v/>
      </c>
      <c r="AO21" s="95">
        <f>IFERROR(IF(AN21&lt;=25%,100,IF(AN21&lt;=30%,100-(AN21-25%)/5%*30,IF(AN21&lt;=35%,70-(AN21-30%)/5%*10,IF(AN21&lt;=40%,60-(AN21-35%)/5%*20,MAX(0,40-(AN21-40%)/10%*40))))),0)</f>
        <v/>
      </c>
      <c r="AP21" s="90">
        <f>IFERROR(AJ21-O21,0)</f>
        <v/>
      </c>
      <c r="AQ21" s="95">
        <f>IFERROR(MAX(0,MIN(100,(AP21-'Score Inputs'!$B$8)/('Score Inputs'!$B$9-'Score Inputs'!$B$8)*100)),0)</f>
        <v/>
      </c>
      <c r="AR21" s="95">
        <f>IFERROR(INDEX('State Funding Lookup'!$B$2:$B$86,MATCH($A21,'State Funding Lookup'!$A$2:$A$86,0)),0)</f>
        <v/>
      </c>
      <c r="AS21" s="98">
        <f>AK21</f>
        <v/>
      </c>
      <c r="AT21" s="98">
        <f>AN21</f>
        <v/>
      </c>
    </row>
    <row r="22" ht="30" customHeight="1" s="104">
      <c r="A22" s="88" t="inlineStr">
        <is>
          <t>Osseo Area Schools / ISD 279</t>
        </is>
      </c>
      <c r="B22" s="88">
        <f>IFERROR(INDEX('School District Profiles'!$B$2:$B$86,MATCH($A22,'School District Profiles'!$A$2:$A$86,0)),"")</f>
        <v/>
      </c>
      <c r="C22" s="88">
        <f>IFERROR(INDEX('School District Profiles'!$C$2:$C$86,MATCH($A22,'School District Profiles'!$A$2:$A$86,0)),"")</f>
        <v/>
      </c>
      <c r="D22" s="90">
        <f>IFERROR(SUMIFS('Teacher Salary Data'!$E$2:$E$1871,'Teacher Salary Data'!$A$2:$A$1871,$A22,'Teacher Salary Data'!$C$2:$C$1871,"Bachelor's",'Teacher Salary Data'!$D$2:$D$1871,0),0)</f>
        <v/>
      </c>
      <c r="E22" s="90">
        <f>IFERROR(SUMIFS('Teacher Salary Data'!$E$2:$E$1871,'Teacher Salary Data'!$A$2:$A$1871,$A22,'Teacher Salary Data'!$C$2:$C$1871,"Bachelor's",'Teacher Salary Data'!$D$2:$D$1871,5),0)</f>
        <v/>
      </c>
      <c r="F22" s="90">
        <f>IFERROR(SUMIFS('Teacher Salary Data'!$E$2:$E$1871,'Teacher Salary Data'!$A$2:$A$1871,$A22,'Teacher Salary Data'!$C$2:$C$1871,"Bachelor's",'Teacher Salary Data'!$D$2:$D$1871,10),0)</f>
        <v/>
      </c>
      <c r="G22" s="90">
        <f>IFERROR(SUMIFS('Teacher Salary Data'!$E$2:$E$1871,'Teacher Salary Data'!$A$2:$A$1871,$A22,'Teacher Salary Data'!$C$2:$C$1871,"Master's",'Teacher Salary Data'!$D$2:$D$1871,0),0)</f>
        <v/>
      </c>
      <c r="H22" s="90">
        <f>IFERROR(SUMIFS('Teacher Salary Data'!$E$2:$E$1871,'Teacher Salary Data'!$A$2:$A$1871,$A22,'Teacher Salary Data'!$C$2:$C$1871,"Master's",'Teacher Salary Data'!$D$2:$D$1871,5),0)</f>
        <v/>
      </c>
      <c r="I22" s="90">
        <f>IFERROR(SUMIFS('Teacher Salary Data'!$E$2:$E$1871,'Teacher Salary Data'!$A$2:$A$1871,$A22,'Teacher Salary Data'!$C$2:$C$1871,"Master's",'Teacher Salary Data'!$D$2:$D$1871,10),0)</f>
        <v/>
      </c>
      <c r="J22" s="90">
        <f>AVERAGE(D22,G22)</f>
        <v/>
      </c>
      <c r="K22" s="90">
        <f>AVERAGE(F22,I22)</f>
        <v/>
      </c>
      <c r="L22" s="115">
        <f>IFERROR((K22-J22)/J22,0)</f>
        <v/>
      </c>
      <c r="M22" s="88">
        <f>G22-D22</f>
        <v/>
      </c>
      <c r="N22" s="90">
        <f>IFERROR(INDEX('Median Home and Rent Prices'!$D$2:$D$86,MATCH($A22,'Median Home and Rent Prices'!$A$2:$A$86,0)),0)</f>
        <v/>
      </c>
      <c r="O22" s="90">
        <f>IFERROR(INDEX('Median Home and Rent Prices'!$E$2:$E$86,MATCH($A22,'Median Home and Rent Prices'!$A$2:$A$86,0)),0)</f>
        <v/>
      </c>
      <c r="P22" s="88">
        <f>IFERROR(INDEX('School District Profiles'!$H$2:$H$86,MATCH($A22,'School District Profiles'!$A$2:$A$86,0)),0)</f>
        <v/>
      </c>
      <c r="Q22" s="90">
        <f>IFERROR(INDEX('School District Profiles'!$I$2:$I$86,MATCH($A22,'School District Profiles'!$A$2:$A$86,0)),0)</f>
        <v/>
      </c>
      <c r="R22" s="95">
        <f>IFERROR(IF(($AI22-('Score Inputs'!$B$4*1500+IF('Score Inputs'!$B$3="Master's",4000,0)))&lt;53000,MAX(0,MIN(39.99,((($AI22-('Score Inputs'!$B$4*1500+IF('Score Inputs'!$B$3="Master's",4000,0))))-45000)/8000*39.99)),IF(($AI22-('Score Inputs'!$B$4*1500+IF('Score Inputs'!$B$3="Master's",4000,0)))&lt;58000,40+((($AI22-('Score Inputs'!$B$4*1500+IF('Score Inputs'!$B$3="Master's",4000,0))))-53000)/5000*20,IF(($AI22-('Score Inputs'!$B$4*1500+IF('Score Inputs'!$B$3="Master's",4000,0)))&lt;63000,60+((($AI22-('Score Inputs'!$B$4*1500+IF('Score Inputs'!$B$3="Master's",4000,0))))-58000)/5000*10,IF(($AI22-('Score Inputs'!$B$4*1500+IF('Score Inputs'!$B$3="Master's",4000,0)))&lt;70000,70+((($AI22-('Score Inputs'!$B$4*1500+IF('Score Inputs'!$B$3="Master's",4000,0))))-63000)/7000*10,IF(($AI22-('Score Inputs'!$B$4*1500+IF('Score Inputs'!$B$3="Master's",4000,0)))&lt;75000,80+((($AI22-('Score Inputs'!$B$4*1500+IF('Score Inputs'!$B$3="Master's",4000,0))))-70000)/5000*10,MIN(100,90+((($AI22-('Score Inputs'!$B$4*1500+IF('Score Inputs'!$B$3="Master's",4000,0))))-75000)/5000*10)))))),0)</f>
        <v/>
      </c>
      <c r="S22" s="95">
        <f>IFERROR(MAX(0,MIN(100,L22/0.48*100)),0)</f>
        <v/>
      </c>
      <c r="T22" s="95">
        <f>IFERROR(MAX(0,MIN(100,M22/15000*100)),0)</f>
        <v/>
      </c>
      <c r="U22" s="95">
        <f>IFERROR(0.5*R22+0.35*S22+0.15*T22,0)</f>
        <v/>
      </c>
      <c r="V22" s="95">
        <f>IFERROR(0.35*AL22+0.3*AO22+0.25*AB22+0.1*AQ22,0)</f>
        <v/>
      </c>
      <c r="W22" s="95">
        <f>IFERROR(MAX(0,MIN(100,(25-P22)/(25-12)*100)),0)</f>
        <v/>
      </c>
      <c r="X22" s="95">
        <f>IFERROR(MAX(0,MIN(100,(AD22-1)/(3-1)*100))*IF(OR($A22="North Clackamas School District",$A22="Provo City School District"),0.6,1),0)</f>
        <v/>
      </c>
      <c r="Y22" s="95">
        <f>IFERROR(MAX(0,MIN(100,(1-((IFERROR(INDEX('School District Profiles'!$D$2:$D$86,MATCH($A22,'School District Profiles'!$A$2:$A$86,0)),0)/100)^2+(IFERROR(INDEX('School District Profiles'!$E$2:$E$86,MATCH($A22,'School District Profiles'!$A$2:$A$86,0)),0)/100)^2+(IFERROR(INDEX('School District Profiles'!$F$2:$F$86,MATCH($A22,'School District Profiles'!$A$2:$A$86,0)),0)/100)^2+(IFERROR(INDEX('School District Profiles'!$G$2:$G$86,MATCH($A22,'School District Profiles'!$A$2:$A$86,0)),0)/100)^2+(AC22/100)^2))/0.8*100)),0)</f>
        <v/>
      </c>
      <c r="Z22" s="95">
        <f>IFERROR(AF22*AG22,0)</f>
        <v/>
      </c>
      <c r="AA22" s="88">
        <f>IFERROR(INDEX('Median Home and Rent Prices'!$F$2:$F$86,MATCH($A22,'Median Home and Rent Prices'!$A$2:$A$86,0)),0)</f>
        <v/>
      </c>
      <c r="AB22" s="95">
        <f>IFERROR(MAX(0,MIN(100,(800-AA22)/(800-150)*100)),0)</f>
        <v/>
      </c>
      <c r="AC22" s="88">
        <f>IFERROR(INDEX('School District Profiles'!$J$2:$J$86,MATCH($A22,'School District Profiles'!$A$2:$A$86,0)),0)</f>
        <v/>
      </c>
      <c r="AD22" s="95">
        <f>IFERROR(Q22*20/O22,0)</f>
        <v/>
      </c>
      <c r="AE22" s="95">
        <f>IFERROR(IF(AG22&gt;=1,100,IF(AG22&gt;=0.95,75,IF(AG22&gt;=0.9,60,IF(AG22&gt;=0.85,40,IF(AG22&gt;=0.8,25,0))))),0)</f>
        <v/>
      </c>
      <c r="AF22" s="95">
        <f>IFERROR(0.35*V22+0.3*U22+0.1*W22+0.1*X22+0.1*Y22+0.05*AR22,0)</f>
        <v/>
      </c>
      <c r="AG22" s="95" t="n">
        <v>1</v>
      </c>
      <c r="AH22" s="88" t="inlineStr">
        <is>
          <t>Official salary schedule extracted. BA maps to Lane 1; MA maps to Lane 5. Years 0-2 use Step A because the agreement groups beginning years together.</t>
        </is>
      </c>
      <c r="AI22" s="90">
        <f>IF('Score Inputs'!$B$3="Bachelor's",CHOOSE(MATCH('Score Inputs'!$B$4,{0,5,10},0),D22,E22,F22),CHOOSE(MATCH('Score Inputs'!$B$4,{0,5,10},0),G22,H22,I22))</f>
        <v/>
      </c>
      <c r="AJ22" s="90">
        <f>IFERROR(AI22/12,0)</f>
        <v/>
      </c>
      <c r="AK22" s="115">
        <f>IFERROR(O22/AJ22,0)</f>
        <v/>
      </c>
      <c r="AL22" s="95">
        <f>IFERROR(IF(AK22&lt;=25%,100,IF(AK22&lt;=30%,100-(AK22-25%)/5%*30,IF(AK22&lt;=35%,70-(AK22-30%)/5%*10,IF(AK22&lt;=40%,60-(AK22-35%)/5%*20,MAX(0,40-(AK22-40%)/10%*40))))),0)</f>
        <v/>
      </c>
      <c r="AM22" s="90">
        <f>IFERROR(PMT('Score Inputs'!$B$5/12,'Score Inputs'!$B$7*12,-N22*(1-'Score Inputs'!$B$6)),0)</f>
        <v/>
      </c>
      <c r="AN22" s="115">
        <f>IFERROR(AM22/AJ22,0)</f>
        <v/>
      </c>
      <c r="AO22" s="95">
        <f>IFERROR(IF(AN22&lt;=25%,100,IF(AN22&lt;=30%,100-(AN22-25%)/5%*30,IF(AN22&lt;=35%,70-(AN22-30%)/5%*10,IF(AN22&lt;=40%,60-(AN22-35%)/5%*20,MAX(0,40-(AN22-40%)/10%*40))))),0)</f>
        <v/>
      </c>
      <c r="AP22" s="90">
        <f>IFERROR(AJ22-O22,0)</f>
        <v/>
      </c>
      <c r="AQ22" s="95">
        <f>IFERROR(MAX(0,MIN(100,(AP22-'Score Inputs'!$B$8)/('Score Inputs'!$B$9-'Score Inputs'!$B$8)*100)),0)</f>
        <v/>
      </c>
      <c r="AR22" s="95">
        <f>IFERROR(INDEX('State Funding Lookup'!$B$2:$B$86,MATCH($A22,'State Funding Lookup'!$A$2:$A$86,0)),0)</f>
        <v/>
      </c>
      <c r="AS22" s="98">
        <f>AK22</f>
        <v/>
      </c>
      <c r="AT22" s="98">
        <f>AN22</f>
        <v/>
      </c>
    </row>
    <row r="23" ht="30" customHeight="1" s="104">
      <c r="A23" s="88" t="inlineStr">
        <is>
          <t>Clovis Unified School District</t>
        </is>
      </c>
      <c r="B23" s="88">
        <f>IFERROR(INDEX('School District Profiles'!$B$2:$B$86,MATCH($A23,'School District Profiles'!$A$2:$A$86,0)),"")</f>
        <v/>
      </c>
      <c r="C23" s="88">
        <f>IFERROR(INDEX('School District Profiles'!$C$2:$C$86,MATCH($A23,'School District Profiles'!$A$2:$A$86,0)),"")</f>
        <v/>
      </c>
      <c r="D23" s="90">
        <f>IFERROR(SUMIFS('Teacher Salary Data'!$E$2:$E$1871,'Teacher Salary Data'!$A$2:$A$1871,$A23,'Teacher Salary Data'!$C$2:$C$1871,"Bachelor's",'Teacher Salary Data'!$D$2:$D$1871,0),0)</f>
        <v/>
      </c>
      <c r="E23" s="90">
        <f>IFERROR(SUMIFS('Teacher Salary Data'!$E$2:$E$1871,'Teacher Salary Data'!$A$2:$A$1871,$A23,'Teacher Salary Data'!$C$2:$C$1871,"Bachelor's",'Teacher Salary Data'!$D$2:$D$1871,5),0)</f>
        <v/>
      </c>
      <c r="F23" s="90">
        <f>IFERROR(SUMIFS('Teacher Salary Data'!$E$2:$E$1871,'Teacher Salary Data'!$A$2:$A$1871,$A23,'Teacher Salary Data'!$C$2:$C$1871,"Bachelor's",'Teacher Salary Data'!$D$2:$D$1871,10),0)</f>
        <v/>
      </c>
      <c r="G23" s="90">
        <f>IFERROR(SUMIFS('Teacher Salary Data'!$E$2:$E$1871,'Teacher Salary Data'!$A$2:$A$1871,$A23,'Teacher Salary Data'!$C$2:$C$1871,"Master's",'Teacher Salary Data'!$D$2:$D$1871,0),0)</f>
        <v/>
      </c>
      <c r="H23" s="90">
        <f>IFERROR(SUMIFS('Teacher Salary Data'!$E$2:$E$1871,'Teacher Salary Data'!$A$2:$A$1871,$A23,'Teacher Salary Data'!$C$2:$C$1871,"Master's",'Teacher Salary Data'!$D$2:$D$1871,5),0)</f>
        <v/>
      </c>
      <c r="I23" s="90">
        <f>IFERROR(SUMIFS('Teacher Salary Data'!$E$2:$E$1871,'Teacher Salary Data'!$A$2:$A$1871,$A23,'Teacher Salary Data'!$C$2:$C$1871,"Master's",'Teacher Salary Data'!$D$2:$D$1871,10),0)</f>
        <v/>
      </c>
      <c r="J23" s="90">
        <f>AVERAGE(D23,G23)</f>
        <v/>
      </c>
      <c r="K23" s="90">
        <f>AVERAGE(F23,I23)</f>
        <v/>
      </c>
      <c r="L23" s="115">
        <f>IFERROR((K23-J23)/J23,0)</f>
        <v/>
      </c>
      <c r="M23" s="88">
        <f>G23-D23</f>
        <v/>
      </c>
      <c r="N23" s="90">
        <f>IFERROR(INDEX('Median Home and Rent Prices'!$D$2:$D$86,MATCH($A23,'Median Home and Rent Prices'!$A$2:$A$86,0)),0)</f>
        <v/>
      </c>
      <c r="O23" s="90">
        <f>IFERROR(INDEX('Median Home and Rent Prices'!$E$2:$E$86,MATCH($A23,'Median Home and Rent Prices'!$A$2:$A$86,0)),0)</f>
        <v/>
      </c>
      <c r="P23" s="88">
        <f>IFERROR(INDEX('School District Profiles'!$H$2:$H$86,MATCH($A23,'School District Profiles'!$A$2:$A$86,0)),0)</f>
        <v/>
      </c>
      <c r="Q23" s="90">
        <f>IFERROR(INDEX('School District Profiles'!$I$2:$I$86,MATCH($A23,'School District Profiles'!$A$2:$A$86,0)),0)</f>
        <v/>
      </c>
      <c r="R23" s="95">
        <f>IFERROR(IF(($AI23-('Score Inputs'!$B$4*1500+IF('Score Inputs'!$B$3="Master's",4000,0)))&lt;53000,MAX(0,MIN(39.99,((($AI23-('Score Inputs'!$B$4*1500+IF('Score Inputs'!$B$3="Master's",4000,0))))-45000)/8000*39.99)),IF(($AI23-('Score Inputs'!$B$4*1500+IF('Score Inputs'!$B$3="Master's",4000,0)))&lt;58000,40+((($AI23-('Score Inputs'!$B$4*1500+IF('Score Inputs'!$B$3="Master's",4000,0))))-53000)/5000*20,IF(($AI23-('Score Inputs'!$B$4*1500+IF('Score Inputs'!$B$3="Master's",4000,0)))&lt;63000,60+((($AI23-('Score Inputs'!$B$4*1500+IF('Score Inputs'!$B$3="Master's",4000,0))))-58000)/5000*10,IF(($AI23-('Score Inputs'!$B$4*1500+IF('Score Inputs'!$B$3="Master's",4000,0)))&lt;70000,70+((($AI23-('Score Inputs'!$B$4*1500+IF('Score Inputs'!$B$3="Master's",4000,0))))-63000)/7000*10,IF(($AI23-('Score Inputs'!$B$4*1500+IF('Score Inputs'!$B$3="Master's",4000,0)))&lt;75000,80+((($AI23-('Score Inputs'!$B$4*1500+IF('Score Inputs'!$B$3="Master's",4000,0))))-70000)/5000*10,MIN(100,90+((($AI23-('Score Inputs'!$B$4*1500+IF('Score Inputs'!$B$3="Master's",4000,0))))-75000)/5000*10)))))),0)</f>
        <v/>
      </c>
      <c r="S23" s="95">
        <f>IFERROR(MAX(0,MIN(100,L23/0.48*100)),0)</f>
        <v/>
      </c>
      <c r="T23" s="95">
        <f>IFERROR(MAX(0,MIN(100,M23/15000*100)),0)</f>
        <v/>
      </c>
      <c r="U23" s="95">
        <f>IFERROR(0.5*R23+0.35*S23+0.15*T23,0)</f>
        <v/>
      </c>
      <c r="V23" s="95">
        <f>IFERROR(0.35*AL23+0.3*AO23+0.25*AB23+0.1*AQ23,0)</f>
        <v/>
      </c>
      <c r="W23" s="95">
        <f>IFERROR(MAX(0,MIN(100,(25-P23)/(25-12)*100)),0)</f>
        <v/>
      </c>
      <c r="X23" s="95">
        <f>IFERROR(MAX(0,MIN(100,(AD23-1)/(3-1)*100))*IF(OR($A23="North Clackamas School District",$A23="Provo City School District"),0.6,1),0)</f>
        <v/>
      </c>
      <c r="Y23" s="95">
        <f>IFERROR(MAX(0,MIN(100,(1-((IFERROR(INDEX('School District Profiles'!$D$2:$D$86,MATCH($A23,'School District Profiles'!$A$2:$A$86,0)),0)/100)^2+(IFERROR(INDEX('School District Profiles'!$E$2:$E$86,MATCH($A23,'School District Profiles'!$A$2:$A$86,0)),0)/100)^2+(IFERROR(INDEX('School District Profiles'!$F$2:$F$86,MATCH($A23,'School District Profiles'!$A$2:$A$86,0)),0)/100)^2+(IFERROR(INDEX('School District Profiles'!$G$2:$G$86,MATCH($A23,'School District Profiles'!$A$2:$A$86,0)),0)/100)^2+(AC23/100)^2))/0.8*100)),0)</f>
        <v/>
      </c>
      <c r="Z23" s="95">
        <f>IFERROR(AF23*AG23,0)</f>
        <v/>
      </c>
      <c r="AA23" s="88">
        <f>IFERROR(INDEX('Median Home and Rent Prices'!$F$2:$F$86,MATCH($A23,'Median Home and Rent Prices'!$A$2:$A$86,0)),0)</f>
        <v/>
      </c>
      <c r="AB23" s="95">
        <f>IFERROR(MAX(0,MIN(100,(800-AA23)/(800-150)*100)),0)</f>
        <v/>
      </c>
      <c r="AC23" s="88">
        <f>IFERROR(INDEX('School District Profiles'!$J$2:$J$86,MATCH($A23,'School District Profiles'!$A$2:$A$86,0)),0)</f>
        <v/>
      </c>
      <c r="AD23" s="95">
        <f>IFERROR(Q23*20/O23,0)</f>
        <v/>
      </c>
      <c r="AE23" s="95">
        <f>IFERROR(IF(AG23&gt;=1,100,IF(AG23&gt;=0.95,75,IF(AG23&gt;=0.9,60,IF(AG23&gt;=0.85,40,IF(AG23&gt;=0.8,25,0))))),0)</f>
        <v/>
      </c>
      <c r="AF23" s="95">
        <f>IFERROR(0.35*V23+0.3*U23+0.1*W23+0.1*X23+0.1*Y23+0.05*AR23,0)</f>
        <v/>
      </c>
      <c r="AG23" s="95" t="n">
        <v>1</v>
      </c>
      <c r="AH23" s="88" t="inlineStr">
        <is>
          <t>First-pass addition from public salary/housing sources. Verify official step placement, current sub pay, enrollment/budget stability, and district-boundary housing before final public ranking claims.</t>
        </is>
      </c>
      <c r="AI23" s="90">
        <f>IF('Score Inputs'!$B$3="Bachelor's",CHOOSE(MATCH('Score Inputs'!$B$4,{0,5,10},0),D23,E23,F23),CHOOSE(MATCH('Score Inputs'!$B$4,{0,5,10},0),G23,H23,I23))</f>
        <v/>
      </c>
      <c r="AJ23" s="90">
        <f>IFERROR(AI23/12,0)</f>
        <v/>
      </c>
      <c r="AK23" s="115">
        <f>IFERROR(O23/AJ23,0)</f>
        <v/>
      </c>
      <c r="AL23" s="95">
        <f>IFERROR(IF(AK23&lt;=25%,100,IF(AK23&lt;=30%,100-(AK23-25%)/5%*30,IF(AK23&lt;=35%,70-(AK23-30%)/5%*10,IF(AK23&lt;=40%,60-(AK23-35%)/5%*20,MAX(0,40-(AK23-40%)/10%*40))))),0)</f>
        <v/>
      </c>
      <c r="AM23" s="90">
        <f>IFERROR(PMT('Score Inputs'!$B$5/12,'Score Inputs'!$B$7*12,-N23*(1-'Score Inputs'!$B$6)),0)</f>
        <v/>
      </c>
      <c r="AN23" s="115">
        <f>IFERROR(AM23/AJ23,0)</f>
        <v/>
      </c>
      <c r="AO23" s="95">
        <f>IFERROR(IF(AN23&lt;=25%,100,IF(AN23&lt;=30%,100-(AN23-25%)/5%*30,IF(AN23&lt;=35%,70-(AN23-30%)/5%*10,IF(AN23&lt;=40%,60-(AN23-35%)/5%*20,MAX(0,40-(AN23-40%)/10%*40))))),0)</f>
        <v/>
      </c>
      <c r="AP23" s="90">
        <f>IFERROR(AJ23-O23,0)</f>
        <v/>
      </c>
      <c r="AQ23" s="95">
        <f>IFERROR(MAX(0,MIN(100,(AP23-'Score Inputs'!$B$8)/('Score Inputs'!$B$9-'Score Inputs'!$B$8)*100)),0)</f>
        <v/>
      </c>
      <c r="AR23" s="95">
        <f>IFERROR(INDEX('State Funding Lookup'!$B$2:$B$86,MATCH($A23,'State Funding Lookup'!$A$2:$A$86,0)),0)</f>
        <v/>
      </c>
      <c r="AS23" s="98">
        <f>AK23</f>
        <v/>
      </c>
      <c r="AT23" s="98">
        <f>AN23</f>
        <v/>
      </c>
    </row>
    <row r="24" ht="30" customHeight="1" s="104">
      <c r="A24" s="58" t="inlineStr">
        <is>
          <t>Gwinnett County Public Schools</t>
        </is>
      </c>
      <c r="B24" s="58">
        <f>IFERROR(INDEX('School District Profiles'!$B$2:$B$86,MATCH($A24,'School District Profiles'!$A$2:$A$86,0)),"")</f>
        <v/>
      </c>
      <c r="C24" s="58">
        <f>IFERROR(INDEX('School District Profiles'!$C$2:$C$86,MATCH($A24,'School District Profiles'!$A$2:$A$86,0)),"")</f>
        <v/>
      </c>
      <c r="D24" s="59">
        <f>IFERROR(SUMIFS('Teacher Salary Data'!$E$2:$E$1871,'Teacher Salary Data'!$A$2:$A$1871,$A24,'Teacher Salary Data'!$C$2:$C$1871,"Bachelor's",'Teacher Salary Data'!$D$2:$D$1871,0),0)</f>
        <v/>
      </c>
      <c r="E24" s="59">
        <f>IFERROR(SUMIFS('Teacher Salary Data'!$E$2:$E$1871,'Teacher Salary Data'!$A$2:$A$1871,$A24,'Teacher Salary Data'!$C$2:$C$1871,"Bachelor's",'Teacher Salary Data'!$D$2:$D$1871,5),0)</f>
        <v/>
      </c>
      <c r="F24" s="59">
        <f>IFERROR(SUMIFS('Teacher Salary Data'!$E$2:$E$1871,'Teacher Salary Data'!$A$2:$A$1871,$A24,'Teacher Salary Data'!$C$2:$C$1871,"Bachelor's",'Teacher Salary Data'!$D$2:$D$1871,10),0)</f>
        <v/>
      </c>
      <c r="G24" s="59">
        <f>IFERROR(SUMIFS('Teacher Salary Data'!$E$2:$E$1871,'Teacher Salary Data'!$A$2:$A$1871,$A24,'Teacher Salary Data'!$C$2:$C$1871,"Master's",'Teacher Salary Data'!$D$2:$D$1871,0),0)</f>
        <v/>
      </c>
      <c r="H24" s="59">
        <f>IFERROR(SUMIFS('Teacher Salary Data'!$E$2:$E$1871,'Teacher Salary Data'!$A$2:$A$1871,$A24,'Teacher Salary Data'!$C$2:$C$1871,"Master's",'Teacher Salary Data'!$D$2:$D$1871,5),0)</f>
        <v/>
      </c>
      <c r="I24" s="59">
        <f>IFERROR(SUMIFS('Teacher Salary Data'!$E$2:$E$1871,'Teacher Salary Data'!$A$2:$A$1871,$A24,'Teacher Salary Data'!$C$2:$C$1871,"Master's",'Teacher Salary Data'!$D$2:$D$1871,10),0)</f>
        <v/>
      </c>
      <c r="J24" s="59">
        <f>AVERAGE(D24,G24)</f>
        <v/>
      </c>
      <c r="K24" s="59">
        <f>AVERAGE(F24,I24)</f>
        <v/>
      </c>
      <c r="L24" s="116">
        <f>IFERROR((K24-J24)/J24,0)</f>
        <v/>
      </c>
      <c r="M24" s="59">
        <f>G24-D24</f>
        <v/>
      </c>
      <c r="N24" s="59">
        <f>IFERROR(INDEX('Median Home and Rent Prices'!$D$2:$D$86,MATCH($A24,'Median Home and Rent Prices'!$A$2:$A$86,0)),0)</f>
        <v/>
      </c>
      <c r="O24" s="59">
        <f>IFERROR(INDEX('Median Home and Rent Prices'!$E$2:$E$86,MATCH($A24,'Median Home and Rent Prices'!$A$2:$A$86,0)),0)</f>
        <v/>
      </c>
      <c r="P24" s="61">
        <f>IFERROR(INDEX('School District Profiles'!$H$2:$H$86,MATCH($A24,'School District Profiles'!$A$2:$A$86,0)),0)</f>
        <v/>
      </c>
      <c r="Q24" s="59">
        <f>IFERROR(INDEX('School District Profiles'!$I$2:$I$86,MATCH($A24,'School District Profiles'!$A$2:$A$86,0)),0)</f>
        <v/>
      </c>
      <c r="R24" s="61">
        <f>IFERROR(IF(($AI24-('Score Inputs'!$B$4*1500+IF('Score Inputs'!$B$3="Master's",4000,0)))&lt;53000,MAX(0,MIN(39.99,((($AI24-('Score Inputs'!$B$4*1500+IF('Score Inputs'!$B$3="Master's",4000,0))))-45000)/8000*39.99)),IF(($AI24-('Score Inputs'!$B$4*1500+IF('Score Inputs'!$B$3="Master's",4000,0)))&lt;58000,40+((($AI24-('Score Inputs'!$B$4*1500+IF('Score Inputs'!$B$3="Master's",4000,0))))-53000)/5000*20,IF(($AI24-('Score Inputs'!$B$4*1500+IF('Score Inputs'!$B$3="Master's",4000,0)))&lt;63000,60+((($AI24-('Score Inputs'!$B$4*1500+IF('Score Inputs'!$B$3="Master's",4000,0))))-58000)/5000*10,IF(($AI24-('Score Inputs'!$B$4*1500+IF('Score Inputs'!$B$3="Master's",4000,0)))&lt;70000,70+((($AI24-('Score Inputs'!$B$4*1500+IF('Score Inputs'!$B$3="Master's",4000,0))))-63000)/7000*10,IF(($AI24-('Score Inputs'!$B$4*1500+IF('Score Inputs'!$B$3="Master's",4000,0)))&lt;75000,80+((($AI24-('Score Inputs'!$B$4*1500+IF('Score Inputs'!$B$3="Master's",4000,0))))-70000)/5000*10,MIN(100,90+((($AI24-('Score Inputs'!$B$4*1500+IF('Score Inputs'!$B$3="Master's",4000,0))))-75000)/5000*10)))))),0)</f>
        <v/>
      </c>
      <c r="S24" s="61">
        <f>IFERROR(MAX(0,MIN(100,L24/0.48*100)),0)</f>
        <v/>
      </c>
      <c r="T24" s="61">
        <f>IFERROR(MAX(0,MIN(100,M24/15000*100)),0)</f>
        <v/>
      </c>
      <c r="U24" s="61">
        <f>IFERROR(0.5*R24+0.35*S24+0.15*T24,0)</f>
        <v/>
      </c>
      <c r="V24" s="61">
        <f>IFERROR(0.35*AL24+0.3*AO24+0.25*AB24+0.1*AQ24,0)</f>
        <v/>
      </c>
      <c r="W24" s="61">
        <f>IFERROR(MAX(0,MIN(100,(25-P24)/(25-12)*100)),0)</f>
        <v/>
      </c>
      <c r="X24" s="61">
        <f>IFERROR(MAX(0,MIN(100,(AD24-1)/(3-1)*100))*IF(OR($A24="North Clackamas School District",$A24="Provo City School District"),0.6,1),0)</f>
        <v/>
      </c>
      <c r="Y24" s="61">
        <f>IFERROR(MAX(0,MIN(100,(1-((IFERROR(INDEX('School District Profiles'!$D$2:$D$86,MATCH($A24,'School District Profiles'!$A$2:$A$86,0)),0)/100)^2+(IFERROR(INDEX('School District Profiles'!$E$2:$E$86,MATCH($A24,'School District Profiles'!$A$2:$A$86,0)),0)/100)^2+(IFERROR(INDEX('School District Profiles'!$F$2:$F$86,MATCH($A24,'School District Profiles'!$A$2:$A$86,0)),0)/100)^2+(IFERROR(INDEX('School District Profiles'!$G$2:$G$86,MATCH($A24,'School District Profiles'!$A$2:$A$86,0)),0)/100)^2+(AC24/100)^2))/0.8*100)),0)</f>
        <v/>
      </c>
      <c r="Z24" s="61">
        <f>IFERROR(AF24*AG24,0)</f>
        <v/>
      </c>
      <c r="AA24" s="62">
        <f>IFERROR(INDEX('Median Home and Rent Prices'!$F$2:$F$86,MATCH($A24,'Median Home and Rent Prices'!$A$2:$A$86,0)),0)</f>
        <v/>
      </c>
      <c r="AB24" s="61">
        <f>IFERROR(MAX(0,MIN(100,(800-AA24)/(800-150)*100)),0)</f>
        <v/>
      </c>
      <c r="AC24" s="116">
        <f>IFERROR(INDEX('School District Profiles'!$J$2:$J$86,MATCH($A24,'School District Profiles'!$A$2:$A$86,0)),0)</f>
        <v/>
      </c>
      <c r="AD24" s="61">
        <f>IFERROR(Q24*20/O24,0)</f>
        <v/>
      </c>
      <c r="AE24" s="63">
        <f>IFERROR(IF(AG24&gt;=1,100,IF(AG24&gt;=0.95,75,IF(AG24&gt;=0.9,60,IF(AG24&gt;=0.85,40,IF(AG24&gt;=0.8,25,0))))),0)</f>
        <v/>
      </c>
      <c r="AF24" s="63">
        <f>IFERROR(0.35*V24+0.3*U24+0.1*W24+0.1*X24+0.1*Y24+0.05*AR24,0)</f>
        <v/>
      </c>
      <c r="AG24" s="63" t="n">
        <v>1</v>
      </c>
      <c r="AH24" s="64" t="inlineStr">
        <is>
          <t>No penalty applied. Current public-source pass found no broad layoff/closure warning; GCPS is a very large district and its FY2026 budget materials include teacher salary increases/retention support rather than layoff signals.</t>
        </is>
      </c>
      <c r="AI24" s="65">
        <f>IF('Score Inputs'!$B$3="Bachelor's",CHOOSE(MATCH('Score Inputs'!$B$4,{0,5,10},0),D24,E24,F24),CHOOSE(MATCH('Score Inputs'!$B$4,{0,5,10},0),G24,H24,I24))</f>
        <v/>
      </c>
      <c r="AJ24" s="65">
        <f>IFERROR(AI24/12,0)</f>
        <v/>
      </c>
      <c r="AK24" s="114">
        <f>IFERROR(O24/AJ24,0)</f>
        <v/>
      </c>
      <c r="AL24" s="63">
        <f>IFERROR(IF(AK24&lt;=25%,100,IF(AK24&lt;=30%,100-(AK24-25%)/5%*30,IF(AK24&lt;=35%,70-(AK24-30%)/5%*10,IF(AK24&lt;=40%,60-(AK24-35%)/5%*20,MAX(0,40-(AK24-40%)/10%*40))))),0)</f>
        <v/>
      </c>
      <c r="AM24" s="65">
        <f>IFERROR(PMT('Score Inputs'!$B$5/12,'Score Inputs'!$B$7*12,-N24*(1-'Score Inputs'!$B$6)),0)</f>
        <v/>
      </c>
      <c r="AN24" s="114">
        <f>IFERROR(AM24/AJ24,0)</f>
        <v/>
      </c>
      <c r="AO24" s="63">
        <f>IFERROR(IF(AN24&lt;=25%,100,IF(AN24&lt;=30%,100-(AN24-25%)/5%*30,IF(AN24&lt;=35%,70-(AN24-30%)/5%*10,IF(AN24&lt;=40%,60-(AN24-35%)/5%*20,MAX(0,40-(AN24-40%)/10%*40))))),0)</f>
        <v/>
      </c>
      <c r="AP24" s="65">
        <f>IFERROR(AJ24-O24,0)</f>
        <v/>
      </c>
      <c r="AQ24" s="63">
        <f>IFERROR(MAX(0,MIN(100,(AP24-'Score Inputs'!$B$8)/('Score Inputs'!$B$9-'Score Inputs'!$B$8)*100)),0)</f>
        <v/>
      </c>
      <c r="AR24" s="63">
        <f>IFERROR(INDEX('State Funding Lookup'!$B$2:$B$86,MATCH($A24,'State Funding Lookup'!$A$2:$A$86,0)),0)</f>
        <v/>
      </c>
      <c r="AS24" s="67">
        <f>AK24</f>
        <v/>
      </c>
      <c r="AT24" s="67">
        <f>AN24</f>
        <v/>
      </c>
    </row>
    <row r="25" ht="30" customHeight="1" s="104">
      <c r="A25" s="88" t="inlineStr">
        <is>
          <t>Rio Rancho Public Schools</t>
        </is>
      </c>
      <c r="B25" s="88">
        <f>IFERROR(INDEX('School District Profiles'!$B$2:$B$86,MATCH($A25,'School District Profiles'!$A$2:$A$86,0)),"")</f>
        <v/>
      </c>
      <c r="C25" s="88">
        <f>IFERROR(INDEX('School District Profiles'!$C$2:$C$86,MATCH($A25,'School District Profiles'!$A$2:$A$86,0)),"")</f>
        <v/>
      </c>
      <c r="D25" s="90">
        <f>IFERROR(SUMIFS('Teacher Salary Data'!$E$2:$E$1871,'Teacher Salary Data'!$A$2:$A$1871,$A25,'Teacher Salary Data'!$C$2:$C$1871,"Bachelor's",'Teacher Salary Data'!$D$2:$D$1871,0),0)</f>
        <v/>
      </c>
      <c r="E25" s="90">
        <f>IFERROR(SUMIFS('Teacher Salary Data'!$E$2:$E$1871,'Teacher Salary Data'!$A$2:$A$1871,$A25,'Teacher Salary Data'!$C$2:$C$1871,"Bachelor's",'Teacher Salary Data'!$D$2:$D$1871,5),0)</f>
        <v/>
      </c>
      <c r="F25" s="90">
        <f>IFERROR(SUMIFS('Teacher Salary Data'!$E$2:$E$1871,'Teacher Salary Data'!$A$2:$A$1871,$A25,'Teacher Salary Data'!$C$2:$C$1871,"Bachelor's",'Teacher Salary Data'!$D$2:$D$1871,10),0)</f>
        <v/>
      </c>
      <c r="G25" s="90">
        <f>IFERROR(SUMIFS('Teacher Salary Data'!$E$2:$E$1871,'Teacher Salary Data'!$A$2:$A$1871,$A25,'Teacher Salary Data'!$C$2:$C$1871,"Master's",'Teacher Salary Data'!$D$2:$D$1871,0),0)</f>
        <v/>
      </c>
      <c r="H25" s="90">
        <f>IFERROR(SUMIFS('Teacher Salary Data'!$E$2:$E$1871,'Teacher Salary Data'!$A$2:$A$1871,$A25,'Teacher Salary Data'!$C$2:$C$1871,"Master's",'Teacher Salary Data'!$D$2:$D$1871,5),0)</f>
        <v/>
      </c>
      <c r="I25" s="90">
        <f>IFERROR(SUMIFS('Teacher Salary Data'!$E$2:$E$1871,'Teacher Salary Data'!$A$2:$A$1871,$A25,'Teacher Salary Data'!$C$2:$C$1871,"Master's",'Teacher Salary Data'!$D$2:$D$1871,10),0)</f>
        <v/>
      </c>
      <c r="J25" s="90">
        <f>AVERAGE(D25,G25)</f>
        <v/>
      </c>
      <c r="K25" s="90">
        <f>AVERAGE(F25,I25)</f>
        <v/>
      </c>
      <c r="L25" s="115">
        <f>IFERROR((K25-J25)/J25,0)</f>
        <v/>
      </c>
      <c r="M25" s="88">
        <f>G25-D25</f>
        <v/>
      </c>
      <c r="N25" s="90">
        <f>IFERROR(INDEX('Median Home and Rent Prices'!$D$2:$D$86,MATCH($A25,'Median Home and Rent Prices'!$A$2:$A$86,0)),0)</f>
        <v/>
      </c>
      <c r="O25" s="90">
        <f>IFERROR(INDEX('Median Home and Rent Prices'!$E$2:$E$86,MATCH($A25,'Median Home and Rent Prices'!$A$2:$A$86,0)),0)</f>
        <v/>
      </c>
      <c r="P25" s="88">
        <f>IFERROR(INDEX('School District Profiles'!$H$2:$H$86,MATCH($A25,'School District Profiles'!$A$2:$A$86,0)),0)</f>
        <v/>
      </c>
      <c r="Q25" s="90">
        <f>IFERROR(INDEX('School District Profiles'!$I$2:$I$86,MATCH($A25,'School District Profiles'!$A$2:$A$86,0)),0)</f>
        <v/>
      </c>
      <c r="R25" s="95">
        <f>IFERROR(IF(($AI25-('Score Inputs'!$B$4*1500+IF('Score Inputs'!$B$3="Master's",4000,0)))&lt;53000,MAX(0,MIN(39.99,((($AI25-('Score Inputs'!$B$4*1500+IF('Score Inputs'!$B$3="Master's",4000,0))))-45000)/8000*39.99)),IF(($AI25-('Score Inputs'!$B$4*1500+IF('Score Inputs'!$B$3="Master's",4000,0)))&lt;58000,40+((($AI25-('Score Inputs'!$B$4*1500+IF('Score Inputs'!$B$3="Master's",4000,0))))-53000)/5000*20,IF(($AI25-('Score Inputs'!$B$4*1500+IF('Score Inputs'!$B$3="Master's",4000,0)))&lt;63000,60+((($AI25-('Score Inputs'!$B$4*1500+IF('Score Inputs'!$B$3="Master's",4000,0))))-58000)/5000*10,IF(($AI25-('Score Inputs'!$B$4*1500+IF('Score Inputs'!$B$3="Master's",4000,0)))&lt;70000,70+((($AI25-('Score Inputs'!$B$4*1500+IF('Score Inputs'!$B$3="Master's",4000,0))))-63000)/7000*10,IF(($AI25-('Score Inputs'!$B$4*1500+IF('Score Inputs'!$B$3="Master's",4000,0)))&lt;75000,80+((($AI25-('Score Inputs'!$B$4*1500+IF('Score Inputs'!$B$3="Master's",4000,0))))-70000)/5000*10,MIN(100,90+((($AI25-('Score Inputs'!$B$4*1500+IF('Score Inputs'!$B$3="Master's",4000,0))))-75000)/5000*10)))))),0)</f>
        <v/>
      </c>
      <c r="S25" s="95">
        <f>IFERROR(MAX(0,MIN(100,L25/0.48*100)),0)</f>
        <v/>
      </c>
      <c r="T25" s="95">
        <f>IFERROR(MAX(0,MIN(100,M25/15000*100)),0)</f>
        <v/>
      </c>
      <c r="U25" s="95">
        <f>IFERROR(0.5*R25+0.35*S25+0.15*T25,0)</f>
        <v/>
      </c>
      <c r="V25" s="95">
        <f>IFERROR(0.35*AL25+0.3*AO25+0.25*AB25+0.1*AQ25,0)</f>
        <v/>
      </c>
      <c r="W25" s="95">
        <f>IFERROR(MAX(0,MIN(100,(25-P25)/(25-12)*100)),0)</f>
        <v/>
      </c>
      <c r="X25" s="95">
        <f>IFERROR(MAX(0,MIN(100,(AD25-1)/(3-1)*100))*IF(OR($A25="North Clackamas School District",$A25="Provo City School District"),0.6,1),0)</f>
        <v/>
      </c>
      <c r="Y25" s="95">
        <f>IFERROR(MAX(0,MIN(100,(1-((IFERROR(INDEX('School District Profiles'!$D$2:$D$86,MATCH($A25,'School District Profiles'!$A$2:$A$86,0)),0)/100)^2+(IFERROR(INDEX('School District Profiles'!$E$2:$E$86,MATCH($A25,'School District Profiles'!$A$2:$A$86,0)),0)/100)^2+(IFERROR(INDEX('School District Profiles'!$F$2:$F$86,MATCH($A25,'School District Profiles'!$A$2:$A$86,0)),0)/100)^2+(IFERROR(INDEX('School District Profiles'!$G$2:$G$86,MATCH($A25,'School District Profiles'!$A$2:$A$86,0)),0)/100)^2+(AC25/100)^2))/0.8*100)),0)</f>
        <v/>
      </c>
      <c r="Z25" s="95">
        <f>IFERROR(AF25*AG25,0)</f>
        <v/>
      </c>
      <c r="AA25" s="88">
        <f>IFERROR(INDEX('Median Home and Rent Prices'!$F$2:$F$86,MATCH($A25,'Median Home and Rent Prices'!$A$2:$A$86,0)),0)</f>
        <v/>
      </c>
      <c r="AB25" s="95">
        <f>IFERROR(MAX(0,MIN(100,(800-AA25)/(800-150)*100)),0)</f>
        <v/>
      </c>
      <c r="AC25" s="88">
        <f>IFERROR(INDEX('School District Profiles'!$J$2:$J$86,MATCH($A25,'School District Profiles'!$A$2:$A$86,0)),0)</f>
        <v/>
      </c>
      <c r="AD25" s="95">
        <f>IFERROR(Q25*20/O25,0)</f>
        <v/>
      </c>
      <c r="AE25" s="95">
        <f>IFERROR(IF(AG25&gt;=1,100,IF(AG25&gt;=0.95,75,IF(AG25&gt;=0.9,60,IF(AG25&gt;=0.85,40,IF(AG25&gt;=0.8,25,0))))),0)</f>
        <v/>
      </c>
      <c r="AF25" s="95">
        <f>IFERROR(0.35*V25+0.3*U25+0.1*W25+0.1*X25+0.1*Y25+0.05*AR25,0)</f>
        <v/>
      </c>
      <c r="AG25" s="95" t="n">
        <v>1</v>
      </c>
      <c r="AH25" s="88" t="inlineStr">
        <is>
          <t>First-pass addition from public salary/housing sources. Verify official step placement, current sub pay, enrollment/budget stability, and district-boundary housing before final public ranking claims.</t>
        </is>
      </c>
      <c r="AI25" s="90">
        <f>IF('Score Inputs'!$B$3="Bachelor's",CHOOSE(MATCH('Score Inputs'!$B$4,{0,5,10},0),D25,E25,F25),CHOOSE(MATCH('Score Inputs'!$B$4,{0,5,10},0),G25,H25,I25))</f>
        <v/>
      </c>
      <c r="AJ25" s="90">
        <f>IFERROR(AI25/12,0)</f>
        <v/>
      </c>
      <c r="AK25" s="115">
        <f>IFERROR(O25/AJ25,0)</f>
        <v/>
      </c>
      <c r="AL25" s="95">
        <f>IFERROR(IF(AK25&lt;=25%,100,IF(AK25&lt;=30%,100-(AK25-25%)/5%*30,IF(AK25&lt;=35%,70-(AK25-30%)/5%*10,IF(AK25&lt;=40%,60-(AK25-35%)/5%*20,MAX(0,40-(AK25-40%)/10%*40))))),0)</f>
        <v/>
      </c>
      <c r="AM25" s="90">
        <f>IFERROR(PMT('Score Inputs'!$B$5/12,'Score Inputs'!$B$7*12,-N25*(1-'Score Inputs'!$B$6)),0)</f>
        <v/>
      </c>
      <c r="AN25" s="115">
        <f>IFERROR(AM25/AJ25,0)</f>
        <v/>
      </c>
      <c r="AO25" s="95">
        <f>IFERROR(IF(AN25&lt;=25%,100,IF(AN25&lt;=30%,100-(AN25-25%)/5%*30,IF(AN25&lt;=35%,70-(AN25-30%)/5%*10,IF(AN25&lt;=40%,60-(AN25-35%)/5%*20,MAX(0,40-(AN25-40%)/10%*40))))),0)</f>
        <v/>
      </c>
      <c r="AP25" s="90">
        <f>IFERROR(AJ25-O25,0)</f>
        <v/>
      </c>
      <c r="AQ25" s="95">
        <f>IFERROR(MAX(0,MIN(100,(AP25-'Score Inputs'!$B$8)/('Score Inputs'!$B$9-'Score Inputs'!$B$8)*100)),0)</f>
        <v/>
      </c>
      <c r="AR25" s="95">
        <f>IFERROR(INDEX('State Funding Lookup'!$B$2:$B$86,MATCH($A25,'State Funding Lookup'!$A$2:$A$86,0)),0)</f>
        <v/>
      </c>
      <c r="AS25" s="98">
        <f>AK25</f>
        <v/>
      </c>
      <c r="AT25" s="98">
        <f>AN25</f>
        <v/>
      </c>
    </row>
    <row r="26" ht="30" customHeight="1" s="104">
      <c r="A26" s="58" t="inlineStr">
        <is>
          <t>Katy ISD</t>
        </is>
      </c>
      <c r="B26" s="58">
        <f>IFERROR(INDEX('School District Profiles'!$B$2:$B$86,MATCH($A26,'School District Profiles'!$A$2:$A$86,0)),"")</f>
        <v/>
      </c>
      <c r="C26" s="58">
        <f>IFERROR(INDEX('School District Profiles'!$C$2:$C$86,MATCH($A26,'School District Profiles'!$A$2:$A$86,0)),"")</f>
        <v/>
      </c>
      <c r="D26" s="59">
        <f>IFERROR(SUMIFS('Teacher Salary Data'!$E$2:$E$1871,'Teacher Salary Data'!$A$2:$A$1871,$A26,'Teacher Salary Data'!$C$2:$C$1871,"Bachelor's",'Teacher Salary Data'!$D$2:$D$1871,0),0)</f>
        <v/>
      </c>
      <c r="E26" s="59">
        <f>IFERROR(SUMIFS('Teacher Salary Data'!$E$2:$E$1871,'Teacher Salary Data'!$A$2:$A$1871,$A26,'Teacher Salary Data'!$C$2:$C$1871,"Bachelor's",'Teacher Salary Data'!$D$2:$D$1871,5),0)</f>
        <v/>
      </c>
      <c r="F26" s="59">
        <f>IFERROR(SUMIFS('Teacher Salary Data'!$E$2:$E$1871,'Teacher Salary Data'!$A$2:$A$1871,$A26,'Teacher Salary Data'!$C$2:$C$1871,"Bachelor's",'Teacher Salary Data'!$D$2:$D$1871,10),0)</f>
        <v/>
      </c>
      <c r="G26" s="59">
        <f>IFERROR(SUMIFS('Teacher Salary Data'!$E$2:$E$1871,'Teacher Salary Data'!$A$2:$A$1871,$A26,'Teacher Salary Data'!$C$2:$C$1871,"Master's",'Teacher Salary Data'!$D$2:$D$1871,0),0)</f>
        <v/>
      </c>
      <c r="H26" s="59">
        <f>IFERROR(SUMIFS('Teacher Salary Data'!$E$2:$E$1871,'Teacher Salary Data'!$A$2:$A$1871,$A26,'Teacher Salary Data'!$C$2:$C$1871,"Master's",'Teacher Salary Data'!$D$2:$D$1871,5),0)</f>
        <v/>
      </c>
      <c r="I26" s="59">
        <f>IFERROR(SUMIFS('Teacher Salary Data'!$E$2:$E$1871,'Teacher Salary Data'!$A$2:$A$1871,$A26,'Teacher Salary Data'!$C$2:$C$1871,"Master's",'Teacher Salary Data'!$D$2:$D$1871,10),0)</f>
        <v/>
      </c>
      <c r="J26" s="59">
        <f>AVERAGE(D26,G26)</f>
        <v/>
      </c>
      <c r="K26" s="59">
        <f>AVERAGE(F26,I26)</f>
        <v/>
      </c>
      <c r="L26" s="116">
        <f>IFERROR((K26-J26)/J26,0)</f>
        <v/>
      </c>
      <c r="M26" s="59">
        <f>G26-D26</f>
        <v/>
      </c>
      <c r="N26" s="59">
        <f>IFERROR(INDEX('Median Home and Rent Prices'!$D$2:$D$86,MATCH($A26,'Median Home and Rent Prices'!$A$2:$A$86,0)),0)</f>
        <v/>
      </c>
      <c r="O26" s="59">
        <f>IFERROR(INDEX('Median Home and Rent Prices'!$E$2:$E$86,MATCH($A26,'Median Home and Rent Prices'!$A$2:$A$86,0)),0)</f>
        <v/>
      </c>
      <c r="P26" s="61">
        <f>IFERROR(INDEX('School District Profiles'!$H$2:$H$86,MATCH($A26,'School District Profiles'!$A$2:$A$86,0)),0)</f>
        <v/>
      </c>
      <c r="Q26" s="59">
        <f>IFERROR(INDEX('School District Profiles'!$I$2:$I$86,MATCH($A26,'School District Profiles'!$A$2:$A$86,0)),0)</f>
        <v/>
      </c>
      <c r="R26" s="61">
        <f>IFERROR(IF(($AI26-('Score Inputs'!$B$4*1500+IF('Score Inputs'!$B$3="Master's",4000,0)))&lt;53000,MAX(0,MIN(39.99,((($AI26-('Score Inputs'!$B$4*1500+IF('Score Inputs'!$B$3="Master's",4000,0))))-45000)/8000*39.99)),IF(($AI26-('Score Inputs'!$B$4*1500+IF('Score Inputs'!$B$3="Master's",4000,0)))&lt;58000,40+((($AI26-('Score Inputs'!$B$4*1500+IF('Score Inputs'!$B$3="Master's",4000,0))))-53000)/5000*20,IF(($AI26-('Score Inputs'!$B$4*1500+IF('Score Inputs'!$B$3="Master's",4000,0)))&lt;63000,60+((($AI26-('Score Inputs'!$B$4*1500+IF('Score Inputs'!$B$3="Master's",4000,0))))-58000)/5000*10,IF(($AI26-('Score Inputs'!$B$4*1500+IF('Score Inputs'!$B$3="Master's",4000,0)))&lt;70000,70+((($AI26-('Score Inputs'!$B$4*1500+IF('Score Inputs'!$B$3="Master's",4000,0))))-63000)/7000*10,IF(($AI26-('Score Inputs'!$B$4*1500+IF('Score Inputs'!$B$3="Master's",4000,0)))&lt;75000,80+((($AI26-('Score Inputs'!$B$4*1500+IF('Score Inputs'!$B$3="Master's",4000,0))))-70000)/5000*10,MIN(100,90+((($AI26-('Score Inputs'!$B$4*1500+IF('Score Inputs'!$B$3="Master's",4000,0))))-75000)/5000*10)))))),0)</f>
        <v/>
      </c>
      <c r="S26" s="61">
        <f>IFERROR(MAX(0,MIN(100,L26/0.48*100)),0)</f>
        <v/>
      </c>
      <c r="T26" s="61">
        <f>IFERROR(MAX(0,MIN(100,M26/15000*100)),0)</f>
        <v/>
      </c>
      <c r="U26" s="61">
        <f>IFERROR(0.5*R26+0.35*S26+0.15*T26,0)</f>
        <v/>
      </c>
      <c r="V26" s="61">
        <f>IFERROR(0.35*AL26+0.3*AO26+0.25*AB26+0.1*AQ26,0)</f>
        <v/>
      </c>
      <c r="W26" s="61">
        <f>IFERROR(MAX(0,MIN(100,(25-P26)/(25-12)*100)),0)</f>
        <v/>
      </c>
      <c r="X26" s="61">
        <f>IFERROR(MAX(0,MIN(100,(AD26-1)/(3-1)*100))*IF(OR($A26="North Clackamas School District",$A26="Provo City School District"),0.6,1),0)</f>
        <v/>
      </c>
      <c r="Y26" s="61">
        <f>IFERROR(MAX(0,MIN(100,(1-((IFERROR(INDEX('School District Profiles'!$D$2:$D$86,MATCH($A26,'School District Profiles'!$A$2:$A$86,0)),0)/100)^2+(IFERROR(INDEX('School District Profiles'!$E$2:$E$86,MATCH($A26,'School District Profiles'!$A$2:$A$86,0)),0)/100)^2+(IFERROR(INDEX('School District Profiles'!$F$2:$F$86,MATCH($A26,'School District Profiles'!$A$2:$A$86,0)),0)/100)^2+(IFERROR(INDEX('School District Profiles'!$G$2:$G$86,MATCH($A26,'School District Profiles'!$A$2:$A$86,0)),0)/100)^2+(AC26/100)^2))/0.8*100)),0)</f>
        <v/>
      </c>
      <c r="Z26" s="61">
        <f>IFERROR(AF26*AG26,0)</f>
        <v/>
      </c>
      <c r="AA26" s="62">
        <f>IFERROR(INDEX('Median Home and Rent Prices'!$F$2:$F$86,MATCH($A26,'Median Home and Rent Prices'!$A$2:$A$86,0)),0)</f>
        <v/>
      </c>
      <c r="AB26" s="61">
        <f>IFERROR(MAX(0,MIN(100,(800-AA26)/(800-150)*100)),0)</f>
        <v/>
      </c>
      <c r="AC26" s="116">
        <f>IFERROR(INDEX('School District Profiles'!$J$2:$J$86,MATCH($A26,'School District Profiles'!$A$2:$A$86,0)),0)</f>
        <v/>
      </c>
      <c r="AD26" s="61">
        <f>IFERROR(Q26*20/O26,0)</f>
        <v/>
      </c>
      <c r="AE26" s="63">
        <f>IFERROR(IF(AG26&gt;=1,100,IF(AG26&gt;=0.95,75,IF(AG26&gt;=0.9,60,IF(AG26&gt;=0.85,40,IF(AG26&gt;=0.8,25,0))))),0)</f>
        <v/>
      </c>
      <c r="AF26" s="63">
        <f>IFERROR(0.35*V26+0.3*U26+0.1*W26+0.1*X26+0.1*Y26+0.05*AR26,0)</f>
        <v/>
      </c>
      <c r="AG26" s="63" t="n">
        <v>0.9</v>
      </c>
      <c r="AH26" s="64" t="inlineStr">
        <is>
          <t>10% employment-stability penalty due to budget pressure and staffing-reduction risk, partly mitigated by attrition/vacancy-based approach.</t>
        </is>
      </c>
      <c r="AI26" s="65">
        <f>IF('Score Inputs'!$B$3="Bachelor's",CHOOSE(MATCH('Score Inputs'!$B$4,{0,5,10},0),D26,E26,F26),CHOOSE(MATCH('Score Inputs'!$B$4,{0,5,10},0),G26,H26,I26))</f>
        <v/>
      </c>
      <c r="AJ26" s="65">
        <f>IFERROR(AI26/12,0)</f>
        <v/>
      </c>
      <c r="AK26" s="114">
        <f>IFERROR(O26/AJ26,0)</f>
        <v/>
      </c>
      <c r="AL26" s="63">
        <f>IFERROR(IF(AK26&lt;=25%,100,IF(AK26&lt;=30%,100-(AK26-25%)/5%*30,IF(AK26&lt;=35%,70-(AK26-30%)/5%*10,IF(AK26&lt;=40%,60-(AK26-35%)/5%*20,MAX(0,40-(AK26-40%)/10%*40))))),0)</f>
        <v/>
      </c>
      <c r="AM26" s="65">
        <f>IFERROR(PMT('Score Inputs'!$B$5/12,'Score Inputs'!$B$7*12,-N26*(1-'Score Inputs'!$B$6)),0)</f>
        <v/>
      </c>
      <c r="AN26" s="114">
        <f>IFERROR(AM26/AJ26,0)</f>
        <v/>
      </c>
      <c r="AO26" s="63">
        <f>IFERROR(IF(AN26&lt;=25%,100,IF(AN26&lt;=30%,100-(AN26-25%)/5%*30,IF(AN26&lt;=35%,70-(AN26-30%)/5%*10,IF(AN26&lt;=40%,60-(AN26-35%)/5%*20,MAX(0,40-(AN26-40%)/10%*40))))),0)</f>
        <v/>
      </c>
      <c r="AP26" s="65">
        <f>IFERROR(AJ26-O26,0)</f>
        <v/>
      </c>
      <c r="AQ26" s="63">
        <f>IFERROR(MAX(0,MIN(100,(AP26-'Score Inputs'!$B$8)/('Score Inputs'!$B$9-'Score Inputs'!$B$8)*100)),0)</f>
        <v/>
      </c>
      <c r="AR26" s="63">
        <f>IFERROR(INDEX('State Funding Lookup'!$B$2:$B$86,MATCH($A26,'State Funding Lookup'!$A$2:$A$86,0)),0)</f>
        <v/>
      </c>
      <c r="AS26" s="67">
        <f>AK26</f>
        <v/>
      </c>
      <c r="AT26" s="67">
        <f>AN26</f>
        <v/>
      </c>
    </row>
    <row r="27" ht="30" customHeight="1" s="104">
      <c r="A27" s="88" t="inlineStr">
        <is>
          <t>Antelope Valley Union High School District</t>
        </is>
      </c>
      <c r="B27" s="88">
        <f>IFERROR(INDEX('School District Profiles'!$B$2:$B$86,MATCH($A27,'School District Profiles'!$A$2:$A$86,0)),"")</f>
        <v/>
      </c>
      <c r="C27" s="88">
        <f>IFERROR(INDEX('School District Profiles'!$C$2:$C$86,MATCH($A27,'School District Profiles'!$A$2:$A$86,0)),"")</f>
        <v/>
      </c>
      <c r="D27" s="90">
        <f>IFERROR(SUMIFS('Teacher Salary Data'!$E$2:$E$1871,'Teacher Salary Data'!$A$2:$A$1871,$A27,'Teacher Salary Data'!$C$2:$C$1871,"Bachelor's",'Teacher Salary Data'!$D$2:$D$1871,0),0)</f>
        <v/>
      </c>
      <c r="E27" s="90">
        <f>IFERROR(SUMIFS('Teacher Salary Data'!$E$2:$E$1871,'Teacher Salary Data'!$A$2:$A$1871,$A27,'Teacher Salary Data'!$C$2:$C$1871,"Bachelor's",'Teacher Salary Data'!$D$2:$D$1871,5),0)</f>
        <v/>
      </c>
      <c r="F27" s="90">
        <f>IFERROR(SUMIFS('Teacher Salary Data'!$E$2:$E$1871,'Teacher Salary Data'!$A$2:$A$1871,$A27,'Teacher Salary Data'!$C$2:$C$1871,"Bachelor's",'Teacher Salary Data'!$D$2:$D$1871,10),0)</f>
        <v/>
      </c>
      <c r="G27" s="90">
        <f>IFERROR(SUMIFS('Teacher Salary Data'!$E$2:$E$1871,'Teacher Salary Data'!$A$2:$A$1871,$A27,'Teacher Salary Data'!$C$2:$C$1871,"Master's",'Teacher Salary Data'!$D$2:$D$1871,0),0)</f>
        <v/>
      </c>
      <c r="H27" s="90">
        <f>IFERROR(SUMIFS('Teacher Salary Data'!$E$2:$E$1871,'Teacher Salary Data'!$A$2:$A$1871,$A27,'Teacher Salary Data'!$C$2:$C$1871,"Master's",'Teacher Salary Data'!$D$2:$D$1871,5),0)</f>
        <v/>
      </c>
      <c r="I27" s="90">
        <f>IFERROR(SUMIFS('Teacher Salary Data'!$E$2:$E$1871,'Teacher Salary Data'!$A$2:$A$1871,$A27,'Teacher Salary Data'!$C$2:$C$1871,"Master's",'Teacher Salary Data'!$D$2:$D$1871,10),0)</f>
        <v/>
      </c>
      <c r="J27" s="90">
        <f>AVERAGE(D27,G27)</f>
        <v/>
      </c>
      <c r="K27" s="90">
        <f>AVERAGE(F27,I27)</f>
        <v/>
      </c>
      <c r="L27" s="115">
        <f>IFERROR((K27-J27)/J27,0)</f>
        <v/>
      </c>
      <c r="M27" s="88">
        <f>G27-D27</f>
        <v/>
      </c>
      <c r="N27" s="90">
        <f>IFERROR(INDEX('Median Home and Rent Prices'!$D$2:$D$86,MATCH($A27,'Median Home and Rent Prices'!$A$2:$A$86,0)),0)</f>
        <v/>
      </c>
      <c r="O27" s="90">
        <f>IFERROR(INDEX('Median Home and Rent Prices'!$E$2:$E$86,MATCH($A27,'Median Home and Rent Prices'!$A$2:$A$86,0)),0)</f>
        <v/>
      </c>
      <c r="P27" s="88">
        <f>IFERROR(INDEX('School District Profiles'!$H$2:$H$86,MATCH($A27,'School District Profiles'!$A$2:$A$86,0)),0)</f>
        <v/>
      </c>
      <c r="Q27" s="90">
        <f>IFERROR(INDEX('School District Profiles'!$I$2:$I$86,MATCH($A27,'School District Profiles'!$A$2:$A$86,0)),0)</f>
        <v/>
      </c>
      <c r="R27" s="95">
        <f>IFERROR(IF(($AI27-('Score Inputs'!$B$4*1500+IF('Score Inputs'!$B$3="Master's",4000,0)))&lt;53000,MAX(0,MIN(39.99,((($AI27-('Score Inputs'!$B$4*1500+IF('Score Inputs'!$B$3="Master's",4000,0))))-45000)/8000*39.99)),IF(($AI27-('Score Inputs'!$B$4*1500+IF('Score Inputs'!$B$3="Master's",4000,0)))&lt;58000,40+((($AI27-('Score Inputs'!$B$4*1500+IF('Score Inputs'!$B$3="Master's",4000,0))))-53000)/5000*20,IF(($AI27-('Score Inputs'!$B$4*1500+IF('Score Inputs'!$B$3="Master's",4000,0)))&lt;63000,60+((($AI27-('Score Inputs'!$B$4*1500+IF('Score Inputs'!$B$3="Master's",4000,0))))-58000)/5000*10,IF(($AI27-('Score Inputs'!$B$4*1500+IF('Score Inputs'!$B$3="Master's",4000,0)))&lt;70000,70+((($AI27-('Score Inputs'!$B$4*1500+IF('Score Inputs'!$B$3="Master's",4000,0))))-63000)/7000*10,IF(($AI27-('Score Inputs'!$B$4*1500+IF('Score Inputs'!$B$3="Master's",4000,0)))&lt;75000,80+((($AI27-('Score Inputs'!$B$4*1500+IF('Score Inputs'!$B$3="Master's",4000,0))))-70000)/5000*10,MIN(100,90+((($AI27-('Score Inputs'!$B$4*1500+IF('Score Inputs'!$B$3="Master's",4000,0))))-75000)/5000*10)))))),0)</f>
        <v/>
      </c>
      <c r="S27" s="95">
        <f>IFERROR(MAX(0,MIN(100,L27/0.48*100)),0)</f>
        <v/>
      </c>
      <c r="T27" s="95">
        <f>IFERROR(MAX(0,MIN(100,M27/15000*100)),0)</f>
        <v/>
      </c>
      <c r="U27" s="95">
        <f>IFERROR(0.5*R27+0.35*S27+0.15*T27,0)</f>
        <v/>
      </c>
      <c r="V27" s="95">
        <f>IFERROR(0.35*AL27+0.3*AO27+0.25*AB27+0.1*AQ27,0)</f>
        <v/>
      </c>
      <c r="W27" s="95">
        <f>IFERROR(MAX(0,MIN(100,(25-P27)/(25-12)*100)),0)</f>
        <v/>
      </c>
      <c r="X27" s="95">
        <f>IFERROR(MAX(0,MIN(100,(AD27-1)/(3-1)*100))*IF(OR($A27="North Clackamas School District",$A27="Provo City School District"),0.6,1),0)</f>
        <v/>
      </c>
      <c r="Y27" s="95">
        <f>IFERROR(MAX(0,MIN(100,(1-((IFERROR(INDEX('School District Profiles'!$D$2:$D$86,MATCH($A27,'School District Profiles'!$A$2:$A$86,0)),0)/100)^2+(IFERROR(INDEX('School District Profiles'!$E$2:$E$86,MATCH($A27,'School District Profiles'!$A$2:$A$86,0)),0)/100)^2+(IFERROR(INDEX('School District Profiles'!$F$2:$F$86,MATCH($A27,'School District Profiles'!$A$2:$A$86,0)),0)/100)^2+(IFERROR(INDEX('School District Profiles'!$G$2:$G$86,MATCH($A27,'School District Profiles'!$A$2:$A$86,0)),0)/100)^2+(AC27/100)^2))/0.8*100)),0)</f>
        <v/>
      </c>
      <c r="Z27" s="95">
        <f>IFERROR(AF27*AG27,0)</f>
        <v/>
      </c>
      <c r="AA27" s="88">
        <f>IFERROR(INDEX('Median Home and Rent Prices'!$F$2:$F$86,MATCH($A27,'Median Home and Rent Prices'!$A$2:$A$86,0)),0)</f>
        <v/>
      </c>
      <c r="AB27" s="95">
        <f>IFERROR(MAX(0,MIN(100,(800-AA27)/(800-150)*100)),0)</f>
        <v/>
      </c>
      <c r="AC27" s="88">
        <f>IFERROR(INDEX('School District Profiles'!$J$2:$J$86,MATCH($A27,'School District Profiles'!$A$2:$A$86,0)),0)</f>
        <v/>
      </c>
      <c r="AD27" s="95">
        <f>IFERROR(Q27*20/O27,0)</f>
        <v/>
      </c>
      <c r="AE27" s="95">
        <f>IFERROR(IF(AG27&gt;=1,100,IF(AG27&gt;=0.95,75,IF(AG27&gt;=0.9,60,IF(AG27&gt;=0.85,40,IF(AG27&gt;=0.8,25,0))))),0)</f>
        <v/>
      </c>
      <c r="AF27" s="95">
        <f>IFERROR(0.35*V27+0.3*U27+0.1*W27+0.1*X27+0.1*Y27+0.05*AR27,0)</f>
        <v/>
      </c>
      <c r="AG27" s="95" t="n">
        <v>1</v>
      </c>
      <c r="AH27" s="88" t="inlineStr">
        <is>
          <t>Agreement confirms 2025-26 schedule exists and 3% increase over 2024-25; exact table did not extract cleanly. Sub pay source shows $230-$280; this entry uses $230.</t>
        </is>
      </c>
      <c r="AI27" s="90">
        <f>IF('Score Inputs'!$B$3="Bachelor's",CHOOSE(MATCH('Score Inputs'!$B$4,{0,5,10},0),D27,E27,F27),CHOOSE(MATCH('Score Inputs'!$B$4,{0,5,10},0),G27,H27,I27))</f>
        <v/>
      </c>
      <c r="AJ27" s="90">
        <f>IFERROR(AI27/12,0)</f>
        <v/>
      </c>
      <c r="AK27" s="115">
        <f>IFERROR(O27/AJ27,0)</f>
        <v/>
      </c>
      <c r="AL27" s="95">
        <f>IFERROR(IF(AK27&lt;=25%,100,IF(AK27&lt;=30%,100-(AK27-25%)/5%*30,IF(AK27&lt;=35%,70-(AK27-30%)/5%*10,IF(AK27&lt;=40%,60-(AK27-35%)/5%*20,MAX(0,40-(AK27-40%)/10%*40))))),0)</f>
        <v/>
      </c>
      <c r="AM27" s="90">
        <f>IFERROR(PMT('Score Inputs'!$B$5/12,'Score Inputs'!$B$7*12,-N27*(1-'Score Inputs'!$B$6)),0)</f>
        <v/>
      </c>
      <c r="AN27" s="115">
        <f>IFERROR(AM27/AJ27,0)</f>
        <v/>
      </c>
      <c r="AO27" s="95">
        <f>IFERROR(IF(AN27&lt;=25%,100,IF(AN27&lt;=30%,100-(AN27-25%)/5%*30,IF(AN27&lt;=35%,70-(AN27-30%)/5%*10,IF(AN27&lt;=40%,60-(AN27-35%)/5%*20,MAX(0,40-(AN27-40%)/10%*40))))),0)</f>
        <v/>
      </c>
      <c r="AP27" s="90">
        <f>IFERROR(AJ27-O27,0)</f>
        <v/>
      </c>
      <c r="AQ27" s="95">
        <f>IFERROR(MAX(0,MIN(100,(AP27-'Score Inputs'!$B$8)/('Score Inputs'!$B$9-'Score Inputs'!$B$8)*100)),0)</f>
        <v/>
      </c>
      <c r="AR27" s="95">
        <f>IFERROR(INDEX('State Funding Lookup'!$B$2:$B$86,MATCH($A27,'State Funding Lookup'!$A$2:$A$86,0)),0)</f>
        <v/>
      </c>
      <c r="AS27" s="98">
        <f>AK27</f>
        <v/>
      </c>
      <c r="AT27" s="98">
        <f>AN27</f>
        <v/>
      </c>
    </row>
    <row r="28" ht="30" customHeight="1" s="104">
      <c r="A28" s="88" t="inlineStr">
        <is>
          <t>Channelview ISD</t>
        </is>
      </c>
      <c r="B28" s="88">
        <f>IFERROR(INDEX('School District Profiles'!$B$2:$B$86,MATCH($A28,'School District Profiles'!$A$2:$A$86,0)),"")</f>
        <v/>
      </c>
      <c r="C28" s="88">
        <f>IFERROR(INDEX('School District Profiles'!$C$2:$C$86,MATCH($A28,'School District Profiles'!$A$2:$A$86,0)),"")</f>
        <v/>
      </c>
      <c r="D28" s="90">
        <f>IFERROR(SUMIFS('Teacher Salary Data'!$E$2:$E$1871,'Teacher Salary Data'!$A$2:$A$1871,$A28,'Teacher Salary Data'!$C$2:$C$1871,"Bachelor's",'Teacher Salary Data'!$D$2:$D$1871,0),0)</f>
        <v/>
      </c>
      <c r="E28" s="90">
        <f>IFERROR(SUMIFS('Teacher Salary Data'!$E$2:$E$1871,'Teacher Salary Data'!$A$2:$A$1871,$A28,'Teacher Salary Data'!$C$2:$C$1871,"Bachelor's",'Teacher Salary Data'!$D$2:$D$1871,5),0)</f>
        <v/>
      </c>
      <c r="F28" s="90">
        <f>IFERROR(SUMIFS('Teacher Salary Data'!$E$2:$E$1871,'Teacher Salary Data'!$A$2:$A$1871,$A28,'Teacher Salary Data'!$C$2:$C$1871,"Bachelor's",'Teacher Salary Data'!$D$2:$D$1871,10),0)</f>
        <v/>
      </c>
      <c r="G28" s="90">
        <f>IFERROR(SUMIFS('Teacher Salary Data'!$E$2:$E$1871,'Teacher Salary Data'!$A$2:$A$1871,$A28,'Teacher Salary Data'!$C$2:$C$1871,"Master's",'Teacher Salary Data'!$D$2:$D$1871,0),0)</f>
        <v/>
      </c>
      <c r="H28" s="90">
        <f>IFERROR(SUMIFS('Teacher Salary Data'!$E$2:$E$1871,'Teacher Salary Data'!$A$2:$A$1871,$A28,'Teacher Salary Data'!$C$2:$C$1871,"Master's",'Teacher Salary Data'!$D$2:$D$1871,5),0)</f>
        <v/>
      </c>
      <c r="I28" s="90">
        <f>IFERROR(SUMIFS('Teacher Salary Data'!$E$2:$E$1871,'Teacher Salary Data'!$A$2:$A$1871,$A28,'Teacher Salary Data'!$C$2:$C$1871,"Master's",'Teacher Salary Data'!$D$2:$D$1871,10),0)</f>
        <v/>
      </c>
      <c r="J28" s="90">
        <f>AVERAGE(D28,G28)</f>
        <v/>
      </c>
      <c r="K28" s="90">
        <f>AVERAGE(F28,I28)</f>
        <v/>
      </c>
      <c r="L28" s="115">
        <f>IFERROR((K28-J28)/J28,0)</f>
        <v/>
      </c>
      <c r="M28" s="88">
        <f>G28-D28</f>
        <v/>
      </c>
      <c r="N28" s="90">
        <f>IFERROR(INDEX('Median Home and Rent Prices'!$D$2:$D$86,MATCH($A28,'Median Home and Rent Prices'!$A$2:$A$86,0)),0)</f>
        <v/>
      </c>
      <c r="O28" s="90">
        <f>IFERROR(INDEX('Median Home and Rent Prices'!$E$2:$E$86,MATCH($A28,'Median Home and Rent Prices'!$A$2:$A$86,0)),0)</f>
        <v/>
      </c>
      <c r="P28" s="88">
        <f>IFERROR(INDEX('School District Profiles'!$H$2:$H$86,MATCH($A28,'School District Profiles'!$A$2:$A$86,0)),0)</f>
        <v/>
      </c>
      <c r="Q28" s="90">
        <f>IFERROR(INDEX('School District Profiles'!$I$2:$I$86,MATCH($A28,'School District Profiles'!$A$2:$A$86,0)),0)</f>
        <v/>
      </c>
      <c r="R28" s="95">
        <f>IFERROR(IF(($AI28-('Score Inputs'!$B$4*1500+IF('Score Inputs'!$B$3="Master's",4000,0)))&lt;53000,MAX(0,MIN(39.99,((($AI28-('Score Inputs'!$B$4*1500+IF('Score Inputs'!$B$3="Master's",4000,0))))-45000)/8000*39.99)),IF(($AI28-('Score Inputs'!$B$4*1500+IF('Score Inputs'!$B$3="Master's",4000,0)))&lt;58000,40+((($AI28-('Score Inputs'!$B$4*1500+IF('Score Inputs'!$B$3="Master's",4000,0))))-53000)/5000*20,IF(($AI28-('Score Inputs'!$B$4*1500+IF('Score Inputs'!$B$3="Master's",4000,0)))&lt;63000,60+((($AI28-('Score Inputs'!$B$4*1500+IF('Score Inputs'!$B$3="Master's",4000,0))))-58000)/5000*10,IF(($AI28-('Score Inputs'!$B$4*1500+IF('Score Inputs'!$B$3="Master's",4000,0)))&lt;70000,70+((($AI28-('Score Inputs'!$B$4*1500+IF('Score Inputs'!$B$3="Master's",4000,0))))-63000)/7000*10,IF(($AI28-('Score Inputs'!$B$4*1500+IF('Score Inputs'!$B$3="Master's",4000,0)))&lt;75000,80+((($AI28-('Score Inputs'!$B$4*1500+IF('Score Inputs'!$B$3="Master's",4000,0))))-70000)/5000*10,MIN(100,90+((($AI28-('Score Inputs'!$B$4*1500+IF('Score Inputs'!$B$3="Master's",4000,0))))-75000)/5000*10)))))),0)</f>
        <v/>
      </c>
      <c r="S28" s="95">
        <f>IFERROR(MAX(0,MIN(100,L28/0.48*100)),0)</f>
        <v/>
      </c>
      <c r="T28" s="95">
        <f>IFERROR(MAX(0,MIN(100,M28/15000*100)),0)</f>
        <v/>
      </c>
      <c r="U28" s="95">
        <f>IFERROR(0.5*R28+0.35*S28+0.15*T28,0)</f>
        <v/>
      </c>
      <c r="V28" s="95">
        <f>IFERROR(0.35*AL28+0.3*AO28+0.25*AB28+0.1*AQ28,0)</f>
        <v/>
      </c>
      <c r="W28" s="95">
        <f>IFERROR(MAX(0,MIN(100,(25-P28)/(25-12)*100)),0)</f>
        <v/>
      </c>
      <c r="X28" s="95">
        <f>IFERROR(MAX(0,MIN(100,(AD28-1)/(3-1)*100))*IF(OR($A28="North Clackamas School District",$A28="Provo City School District"),0.6,1),0)</f>
        <v/>
      </c>
      <c r="Y28" s="95">
        <f>IFERROR(MAX(0,MIN(100,(1-((IFERROR(INDEX('School District Profiles'!$D$2:$D$86,MATCH($A28,'School District Profiles'!$A$2:$A$86,0)),0)/100)^2+(IFERROR(INDEX('School District Profiles'!$E$2:$E$86,MATCH($A28,'School District Profiles'!$A$2:$A$86,0)),0)/100)^2+(IFERROR(INDEX('School District Profiles'!$F$2:$F$86,MATCH($A28,'School District Profiles'!$A$2:$A$86,0)),0)/100)^2+(IFERROR(INDEX('School District Profiles'!$G$2:$G$86,MATCH($A28,'School District Profiles'!$A$2:$A$86,0)),0)/100)^2+(AC28/100)^2))/0.8*100)),0)</f>
        <v/>
      </c>
      <c r="Z28" s="95">
        <f>IFERROR(AF28*AG28,0)</f>
        <v/>
      </c>
      <c r="AA28" s="95">
        <f>IFERROR(INDEX('Median Home and Rent Prices'!$F$2:$F$86,MATCH($A28,'Median Home and Rent Prices'!$A$2:$A$86,0)),0)</f>
        <v/>
      </c>
      <c r="AB28" s="95">
        <f>IFERROR(MAX(0,MIN(100,(800-AA28)/(800-150)*100)),0)</f>
        <v/>
      </c>
      <c r="AC28" s="95">
        <f>IFERROR(INDEX('School District Profiles'!$J$2:$J$86,MATCH($A28,'School District Profiles'!$A$2:$A$86,0)),0)</f>
        <v/>
      </c>
      <c r="AD28" s="95">
        <f>IFERROR(Q28*20/O28,0)</f>
        <v/>
      </c>
      <c r="AE28" s="95">
        <f>IFERROR(IF(AG28&gt;=1,100,IF(AG28&gt;=0.95,75,IF(AG28&gt;=0.9,60,IF(AG28&gt;=0.85,40,IF(AG28&gt;=0.8,25,0))))),0)</f>
        <v/>
      </c>
      <c r="AF28" s="95">
        <f>IFERROR(0.35*V28+0.3*U28+0.1*W28+0.1*X28+0.1*Y28+0.05*AR28,0)</f>
        <v/>
      </c>
      <c r="AG28" s="95" t="n">
        <v>1</v>
      </c>
      <c r="AH28" s="88" t="inlineStr">
        <is>
          <t>No employment-stability penalty applied in this first-pass addition; verify with adopted budget, enrollment trend, board packets, and HR/union notices before final scoring.</t>
        </is>
      </c>
      <c r="AI28" s="90">
        <f>IF('Score Inputs'!$B$3="Bachelor's",CHOOSE(MATCH('Score Inputs'!$B$4,{0,5,10},0),D28,E28,F28),CHOOSE(MATCH('Score Inputs'!$B$4,{0,5,10},0),G28,H28,I28))</f>
        <v/>
      </c>
      <c r="AJ28" s="90">
        <f>IFERROR(AI28/12,0)</f>
        <v/>
      </c>
      <c r="AK28" s="115">
        <f>IFERROR(O28/AJ28,0)</f>
        <v/>
      </c>
      <c r="AL28" s="95">
        <f>IFERROR(IF(AK28&lt;=25%,100,IF(AK28&lt;=30%,100-(AK28-25%)/5%*30,IF(AK28&lt;=35%,70-(AK28-30%)/5%*10,IF(AK28&lt;=40%,60-(AK28-35%)/5%*20,MAX(0,40-(AK28-40%)/10%*40))))),0)</f>
        <v/>
      </c>
      <c r="AM28" s="90">
        <f>IFERROR(PMT('Score Inputs'!$B$5/12,'Score Inputs'!$B$7*12,-N28*(1-'Score Inputs'!$B$6)),0)</f>
        <v/>
      </c>
      <c r="AN28" s="115">
        <f>IFERROR(AM28/AJ28,0)</f>
        <v/>
      </c>
      <c r="AO28" s="95">
        <f>IFERROR(IF(AN28&lt;=25%,100,IF(AN28&lt;=30%,100-(AN28-25%)/5%*30,IF(AN28&lt;=35%,70-(AN28-30%)/5%*10,IF(AN28&lt;=40%,60-(AN28-35%)/5%*20,MAX(0,40-(AN28-40%)/10%*40))))),0)</f>
        <v/>
      </c>
      <c r="AP28" s="90">
        <f>IFERROR(AJ28-O28,0)</f>
        <v/>
      </c>
      <c r="AQ28" s="95">
        <f>IFERROR(MAX(0,MIN(100,(AP28-'Score Inputs'!$B$8)/('Score Inputs'!$B$9-'Score Inputs'!$B$8)*100)),0)</f>
        <v/>
      </c>
      <c r="AR28" s="95">
        <f>IFERROR(INDEX('State Funding Lookup'!$B$2:$B$86,MATCH($A28,'State Funding Lookup'!$A$2:$A$86,0)),0)</f>
        <v/>
      </c>
      <c r="AS28" s="98">
        <f>AK28</f>
        <v/>
      </c>
      <c r="AT28" s="98">
        <f>AN28</f>
        <v/>
      </c>
    </row>
    <row r="29" ht="30" customHeight="1" s="104">
      <c r="A29" s="88" t="inlineStr">
        <is>
          <t>Pearland ISD</t>
        </is>
      </c>
      <c r="B29" s="88">
        <f>IFERROR(INDEX('School District Profiles'!$B$2:$B$86,MATCH($A29,'School District Profiles'!$A$2:$A$86,0)),"")</f>
        <v/>
      </c>
      <c r="C29" s="88">
        <f>IFERROR(INDEX('School District Profiles'!$C$2:$C$86,MATCH($A29,'School District Profiles'!$A$2:$A$86,0)),"")</f>
        <v/>
      </c>
      <c r="D29" s="90">
        <f>IFERROR(SUMIFS('Teacher Salary Data'!$E$2:$E$1871,'Teacher Salary Data'!$A$2:$A$1871,$A29,'Teacher Salary Data'!$C$2:$C$1871,"Bachelor's",'Teacher Salary Data'!$D$2:$D$1871,0),0)</f>
        <v/>
      </c>
      <c r="E29" s="90">
        <f>IFERROR(SUMIFS('Teacher Salary Data'!$E$2:$E$1871,'Teacher Salary Data'!$A$2:$A$1871,$A29,'Teacher Salary Data'!$C$2:$C$1871,"Bachelor's",'Teacher Salary Data'!$D$2:$D$1871,5),0)</f>
        <v/>
      </c>
      <c r="F29" s="90">
        <f>IFERROR(SUMIFS('Teacher Salary Data'!$E$2:$E$1871,'Teacher Salary Data'!$A$2:$A$1871,$A29,'Teacher Salary Data'!$C$2:$C$1871,"Bachelor's",'Teacher Salary Data'!$D$2:$D$1871,10),0)</f>
        <v/>
      </c>
      <c r="G29" s="90">
        <f>IFERROR(SUMIFS('Teacher Salary Data'!$E$2:$E$1871,'Teacher Salary Data'!$A$2:$A$1871,$A29,'Teacher Salary Data'!$C$2:$C$1871,"Master's",'Teacher Salary Data'!$D$2:$D$1871,0),0)</f>
        <v/>
      </c>
      <c r="H29" s="90">
        <f>IFERROR(SUMIFS('Teacher Salary Data'!$E$2:$E$1871,'Teacher Salary Data'!$A$2:$A$1871,$A29,'Teacher Salary Data'!$C$2:$C$1871,"Master's",'Teacher Salary Data'!$D$2:$D$1871,5),0)</f>
        <v/>
      </c>
      <c r="I29" s="90">
        <f>IFERROR(SUMIFS('Teacher Salary Data'!$E$2:$E$1871,'Teacher Salary Data'!$A$2:$A$1871,$A29,'Teacher Salary Data'!$C$2:$C$1871,"Master's",'Teacher Salary Data'!$D$2:$D$1871,10),0)</f>
        <v/>
      </c>
      <c r="J29" s="90">
        <f>AVERAGE(D29,G29)</f>
        <v/>
      </c>
      <c r="K29" s="90">
        <f>AVERAGE(F29,I29)</f>
        <v/>
      </c>
      <c r="L29" s="115">
        <f>IFERROR((K29-J29)/J29,0)</f>
        <v/>
      </c>
      <c r="M29" s="88">
        <f>G29-D29</f>
        <v/>
      </c>
      <c r="N29" s="90">
        <f>IFERROR(INDEX('Median Home and Rent Prices'!$D$2:$D$86,MATCH($A29,'Median Home and Rent Prices'!$A$2:$A$86,0)),0)</f>
        <v/>
      </c>
      <c r="O29" s="90">
        <f>IFERROR(INDEX('Median Home and Rent Prices'!$E$2:$E$86,MATCH($A29,'Median Home and Rent Prices'!$A$2:$A$86,0)),0)</f>
        <v/>
      </c>
      <c r="P29" s="88">
        <f>IFERROR(INDEX('School District Profiles'!$H$2:$H$86,MATCH($A29,'School District Profiles'!$A$2:$A$86,0)),0)</f>
        <v/>
      </c>
      <c r="Q29" s="90">
        <f>IFERROR(INDEX('School District Profiles'!$I$2:$I$86,MATCH($A29,'School District Profiles'!$A$2:$A$86,0)),0)</f>
        <v/>
      </c>
      <c r="R29" s="95">
        <f>IFERROR(IF(($AI29-('Score Inputs'!$B$4*1500+IF('Score Inputs'!$B$3="Master's",4000,0)))&lt;53000,MAX(0,MIN(39.99,((($AI29-('Score Inputs'!$B$4*1500+IF('Score Inputs'!$B$3="Master's",4000,0))))-45000)/8000*39.99)),IF(($AI29-('Score Inputs'!$B$4*1500+IF('Score Inputs'!$B$3="Master's",4000,0)))&lt;58000,40+((($AI29-('Score Inputs'!$B$4*1500+IF('Score Inputs'!$B$3="Master's",4000,0))))-53000)/5000*20,IF(($AI29-('Score Inputs'!$B$4*1500+IF('Score Inputs'!$B$3="Master's",4000,0)))&lt;63000,60+((($AI29-('Score Inputs'!$B$4*1500+IF('Score Inputs'!$B$3="Master's",4000,0))))-58000)/5000*10,IF(($AI29-('Score Inputs'!$B$4*1500+IF('Score Inputs'!$B$3="Master's",4000,0)))&lt;70000,70+((($AI29-('Score Inputs'!$B$4*1500+IF('Score Inputs'!$B$3="Master's",4000,0))))-63000)/7000*10,IF(($AI29-('Score Inputs'!$B$4*1500+IF('Score Inputs'!$B$3="Master's",4000,0)))&lt;75000,80+((($AI29-('Score Inputs'!$B$4*1500+IF('Score Inputs'!$B$3="Master's",4000,0))))-70000)/5000*10,MIN(100,90+((($AI29-('Score Inputs'!$B$4*1500+IF('Score Inputs'!$B$3="Master's",4000,0))))-75000)/5000*10)))))),0)</f>
        <v/>
      </c>
      <c r="S29" s="95">
        <f>IFERROR(MAX(0,MIN(100,L29/0.48*100)),0)</f>
        <v/>
      </c>
      <c r="T29" s="95">
        <f>IFERROR(MAX(0,MIN(100,M29/15000*100)),0)</f>
        <v/>
      </c>
      <c r="U29" s="95">
        <f>IFERROR(0.5*R29+0.35*S29+0.15*T29,0)</f>
        <v/>
      </c>
      <c r="V29" s="95">
        <f>IFERROR(0.35*AL29+0.3*AO29+0.25*AB29+0.1*AQ29,0)</f>
        <v/>
      </c>
      <c r="W29" s="95">
        <f>IFERROR(MAX(0,MIN(100,(25-P29)/(25-12)*100)),0)</f>
        <v/>
      </c>
      <c r="X29" s="95">
        <f>IFERROR(MAX(0,MIN(100,(AD29-1)/(3-1)*100))*IF(OR($A29="North Clackamas School District",$A29="Provo City School District"),0.6,1),0)</f>
        <v/>
      </c>
      <c r="Y29" s="95">
        <f>IFERROR(MAX(0,MIN(100,(1-((IFERROR(INDEX('School District Profiles'!$D$2:$D$86,MATCH($A29,'School District Profiles'!$A$2:$A$86,0)),0)/100)^2+(IFERROR(INDEX('School District Profiles'!$E$2:$E$86,MATCH($A29,'School District Profiles'!$A$2:$A$86,0)),0)/100)^2+(IFERROR(INDEX('School District Profiles'!$F$2:$F$86,MATCH($A29,'School District Profiles'!$A$2:$A$86,0)),0)/100)^2+(IFERROR(INDEX('School District Profiles'!$G$2:$G$86,MATCH($A29,'School District Profiles'!$A$2:$A$86,0)),0)/100)^2+(AC29/100)^2))/0.8*100)),0)</f>
        <v/>
      </c>
      <c r="Z29" s="95">
        <f>IFERROR(AF29*AG29,0)</f>
        <v/>
      </c>
      <c r="AA29" s="88">
        <f>IFERROR(INDEX('Median Home and Rent Prices'!$F$2:$F$86,MATCH($A29,'Median Home and Rent Prices'!$A$2:$A$86,0)),0)</f>
        <v/>
      </c>
      <c r="AB29" s="95">
        <f>IFERROR(MAX(0,MIN(100,(800-AA29)/(800-150)*100)),0)</f>
        <v/>
      </c>
      <c r="AC29" s="88">
        <f>IFERROR(INDEX('School District Profiles'!$J$2:$J$86,MATCH($A29,'School District Profiles'!$A$2:$A$86,0)),0)</f>
        <v/>
      </c>
      <c r="AD29" s="95">
        <f>IFERROR(Q29*20/O29,0)</f>
        <v/>
      </c>
      <c r="AE29" s="95">
        <f>IFERROR(IF(AG29&gt;=1,100,IF(AG29&gt;=0.95,75,IF(AG29&gt;=0.9,60,IF(AG29&gt;=0.85,40,IF(AG29&gt;=0.8,25,0))))),0)</f>
        <v/>
      </c>
      <c r="AF29" s="95">
        <f>IFERROR(0.35*V29+0.3*U29+0.1*W29+0.1*X29+0.1*Y29+0.05*AR29,0)</f>
        <v/>
      </c>
      <c r="AG29" s="95" t="n">
        <v>1</v>
      </c>
      <c r="AH29" s="88" t="inlineStr">
        <is>
          <t>Pearland publishes min/control/max rather than a traditional experience schedule; BA 5-year uses control point, MA adds $1,400 stipend. 10-year is a simplified placement estimate.</t>
        </is>
      </c>
      <c r="AI29" s="90">
        <f>IF('Score Inputs'!$B$3="Bachelor's",CHOOSE(MATCH('Score Inputs'!$B$4,{0,5,10},0),D29,E29,F29),CHOOSE(MATCH('Score Inputs'!$B$4,{0,5,10},0),G29,H29,I29))</f>
        <v/>
      </c>
      <c r="AJ29" s="90">
        <f>IFERROR(AI29/12,0)</f>
        <v/>
      </c>
      <c r="AK29" s="115">
        <f>IFERROR(O29/AJ29,0)</f>
        <v/>
      </c>
      <c r="AL29" s="95">
        <f>IFERROR(IF(AK29&lt;=25%,100,IF(AK29&lt;=30%,100-(AK29-25%)/5%*30,IF(AK29&lt;=35%,70-(AK29-30%)/5%*10,IF(AK29&lt;=40%,60-(AK29-35%)/5%*20,MAX(0,40-(AK29-40%)/10%*40))))),0)</f>
        <v/>
      </c>
      <c r="AM29" s="90">
        <f>IFERROR(PMT('Score Inputs'!$B$5/12,'Score Inputs'!$B$7*12,-N29*(1-'Score Inputs'!$B$6)),0)</f>
        <v/>
      </c>
      <c r="AN29" s="115">
        <f>IFERROR(AM29/AJ29,0)</f>
        <v/>
      </c>
      <c r="AO29" s="95">
        <f>IFERROR(IF(AN29&lt;=25%,100,IF(AN29&lt;=30%,100-(AN29-25%)/5%*30,IF(AN29&lt;=35%,70-(AN29-30%)/5%*10,IF(AN29&lt;=40%,60-(AN29-35%)/5%*20,MAX(0,40-(AN29-40%)/10%*40))))),0)</f>
        <v/>
      </c>
      <c r="AP29" s="90">
        <f>IFERROR(AJ29-O29,0)</f>
        <v/>
      </c>
      <c r="AQ29" s="95">
        <f>IFERROR(MAX(0,MIN(100,(AP29-'Score Inputs'!$B$8)/('Score Inputs'!$B$9-'Score Inputs'!$B$8)*100)),0)</f>
        <v/>
      </c>
      <c r="AR29" s="95">
        <f>IFERROR(INDEX('State Funding Lookup'!$B$2:$B$86,MATCH($A29,'State Funding Lookup'!$A$2:$A$86,0)),0)</f>
        <v/>
      </c>
      <c r="AS29" s="98">
        <f>AK29</f>
        <v/>
      </c>
      <c r="AT29" s="98">
        <f>AN29</f>
        <v/>
      </c>
    </row>
    <row r="30" ht="30" customHeight="1" s="104">
      <c r="A30" s="64" t="inlineStr">
        <is>
          <t>Syosset Central School District</t>
        </is>
      </c>
      <c r="B30" s="64">
        <f>IFERROR(INDEX('School District Profiles'!$B$2:$B$86,MATCH($A30,'School District Profiles'!$A$2:$A$86,0)),"")</f>
        <v/>
      </c>
      <c r="C30" s="64">
        <f>IFERROR(INDEX('School District Profiles'!$C$2:$C$86,MATCH($A30,'School District Profiles'!$A$2:$A$86,0)),"")</f>
        <v/>
      </c>
      <c r="D30" s="65">
        <f>IFERROR(SUMIFS('Teacher Salary Data'!$E$2:$E$1871,'Teacher Salary Data'!$A$2:$A$1871,$A30,'Teacher Salary Data'!$C$2:$C$1871,"Bachelor's",'Teacher Salary Data'!$D$2:$D$1871,0),0)</f>
        <v/>
      </c>
      <c r="E30" s="65">
        <f>IFERROR(SUMIFS('Teacher Salary Data'!$E$2:$E$1871,'Teacher Salary Data'!$A$2:$A$1871,$A30,'Teacher Salary Data'!$C$2:$C$1871,"Bachelor's",'Teacher Salary Data'!$D$2:$D$1871,5),0)</f>
        <v/>
      </c>
      <c r="F30" s="65">
        <f>IFERROR(SUMIFS('Teacher Salary Data'!$E$2:$E$1871,'Teacher Salary Data'!$A$2:$A$1871,$A30,'Teacher Salary Data'!$C$2:$C$1871,"Bachelor's",'Teacher Salary Data'!$D$2:$D$1871,10),0)</f>
        <v/>
      </c>
      <c r="G30" s="65">
        <f>IFERROR(SUMIFS('Teacher Salary Data'!$E$2:$E$1871,'Teacher Salary Data'!$A$2:$A$1871,$A30,'Teacher Salary Data'!$C$2:$C$1871,"Master's",'Teacher Salary Data'!$D$2:$D$1871,0),0)</f>
        <v/>
      </c>
      <c r="H30" s="65">
        <f>IFERROR(SUMIFS('Teacher Salary Data'!$E$2:$E$1871,'Teacher Salary Data'!$A$2:$A$1871,$A30,'Teacher Salary Data'!$C$2:$C$1871,"Master's",'Teacher Salary Data'!$D$2:$D$1871,5),0)</f>
        <v/>
      </c>
      <c r="I30" s="65">
        <f>IFERROR(SUMIFS('Teacher Salary Data'!$E$2:$E$1871,'Teacher Salary Data'!$A$2:$A$1871,$A30,'Teacher Salary Data'!$C$2:$C$1871,"Master's",'Teacher Salary Data'!$D$2:$D$1871,10),0)</f>
        <v/>
      </c>
      <c r="J30" s="65">
        <f>AVERAGE(D30,G30)</f>
        <v/>
      </c>
      <c r="K30" s="65">
        <f>AVERAGE(F30,I30)</f>
        <v/>
      </c>
      <c r="L30" s="114">
        <f>IFERROR((K30-J30)/J30,0)</f>
        <v/>
      </c>
      <c r="M30" s="65">
        <f>G30-D30</f>
        <v/>
      </c>
      <c r="N30" s="65">
        <f>IFERROR(INDEX('Median Home and Rent Prices'!$D$2:$D$86,MATCH($A30,'Median Home and Rent Prices'!$A$2:$A$86,0)),0)</f>
        <v/>
      </c>
      <c r="O30" s="65">
        <f>IFERROR(INDEX('Median Home and Rent Prices'!$E$2:$E$86,MATCH($A30,'Median Home and Rent Prices'!$A$2:$A$86,0)),0)</f>
        <v/>
      </c>
      <c r="P30" s="63">
        <f>IFERROR(INDEX('School District Profiles'!$H$2:$H$86,MATCH($A30,'School District Profiles'!$A$2:$A$86,0)),0)</f>
        <v/>
      </c>
      <c r="Q30" s="65">
        <f>IFERROR(INDEX('School District Profiles'!$I$2:$I$86,MATCH($A30,'School District Profiles'!$A$2:$A$86,0)),0)</f>
        <v/>
      </c>
      <c r="R30" s="63">
        <f>IFERROR(IF(($AI30-('Score Inputs'!$B$4*1500+IF('Score Inputs'!$B$3="Master's",4000,0)))&lt;53000,MAX(0,MIN(39.99,((($AI30-('Score Inputs'!$B$4*1500+IF('Score Inputs'!$B$3="Master's",4000,0))))-45000)/8000*39.99)),IF(($AI30-('Score Inputs'!$B$4*1500+IF('Score Inputs'!$B$3="Master's",4000,0)))&lt;58000,40+((($AI30-('Score Inputs'!$B$4*1500+IF('Score Inputs'!$B$3="Master's",4000,0))))-53000)/5000*20,IF(($AI30-('Score Inputs'!$B$4*1500+IF('Score Inputs'!$B$3="Master's",4000,0)))&lt;63000,60+((($AI30-('Score Inputs'!$B$4*1500+IF('Score Inputs'!$B$3="Master's",4000,0))))-58000)/5000*10,IF(($AI30-('Score Inputs'!$B$4*1500+IF('Score Inputs'!$B$3="Master's",4000,0)))&lt;70000,70+((($AI30-('Score Inputs'!$B$4*1500+IF('Score Inputs'!$B$3="Master's",4000,0))))-63000)/7000*10,IF(($AI30-('Score Inputs'!$B$4*1500+IF('Score Inputs'!$B$3="Master's",4000,0)))&lt;75000,80+((($AI30-('Score Inputs'!$B$4*1500+IF('Score Inputs'!$B$3="Master's",4000,0))))-70000)/5000*10,MIN(100,90+((($AI30-('Score Inputs'!$B$4*1500+IF('Score Inputs'!$B$3="Master's",4000,0))))-75000)/5000*10)))))),0)</f>
        <v/>
      </c>
      <c r="S30" s="63">
        <f>IFERROR(MAX(0,MIN(100,L30/0.48*100)),0)</f>
        <v/>
      </c>
      <c r="T30" s="63">
        <f>IFERROR(MAX(0,MIN(100,M30/15000*100)),0)</f>
        <v/>
      </c>
      <c r="U30" s="63">
        <f>IFERROR(0.5*R30+0.35*S30+0.15*T30,0)</f>
        <v/>
      </c>
      <c r="V30" s="63">
        <f>IFERROR(0.35*AL30+0.3*AO30+0.25*AB30+0.1*AQ30,0)</f>
        <v/>
      </c>
      <c r="W30" s="63">
        <f>IFERROR(MAX(0,MIN(100,(25-P30)/(25-12)*100)),0)</f>
        <v/>
      </c>
      <c r="X30" s="63">
        <f>IFERROR(MAX(0,MIN(100,(AD30-1)/(3-1)*100))*IF(OR($A30="North Clackamas School District",$A30="Provo City School District"),0.6,1),0)</f>
        <v/>
      </c>
      <c r="Y30" s="63">
        <f>IFERROR(MAX(0,MIN(100,(1-((IFERROR(INDEX('School District Profiles'!$D$2:$D$86,MATCH($A30,'School District Profiles'!$A$2:$A$86,0)),0)/100)^2+(IFERROR(INDEX('School District Profiles'!$E$2:$E$86,MATCH($A30,'School District Profiles'!$A$2:$A$86,0)),0)/100)^2+(IFERROR(INDEX('School District Profiles'!$F$2:$F$86,MATCH($A30,'School District Profiles'!$A$2:$A$86,0)),0)/100)^2+(IFERROR(INDEX('School District Profiles'!$G$2:$G$86,MATCH($A30,'School District Profiles'!$A$2:$A$86,0)),0)/100)^2+(AC30/100)^2))/0.8*100)),0)</f>
        <v/>
      </c>
      <c r="Z30" s="63">
        <f>IFERROR(AF30*AG30,0)</f>
        <v/>
      </c>
      <c r="AA30" s="69">
        <f>IFERROR(INDEX('Median Home and Rent Prices'!$F$2:$F$86,MATCH($A30,'Median Home and Rent Prices'!$A$2:$A$86,0)),0)</f>
        <v/>
      </c>
      <c r="AB30" s="63">
        <f>IFERROR(MAX(0,MIN(100,(800-AA30)/(800-150)*100)),0)</f>
        <v/>
      </c>
      <c r="AC30" s="114">
        <f>IFERROR(INDEX('School District Profiles'!$J$2:$J$86,MATCH($A30,'School District Profiles'!$A$2:$A$86,0)),0)</f>
        <v/>
      </c>
      <c r="AD30" s="63">
        <f>IFERROR(Q30*20/O30,0)</f>
        <v/>
      </c>
      <c r="AE30" s="63">
        <f>IFERROR(IF(AG30&gt;=1,100,IF(AG30&gt;=0.95,75,IF(AG30&gt;=0.9,60,IF(AG30&gt;=0.85,40,IF(AG30&gt;=0.8,25,0))))),0)</f>
        <v/>
      </c>
      <c r="AF30" s="63">
        <f>IFERROR(0.35*V30+0.3*U30+0.1*W30+0.1*X30+0.1*Y30+0.05*AR30,0)</f>
        <v/>
      </c>
      <c r="AG30" s="63" t="n">
        <v>1</v>
      </c>
      <c r="AH30" s="64" t="inlineStr">
        <is>
          <t>No current employment-stability penalty applied; first-pass research did not find reliable current layoff evidence.</t>
        </is>
      </c>
      <c r="AI30" s="65">
        <f>IF('Score Inputs'!$B$3="Bachelor's",CHOOSE(MATCH('Score Inputs'!$B$4,{0,5,10},0),D30,E30,F30),CHOOSE(MATCH('Score Inputs'!$B$4,{0,5,10},0),G30,H30,I30))</f>
        <v/>
      </c>
      <c r="AJ30" s="65">
        <f>IFERROR(AI30/12,0)</f>
        <v/>
      </c>
      <c r="AK30" s="114">
        <f>IFERROR(O30/AJ30,0)</f>
        <v/>
      </c>
      <c r="AL30" s="63">
        <f>IFERROR(IF(AK30&lt;=25%,100,IF(AK30&lt;=30%,100-(AK30-25%)/5%*30,IF(AK30&lt;=35%,70-(AK30-30%)/5%*10,IF(AK30&lt;=40%,60-(AK30-35%)/5%*20,MAX(0,40-(AK30-40%)/10%*40))))),0)</f>
        <v/>
      </c>
      <c r="AM30" s="65">
        <f>IFERROR(PMT('Score Inputs'!$B$5/12,'Score Inputs'!$B$7*12,-N30*(1-'Score Inputs'!$B$6)),0)</f>
        <v/>
      </c>
      <c r="AN30" s="114">
        <f>IFERROR(AM30/AJ30,0)</f>
        <v/>
      </c>
      <c r="AO30" s="63">
        <f>IFERROR(IF(AN30&lt;=25%,100,IF(AN30&lt;=30%,100-(AN30-25%)/5%*30,IF(AN30&lt;=35%,70-(AN30-30%)/5%*10,IF(AN30&lt;=40%,60-(AN30-35%)/5%*20,MAX(0,40-(AN30-40%)/10%*40))))),0)</f>
        <v/>
      </c>
      <c r="AP30" s="65">
        <f>IFERROR(AJ30-O30,0)</f>
        <v/>
      </c>
      <c r="AQ30" s="63">
        <f>IFERROR(MAX(0,MIN(100,(AP30-'Score Inputs'!$B$8)/('Score Inputs'!$B$9-'Score Inputs'!$B$8)*100)),0)</f>
        <v/>
      </c>
      <c r="AR30" s="63">
        <f>IFERROR(INDEX('State Funding Lookup'!$B$2:$B$86,MATCH($A30,'State Funding Lookup'!$A$2:$A$86,0)),0)</f>
        <v/>
      </c>
      <c r="AS30" s="67">
        <f>AK30</f>
        <v/>
      </c>
      <c r="AT30" s="67">
        <f>AN30</f>
        <v/>
      </c>
    </row>
    <row r="31" ht="30" customHeight="1" s="104">
      <c r="A31" s="64" t="inlineStr">
        <is>
          <t>Sun Prairie Area School District</t>
        </is>
      </c>
      <c r="B31" s="64">
        <f>IFERROR(INDEX('School District Profiles'!$B$2:$B$86,MATCH($A31,'School District Profiles'!$A$2:$A$86,0)),"")</f>
        <v/>
      </c>
      <c r="C31" s="64">
        <f>IFERROR(INDEX('School District Profiles'!$C$2:$C$86,MATCH($A31,'School District Profiles'!$A$2:$A$86,0)),"")</f>
        <v/>
      </c>
      <c r="D31" s="65">
        <f>IFERROR(SUMIFS('Teacher Salary Data'!$E$2:$E$1871,'Teacher Salary Data'!$A$2:$A$1871,$A31,'Teacher Salary Data'!$C$2:$C$1871,"Bachelor's",'Teacher Salary Data'!$D$2:$D$1871,0),0)</f>
        <v/>
      </c>
      <c r="E31" s="65">
        <f>IFERROR(SUMIFS('Teacher Salary Data'!$E$2:$E$1871,'Teacher Salary Data'!$A$2:$A$1871,$A31,'Teacher Salary Data'!$C$2:$C$1871,"Bachelor's",'Teacher Salary Data'!$D$2:$D$1871,5),0)</f>
        <v/>
      </c>
      <c r="F31" s="65">
        <f>IFERROR(SUMIFS('Teacher Salary Data'!$E$2:$E$1871,'Teacher Salary Data'!$A$2:$A$1871,$A31,'Teacher Salary Data'!$C$2:$C$1871,"Bachelor's",'Teacher Salary Data'!$D$2:$D$1871,10),0)</f>
        <v/>
      </c>
      <c r="G31" s="65">
        <f>IFERROR(SUMIFS('Teacher Salary Data'!$E$2:$E$1871,'Teacher Salary Data'!$A$2:$A$1871,$A31,'Teacher Salary Data'!$C$2:$C$1871,"Master's",'Teacher Salary Data'!$D$2:$D$1871,0),0)</f>
        <v/>
      </c>
      <c r="H31" s="65">
        <f>IFERROR(SUMIFS('Teacher Salary Data'!$E$2:$E$1871,'Teacher Salary Data'!$A$2:$A$1871,$A31,'Teacher Salary Data'!$C$2:$C$1871,"Master's",'Teacher Salary Data'!$D$2:$D$1871,5),0)</f>
        <v/>
      </c>
      <c r="I31" s="65">
        <f>IFERROR(SUMIFS('Teacher Salary Data'!$E$2:$E$1871,'Teacher Salary Data'!$A$2:$A$1871,$A31,'Teacher Salary Data'!$C$2:$C$1871,"Master's",'Teacher Salary Data'!$D$2:$D$1871,10),0)</f>
        <v/>
      </c>
      <c r="J31" s="65">
        <f>AVERAGE(D31,G31)</f>
        <v/>
      </c>
      <c r="K31" s="65">
        <f>AVERAGE(F31,I31)</f>
        <v/>
      </c>
      <c r="L31" s="114">
        <f>IFERROR((K31-J31)/J31,0)</f>
        <v/>
      </c>
      <c r="M31" s="65">
        <f>G31-D31</f>
        <v/>
      </c>
      <c r="N31" s="65">
        <f>IFERROR(INDEX('Median Home and Rent Prices'!$D$2:$D$86,MATCH($A31,'Median Home and Rent Prices'!$A$2:$A$86,0)),0)</f>
        <v/>
      </c>
      <c r="O31" s="65">
        <f>IFERROR(INDEX('Median Home and Rent Prices'!$E$2:$E$86,MATCH($A31,'Median Home and Rent Prices'!$A$2:$A$86,0)),0)</f>
        <v/>
      </c>
      <c r="P31" s="64">
        <f>IFERROR(INDEX('School District Profiles'!$H$2:$H$86,MATCH($A31,'School District Profiles'!$A$2:$A$86,0)),0)</f>
        <v/>
      </c>
      <c r="Q31" s="65">
        <f>IFERROR(INDEX('School District Profiles'!$I$2:$I$86,MATCH($A31,'School District Profiles'!$A$2:$A$86,0)),0)</f>
        <v/>
      </c>
      <c r="R31" s="63">
        <f>IFERROR(IF(($AI31-('Score Inputs'!$B$4*1500+IF('Score Inputs'!$B$3="Master's",4000,0)))&lt;53000,MAX(0,MIN(39.99,((($AI31-('Score Inputs'!$B$4*1500+IF('Score Inputs'!$B$3="Master's",4000,0))))-45000)/8000*39.99)),IF(($AI31-('Score Inputs'!$B$4*1500+IF('Score Inputs'!$B$3="Master's",4000,0)))&lt;58000,40+((($AI31-('Score Inputs'!$B$4*1500+IF('Score Inputs'!$B$3="Master's",4000,0))))-53000)/5000*20,IF(($AI31-('Score Inputs'!$B$4*1500+IF('Score Inputs'!$B$3="Master's",4000,0)))&lt;63000,60+((($AI31-('Score Inputs'!$B$4*1500+IF('Score Inputs'!$B$3="Master's",4000,0))))-58000)/5000*10,IF(($AI31-('Score Inputs'!$B$4*1500+IF('Score Inputs'!$B$3="Master's",4000,0)))&lt;70000,70+((($AI31-('Score Inputs'!$B$4*1500+IF('Score Inputs'!$B$3="Master's",4000,0))))-63000)/7000*10,IF(($AI31-('Score Inputs'!$B$4*1500+IF('Score Inputs'!$B$3="Master's",4000,0)))&lt;75000,80+((($AI31-('Score Inputs'!$B$4*1500+IF('Score Inputs'!$B$3="Master's",4000,0))))-70000)/5000*10,MIN(100,90+((($AI31-('Score Inputs'!$B$4*1500+IF('Score Inputs'!$B$3="Master's",4000,0))))-75000)/5000*10)))))),0)</f>
        <v/>
      </c>
      <c r="S31" s="63">
        <f>IFERROR(MAX(0,MIN(100,L31/0.48*100)),0)</f>
        <v/>
      </c>
      <c r="T31" s="63">
        <f>IFERROR(MAX(0,MIN(100,M31/15000*100)),0)</f>
        <v/>
      </c>
      <c r="U31" s="63">
        <f>IFERROR(0.5*R31+0.35*S31+0.15*T31,0)</f>
        <v/>
      </c>
      <c r="V31" s="63">
        <f>IFERROR(0.35*AL31+0.3*AO31+0.25*AB31+0.1*AQ31,0)</f>
        <v/>
      </c>
      <c r="W31" s="63">
        <f>IFERROR(MAX(0,MIN(100,(25-P31)/(25-12)*100)),0)</f>
        <v/>
      </c>
      <c r="X31" s="63">
        <f>IFERROR(MAX(0,MIN(100,(AD31-1)/(3-1)*100))*IF(OR($A31="North Clackamas School District",$A31="Provo City School District"),0.6,1),0)</f>
        <v/>
      </c>
      <c r="Y31" s="63">
        <f>IFERROR(MAX(0,MIN(100,(1-((IFERROR(INDEX('School District Profiles'!$D$2:$D$86,MATCH($A31,'School District Profiles'!$A$2:$A$86,0)),0)/100)^2+(IFERROR(INDEX('School District Profiles'!$E$2:$E$86,MATCH($A31,'School District Profiles'!$A$2:$A$86,0)),0)/100)^2+(IFERROR(INDEX('School District Profiles'!$F$2:$F$86,MATCH($A31,'School District Profiles'!$A$2:$A$86,0)),0)/100)^2+(IFERROR(INDEX('School District Profiles'!$G$2:$G$86,MATCH($A31,'School District Profiles'!$A$2:$A$86,0)),0)/100)^2+(AC31/100)^2))/0.8*100)),0)</f>
        <v/>
      </c>
      <c r="Z31" s="63">
        <f>IFERROR(AF31*AG31,0)</f>
        <v/>
      </c>
      <c r="AA31" s="69">
        <f>IFERROR(INDEX('Median Home and Rent Prices'!$F$2:$F$86,MATCH($A31,'Median Home and Rent Prices'!$A$2:$A$86,0)),0)</f>
        <v/>
      </c>
      <c r="AB31" s="63">
        <f>IFERROR(MAX(0,MIN(100,(800-AA31)/(800-150)*100)),0)</f>
        <v/>
      </c>
      <c r="AC31" s="114">
        <f>IFERROR(INDEX('School District Profiles'!$J$2:$J$86,MATCH($A31,'School District Profiles'!$A$2:$A$86,0)),0)</f>
        <v/>
      </c>
      <c r="AD31" s="63">
        <f>IFERROR(Q31*20/O31,0)</f>
        <v/>
      </c>
      <c r="AE31" s="63">
        <f>IFERROR(IF(AG31&gt;=1,100,IF(AG31&gt;=0.95,75,IF(AG31&gt;=0.9,60,IF(AG31&gt;=0.85,40,IF(AG31&gt;=0.8,25,0))))),0)</f>
        <v/>
      </c>
      <c r="AF31" s="63">
        <f>IFERROR(0.35*V31+0.3*U31+0.1*W31+0.1*X31+0.1*Y31+0.05*AR31,0)</f>
        <v/>
      </c>
      <c r="AG31" s="63" t="n">
        <v>1</v>
      </c>
      <c r="AH31" s="64" t="inlineStr">
        <is>
          <t>No current employment-stability penalty applied in this first-pass entry. District shows active hiring and no reliable current broad layoff/closure evidence found in this pass.</t>
        </is>
      </c>
      <c r="AI31" s="65">
        <f>IF('Score Inputs'!$B$3="Bachelor's",CHOOSE(MATCH('Score Inputs'!$B$4,{0,5,10},0),D31,E31,F31),CHOOSE(MATCH('Score Inputs'!$B$4,{0,5,10},0),G31,H31,I31))</f>
        <v/>
      </c>
      <c r="AJ31" s="65">
        <f>IFERROR(AI31/12,0)</f>
        <v/>
      </c>
      <c r="AK31" s="114">
        <f>IFERROR(O31/AJ31,0)</f>
        <v/>
      </c>
      <c r="AL31" s="63">
        <f>IFERROR(IF(AK31&lt;=25%,100,IF(AK31&lt;=30%,100-(AK31-25%)/5%*30,IF(AK31&lt;=35%,70-(AK31-30%)/5%*10,IF(AK31&lt;=40%,60-(AK31-35%)/5%*20,MAX(0,40-(AK31-40%)/10%*40))))),0)</f>
        <v/>
      </c>
      <c r="AM31" s="65">
        <f>IFERROR(PMT('Score Inputs'!$B$5/12,'Score Inputs'!$B$7*12,-N31*(1-'Score Inputs'!$B$6)),0)</f>
        <v/>
      </c>
      <c r="AN31" s="114">
        <f>IFERROR(AM31/AJ31,0)</f>
        <v/>
      </c>
      <c r="AO31" s="63">
        <f>IFERROR(IF(AN31&lt;=25%,100,IF(AN31&lt;=30%,100-(AN31-25%)/5%*30,IF(AN31&lt;=35%,70-(AN31-30%)/5%*10,IF(AN31&lt;=40%,60-(AN31-35%)/5%*20,MAX(0,40-(AN31-40%)/10%*40))))),0)</f>
        <v/>
      </c>
      <c r="AP31" s="65">
        <f>IFERROR(AJ31-O31,0)</f>
        <v/>
      </c>
      <c r="AQ31" s="63">
        <f>IFERROR(MAX(0,MIN(100,(AP31-'Score Inputs'!$B$8)/('Score Inputs'!$B$9-'Score Inputs'!$B$8)*100)),0)</f>
        <v/>
      </c>
      <c r="AR31" s="63">
        <f>IFERROR(INDEX('State Funding Lookup'!$B$2:$B$86,MATCH($A31,'State Funding Lookup'!$A$2:$A$86,0)),0)</f>
        <v/>
      </c>
      <c r="AS31" s="67">
        <f>AK31</f>
        <v/>
      </c>
      <c r="AT31" s="67">
        <f>AN31</f>
        <v/>
      </c>
    </row>
    <row r="32" ht="30" customHeight="1" s="104">
      <c r="A32" s="88" t="inlineStr">
        <is>
          <t>Clear Creek ISD</t>
        </is>
      </c>
      <c r="B32" s="88">
        <f>IFERROR(INDEX('School District Profiles'!$B$2:$B$86,MATCH($A32,'School District Profiles'!$A$2:$A$86,0)),"")</f>
        <v/>
      </c>
      <c r="C32" s="88">
        <f>IFERROR(INDEX('School District Profiles'!$C$2:$C$86,MATCH($A32,'School District Profiles'!$A$2:$A$86,0)),"")</f>
        <v/>
      </c>
      <c r="D32" s="90">
        <f>IFERROR(SUMIFS('Teacher Salary Data'!$E$2:$E$1871,'Teacher Salary Data'!$A$2:$A$1871,$A32,'Teacher Salary Data'!$C$2:$C$1871,"Bachelor's",'Teacher Salary Data'!$D$2:$D$1871,0),0)</f>
        <v/>
      </c>
      <c r="E32" s="90">
        <f>IFERROR(SUMIFS('Teacher Salary Data'!$E$2:$E$1871,'Teacher Salary Data'!$A$2:$A$1871,$A32,'Teacher Salary Data'!$C$2:$C$1871,"Bachelor's",'Teacher Salary Data'!$D$2:$D$1871,5),0)</f>
        <v/>
      </c>
      <c r="F32" s="90">
        <f>IFERROR(SUMIFS('Teacher Salary Data'!$E$2:$E$1871,'Teacher Salary Data'!$A$2:$A$1871,$A32,'Teacher Salary Data'!$C$2:$C$1871,"Bachelor's",'Teacher Salary Data'!$D$2:$D$1871,10),0)</f>
        <v/>
      </c>
      <c r="G32" s="90">
        <f>IFERROR(SUMIFS('Teacher Salary Data'!$E$2:$E$1871,'Teacher Salary Data'!$A$2:$A$1871,$A32,'Teacher Salary Data'!$C$2:$C$1871,"Master's",'Teacher Salary Data'!$D$2:$D$1871,0),0)</f>
        <v/>
      </c>
      <c r="H32" s="90">
        <f>IFERROR(SUMIFS('Teacher Salary Data'!$E$2:$E$1871,'Teacher Salary Data'!$A$2:$A$1871,$A32,'Teacher Salary Data'!$C$2:$C$1871,"Master's",'Teacher Salary Data'!$D$2:$D$1871,5),0)</f>
        <v/>
      </c>
      <c r="I32" s="90">
        <f>IFERROR(SUMIFS('Teacher Salary Data'!$E$2:$E$1871,'Teacher Salary Data'!$A$2:$A$1871,$A32,'Teacher Salary Data'!$C$2:$C$1871,"Master's",'Teacher Salary Data'!$D$2:$D$1871,10),0)</f>
        <v/>
      </c>
      <c r="J32" s="90">
        <f>AVERAGE(D32,G32)</f>
        <v/>
      </c>
      <c r="K32" s="90">
        <f>AVERAGE(F32,I32)</f>
        <v/>
      </c>
      <c r="L32" s="115">
        <f>IFERROR((K32-J32)/J32,0)</f>
        <v/>
      </c>
      <c r="M32" s="88">
        <f>G32-D32</f>
        <v/>
      </c>
      <c r="N32" s="90">
        <f>IFERROR(INDEX('Median Home and Rent Prices'!$D$2:$D$86,MATCH($A32,'Median Home and Rent Prices'!$A$2:$A$86,0)),0)</f>
        <v/>
      </c>
      <c r="O32" s="90">
        <f>IFERROR(INDEX('Median Home and Rent Prices'!$E$2:$E$86,MATCH($A32,'Median Home and Rent Prices'!$A$2:$A$86,0)),0)</f>
        <v/>
      </c>
      <c r="P32" s="88">
        <f>IFERROR(INDEX('School District Profiles'!$H$2:$H$86,MATCH($A32,'School District Profiles'!$A$2:$A$86,0)),0)</f>
        <v/>
      </c>
      <c r="Q32" s="90">
        <f>IFERROR(INDEX('School District Profiles'!$I$2:$I$86,MATCH($A32,'School District Profiles'!$A$2:$A$86,0)),0)</f>
        <v/>
      </c>
      <c r="R32" s="95">
        <f>IFERROR(IF(($AI32-('Score Inputs'!$B$4*1500+IF('Score Inputs'!$B$3="Master's",4000,0)))&lt;53000,MAX(0,MIN(39.99,((($AI32-('Score Inputs'!$B$4*1500+IF('Score Inputs'!$B$3="Master's",4000,0))))-45000)/8000*39.99)),IF(($AI32-('Score Inputs'!$B$4*1500+IF('Score Inputs'!$B$3="Master's",4000,0)))&lt;58000,40+((($AI32-('Score Inputs'!$B$4*1500+IF('Score Inputs'!$B$3="Master's",4000,0))))-53000)/5000*20,IF(($AI32-('Score Inputs'!$B$4*1500+IF('Score Inputs'!$B$3="Master's",4000,0)))&lt;63000,60+((($AI32-('Score Inputs'!$B$4*1500+IF('Score Inputs'!$B$3="Master's",4000,0))))-58000)/5000*10,IF(($AI32-('Score Inputs'!$B$4*1500+IF('Score Inputs'!$B$3="Master's",4000,0)))&lt;70000,70+((($AI32-('Score Inputs'!$B$4*1500+IF('Score Inputs'!$B$3="Master's",4000,0))))-63000)/7000*10,IF(($AI32-('Score Inputs'!$B$4*1500+IF('Score Inputs'!$B$3="Master's",4000,0)))&lt;75000,80+((($AI32-('Score Inputs'!$B$4*1500+IF('Score Inputs'!$B$3="Master's",4000,0))))-70000)/5000*10,MIN(100,90+((($AI32-('Score Inputs'!$B$4*1500+IF('Score Inputs'!$B$3="Master's",4000,0))))-75000)/5000*10)))))),0)</f>
        <v/>
      </c>
      <c r="S32" s="95">
        <f>IFERROR(MAX(0,MIN(100,L32/0.48*100)),0)</f>
        <v/>
      </c>
      <c r="T32" s="95">
        <f>IFERROR(MAX(0,MIN(100,M32/15000*100)),0)</f>
        <v/>
      </c>
      <c r="U32" s="95">
        <f>IFERROR(0.5*R32+0.35*S32+0.15*T32,0)</f>
        <v/>
      </c>
      <c r="V32" s="95">
        <f>IFERROR(0.35*AL32+0.3*AO32+0.25*AB32+0.1*AQ32,0)</f>
        <v/>
      </c>
      <c r="W32" s="95">
        <f>IFERROR(MAX(0,MIN(100,(25-P32)/(25-12)*100)),0)</f>
        <v/>
      </c>
      <c r="X32" s="95">
        <f>IFERROR(MAX(0,MIN(100,(AD32-1)/(3-1)*100))*IF(OR($A32="North Clackamas School District",$A32="Provo City School District"),0.6,1),0)</f>
        <v/>
      </c>
      <c r="Y32" s="95">
        <f>IFERROR(MAX(0,MIN(100,(1-((IFERROR(INDEX('School District Profiles'!$D$2:$D$86,MATCH($A32,'School District Profiles'!$A$2:$A$86,0)),0)/100)^2+(IFERROR(INDEX('School District Profiles'!$E$2:$E$86,MATCH($A32,'School District Profiles'!$A$2:$A$86,0)),0)/100)^2+(IFERROR(INDEX('School District Profiles'!$F$2:$F$86,MATCH($A32,'School District Profiles'!$A$2:$A$86,0)),0)/100)^2+(IFERROR(INDEX('School District Profiles'!$G$2:$G$86,MATCH($A32,'School District Profiles'!$A$2:$A$86,0)),0)/100)^2+(AC32/100)^2))/0.8*100)),0)</f>
        <v/>
      </c>
      <c r="Z32" s="95">
        <f>IFERROR(AF32*AG32,0)</f>
        <v/>
      </c>
      <c r="AA32" s="88">
        <f>IFERROR(INDEX('Median Home and Rent Prices'!$F$2:$F$86,MATCH($A32,'Median Home and Rent Prices'!$A$2:$A$86,0)),0)</f>
        <v/>
      </c>
      <c r="AB32" s="95">
        <f>IFERROR(MAX(0,MIN(100,(800-AA32)/(800-150)*100)),0)</f>
        <v/>
      </c>
      <c r="AC32" s="88">
        <f>IFERROR(INDEX('School District Profiles'!$J$2:$J$86,MATCH($A32,'School District Profiles'!$A$2:$A$86,0)),0)</f>
        <v/>
      </c>
      <c r="AD32" s="95">
        <f>IFERROR(Q32*20/O32,0)</f>
        <v/>
      </c>
      <c r="AE32" s="95">
        <f>IFERROR(IF(AG32&gt;=1,100,IF(AG32&gt;=0.95,75,IF(AG32&gt;=0.9,60,IF(AG32&gt;=0.85,40,IF(AG32&gt;=0.8,25,0))))),0)</f>
        <v/>
      </c>
      <c r="AF32" s="95">
        <f>IFERROR(0.35*V32+0.3*U32+0.1*W32+0.1*X32+0.1*Y32+0.05*AR32,0)</f>
        <v/>
      </c>
      <c r="AG32" s="95" t="n">
        <v>1</v>
      </c>
      <c r="AH32" s="88" t="inlineStr">
        <is>
          <t>Official salary schedule extracted. Bachelor and master values come from the published 2025-26 table. Sub pay is first-pass and needs district confirmation.</t>
        </is>
      </c>
      <c r="AI32" s="90">
        <f>IF('Score Inputs'!$B$3="Bachelor's",CHOOSE(MATCH('Score Inputs'!$B$4,{0,5,10},0),D32,E32,F32),CHOOSE(MATCH('Score Inputs'!$B$4,{0,5,10},0),G32,H32,I32))</f>
        <v/>
      </c>
      <c r="AJ32" s="90">
        <f>IFERROR(AI32/12,0)</f>
        <v/>
      </c>
      <c r="AK32" s="115">
        <f>IFERROR(O32/AJ32,0)</f>
        <v/>
      </c>
      <c r="AL32" s="95">
        <f>IFERROR(IF(AK32&lt;=25%,100,IF(AK32&lt;=30%,100-(AK32-25%)/5%*30,IF(AK32&lt;=35%,70-(AK32-30%)/5%*10,IF(AK32&lt;=40%,60-(AK32-35%)/5%*20,MAX(0,40-(AK32-40%)/10%*40))))),0)</f>
        <v/>
      </c>
      <c r="AM32" s="90">
        <f>IFERROR(PMT('Score Inputs'!$B$5/12,'Score Inputs'!$B$7*12,-N32*(1-'Score Inputs'!$B$6)),0)</f>
        <v/>
      </c>
      <c r="AN32" s="115">
        <f>IFERROR(AM32/AJ32,0)</f>
        <v/>
      </c>
      <c r="AO32" s="95">
        <f>IFERROR(IF(AN32&lt;=25%,100,IF(AN32&lt;=30%,100-(AN32-25%)/5%*30,IF(AN32&lt;=35%,70-(AN32-30%)/5%*10,IF(AN32&lt;=40%,60-(AN32-35%)/5%*20,MAX(0,40-(AN32-40%)/10%*40))))),0)</f>
        <v/>
      </c>
      <c r="AP32" s="90">
        <f>IFERROR(AJ32-O32,0)</f>
        <v/>
      </c>
      <c r="AQ32" s="95">
        <f>IFERROR(MAX(0,MIN(100,(AP32-'Score Inputs'!$B$8)/('Score Inputs'!$B$9-'Score Inputs'!$B$8)*100)),0)</f>
        <v/>
      </c>
      <c r="AR32" s="95">
        <f>IFERROR(INDEX('State Funding Lookup'!$B$2:$B$86,MATCH($A32,'State Funding Lookup'!$A$2:$A$86,0)),0)</f>
        <v/>
      </c>
      <c r="AS32" s="98">
        <f>AK32</f>
        <v/>
      </c>
      <c r="AT32" s="98">
        <f>AN32</f>
        <v/>
      </c>
    </row>
    <row r="33" ht="30" customHeight="1" s="104">
      <c r="A33" s="88" t="inlineStr">
        <is>
          <t>Deer Park ISD</t>
        </is>
      </c>
      <c r="B33" s="88">
        <f>IFERROR(INDEX('School District Profiles'!$B$2:$B$86,MATCH($A33,'School District Profiles'!$A$2:$A$86,0)),"")</f>
        <v/>
      </c>
      <c r="C33" s="88">
        <f>IFERROR(INDEX('School District Profiles'!$C$2:$C$86,MATCH($A33,'School District Profiles'!$A$2:$A$86,0)),"")</f>
        <v/>
      </c>
      <c r="D33" s="90">
        <f>IFERROR(SUMIFS('Teacher Salary Data'!$E$2:$E$1871,'Teacher Salary Data'!$A$2:$A$1871,$A33,'Teacher Salary Data'!$C$2:$C$1871,"Bachelor's",'Teacher Salary Data'!$D$2:$D$1871,0),0)</f>
        <v/>
      </c>
      <c r="E33" s="90">
        <f>IFERROR(SUMIFS('Teacher Salary Data'!$E$2:$E$1871,'Teacher Salary Data'!$A$2:$A$1871,$A33,'Teacher Salary Data'!$C$2:$C$1871,"Bachelor's",'Teacher Salary Data'!$D$2:$D$1871,5),0)</f>
        <v/>
      </c>
      <c r="F33" s="90">
        <f>IFERROR(SUMIFS('Teacher Salary Data'!$E$2:$E$1871,'Teacher Salary Data'!$A$2:$A$1871,$A33,'Teacher Salary Data'!$C$2:$C$1871,"Bachelor's",'Teacher Salary Data'!$D$2:$D$1871,10),0)</f>
        <v/>
      </c>
      <c r="G33" s="90">
        <f>IFERROR(SUMIFS('Teacher Salary Data'!$E$2:$E$1871,'Teacher Salary Data'!$A$2:$A$1871,$A33,'Teacher Salary Data'!$C$2:$C$1871,"Master's",'Teacher Salary Data'!$D$2:$D$1871,0),0)</f>
        <v/>
      </c>
      <c r="H33" s="90">
        <f>IFERROR(SUMIFS('Teacher Salary Data'!$E$2:$E$1871,'Teacher Salary Data'!$A$2:$A$1871,$A33,'Teacher Salary Data'!$C$2:$C$1871,"Master's",'Teacher Salary Data'!$D$2:$D$1871,5),0)</f>
        <v/>
      </c>
      <c r="I33" s="90">
        <f>IFERROR(SUMIFS('Teacher Salary Data'!$E$2:$E$1871,'Teacher Salary Data'!$A$2:$A$1871,$A33,'Teacher Salary Data'!$C$2:$C$1871,"Master's",'Teacher Salary Data'!$D$2:$D$1871,10),0)</f>
        <v/>
      </c>
      <c r="J33" s="90">
        <f>AVERAGE(D33,G33)</f>
        <v/>
      </c>
      <c r="K33" s="90">
        <f>AVERAGE(F33,I33)</f>
        <v/>
      </c>
      <c r="L33" s="115">
        <f>IFERROR((K33-J33)/J33,0)</f>
        <v/>
      </c>
      <c r="M33" s="88">
        <f>G33-D33</f>
        <v/>
      </c>
      <c r="N33" s="90">
        <f>IFERROR(INDEX('Median Home and Rent Prices'!$D$2:$D$86,MATCH($A33,'Median Home and Rent Prices'!$A$2:$A$86,0)),0)</f>
        <v/>
      </c>
      <c r="O33" s="90">
        <f>IFERROR(INDEX('Median Home and Rent Prices'!$E$2:$E$86,MATCH($A33,'Median Home and Rent Prices'!$A$2:$A$86,0)),0)</f>
        <v/>
      </c>
      <c r="P33" s="88">
        <f>IFERROR(INDEX('School District Profiles'!$H$2:$H$86,MATCH($A33,'School District Profiles'!$A$2:$A$86,0)),0)</f>
        <v/>
      </c>
      <c r="Q33" s="90">
        <f>IFERROR(INDEX('School District Profiles'!$I$2:$I$86,MATCH($A33,'School District Profiles'!$A$2:$A$86,0)),0)</f>
        <v/>
      </c>
      <c r="R33" s="95">
        <f>IFERROR(IF(($AI33-('Score Inputs'!$B$4*1500+IF('Score Inputs'!$B$3="Master's",4000,0)))&lt;53000,MAX(0,MIN(39.99,((($AI33-('Score Inputs'!$B$4*1500+IF('Score Inputs'!$B$3="Master's",4000,0))))-45000)/8000*39.99)),IF(($AI33-('Score Inputs'!$B$4*1500+IF('Score Inputs'!$B$3="Master's",4000,0)))&lt;58000,40+((($AI33-('Score Inputs'!$B$4*1500+IF('Score Inputs'!$B$3="Master's",4000,0))))-53000)/5000*20,IF(($AI33-('Score Inputs'!$B$4*1500+IF('Score Inputs'!$B$3="Master's",4000,0)))&lt;63000,60+((($AI33-('Score Inputs'!$B$4*1500+IF('Score Inputs'!$B$3="Master's",4000,0))))-58000)/5000*10,IF(($AI33-('Score Inputs'!$B$4*1500+IF('Score Inputs'!$B$3="Master's",4000,0)))&lt;70000,70+((($AI33-('Score Inputs'!$B$4*1500+IF('Score Inputs'!$B$3="Master's",4000,0))))-63000)/7000*10,IF(($AI33-('Score Inputs'!$B$4*1500+IF('Score Inputs'!$B$3="Master's",4000,0)))&lt;75000,80+((($AI33-('Score Inputs'!$B$4*1500+IF('Score Inputs'!$B$3="Master's",4000,0))))-70000)/5000*10,MIN(100,90+((($AI33-('Score Inputs'!$B$4*1500+IF('Score Inputs'!$B$3="Master's",4000,0))))-75000)/5000*10)))))),0)</f>
        <v/>
      </c>
      <c r="S33" s="95">
        <f>IFERROR(MAX(0,MIN(100,L33/0.48*100)),0)</f>
        <v/>
      </c>
      <c r="T33" s="95">
        <f>IFERROR(MAX(0,MIN(100,M33/15000*100)),0)</f>
        <v/>
      </c>
      <c r="U33" s="95">
        <f>IFERROR(0.5*R33+0.35*S33+0.15*T33,0)</f>
        <v/>
      </c>
      <c r="V33" s="95">
        <f>IFERROR(0.35*AL33+0.3*AO33+0.25*AB33+0.1*AQ33,0)</f>
        <v/>
      </c>
      <c r="W33" s="95">
        <f>IFERROR(MAX(0,MIN(100,(25-P33)/(25-12)*100)),0)</f>
        <v/>
      </c>
      <c r="X33" s="95">
        <f>IFERROR(MAX(0,MIN(100,(AD33-1)/(3-1)*100))*IF(OR($A33="North Clackamas School District",$A33="Provo City School District"),0.6,1),0)</f>
        <v/>
      </c>
      <c r="Y33" s="95">
        <f>IFERROR(MAX(0,MIN(100,(1-((IFERROR(INDEX('School District Profiles'!$D$2:$D$86,MATCH($A33,'School District Profiles'!$A$2:$A$86,0)),0)/100)^2+(IFERROR(INDEX('School District Profiles'!$E$2:$E$86,MATCH($A33,'School District Profiles'!$A$2:$A$86,0)),0)/100)^2+(IFERROR(INDEX('School District Profiles'!$F$2:$F$86,MATCH($A33,'School District Profiles'!$A$2:$A$86,0)),0)/100)^2+(IFERROR(INDEX('School District Profiles'!$G$2:$G$86,MATCH($A33,'School District Profiles'!$A$2:$A$86,0)),0)/100)^2+(AC33/100)^2))/0.8*100)),0)</f>
        <v/>
      </c>
      <c r="Z33" s="95">
        <f>IFERROR(AF33*AG33,0)</f>
        <v/>
      </c>
      <c r="AA33" s="95">
        <f>IFERROR(INDEX('Median Home and Rent Prices'!$F$2:$F$86,MATCH($A33,'Median Home and Rent Prices'!$A$2:$A$86,0)),0)</f>
        <v/>
      </c>
      <c r="AB33" s="95">
        <f>IFERROR(MAX(0,MIN(100,(800-AA33)/(800-150)*100)),0)</f>
        <v/>
      </c>
      <c r="AC33" s="95">
        <f>IFERROR(INDEX('School District Profiles'!$J$2:$J$86,MATCH($A33,'School District Profiles'!$A$2:$A$86,0)),0)</f>
        <v/>
      </c>
      <c r="AD33" s="95">
        <f>IFERROR(Q33*20/O33,0)</f>
        <v/>
      </c>
      <c r="AE33" s="95">
        <f>IFERROR(IF(AG33&gt;=1,100,IF(AG33&gt;=0.95,75,IF(AG33&gt;=0.9,60,IF(AG33&gt;=0.85,40,IF(AG33&gt;=0.8,25,0))))),0)</f>
        <v/>
      </c>
      <c r="AF33" s="95">
        <f>IFERROR(0.35*V33+0.3*U33+0.1*W33+0.1*X33+0.1*Y33+0.05*AR33,0)</f>
        <v/>
      </c>
      <c r="AG33" s="95" t="n">
        <v>1</v>
      </c>
      <c r="AH33" s="88" t="inlineStr">
        <is>
          <t>No employment-stability penalty applied in this first-pass addition; verify with adopted budget, enrollment trend, board packets, and HR/union notices before final scoring.</t>
        </is>
      </c>
      <c r="AI33" s="90">
        <f>IF('Score Inputs'!$B$3="Bachelor's",CHOOSE(MATCH('Score Inputs'!$B$4,{0,5,10},0),D33,E33,F33),CHOOSE(MATCH('Score Inputs'!$B$4,{0,5,10},0),G33,H33,I33))</f>
        <v/>
      </c>
      <c r="AJ33" s="90">
        <f>IFERROR(AI33/12,0)</f>
        <v/>
      </c>
      <c r="AK33" s="115">
        <f>IFERROR(O33/AJ33,0)</f>
        <v/>
      </c>
      <c r="AL33" s="95">
        <f>IFERROR(IF(AK33&lt;=25%,100,IF(AK33&lt;=30%,100-(AK33-25%)/5%*30,IF(AK33&lt;=35%,70-(AK33-30%)/5%*10,IF(AK33&lt;=40%,60-(AK33-35%)/5%*20,MAX(0,40-(AK33-40%)/10%*40))))),0)</f>
        <v/>
      </c>
      <c r="AM33" s="90">
        <f>IFERROR(PMT('Score Inputs'!$B$5/12,'Score Inputs'!$B$7*12,-N33*(1-'Score Inputs'!$B$6)),0)</f>
        <v/>
      </c>
      <c r="AN33" s="115">
        <f>IFERROR(AM33/AJ33,0)</f>
        <v/>
      </c>
      <c r="AO33" s="95">
        <f>IFERROR(IF(AN33&lt;=25%,100,IF(AN33&lt;=30%,100-(AN33-25%)/5%*30,IF(AN33&lt;=35%,70-(AN33-30%)/5%*10,IF(AN33&lt;=40%,60-(AN33-35%)/5%*20,MAX(0,40-(AN33-40%)/10%*40))))),0)</f>
        <v/>
      </c>
      <c r="AP33" s="90">
        <f>IFERROR(AJ33-O33,0)</f>
        <v/>
      </c>
      <c r="AQ33" s="95">
        <f>IFERROR(MAX(0,MIN(100,(AP33-'Score Inputs'!$B$8)/('Score Inputs'!$B$9-'Score Inputs'!$B$8)*100)),0)</f>
        <v/>
      </c>
      <c r="AR33" s="95">
        <f>IFERROR(INDEX('State Funding Lookup'!$B$2:$B$86,MATCH($A33,'State Funding Lookup'!$A$2:$A$86,0)),0)</f>
        <v/>
      </c>
      <c r="AS33" s="98">
        <f>AK33</f>
        <v/>
      </c>
      <c r="AT33" s="98">
        <f>AN33</f>
        <v/>
      </c>
    </row>
    <row r="34" ht="30" customHeight="1" s="104">
      <c r="A34" s="64" t="inlineStr">
        <is>
          <t>Scarsdale Union Free School District</t>
        </is>
      </c>
      <c r="B34" s="64">
        <f>IFERROR(INDEX('School District Profiles'!$B$2:$B$86,MATCH($A34,'School District Profiles'!$A$2:$A$86,0)),"")</f>
        <v/>
      </c>
      <c r="C34" s="64">
        <f>IFERROR(INDEX('School District Profiles'!$C$2:$C$86,MATCH($A34,'School District Profiles'!$A$2:$A$86,0)),"")</f>
        <v/>
      </c>
      <c r="D34" s="65">
        <f>IFERROR(SUMIFS('Teacher Salary Data'!$E$2:$E$1871,'Teacher Salary Data'!$A$2:$A$1871,$A34,'Teacher Salary Data'!$C$2:$C$1871,"Bachelor's",'Teacher Salary Data'!$D$2:$D$1871,0),0)</f>
        <v/>
      </c>
      <c r="E34" s="65">
        <f>IFERROR(SUMIFS('Teacher Salary Data'!$E$2:$E$1871,'Teacher Salary Data'!$A$2:$A$1871,$A34,'Teacher Salary Data'!$C$2:$C$1871,"Bachelor's",'Teacher Salary Data'!$D$2:$D$1871,5),0)</f>
        <v/>
      </c>
      <c r="F34" s="65">
        <f>IFERROR(SUMIFS('Teacher Salary Data'!$E$2:$E$1871,'Teacher Salary Data'!$A$2:$A$1871,$A34,'Teacher Salary Data'!$C$2:$C$1871,"Bachelor's",'Teacher Salary Data'!$D$2:$D$1871,10),0)</f>
        <v/>
      </c>
      <c r="G34" s="65">
        <f>IFERROR(SUMIFS('Teacher Salary Data'!$E$2:$E$1871,'Teacher Salary Data'!$A$2:$A$1871,$A34,'Teacher Salary Data'!$C$2:$C$1871,"Master's",'Teacher Salary Data'!$D$2:$D$1871,0),0)</f>
        <v/>
      </c>
      <c r="H34" s="65">
        <f>IFERROR(SUMIFS('Teacher Salary Data'!$E$2:$E$1871,'Teacher Salary Data'!$A$2:$A$1871,$A34,'Teacher Salary Data'!$C$2:$C$1871,"Master's",'Teacher Salary Data'!$D$2:$D$1871,5),0)</f>
        <v/>
      </c>
      <c r="I34" s="65">
        <f>IFERROR(SUMIFS('Teacher Salary Data'!$E$2:$E$1871,'Teacher Salary Data'!$A$2:$A$1871,$A34,'Teacher Salary Data'!$C$2:$C$1871,"Master's",'Teacher Salary Data'!$D$2:$D$1871,10),0)</f>
        <v/>
      </c>
      <c r="J34" s="65">
        <f>AVERAGE(D34,G34)</f>
        <v/>
      </c>
      <c r="K34" s="65">
        <f>AVERAGE(F34,I34)</f>
        <v/>
      </c>
      <c r="L34" s="114">
        <f>IFERROR((K34-J34)/J34,0)</f>
        <v/>
      </c>
      <c r="M34" s="65">
        <f>G34-D34</f>
        <v/>
      </c>
      <c r="N34" s="65">
        <f>IFERROR(INDEX('Median Home and Rent Prices'!$D$2:$D$86,MATCH($A34,'Median Home and Rent Prices'!$A$2:$A$86,0)),0)</f>
        <v/>
      </c>
      <c r="O34" s="65">
        <f>IFERROR(INDEX('Median Home and Rent Prices'!$E$2:$E$86,MATCH($A34,'Median Home and Rent Prices'!$A$2:$A$86,0)),0)</f>
        <v/>
      </c>
      <c r="P34" s="63">
        <f>IFERROR(INDEX('School District Profiles'!$H$2:$H$86,MATCH($A34,'School District Profiles'!$A$2:$A$86,0)),0)</f>
        <v/>
      </c>
      <c r="Q34" s="65">
        <f>IFERROR(INDEX('School District Profiles'!$I$2:$I$86,MATCH($A34,'School District Profiles'!$A$2:$A$86,0)),0)</f>
        <v/>
      </c>
      <c r="R34" s="63">
        <f>IFERROR(IF(($AI34-('Score Inputs'!$B$4*1500+IF('Score Inputs'!$B$3="Master's",4000,0)))&lt;53000,MAX(0,MIN(39.99,((($AI34-('Score Inputs'!$B$4*1500+IF('Score Inputs'!$B$3="Master's",4000,0))))-45000)/8000*39.99)),IF(($AI34-('Score Inputs'!$B$4*1500+IF('Score Inputs'!$B$3="Master's",4000,0)))&lt;58000,40+((($AI34-('Score Inputs'!$B$4*1500+IF('Score Inputs'!$B$3="Master's",4000,0))))-53000)/5000*20,IF(($AI34-('Score Inputs'!$B$4*1500+IF('Score Inputs'!$B$3="Master's",4000,0)))&lt;63000,60+((($AI34-('Score Inputs'!$B$4*1500+IF('Score Inputs'!$B$3="Master's",4000,0))))-58000)/5000*10,IF(($AI34-('Score Inputs'!$B$4*1500+IF('Score Inputs'!$B$3="Master's",4000,0)))&lt;70000,70+((($AI34-('Score Inputs'!$B$4*1500+IF('Score Inputs'!$B$3="Master's",4000,0))))-63000)/7000*10,IF(($AI34-('Score Inputs'!$B$4*1500+IF('Score Inputs'!$B$3="Master's",4000,0)))&lt;75000,80+((($AI34-('Score Inputs'!$B$4*1500+IF('Score Inputs'!$B$3="Master's",4000,0))))-70000)/5000*10,MIN(100,90+((($AI34-('Score Inputs'!$B$4*1500+IF('Score Inputs'!$B$3="Master's",4000,0))))-75000)/5000*10)))))),0)</f>
        <v/>
      </c>
      <c r="S34" s="63">
        <f>IFERROR(MAX(0,MIN(100,L34/0.48*100)),0)</f>
        <v/>
      </c>
      <c r="T34" s="63">
        <f>IFERROR(MAX(0,MIN(100,M34/15000*100)),0)</f>
        <v/>
      </c>
      <c r="U34" s="63">
        <f>IFERROR(0.5*R34+0.35*S34+0.15*T34,0)</f>
        <v/>
      </c>
      <c r="V34" s="63">
        <f>IFERROR(0.35*AL34+0.3*AO34+0.25*AB34+0.1*AQ34,0)</f>
        <v/>
      </c>
      <c r="W34" s="63">
        <f>IFERROR(MAX(0,MIN(100,(25-P34)/(25-12)*100)),0)</f>
        <v/>
      </c>
      <c r="X34" s="63">
        <f>IFERROR(MAX(0,MIN(100,(AD34-1)/(3-1)*100))*IF(OR($A34="North Clackamas School District",$A34="Provo City School District"),0.6,1),0)</f>
        <v/>
      </c>
      <c r="Y34" s="63">
        <f>IFERROR(MAX(0,MIN(100,(1-((IFERROR(INDEX('School District Profiles'!$D$2:$D$86,MATCH($A34,'School District Profiles'!$A$2:$A$86,0)),0)/100)^2+(IFERROR(INDEX('School District Profiles'!$E$2:$E$86,MATCH($A34,'School District Profiles'!$A$2:$A$86,0)),0)/100)^2+(IFERROR(INDEX('School District Profiles'!$F$2:$F$86,MATCH($A34,'School District Profiles'!$A$2:$A$86,0)),0)/100)^2+(IFERROR(INDEX('School District Profiles'!$G$2:$G$86,MATCH($A34,'School District Profiles'!$A$2:$A$86,0)),0)/100)^2+(AC34/100)^2))/0.8*100)),0)</f>
        <v/>
      </c>
      <c r="Z34" s="63">
        <f>IFERROR(AF34*AG34,0)</f>
        <v/>
      </c>
      <c r="AA34" s="69">
        <f>IFERROR(INDEX('Median Home and Rent Prices'!$F$2:$F$86,MATCH($A34,'Median Home and Rent Prices'!$A$2:$A$86,0)),0)</f>
        <v/>
      </c>
      <c r="AB34" s="63">
        <f>IFERROR(MAX(0,MIN(100,(800-AA34)/(800-150)*100)),0)</f>
        <v/>
      </c>
      <c r="AC34" s="114">
        <f>IFERROR(INDEX('School District Profiles'!$J$2:$J$86,MATCH($A34,'School District Profiles'!$A$2:$A$86,0)),0)</f>
        <v/>
      </c>
      <c r="AD34" s="63">
        <f>IFERROR(Q34*20/O34,0)</f>
        <v/>
      </c>
      <c r="AE34" s="63">
        <f>IFERROR(IF(AG34&gt;=1,100,IF(AG34&gt;=0.95,75,IF(AG34&gt;=0.9,60,IF(AG34&gt;=0.85,40,IF(AG34&gt;=0.8,25,0))))),0)</f>
        <v/>
      </c>
      <c r="AF34" s="63">
        <f>IFERROR(0.35*V34+0.3*U34+0.1*W34+0.1*X34+0.1*Y34+0.05*AR34,0)</f>
        <v/>
      </c>
      <c r="AG34" s="63" t="n">
        <v>1</v>
      </c>
      <c r="AH34" s="64" t="inlineStr">
        <is>
          <t>No penalty applied. Low current layoff risk: 2026-27 budget/bond passed, current contract runs through 2028, enrollment projections appear stable/growing, but budget documents still note tax-cap pressure and attrition-based staff reductions.</t>
        </is>
      </c>
      <c r="AI34" s="65">
        <f>IF('Score Inputs'!$B$3="Bachelor's",CHOOSE(MATCH('Score Inputs'!$B$4,{0,5,10},0),D34,E34,F34),CHOOSE(MATCH('Score Inputs'!$B$4,{0,5,10},0),G34,H34,I34))</f>
        <v/>
      </c>
      <c r="AJ34" s="65">
        <f>IFERROR(AI34/12,0)</f>
        <v/>
      </c>
      <c r="AK34" s="114">
        <f>IFERROR(O34/AJ34,0)</f>
        <v/>
      </c>
      <c r="AL34" s="63">
        <f>IFERROR(IF(AK34&lt;=25%,100,IF(AK34&lt;=30%,100-(AK34-25%)/5%*30,IF(AK34&lt;=35%,70-(AK34-30%)/5%*10,IF(AK34&lt;=40%,60-(AK34-35%)/5%*20,MAX(0,40-(AK34-40%)/10%*40))))),0)</f>
        <v/>
      </c>
      <c r="AM34" s="65">
        <f>IFERROR(PMT('Score Inputs'!$B$5/12,'Score Inputs'!$B$7*12,-N34*(1-'Score Inputs'!$B$6)),0)</f>
        <v/>
      </c>
      <c r="AN34" s="114">
        <f>IFERROR(AM34/AJ34,0)</f>
        <v/>
      </c>
      <c r="AO34" s="63">
        <f>IFERROR(IF(AN34&lt;=25%,100,IF(AN34&lt;=30%,100-(AN34-25%)/5%*30,IF(AN34&lt;=35%,70-(AN34-30%)/5%*10,IF(AN34&lt;=40%,60-(AN34-35%)/5%*20,MAX(0,40-(AN34-40%)/10%*40))))),0)</f>
        <v/>
      </c>
      <c r="AP34" s="65">
        <f>IFERROR(AJ34-O34,0)</f>
        <v/>
      </c>
      <c r="AQ34" s="63">
        <f>IFERROR(MAX(0,MIN(100,(AP34-'Score Inputs'!$B$8)/('Score Inputs'!$B$9-'Score Inputs'!$B$8)*100)),0)</f>
        <v/>
      </c>
      <c r="AR34" s="63">
        <f>IFERROR(INDEX('State Funding Lookup'!$B$2:$B$86,MATCH($A34,'State Funding Lookup'!$A$2:$A$86,0)),0)</f>
        <v/>
      </c>
      <c r="AS34" s="67">
        <f>AK34</f>
        <v/>
      </c>
      <c r="AT34" s="67">
        <f>AN34</f>
        <v/>
      </c>
    </row>
    <row r="35" ht="30" customHeight="1" s="104">
      <c r="A35" s="64" t="inlineStr">
        <is>
          <t>Salt Lake School District</t>
        </is>
      </c>
      <c r="B35" s="64">
        <f>IFERROR(INDEX('School District Profiles'!$B$2:$B$86,MATCH($A35,'School District Profiles'!$A$2:$A$86,0)),"")</f>
        <v/>
      </c>
      <c r="C35" s="64">
        <f>IFERROR(INDEX('School District Profiles'!$C$2:$C$86,MATCH($A35,'School District Profiles'!$A$2:$A$86,0)),"")</f>
        <v/>
      </c>
      <c r="D35" s="65">
        <f>IFERROR(SUMIFS('Teacher Salary Data'!$E$2:$E$1871,'Teacher Salary Data'!$A$2:$A$1871,$A35,'Teacher Salary Data'!$C$2:$C$1871,"Bachelor's",'Teacher Salary Data'!$D$2:$D$1871,0),0)</f>
        <v/>
      </c>
      <c r="E35" s="65">
        <f>IFERROR(SUMIFS('Teacher Salary Data'!$E$2:$E$1871,'Teacher Salary Data'!$A$2:$A$1871,$A35,'Teacher Salary Data'!$C$2:$C$1871,"Bachelor's",'Teacher Salary Data'!$D$2:$D$1871,5),0)</f>
        <v/>
      </c>
      <c r="F35" s="65">
        <f>IFERROR(SUMIFS('Teacher Salary Data'!$E$2:$E$1871,'Teacher Salary Data'!$A$2:$A$1871,$A35,'Teacher Salary Data'!$C$2:$C$1871,"Bachelor's",'Teacher Salary Data'!$D$2:$D$1871,10),0)</f>
        <v/>
      </c>
      <c r="G35" s="65">
        <f>IFERROR(SUMIFS('Teacher Salary Data'!$E$2:$E$1871,'Teacher Salary Data'!$A$2:$A$1871,$A35,'Teacher Salary Data'!$C$2:$C$1871,"Master's",'Teacher Salary Data'!$D$2:$D$1871,0),0)</f>
        <v/>
      </c>
      <c r="H35" s="65">
        <f>IFERROR(SUMIFS('Teacher Salary Data'!$E$2:$E$1871,'Teacher Salary Data'!$A$2:$A$1871,$A35,'Teacher Salary Data'!$C$2:$C$1871,"Master's",'Teacher Salary Data'!$D$2:$D$1871,5),0)</f>
        <v/>
      </c>
      <c r="I35" s="65">
        <f>IFERROR(SUMIFS('Teacher Salary Data'!$E$2:$E$1871,'Teacher Salary Data'!$A$2:$A$1871,$A35,'Teacher Salary Data'!$C$2:$C$1871,"Master's",'Teacher Salary Data'!$D$2:$D$1871,10),0)</f>
        <v/>
      </c>
      <c r="J35" s="65">
        <f>AVERAGE(D35,G35)</f>
        <v/>
      </c>
      <c r="K35" s="65">
        <f>AVERAGE(F35,I35)</f>
        <v/>
      </c>
      <c r="L35" s="114">
        <f>IFERROR((K35-J35)/J35,0)</f>
        <v/>
      </c>
      <c r="M35" s="65">
        <f>G35-D35</f>
        <v/>
      </c>
      <c r="N35" s="65">
        <f>IFERROR(INDEX('Median Home and Rent Prices'!$D$2:$D$86,MATCH($A35,'Median Home and Rent Prices'!$A$2:$A$86,0)),0)</f>
        <v/>
      </c>
      <c r="O35" s="65">
        <f>IFERROR(INDEX('Median Home and Rent Prices'!$E$2:$E$86,MATCH($A35,'Median Home and Rent Prices'!$A$2:$A$86,0)),0)</f>
        <v/>
      </c>
      <c r="P35" s="63">
        <f>IFERROR(INDEX('School District Profiles'!$H$2:$H$86,MATCH($A35,'School District Profiles'!$A$2:$A$86,0)),0)</f>
        <v/>
      </c>
      <c r="Q35" s="65">
        <f>IFERROR(INDEX('School District Profiles'!$I$2:$I$86,MATCH($A35,'School District Profiles'!$A$2:$A$86,0)),0)</f>
        <v/>
      </c>
      <c r="R35" s="63">
        <f>IFERROR(IF(($AI35-('Score Inputs'!$B$4*1500+IF('Score Inputs'!$B$3="Master's",4000,0)))&lt;53000,MAX(0,MIN(39.99,((($AI35-('Score Inputs'!$B$4*1500+IF('Score Inputs'!$B$3="Master's",4000,0))))-45000)/8000*39.99)),IF(($AI35-('Score Inputs'!$B$4*1500+IF('Score Inputs'!$B$3="Master's",4000,0)))&lt;58000,40+((($AI35-('Score Inputs'!$B$4*1500+IF('Score Inputs'!$B$3="Master's",4000,0))))-53000)/5000*20,IF(($AI35-('Score Inputs'!$B$4*1500+IF('Score Inputs'!$B$3="Master's",4000,0)))&lt;63000,60+((($AI35-('Score Inputs'!$B$4*1500+IF('Score Inputs'!$B$3="Master's",4000,0))))-58000)/5000*10,IF(($AI35-('Score Inputs'!$B$4*1500+IF('Score Inputs'!$B$3="Master's",4000,0)))&lt;70000,70+((($AI35-('Score Inputs'!$B$4*1500+IF('Score Inputs'!$B$3="Master's",4000,0))))-63000)/7000*10,IF(($AI35-('Score Inputs'!$B$4*1500+IF('Score Inputs'!$B$3="Master's",4000,0)))&lt;75000,80+((($AI35-('Score Inputs'!$B$4*1500+IF('Score Inputs'!$B$3="Master's",4000,0))))-70000)/5000*10,MIN(100,90+((($AI35-('Score Inputs'!$B$4*1500+IF('Score Inputs'!$B$3="Master's",4000,0))))-75000)/5000*10)))))),0)</f>
        <v/>
      </c>
      <c r="S35" s="63">
        <f>IFERROR(MAX(0,MIN(100,L35/0.48*100)),0)</f>
        <v/>
      </c>
      <c r="T35" s="63">
        <f>IFERROR(MAX(0,MIN(100,M35/15000*100)),0)</f>
        <v/>
      </c>
      <c r="U35" s="63">
        <f>IFERROR(0.5*R35+0.35*S35+0.15*T35,0)</f>
        <v/>
      </c>
      <c r="V35" s="63">
        <f>IFERROR(0.35*AL35+0.3*AO35+0.25*AB35+0.1*AQ35,0)</f>
        <v/>
      </c>
      <c r="W35" s="63">
        <f>IFERROR(MAX(0,MIN(100,(25-P35)/(25-12)*100)),0)</f>
        <v/>
      </c>
      <c r="X35" s="63">
        <f>IFERROR(MAX(0,MIN(100,(AD35-1)/(3-1)*100))*IF(OR($A35="North Clackamas School District",$A35="Provo City School District"),0.6,1),0)</f>
        <v/>
      </c>
      <c r="Y35" s="63">
        <f>IFERROR(MAX(0,MIN(100,(1-((IFERROR(INDEX('School District Profiles'!$D$2:$D$86,MATCH($A35,'School District Profiles'!$A$2:$A$86,0)),0)/100)^2+(IFERROR(INDEX('School District Profiles'!$E$2:$E$86,MATCH($A35,'School District Profiles'!$A$2:$A$86,0)),0)/100)^2+(IFERROR(INDEX('School District Profiles'!$F$2:$F$86,MATCH($A35,'School District Profiles'!$A$2:$A$86,0)),0)/100)^2+(IFERROR(INDEX('School District Profiles'!$G$2:$G$86,MATCH($A35,'School District Profiles'!$A$2:$A$86,0)),0)/100)^2+(AC35/100)^2))/0.8*100)),0)</f>
        <v/>
      </c>
      <c r="Z35" s="63">
        <f>IFERROR(AF35*AG35,0)</f>
        <v/>
      </c>
      <c r="AA35" s="69">
        <f>IFERROR(INDEX('Median Home and Rent Prices'!$F$2:$F$86,MATCH($A35,'Median Home and Rent Prices'!$A$2:$A$86,0)),0)</f>
        <v/>
      </c>
      <c r="AB35" s="63">
        <f>IFERROR(MAX(0,MIN(100,(800-AA35)/(800-150)*100)),0)</f>
        <v/>
      </c>
      <c r="AC35" s="114">
        <f>IFERROR(INDEX('School District Profiles'!$J$2:$J$86,MATCH($A35,'School District Profiles'!$A$2:$A$86,0)),0)</f>
        <v/>
      </c>
      <c r="AD35" s="63">
        <f>IFERROR(Q35*20/O35,0)</f>
        <v/>
      </c>
      <c r="AE35" s="63">
        <f>IFERROR(IF(AG35&gt;=1,100,IF(AG35&gt;=0.95,75,IF(AG35&gt;=0.9,60,IF(AG35&gt;=0.85,40,IF(AG35&gt;=0.8,25,0))))),0)</f>
        <v/>
      </c>
      <c r="AF35" s="63">
        <f>IFERROR(0.35*V35+0.3*U35+0.1*W35+0.1*X35+0.1*Y35+0.05*AR35,0)</f>
        <v/>
      </c>
      <c r="AG35" s="63" t="n">
        <v>0.95</v>
      </c>
      <c r="AH35" s="64" t="inlineStr">
        <is>
          <t>5% watchlist penalty due to strained funding/program cuts, but no strong current evidence of broad teacher layoffs.</t>
        </is>
      </c>
      <c r="AI35" s="65">
        <f>IF('Score Inputs'!$B$3="Bachelor's",CHOOSE(MATCH('Score Inputs'!$B$4,{0,5,10},0),D35,E35,F35),CHOOSE(MATCH('Score Inputs'!$B$4,{0,5,10},0),G35,H35,I35))</f>
        <v/>
      </c>
      <c r="AJ35" s="65">
        <f>IFERROR(AI35/12,0)</f>
        <v/>
      </c>
      <c r="AK35" s="114">
        <f>IFERROR(O35/AJ35,0)</f>
        <v/>
      </c>
      <c r="AL35" s="63">
        <f>IFERROR(IF(AK35&lt;=25%,100,IF(AK35&lt;=30%,100-(AK35-25%)/5%*30,IF(AK35&lt;=35%,70-(AK35-30%)/5%*10,IF(AK35&lt;=40%,60-(AK35-35%)/5%*20,MAX(0,40-(AK35-40%)/10%*40))))),0)</f>
        <v/>
      </c>
      <c r="AM35" s="65">
        <f>IFERROR(PMT('Score Inputs'!$B$5/12,'Score Inputs'!$B$7*12,-N35*(1-'Score Inputs'!$B$6)),0)</f>
        <v/>
      </c>
      <c r="AN35" s="114">
        <f>IFERROR(AM35/AJ35,0)</f>
        <v/>
      </c>
      <c r="AO35" s="63">
        <f>IFERROR(IF(AN35&lt;=25%,100,IF(AN35&lt;=30%,100-(AN35-25%)/5%*30,IF(AN35&lt;=35%,70-(AN35-30%)/5%*10,IF(AN35&lt;=40%,60-(AN35-35%)/5%*20,MAX(0,40-(AN35-40%)/10%*40))))),0)</f>
        <v/>
      </c>
      <c r="AP35" s="65">
        <f>IFERROR(AJ35-O35,0)</f>
        <v/>
      </c>
      <c r="AQ35" s="63">
        <f>IFERROR(MAX(0,MIN(100,(AP35-'Score Inputs'!$B$8)/('Score Inputs'!$B$9-'Score Inputs'!$B$8)*100)),0)</f>
        <v/>
      </c>
      <c r="AR35" s="63">
        <f>IFERROR(INDEX('State Funding Lookup'!$B$2:$B$86,MATCH($A35,'State Funding Lookup'!$A$2:$A$86,0)),0)</f>
        <v/>
      </c>
      <c r="AS35" s="67">
        <f>AK35</f>
        <v/>
      </c>
      <c r="AT35" s="67">
        <f>AN35</f>
        <v/>
      </c>
    </row>
    <row r="36" ht="30" customHeight="1" s="104">
      <c r="A36" s="58" t="inlineStr">
        <is>
          <t>Chicago Public Schools</t>
        </is>
      </c>
      <c r="B36" s="58">
        <f>IFERROR(INDEX('School District Profiles'!$B$2:$B$86,MATCH($A36,'School District Profiles'!$A$2:$A$86,0)),"")</f>
        <v/>
      </c>
      <c r="C36" s="58">
        <f>IFERROR(INDEX('School District Profiles'!$C$2:$C$86,MATCH($A36,'School District Profiles'!$A$2:$A$86,0)),"")</f>
        <v/>
      </c>
      <c r="D36" s="59">
        <f>IFERROR(SUMIFS('Teacher Salary Data'!$E$2:$E$1871,'Teacher Salary Data'!$A$2:$A$1871,$A36,'Teacher Salary Data'!$C$2:$C$1871,"Bachelor's",'Teacher Salary Data'!$D$2:$D$1871,0),0)</f>
        <v/>
      </c>
      <c r="E36" s="59">
        <f>IFERROR(SUMIFS('Teacher Salary Data'!$E$2:$E$1871,'Teacher Salary Data'!$A$2:$A$1871,$A36,'Teacher Salary Data'!$C$2:$C$1871,"Bachelor's",'Teacher Salary Data'!$D$2:$D$1871,5),0)</f>
        <v/>
      </c>
      <c r="F36" s="59">
        <f>IFERROR(SUMIFS('Teacher Salary Data'!$E$2:$E$1871,'Teacher Salary Data'!$A$2:$A$1871,$A36,'Teacher Salary Data'!$C$2:$C$1871,"Bachelor's",'Teacher Salary Data'!$D$2:$D$1871,10),0)</f>
        <v/>
      </c>
      <c r="G36" s="59">
        <f>IFERROR(SUMIFS('Teacher Salary Data'!$E$2:$E$1871,'Teacher Salary Data'!$A$2:$A$1871,$A36,'Teacher Salary Data'!$C$2:$C$1871,"Master's",'Teacher Salary Data'!$D$2:$D$1871,0),0)</f>
        <v/>
      </c>
      <c r="H36" s="59">
        <f>IFERROR(SUMIFS('Teacher Salary Data'!$E$2:$E$1871,'Teacher Salary Data'!$A$2:$A$1871,$A36,'Teacher Salary Data'!$C$2:$C$1871,"Master's",'Teacher Salary Data'!$D$2:$D$1871,5),0)</f>
        <v/>
      </c>
      <c r="I36" s="59">
        <f>IFERROR(SUMIFS('Teacher Salary Data'!$E$2:$E$1871,'Teacher Salary Data'!$A$2:$A$1871,$A36,'Teacher Salary Data'!$C$2:$C$1871,"Master's",'Teacher Salary Data'!$D$2:$D$1871,10),0)</f>
        <v/>
      </c>
      <c r="J36" s="59">
        <f>AVERAGE(D36,G36)</f>
        <v/>
      </c>
      <c r="K36" s="59">
        <f>AVERAGE(F36,I36)</f>
        <v/>
      </c>
      <c r="L36" s="116">
        <f>IFERROR((K36-J36)/J36,0)</f>
        <v/>
      </c>
      <c r="M36" s="59">
        <f>G36-D36</f>
        <v/>
      </c>
      <c r="N36" s="59">
        <f>IFERROR(INDEX('Median Home and Rent Prices'!$D$2:$D$86,MATCH($A36,'Median Home and Rent Prices'!$A$2:$A$86,0)),0)</f>
        <v/>
      </c>
      <c r="O36" s="59">
        <f>IFERROR(INDEX('Median Home and Rent Prices'!$E$2:$E$86,MATCH($A36,'Median Home and Rent Prices'!$A$2:$A$86,0)),0)</f>
        <v/>
      </c>
      <c r="P36" s="61">
        <f>IFERROR(INDEX('School District Profiles'!$H$2:$H$86,MATCH($A36,'School District Profiles'!$A$2:$A$86,0)),0)</f>
        <v/>
      </c>
      <c r="Q36" s="59">
        <f>IFERROR(INDEX('School District Profiles'!$I$2:$I$86,MATCH($A36,'School District Profiles'!$A$2:$A$86,0)),0)</f>
        <v/>
      </c>
      <c r="R36" s="61">
        <f>IFERROR(IF(($AI36-('Score Inputs'!$B$4*1500+IF('Score Inputs'!$B$3="Master's",4000,0)))&lt;53000,MAX(0,MIN(39.99,((($AI36-('Score Inputs'!$B$4*1500+IF('Score Inputs'!$B$3="Master's",4000,0))))-45000)/8000*39.99)),IF(($AI36-('Score Inputs'!$B$4*1500+IF('Score Inputs'!$B$3="Master's",4000,0)))&lt;58000,40+((($AI36-('Score Inputs'!$B$4*1500+IF('Score Inputs'!$B$3="Master's",4000,0))))-53000)/5000*20,IF(($AI36-('Score Inputs'!$B$4*1500+IF('Score Inputs'!$B$3="Master's",4000,0)))&lt;63000,60+((($AI36-('Score Inputs'!$B$4*1500+IF('Score Inputs'!$B$3="Master's",4000,0))))-58000)/5000*10,IF(($AI36-('Score Inputs'!$B$4*1500+IF('Score Inputs'!$B$3="Master's",4000,0)))&lt;70000,70+((($AI36-('Score Inputs'!$B$4*1500+IF('Score Inputs'!$B$3="Master's",4000,0))))-63000)/7000*10,IF(($AI36-('Score Inputs'!$B$4*1500+IF('Score Inputs'!$B$3="Master's",4000,0)))&lt;75000,80+((($AI36-('Score Inputs'!$B$4*1500+IF('Score Inputs'!$B$3="Master's",4000,0))))-70000)/5000*10,MIN(100,90+((($AI36-('Score Inputs'!$B$4*1500+IF('Score Inputs'!$B$3="Master's",4000,0))))-75000)/5000*10)))))),0)</f>
        <v/>
      </c>
      <c r="S36" s="61">
        <f>IFERROR(MAX(0,MIN(100,L36/0.48*100)),0)</f>
        <v/>
      </c>
      <c r="T36" s="61">
        <f>IFERROR(MAX(0,MIN(100,M36/15000*100)),0)</f>
        <v/>
      </c>
      <c r="U36" s="61">
        <f>IFERROR(0.5*R36+0.35*S36+0.15*T36,0)</f>
        <v/>
      </c>
      <c r="V36" s="61">
        <f>IFERROR(0.35*AL36+0.3*AO36+0.25*AB36+0.1*AQ36,0)</f>
        <v/>
      </c>
      <c r="W36" s="61">
        <f>IFERROR(MAX(0,MIN(100,(25-P36)/(25-12)*100)),0)</f>
        <v/>
      </c>
      <c r="X36" s="61">
        <f>IFERROR(MAX(0,MIN(100,(AD36-1)/(3-1)*100))*IF(OR($A36="North Clackamas School District",$A36="Provo City School District"),0.6,1),0)</f>
        <v/>
      </c>
      <c r="Y36" s="61">
        <f>IFERROR(MAX(0,MIN(100,(1-((IFERROR(INDEX('School District Profiles'!$D$2:$D$86,MATCH($A36,'School District Profiles'!$A$2:$A$86,0)),0)/100)^2+(IFERROR(INDEX('School District Profiles'!$E$2:$E$86,MATCH($A36,'School District Profiles'!$A$2:$A$86,0)),0)/100)^2+(IFERROR(INDEX('School District Profiles'!$F$2:$F$86,MATCH($A36,'School District Profiles'!$A$2:$A$86,0)),0)/100)^2+(IFERROR(INDEX('School District Profiles'!$G$2:$G$86,MATCH($A36,'School District Profiles'!$A$2:$A$86,0)),0)/100)^2+(AC36/100)^2))/0.8*100)),0)</f>
        <v/>
      </c>
      <c r="Z36" s="61">
        <f>IFERROR(AF36*AG36,0)</f>
        <v/>
      </c>
      <c r="AA36" s="62">
        <f>IFERROR(INDEX('Median Home and Rent Prices'!$F$2:$F$86,MATCH($A36,'Median Home and Rent Prices'!$A$2:$A$86,0)),0)</f>
        <v/>
      </c>
      <c r="AB36" s="61">
        <f>IFERROR(MAX(0,MIN(100,(800-AA36)/(800-150)*100)),0)</f>
        <v/>
      </c>
      <c r="AC36" s="116">
        <f>IFERROR(INDEX('School District Profiles'!$J$2:$J$86,MATCH($A36,'School District Profiles'!$A$2:$A$86,0)),0)</f>
        <v/>
      </c>
      <c r="AD36" s="61">
        <f>IFERROR(Q36*20/O36,0)</f>
        <v/>
      </c>
      <c r="AE36" s="63">
        <f>IFERROR(IF(AG36&gt;=1,100,IF(AG36&gt;=0.95,75,IF(AG36&gt;=0.9,60,IF(AG36&gt;=0.85,40,IF(AG36&gt;=0.8,25,0))))),0)</f>
        <v/>
      </c>
      <c r="AF36" s="63">
        <f>IFERROR(0.35*V36+0.3*U36+0.1*W36+0.1*X36+0.1*Y36+0.05*AR36,0)</f>
        <v/>
      </c>
      <c r="AG36" s="63" t="n">
        <v>0.85</v>
      </c>
      <c r="AH36" s="64" t="inlineStr">
        <is>
          <t>15% employment-stability penalty due to structural deficit and reported teacher-position reductions / higher class-size planning.</t>
        </is>
      </c>
      <c r="AI36" s="65">
        <f>IF('Score Inputs'!$B$3="Bachelor's",CHOOSE(MATCH('Score Inputs'!$B$4,{0,5,10},0),D36,E36,F36),CHOOSE(MATCH('Score Inputs'!$B$4,{0,5,10},0),G36,H36,I36))</f>
        <v/>
      </c>
      <c r="AJ36" s="65">
        <f>IFERROR(AI36/12,0)</f>
        <v/>
      </c>
      <c r="AK36" s="114">
        <f>IFERROR(O36/AJ36,0)</f>
        <v/>
      </c>
      <c r="AL36" s="63">
        <f>IFERROR(IF(AK36&lt;=25%,100,IF(AK36&lt;=30%,100-(AK36-25%)/5%*30,IF(AK36&lt;=35%,70-(AK36-30%)/5%*10,IF(AK36&lt;=40%,60-(AK36-35%)/5%*20,MAX(0,40-(AK36-40%)/10%*40))))),0)</f>
        <v/>
      </c>
      <c r="AM36" s="65">
        <f>IFERROR(PMT('Score Inputs'!$B$5/12,'Score Inputs'!$B$7*12,-N36*(1-'Score Inputs'!$B$6)),0)</f>
        <v/>
      </c>
      <c r="AN36" s="114">
        <f>IFERROR(AM36/AJ36,0)</f>
        <v/>
      </c>
      <c r="AO36" s="63">
        <f>IFERROR(IF(AN36&lt;=25%,100,IF(AN36&lt;=30%,100-(AN36-25%)/5%*30,IF(AN36&lt;=35%,70-(AN36-30%)/5%*10,IF(AN36&lt;=40%,60-(AN36-35%)/5%*20,MAX(0,40-(AN36-40%)/10%*40))))),0)</f>
        <v/>
      </c>
      <c r="AP36" s="65">
        <f>IFERROR(AJ36-O36,0)</f>
        <v/>
      </c>
      <c r="AQ36" s="63">
        <f>IFERROR(MAX(0,MIN(100,(AP36-'Score Inputs'!$B$8)/('Score Inputs'!$B$9-'Score Inputs'!$B$8)*100)),0)</f>
        <v/>
      </c>
      <c r="AR36" s="63">
        <f>IFERROR(INDEX('State Funding Lookup'!$B$2:$B$86,MATCH($A36,'State Funding Lookup'!$A$2:$A$86,0)),0)</f>
        <v/>
      </c>
      <c r="AS36" s="67">
        <f>AK36</f>
        <v/>
      </c>
      <c r="AT36" s="67">
        <f>AN36</f>
        <v/>
      </c>
    </row>
    <row r="37" ht="30" customHeight="1" s="104">
      <c r="A37" s="88" t="inlineStr">
        <is>
          <t>Tahoe-Truckee Unified School District</t>
        </is>
      </c>
      <c r="B37" s="88">
        <f>IFERROR(INDEX('School District Profiles'!$B$2:$B$86,MATCH($A37,'School District Profiles'!$A$2:$A$86,0)),"")</f>
        <v/>
      </c>
      <c r="C37" s="88">
        <f>IFERROR(INDEX('School District Profiles'!$C$2:$C$86,MATCH($A37,'School District Profiles'!$A$2:$A$86,0)),"")</f>
        <v/>
      </c>
      <c r="D37" s="90">
        <f>IFERROR(SUMIFS('Teacher Salary Data'!$E$2:$E$1871,'Teacher Salary Data'!$A$2:$A$1871,$A37,'Teacher Salary Data'!$C$2:$C$1871,"Bachelor's",'Teacher Salary Data'!$D$2:$D$1871,0),0)</f>
        <v/>
      </c>
      <c r="E37" s="90">
        <f>IFERROR(SUMIFS('Teacher Salary Data'!$E$2:$E$1871,'Teacher Salary Data'!$A$2:$A$1871,$A37,'Teacher Salary Data'!$C$2:$C$1871,"Bachelor's",'Teacher Salary Data'!$D$2:$D$1871,5),0)</f>
        <v/>
      </c>
      <c r="F37" s="90">
        <f>IFERROR(SUMIFS('Teacher Salary Data'!$E$2:$E$1871,'Teacher Salary Data'!$A$2:$A$1871,$A37,'Teacher Salary Data'!$C$2:$C$1871,"Bachelor's",'Teacher Salary Data'!$D$2:$D$1871,10),0)</f>
        <v/>
      </c>
      <c r="G37" s="90">
        <f>IFERROR(SUMIFS('Teacher Salary Data'!$E$2:$E$1871,'Teacher Salary Data'!$A$2:$A$1871,$A37,'Teacher Salary Data'!$C$2:$C$1871,"Master's",'Teacher Salary Data'!$D$2:$D$1871,0),0)</f>
        <v/>
      </c>
      <c r="H37" s="90">
        <f>IFERROR(SUMIFS('Teacher Salary Data'!$E$2:$E$1871,'Teacher Salary Data'!$A$2:$A$1871,$A37,'Teacher Salary Data'!$C$2:$C$1871,"Master's",'Teacher Salary Data'!$D$2:$D$1871,5),0)</f>
        <v/>
      </c>
      <c r="I37" s="90">
        <f>IFERROR(SUMIFS('Teacher Salary Data'!$E$2:$E$1871,'Teacher Salary Data'!$A$2:$A$1871,$A37,'Teacher Salary Data'!$C$2:$C$1871,"Master's",'Teacher Salary Data'!$D$2:$D$1871,10),0)</f>
        <v/>
      </c>
      <c r="J37" s="90">
        <f>AVERAGE(D37,G37)</f>
        <v/>
      </c>
      <c r="K37" s="90">
        <f>AVERAGE(F37,I37)</f>
        <v/>
      </c>
      <c r="L37" s="115">
        <f>IFERROR((K37-J37)/J37,0)</f>
        <v/>
      </c>
      <c r="M37" s="88">
        <f>G37-D37</f>
        <v/>
      </c>
      <c r="N37" s="90">
        <f>IFERROR(INDEX('Median Home and Rent Prices'!$D$2:$D$86,MATCH($A37,'Median Home and Rent Prices'!$A$2:$A$86,0)),0)</f>
        <v/>
      </c>
      <c r="O37" s="90">
        <f>IFERROR(INDEX('Median Home and Rent Prices'!$E$2:$E$86,MATCH($A37,'Median Home and Rent Prices'!$A$2:$A$86,0)),0)</f>
        <v/>
      </c>
      <c r="P37" s="88">
        <f>IFERROR(INDEX('School District Profiles'!$H$2:$H$86,MATCH($A37,'School District Profiles'!$A$2:$A$86,0)),0)</f>
        <v/>
      </c>
      <c r="Q37" s="90">
        <f>IFERROR(INDEX('School District Profiles'!$I$2:$I$86,MATCH($A37,'School District Profiles'!$A$2:$A$86,0)),0)</f>
        <v/>
      </c>
      <c r="R37" s="95">
        <f>IFERROR(IF(($AI37-('Score Inputs'!$B$4*1500+IF('Score Inputs'!$B$3="Master's",4000,0)))&lt;53000,MAX(0,MIN(39.99,((($AI37-('Score Inputs'!$B$4*1500+IF('Score Inputs'!$B$3="Master's",4000,0))))-45000)/8000*39.99)),IF(($AI37-('Score Inputs'!$B$4*1500+IF('Score Inputs'!$B$3="Master's",4000,0)))&lt;58000,40+((($AI37-('Score Inputs'!$B$4*1500+IF('Score Inputs'!$B$3="Master's",4000,0))))-53000)/5000*20,IF(($AI37-('Score Inputs'!$B$4*1500+IF('Score Inputs'!$B$3="Master's",4000,0)))&lt;63000,60+((($AI37-('Score Inputs'!$B$4*1500+IF('Score Inputs'!$B$3="Master's",4000,0))))-58000)/5000*10,IF(($AI37-('Score Inputs'!$B$4*1500+IF('Score Inputs'!$B$3="Master's",4000,0)))&lt;70000,70+((($AI37-('Score Inputs'!$B$4*1500+IF('Score Inputs'!$B$3="Master's",4000,0))))-63000)/7000*10,IF(($AI37-('Score Inputs'!$B$4*1500+IF('Score Inputs'!$B$3="Master's",4000,0)))&lt;75000,80+((($AI37-('Score Inputs'!$B$4*1500+IF('Score Inputs'!$B$3="Master's",4000,0))))-70000)/5000*10,MIN(100,90+((($AI37-('Score Inputs'!$B$4*1500+IF('Score Inputs'!$B$3="Master's",4000,0))))-75000)/5000*10)))))),0)</f>
        <v/>
      </c>
      <c r="S37" s="95">
        <f>IFERROR(MAX(0,MIN(100,L37/0.48*100)),0)</f>
        <v/>
      </c>
      <c r="T37" s="95">
        <f>IFERROR(MAX(0,MIN(100,M37/15000*100)),0)</f>
        <v/>
      </c>
      <c r="U37" s="95">
        <f>IFERROR(0.5*R37+0.35*S37+0.15*T37,0)</f>
        <v/>
      </c>
      <c r="V37" s="95">
        <f>IFERROR(0.35*AL37+0.3*AO37+0.25*AB37+0.1*AQ37,0)</f>
        <v/>
      </c>
      <c r="W37" s="95">
        <f>IFERROR(MAX(0,MIN(100,(25-P37)/(25-12)*100)),0)</f>
        <v/>
      </c>
      <c r="X37" s="95">
        <f>IFERROR(MAX(0,MIN(100,(AD37-1)/(3-1)*100))*IF(OR($A37="North Clackamas School District",$A37="Provo City School District"),0.6,1),0)</f>
        <v/>
      </c>
      <c r="Y37" s="95">
        <f>IFERROR(MAX(0,MIN(100,(1-((IFERROR(INDEX('School District Profiles'!$D$2:$D$86,MATCH($A37,'School District Profiles'!$A$2:$A$86,0)),0)/100)^2+(IFERROR(INDEX('School District Profiles'!$E$2:$E$86,MATCH($A37,'School District Profiles'!$A$2:$A$86,0)),0)/100)^2+(IFERROR(INDEX('School District Profiles'!$F$2:$F$86,MATCH($A37,'School District Profiles'!$A$2:$A$86,0)),0)/100)^2+(IFERROR(INDEX('School District Profiles'!$G$2:$G$86,MATCH($A37,'School District Profiles'!$A$2:$A$86,0)),0)/100)^2+(AC37/100)^2))/0.8*100)),0)</f>
        <v/>
      </c>
      <c r="Z37" s="95">
        <f>IFERROR(AF37*AG37,0)</f>
        <v/>
      </c>
      <c r="AA37" s="88">
        <f>IFERROR(INDEX('Median Home and Rent Prices'!$F$2:$F$86,MATCH($A37,'Median Home and Rent Prices'!$A$2:$A$86,0)),0)</f>
        <v/>
      </c>
      <c r="AB37" s="95">
        <f>IFERROR(MAX(0,MIN(100,(800-AA37)/(800-150)*100)),0)</f>
        <v/>
      </c>
      <c r="AC37" s="88">
        <f>IFERROR(INDEX('School District Profiles'!$J$2:$J$86,MATCH($A37,'School District Profiles'!$A$2:$A$86,0)),0)</f>
        <v/>
      </c>
      <c r="AD37" s="95">
        <f>IFERROR(Q37*20/O37,0)</f>
        <v/>
      </c>
      <c r="AE37" s="95">
        <f>IFERROR(IF(AG37&gt;=1,100,IF(AG37&gt;=0.95,75,IF(AG37&gt;=0.9,60,IF(AG37&gt;=0.85,40,IF(AG37&gt;=0.8,25,0))))),0)</f>
        <v/>
      </c>
      <c r="AF37" s="95">
        <f>IFERROR(0.35*V37+0.3*U37+0.1*W37+0.1*X37+0.1*Y37+0.05*AR37,0)</f>
        <v/>
      </c>
      <c r="AG37" s="95" t="n">
        <v>1</v>
      </c>
      <c r="AH37" s="88" t="inlineStr">
        <is>
          <t>No current employment-stability penalty applied; TTUSD is a Basic Aid/community-funded district and first-pass research did not find current broad layoff or closure evidence.</t>
        </is>
      </c>
      <c r="AI37" s="90">
        <f>IF('Score Inputs'!$B$3="Bachelor's",CHOOSE(MATCH('Score Inputs'!$B$4,{0,5,10},0),D37,E37,F37),CHOOSE(MATCH('Score Inputs'!$B$4,{0,5,10},0),G37,H37,I37))</f>
        <v/>
      </c>
      <c r="AJ37" s="90">
        <f>IFERROR(AI37/12,0)</f>
        <v/>
      </c>
      <c r="AK37" s="115">
        <f>IFERROR(O37/AJ37,0)</f>
        <v/>
      </c>
      <c r="AL37" s="95">
        <f>IFERROR(IF(AK37&lt;=25%,100,IF(AK37&lt;=30%,100-(AK37-25%)/5%*30,IF(AK37&lt;=35%,70-(AK37-30%)/5%*10,IF(AK37&lt;=40%,60-(AK37-35%)/5%*20,MAX(0,40-(AK37-40%)/10%*40))))),0)</f>
        <v/>
      </c>
      <c r="AM37" s="90">
        <f>IFERROR(PMT('Score Inputs'!$B$5/12,'Score Inputs'!$B$7*12,-N37*(1-'Score Inputs'!$B$6)),0)</f>
        <v/>
      </c>
      <c r="AN37" s="115">
        <f>IFERROR(AM37/AJ37,0)</f>
        <v/>
      </c>
      <c r="AO37" s="95">
        <f>IFERROR(IF(AN37&lt;=25%,100,IF(AN37&lt;=30%,100-(AN37-25%)/5%*30,IF(AN37&lt;=35%,70-(AN37-30%)/5%*10,IF(AN37&lt;=40%,60-(AN37-35%)/5%*20,MAX(0,40-(AN37-40%)/10%*40))))),0)</f>
        <v/>
      </c>
      <c r="AP37" s="90">
        <f>IFERROR(AJ37-O37,0)</f>
        <v/>
      </c>
      <c r="AQ37" s="95">
        <f>IFERROR(MAX(0,MIN(100,(AP37-'Score Inputs'!$B$8)/('Score Inputs'!$B$9-'Score Inputs'!$B$8)*100)),0)</f>
        <v/>
      </c>
      <c r="AR37" s="95">
        <f>IFERROR(INDEX('State Funding Lookup'!$B$2:$B$86,MATCH($A37,'State Funding Lookup'!$A$2:$A$86,0)),0)</f>
        <v/>
      </c>
      <c r="AS37" s="98">
        <f>AK37</f>
        <v/>
      </c>
      <c r="AT37" s="98">
        <f>AN37</f>
        <v/>
      </c>
    </row>
    <row r="38" ht="30" customHeight="1" s="104">
      <c r="A38" s="58" t="inlineStr">
        <is>
          <t>Portland Public Schools</t>
        </is>
      </c>
      <c r="B38" s="58">
        <f>IFERROR(INDEX('School District Profiles'!$B$2:$B$86,MATCH($A38,'School District Profiles'!$A$2:$A$86,0)),"")</f>
        <v/>
      </c>
      <c r="C38" s="58">
        <f>IFERROR(INDEX('School District Profiles'!$C$2:$C$86,MATCH($A38,'School District Profiles'!$A$2:$A$86,0)),"")</f>
        <v/>
      </c>
      <c r="D38" s="59">
        <f>IFERROR(SUMIFS('Teacher Salary Data'!$E$2:$E$1871,'Teacher Salary Data'!$A$2:$A$1871,$A38,'Teacher Salary Data'!$C$2:$C$1871,"Bachelor's",'Teacher Salary Data'!$D$2:$D$1871,0),0)</f>
        <v/>
      </c>
      <c r="E38" s="59">
        <f>IFERROR(SUMIFS('Teacher Salary Data'!$E$2:$E$1871,'Teacher Salary Data'!$A$2:$A$1871,$A38,'Teacher Salary Data'!$C$2:$C$1871,"Bachelor's",'Teacher Salary Data'!$D$2:$D$1871,5),0)</f>
        <v/>
      </c>
      <c r="F38" s="59">
        <f>IFERROR(SUMIFS('Teacher Salary Data'!$E$2:$E$1871,'Teacher Salary Data'!$A$2:$A$1871,$A38,'Teacher Salary Data'!$C$2:$C$1871,"Bachelor's",'Teacher Salary Data'!$D$2:$D$1871,10),0)</f>
        <v/>
      </c>
      <c r="G38" s="59">
        <f>IFERROR(SUMIFS('Teacher Salary Data'!$E$2:$E$1871,'Teacher Salary Data'!$A$2:$A$1871,$A38,'Teacher Salary Data'!$C$2:$C$1871,"Master's",'Teacher Salary Data'!$D$2:$D$1871,0),0)</f>
        <v/>
      </c>
      <c r="H38" s="59">
        <f>IFERROR(SUMIFS('Teacher Salary Data'!$E$2:$E$1871,'Teacher Salary Data'!$A$2:$A$1871,$A38,'Teacher Salary Data'!$C$2:$C$1871,"Master's",'Teacher Salary Data'!$D$2:$D$1871,5),0)</f>
        <v/>
      </c>
      <c r="I38" s="59">
        <f>IFERROR(SUMIFS('Teacher Salary Data'!$E$2:$E$1871,'Teacher Salary Data'!$A$2:$A$1871,$A38,'Teacher Salary Data'!$C$2:$C$1871,"Master's",'Teacher Salary Data'!$D$2:$D$1871,10),0)</f>
        <v/>
      </c>
      <c r="J38" s="59">
        <f>AVERAGE(D38,G38)</f>
        <v/>
      </c>
      <c r="K38" s="59">
        <f>AVERAGE(F38,I38)</f>
        <v/>
      </c>
      <c r="L38" s="116">
        <f>IFERROR((K38-J38)/J38,0)</f>
        <v/>
      </c>
      <c r="M38" s="59">
        <f>G38-D38</f>
        <v/>
      </c>
      <c r="N38" s="59">
        <f>IFERROR(INDEX('Median Home and Rent Prices'!$D$2:$D$86,MATCH($A38,'Median Home and Rent Prices'!$A$2:$A$86,0)),0)</f>
        <v/>
      </c>
      <c r="O38" s="59">
        <f>IFERROR(INDEX('Median Home and Rent Prices'!$E$2:$E$86,MATCH($A38,'Median Home and Rent Prices'!$A$2:$A$86,0)),0)</f>
        <v/>
      </c>
      <c r="P38" s="61">
        <f>IFERROR(INDEX('School District Profiles'!$H$2:$H$86,MATCH($A38,'School District Profiles'!$A$2:$A$86,0)),0)</f>
        <v/>
      </c>
      <c r="Q38" s="59">
        <f>IFERROR(INDEX('School District Profiles'!$I$2:$I$86,MATCH($A38,'School District Profiles'!$A$2:$A$86,0)),0)</f>
        <v/>
      </c>
      <c r="R38" s="61">
        <f>IFERROR(IF(($AI38-('Score Inputs'!$B$4*1500+IF('Score Inputs'!$B$3="Master's",4000,0)))&lt;53000,MAX(0,MIN(39.99,((($AI38-('Score Inputs'!$B$4*1500+IF('Score Inputs'!$B$3="Master's",4000,0))))-45000)/8000*39.99)),IF(($AI38-('Score Inputs'!$B$4*1500+IF('Score Inputs'!$B$3="Master's",4000,0)))&lt;58000,40+((($AI38-('Score Inputs'!$B$4*1500+IF('Score Inputs'!$B$3="Master's",4000,0))))-53000)/5000*20,IF(($AI38-('Score Inputs'!$B$4*1500+IF('Score Inputs'!$B$3="Master's",4000,0)))&lt;63000,60+((($AI38-('Score Inputs'!$B$4*1500+IF('Score Inputs'!$B$3="Master's",4000,0))))-58000)/5000*10,IF(($AI38-('Score Inputs'!$B$4*1500+IF('Score Inputs'!$B$3="Master's",4000,0)))&lt;70000,70+((($AI38-('Score Inputs'!$B$4*1500+IF('Score Inputs'!$B$3="Master's",4000,0))))-63000)/7000*10,IF(($AI38-('Score Inputs'!$B$4*1500+IF('Score Inputs'!$B$3="Master's",4000,0)))&lt;75000,80+((($AI38-('Score Inputs'!$B$4*1500+IF('Score Inputs'!$B$3="Master's",4000,0))))-70000)/5000*10,MIN(100,90+((($AI38-('Score Inputs'!$B$4*1500+IF('Score Inputs'!$B$3="Master's",4000,0))))-75000)/5000*10)))))),0)</f>
        <v/>
      </c>
      <c r="S38" s="61">
        <f>IFERROR(MAX(0,MIN(100,L38/0.48*100)),0)</f>
        <v/>
      </c>
      <c r="T38" s="61">
        <f>IFERROR(MAX(0,MIN(100,M38/15000*100)),0)</f>
        <v/>
      </c>
      <c r="U38" s="61">
        <f>IFERROR(0.5*R38+0.35*S38+0.15*T38,0)</f>
        <v/>
      </c>
      <c r="V38" s="61">
        <f>IFERROR(0.35*AL38+0.3*AO38+0.25*AB38+0.1*AQ38,0)</f>
        <v/>
      </c>
      <c r="W38" s="61">
        <f>IFERROR(MAX(0,MIN(100,(25-P38)/(25-12)*100)),0)</f>
        <v/>
      </c>
      <c r="X38" s="61">
        <f>IFERROR(MAX(0,MIN(100,(AD38-1)/(3-1)*100))*IF(OR($A38="North Clackamas School District",$A38="Provo City School District"),0.6,1),0)</f>
        <v/>
      </c>
      <c r="Y38" s="61">
        <f>IFERROR(MAX(0,MIN(100,(1-((IFERROR(INDEX('School District Profiles'!$D$2:$D$86,MATCH($A38,'School District Profiles'!$A$2:$A$86,0)),0)/100)^2+(IFERROR(INDEX('School District Profiles'!$E$2:$E$86,MATCH($A38,'School District Profiles'!$A$2:$A$86,0)),0)/100)^2+(IFERROR(INDEX('School District Profiles'!$F$2:$F$86,MATCH($A38,'School District Profiles'!$A$2:$A$86,0)),0)/100)^2+(IFERROR(INDEX('School District Profiles'!$G$2:$G$86,MATCH($A38,'School District Profiles'!$A$2:$A$86,0)),0)/100)^2+(AC38/100)^2))/0.8*100)),0)</f>
        <v/>
      </c>
      <c r="Z38" s="61">
        <f>IFERROR(AF38*AG38,0)</f>
        <v/>
      </c>
      <c r="AA38" s="62">
        <f>IFERROR(INDEX('Median Home and Rent Prices'!$F$2:$F$86,MATCH($A38,'Median Home and Rent Prices'!$A$2:$A$86,0)),0)</f>
        <v/>
      </c>
      <c r="AB38" s="61">
        <f>IFERROR(MAX(0,MIN(100,(800-AA38)/(800-150)*100)),0)</f>
        <v/>
      </c>
      <c r="AC38" s="116">
        <f>IFERROR(INDEX('School District Profiles'!$J$2:$J$86,MATCH($A38,'School District Profiles'!$A$2:$A$86,0)),0)</f>
        <v/>
      </c>
      <c r="AD38" s="61">
        <f>IFERROR(Q38*20/O38,0)</f>
        <v/>
      </c>
      <c r="AE38" s="63">
        <f>IFERROR(IF(AG38&gt;=1,100,IF(AG38&gt;=0.95,75,IF(AG38&gt;=0.9,60,IF(AG38&gt;=0.85,40,IF(AG38&gt;=0.8,25,0))))),0)</f>
        <v/>
      </c>
      <c r="AF38" s="63">
        <f>IFERROR(0.35*V38+0.3*U38+0.1*W38+0.1*X38+0.1*Y38+0.05*AR38,0)</f>
        <v/>
      </c>
      <c r="AG38" s="63" t="n">
        <v>0.85</v>
      </c>
      <c r="AH38" s="64" t="inlineStr">
        <is>
          <t>15% employment-stability penalty retained due to active budget shortfall, furlough context, layoff notices, and labor grievance/process concerns.</t>
        </is>
      </c>
      <c r="AI38" s="65">
        <f>IF('Score Inputs'!$B$3="Bachelor's",CHOOSE(MATCH('Score Inputs'!$B$4,{0,5,10},0),D38,E38,F38),CHOOSE(MATCH('Score Inputs'!$B$4,{0,5,10},0),G38,H38,I38))</f>
        <v/>
      </c>
      <c r="AJ38" s="65">
        <f>IFERROR(AI38/12,0)</f>
        <v/>
      </c>
      <c r="AK38" s="114">
        <f>IFERROR(O38/AJ38,0)</f>
        <v/>
      </c>
      <c r="AL38" s="63">
        <f>IFERROR(IF(AK38&lt;=25%,100,IF(AK38&lt;=30%,100-(AK38-25%)/5%*30,IF(AK38&lt;=35%,70-(AK38-30%)/5%*10,IF(AK38&lt;=40%,60-(AK38-35%)/5%*20,MAX(0,40-(AK38-40%)/10%*40))))),0)</f>
        <v/>
      </c>
      <c r="AM38" s="65">
        <f>IFERROR(PMT('Score Inputs'!$B$5/12,'Score Inputs'!$B$7*12,-N38*(1-'Score Inputs'!$B$6)),0)</f>
        <v/>
      </c>
      <c r="AN38" s="114">
        <f>IFERROR(AM38/AJ38,0)</f>
        <v/>
      </c>
      <c r="AO38" s="63">
        <f>IFERROR(IF(AN38&lt;=25%,100,IF(AN38&lt;=30%,100-(AN38-25%)/5%*30,IF(AN38&lt;=35%,70-(AN38-30%)/5%*10,IF(AN38&lt;=40%,60-(AN38-35%)/5%*20,MAX(0,40-(AN38-40%)/10%*40))))),0)</f>
        <v/>
      </c>
      <c r="AP38" s="65">
        <f>IFERROR(AJ38-O38,0)</f>
        <v/>
      </c>
      <c r="AQ38" s="63">
        <f>IFERROR(MAX(0,MIN(100,(AP38-'Score Inputs'!$B$8)/('Score Inputs'!$B$9-'Score Inputs'!$B$8)*100)),0)</f>
        <v/>
      </c>
      <c r="AR38" s="63">
        <f>IFERROR(INDEX('State Funding Lookup'!$B$2:$B$86,MATCH($A38,'State Funding Lookup'!$A$2:$A$86,0)),0)</f>
        <v/>
      </c>
      <c r="AS38" s="67">
        <f>AK38</f>
        <v/>
      </c>
      <c r="AT38" s="67">
        <f>AN38</f>
        <v/>
      </c>
    </row>
    <row r="39" ht="30" customHeight="1" s="104">
      <c r="A39" s="58" t="inlineStr">
        <is>
          <t>North Clackamas School District</t>
        </is>
      </c>
      <c r="B39" s="58">
        <f>IFERROR(INDEX('School District Profiles'!$B$2:$B$86,MATCH($A39,'School District Profiles'!$A$2:$A$86,0)),"")</f>
        <v/>
      </c>
      <c r="C39" s="58">
        <f>IFERROR(INDEX('School District Profiles'!$C$2:$C$86,MATCH($A39,'School District Profiles'!$A$2:$A$86,0)),"")</f>
        <v/>
      </c>
      <c r="D39" s="59">
        <f>IFERROR(SUMIFS('Teacher Salary Data'!$E$2:$E$1871,'Teacher Salary Data'!$A$2:$A$1871,$A39,'Teacher Salary Data'!$C$2:$C$1871,"Bachelor's",'Teacher Salary Data'!$D$2:$D$1871,0),0)</f>
        <v/>
      </c>
      <c r="E39" s="59">
        <f>IFERROR(SUMIFS('Teacher Salary Data'!$E$2:$E$1871,'Teacher Salary Data'!$A$2:$A$1871,$A39,'Teacher Salary Data'!$C$2:$C$1871,"Bachelor's",'Teacher Salary Data'!$D$2:$D$1871,5),0)</f>
        <v/>
      </c>
      <c r="F39" s="59">
        <f>IFERROR(SUMIFS('Teacher Salary Data'!$E$2:$E$1871,'Teacher Salary Data'!$A$2:$A$1871,$A39,'Teacher Salary Data'!$C$2:$C$1871,"Bachelor's",'Teacher Salary Data'!$D$2:$D$1871,10),0)</f>
        <v/>
      </c>
      <c r="G39" s="59">
        <f>IFERROR(SUMIFS('Teacher Salary Data'!$E$2:$E$1871,'Teacher Salary Data'!$A$2:$A$1871,$A39,'Teacher Salary Data'!$C$2:$C$1871,"Master's",'Teacher Salary Data'!$D$2:$D$1871,0),0)</f>
        <v/>
      </c>
      <c r="H39" s="59">
        <f>IFERROR(SUMIFS('Teacher Salary Data'!$E$2:$E$1871,'Teacher Salary Data'!$A$2:$A$1871,$A39,'Teacher Salary Data'!$C$2:$C$1871,"Master's",'Teacher Salary Data'!$D$2:$D$1871,5),0)</f>
        <v/>
      </c>
      <c r="I39" s="59">
        <f>IFERROR(SUMIFS('Teacher Salary Data'!$E$2:$E$1871,'Teacher Salary Data'!$A$2:$A$1871,$A39,'Teacher Salary Data'!$C$2:$C$1871,"Master's",'Teacher Salary Data'!$D$2:$D$1871,10),0)</f>
        <v/>
      </c>
      <c r="J39" s="59">
        <f>AVERAGE(D39,G39)</f>
        <v/>
      </c>
      <c r="K39" s="59">
        <f>AVERAGE(F39,I39)</f>
        <v/>
      </c>
      <c r="L39" s="116">
        <f>IFERROR((K39-J39)/J39,0)</f>
        <v/>
      </c>
      <c r="M39" s="59">
        <f>G39-D39</f>
        <v/>
      </c>
      <c r="N39" s="59">
        <f>IFERROR(INDEX('Median Home and Rent Prices'!$D$2:$D$86,MATCH($A39,'Median Home and Rent Prices'!$A$2:$A$86,0)),0)</f>
        <v/>
      </c>
      <c r="O39" s="59">
        <f>IFERROR(INDEX('Median Home and Rent Prices'!$E$2:$E$86,MATCH($A39,'Median Home and Rent Prices'!$A$2:$A$86,0)),0)</f>
        <v/>
      </c>
      <c r="P39" s="61">
        <f>IFERROR(INDEX('School District Profiles'!$H$2:$H$86,MATCH($A39,'School District Profiles'!$A$2:$A$86,0)),0)</f>
        <v/>
      </c>
      <c r="Q39" s="59">
        <f>IFERROR(INDEX('School District Profiles'!$I$2:$I$86,MATCH($A39,'School District Profiles'!$A$2:$A$86,0)),0)</f>
        <v/>
      </c>
      <c r="R39" s="61">
        <f>IFERROR(IF(($AI39-('Score Inputs'!$B$4*1500+IF('Score Inputs'!$B$3="Master's",4000,0)))&lt;53000,MAX(0,MIN(39.99,((($AI39-('Score Inputs'!$B$4*1500+IF('Score Inputs'!$B$3="Master's",4000,0))))-45000)/8000*39.99)),IF(($AI39-('Score Inputs'!$B$4*1500+IF('Score Inputs'!$B$3="Master's",4000,0)))&lt;58000,40+((($AI39-('Score Inputs'!$B$4*1500+IF('Score Inputs'!$B$3="Master's",4000,0))))-53000)/5000*20,IF(($AI39-('Score Inputs'!$B$4*1500+IF('Score Inputs'!$B$3="Master's",4000,0)))&lt;63000,60+((($AI39-('Score Inputs'!$B$4*1500+IF('Score Inputs'!$B$3="Master's",4000,0))))-58000)/5000*10,IF(($AI39-('Score Inputs'!$B$4*1500+IF('Score Inputs'!$B$3="Master's",4000,0)))&lt;70000,70+((($AI39-('Score Inputs'!$B$4*1500+IF('Score Inputs'!$B$3="Master's",4000,0))))-63000)/7000*10,IF(($AI39-('Score Inputs'!$B$4*1500+IF('Score Inputs'!$B$3="Master's",4000,0)))&lt;75000,80+((($AI39-('Score Inputs'!$B$4*1500+IF('Score Inputs'!$B$3="Master's",4000,0))))-70000)/5000*10,MIN(100,90+((($AI39-('Score Inputs'!$B$4*1500+IF('Score Inputs'!$B$3="Master's",4000,0))))-75000)/5000*10)))))),0)</f>
        <v/>
      </c>
      <c r="S39" s="61">
        <f>IFERROR(MAX(0,MIN(100,L39/0.48*100)),0)</f>
        <v/>
      </c>
      <c r="T39" s="61">
        <f>IFERROR(MAX(0,MIN(100,M39/15000*100)),0)</f>
        <v/>
      </c>
      <c r="U39" s="61">
        <f>IFERROR(0.5*R39+0.35*S39+0.15*T39,0)</f>
        <v/>
      </c>
      <c r="V39" s="61">
        <f>IFERROR(0.35*AL39+0.3*AO39+0.25*AB39+0.1*AQ39,0)</f>
        <v/>
      </c>
      <c r="W39" s="61">
        <f>IFERROR(MAX(0,MIN(100,(25-P39)/(25-12)*100)),0)</f>
        <v/>
      </c>
      <c r="X39" s="61">
        <f>IFERROR(MAX(0,MIN(100,(AD39-1)/(3-1)*100))*IF(OR($A39="North Clackamas School District",$A39="Provo City School District"),0.6,1),0)</f>
        <v/>
      </c>
      <c r="Y39" s="61">
        <f>IFERROR(MAX(0,MIN(100,(1-((IFERROR(INDEX('School District Profiles'!$D$2:$D$86,MATCH($A39,'School District Profiles'!$A$2:$A$86,0)),0)/100)^2+(IFERROR(INDEX('School District Profiles'!$E$2:$E$86,MATCH($A39,'School District Profiles'!$A$2:$A$86,0)),0)/100)^2+(IFERROR(INDEX('School District Profiles'!$F$2:$F$86,MATCH($A39,'School District Profiles'!$A$2:$A$86,0)),0)/100)^2+(IFERROR(INDEX('School District Profiles'!$G$2:$G$86,MATCH($A39,'School District Profiles'!$A$2:$A$86,0)),0)/100)^2+(AC39/100)^2))/0.8*100)),0)</f>
        <v/>
      </c>
      <c r="Z39" s="61">
        <f>IFERROR(AF39*AG39,0)</f>
        <v/>
      </c>
      <c r="AA39" s="62">
        <f>IFERROR(INDEX('Median Home and Rent Prices'!$F$2:$F$86,MATCH($A39,'Median Home and Rent Prices'!$A$2:$A$86,0)),0)</f>
        <v/>
      </c>
      <c r="AB39" s="61">
        <f>IFERROR(MAX(0,MIN(100,(800-AA39)/(800-150)*100)),0)</f>
        <v/>
      </c>
      <c r="AC39" s="116">
        <f>IFERROR(INDEX('School District Profiles'!$J$2:$J$86,MATCH($A39,'School District Profiles'!$A$2:$A$86,0)),0)</f>
        <v/>
      </c>
      <c r="AD39" s="61">
        <f>IFERROR(Q39*20/O39,0)</f>
        <v/>
      </c>
      <c r="AE39" s="63">
        <f>IFERROR(IF(AG39&gt;=1,100,IF(AG39&gt;=0.95,75,IF(AG39&gt;=0.9,60,IF(AG39&gt;=0.85,40,IF(AG39&gt;=0.8,25,0))))),0)</f>
        <v/>
      </c>
      <c r="AF39" s="63">
        <f>IFERROR(0.35*V39+0.3*U39+0.1*W39+0.1*X39+0.1*Y39+0.05*AR39,0)</f>
        <v/>
      </c>
      <c r="AG39" s="63" t="n">
        <v>0.95</v>
      </c>
      <c r="AH39" s="64" t="inlineStr">
        <is>
          <t>5% watchlist penalty due to Portland-area funding climate and active budget review; no strong current broad layoff evidence found in first pass.</t>
        </is>
      </c>
      <c r="AI39" s="65">
        <f>IF('Score Inputs'!$B$3="Bachelor's",CHOOSE(MATCH('Score Inputs'!$B$4,{0,5,10},0),D39,E39,F39),CHOOSE(MATCH('Score Inputs'!$B$4,{0,5,10},0),G39,H39,I39))</f>
        <v/>
      </c>
      <c r="AJ39" s="65">
        <f>IFERROR(AI39/12,0)</f>
        <v/>
      </c>
      <c r="AK39" s="114">
        <f>IFERROR(O39/AJ39,0)</f>
        <v/>
      </c>
      <c r="AL39" s="63">
        <f>IFERROR(IF(AK39&lt;=25%,100,IF(AK39&lt;=30%,100-(AK39-25%)/5%*30,IF(AK39&lt;=35%,70-(AK39-30%)/5%*10,IF(AK39&lt;=40%,60-(AK39-35%)/5%*20,MAX(0,40-(AK39-40%)/10%*40))))),0)</f>
        <v/>
      </c>
      <c r="AM39" s="65">
        <f>IFERROR(PMT('Score Inputs'!$B$5/12,'Score Inputs'!$B$7*12,-N39*(1-'Score Inputs'!$B$6)),0)</f>
        <v/>
      </c>
      <c r="AN39" s="114">
        <f>IFERROR(AM39/AJ39,0)</f>
        <v/>
      </c>
      <c r="AO39" s="63">
        <f>IFERROR(IF(AN39&lt;=25%,100,IF(AN39&lt;=30%,100-(AN39-25%)/5%*30,IF(AN39&lt;=35%,70-(AN39-30%)/5%*10,IF(AN39&lt;=40%,60-(AN39-35%)/5%*20,MAX(0,40-(AN39-40%)/10%*40))))),0)</f>
        <v/>
      </c>
      <c r="AP39" s="65">
        <f>IFERROR(AJ39-O39,0)</f>
        <v/>
      </c>
      <c r="AQ39" s="63">
        <f>IFERROR(MAX(0,MIN(100,(AP39-'Score Inputs'!$B$8)/('Score Inputs'!$B$9-'Score Inputs'!$B$8)*100)),0)</f>
        <v/>
      </c>
      <c r="AR39" s="63">
        <f>IFERROR(INDEX('State Funding Lookup'!$B$2:$B$86,MATCH($A39,'State Funding Lookup'!$A$2:$A$86,0)),0)</f>
        <v/>
      </c>
      <c r="AS39" s="67">
        <f>AK39</f>
        <v/>
      </c>
      <c r="AT39" s="67">
        <f>AN39</f>
        <v/>
      </c>
    </row>
    <row r="40" ht="30" customHeight="1" s="104">
      <c r="A40" s="64" t="inlineStr">
        <is>
          <t>Beaverton School District</t>
        </is>
      </c>
      <c r="B40" s="64">
        <f>IFERROR(INDEX('School District Profiles'!$B$2:$B$86,MATCH($A40,'School District Profiles'!$A$2:$A$86,0)),"")</f>
        <v/>
      </c>
      <c r="C40" s="64">
        <f>IFERROR(INDEX('School District Profiles'!$C$2:$C$86,MATCH($A40,'School District Profiles'!$A$2:$A$86,0)),"")</f>
        <v/>
      </c>
      <c r="D40" s="65">
        <f>IFERROR(SUMIFS('Teacher Salary Data'!$E$2:$E$1871,'Teacher Salary Data'!$A$2:$A$1871,$A40,'Teacher Salary Data'!$C$2:$C$1871,"Bachelor's",'Teacher Salary Data'!$D$2:$D$1871,0),0)</f>
        <v/>
      </c>
      <c r="E40" s="65">
        <f>IFERROR(SUMIFS('Teacher Salary Data'!$E$2:$E$1871,'Teacher Salary Data'!$A$2:$A$1871,$A40,'Teacher Salary Data'!$C$2:$C$1871,"Bachelor's",'Teacher Salary Data'!$D$2:$D$1871,5),0)</f>
        <v/>
      </c>
      <c r="F40" s="65">
        <f>IFERROR(SUMIFS('Teacher Salary Data'!$E$2:$E$1871,'Teacher Salary Data'!$A$2:$A$1871,$A40,'Teacher Salary Data'!$C$2:$C$1871,"Bachelor's",'Teacher Salary Data'!$D$2:$D$1871,10),0)</f>
        <v/>
      </c>
      <c r="G40" s="65">
        <f>IFERROR(SUMIFS('Teacher Salary Data'!$E$2:$E$1871,'Teacher Salary Data'!$A$2:$A$1871,$A40,'Teacher Salary Data'!$C$2:$C$1871,"Master's",'Teacher Salary Data'!$D$2:$D$1871,0),0)</f>
        <v/>
      </c>
      <c r="H40" s="65">
        <f>IFERROR(SUMIFS('Teacher Salary Data'!$E$2:$E$1871,'Teacher Salary Data'!$A$2:$A$1871,$A40,'Teacher Salary Data'!$C$2:$C$1871,"Master's",'Teacher Salary Data'!$D$2:$D$1871,5),0)</f>
        <v/>
      </c>
      <c r="I40" s="65">
        <f>IFERROR(SUMIFS('Teacher Salary Data'!$E$2:$E$1871,'Teacher Salary Data'!$A$2:$A$1871,$A40,'Teacher Salary Data'!$C$2:$C$1871,"Master's",'Teacher Salary Data'!$D$2:$D$1871,10),0)</f>
        <v/>
      </c>
      <c r="J40" s="65">
        <f>AVERAGE(D40,G40)</f>
        <v/>
      </c>
      <c r="K40" s="65">
        <f>AVERAGE(F40,I40)</f>
        <v/>
      </c>
      <c r="L40" s="114">
        <f>IFERROR((K40-J40)/J40,0)</f>
        <v/>
      </c>
      <c r="M40" s="65">
        <f>G40-D40</f>
        <v/>
      </c>
      <c r="N40" s="65">
        <f>IFERROR(INDEX('Median Home and Rent Prices'!$D$2:$D$86,MATCH($A40,'Median Home and Rent Prices'!$A$2:$A$86,0)),0)</f>
        <v/>
      </c>
      <c r="O40" s="65">
        <f>IFERROR(INDEX('Median Home and Rent Prices'!$E$2:$E$86,MATCH($A40,'Median Home and Rent Prices'!$A$2:$A$86,0)),0)</f>
        <v/>
      </c>
      <c r="P40" s="64">
        <f>IFERROR(INDEX('School District Profiles'!$H$2:$H$86,MATCH($A40,'School District Profiles'!$A$2:$A$86,0)),0)</f>
        <v/>
      </c>
      <c r="Q40" s="65">
        <f>IFERROR(INDEX('School District Profiles'!$I$2:$I$86,MATCH($A40,'School District Profiles'!$A$2:$A$86,0)),0)</f>
        <v/>
      </c>
      <c r="R40" s="63">
        <f>IFERROR(IF(($AI40-('Score Inputs'!$B$4*1500+IF('Score Inputs'!$B$3="Master's",4000,0)))&lt;53000,MAX(0,MIN(39.99,((($AI40-('Score Inputs'!$B$4*1500+IF('Score Inputs'!$B$3="Master's",4000,0))))-45000)/8000*39.99)),IF(($AI40-('Score Inputs'!$B$4*1500+IF('Score Inputs'!$B$3="Master's",4000,0)))&lt;58000,40+((($AI40-('Score Inputs'!$B$4*1500+IF('Score Inputs'!$B$3="Master's",4000,0))))-53000)/5000*20,IF(($AI40-('Score Inputs'!$B$4*1500+IF('Score Inputs'!$B$3="Master's",4000,0)))&lt;63000,60+((($AI40-('Score Inputs'!$B$4*1500+IF('Score Inputs'!$B$3="Master's",4000,0))))-58000)/5000*10,IF(($AI40-('Score Inputs'!$B$4*1500+IF('Score Inputs'!$B$3="Master's",4000,0)))&lt;70000,70+((($AI40-('Score Inputs'!$B$4*1500+IF('Score Inputs'!$B$3="Master's",4000,0))))-63000)/7000*10,IF(($AI40-('Score Inputs'!$B$4*1500+IF('Score Inputs'!$B$3="Master's",4000,0)))&lt;75000,80+((($AI40-('Score Inputs'!$B$4*1500+IF('Score Inputs'!$B$3="Master's",4000,0))))-70000)/5000*10,MIN(100,90+((($AI40-('Score Inputs'!$B$4*1500+IF('Score Inputs'!$B$3="Master's",4000,0))))-75000)/5000*10)))))),0)</f>
        <v/>
      </c>
      <c r="S40" s="63">
        <f>IFERROR(MAX(0,MIN(100,L40/0.48*100)),0)</f>
        <v/>
      </c>
      <c r="T40" s="63">
        <f>IFERROR(MAX(0,MIN(100,M40/15000*100)),0)</f>
        <v/>
      </c>
      <c r="U40" s="63">
        <f>IFERROR(0.5*R40+0.35*S40+0.15*T40,0)</f>
        <v/>
      </c>
      <c r="V40" s="63">
        <f>IFERROR(0.35*AL40+0.3*AO40+0.25*AB40+0.1*AQ40,0)</f>
        <v/>
      </c>
      <c r="W40" s="63">
        <f>IFERROR(MAX(0,MIN(100,(25-P40)/(25-12)*100)),0)</f>
        <v/>
      </c>
      <c r="X40" s="63">
        <f>IFERROR(MAX(0,MIN(100,(AD40-1)/(3-1)*100))*IF(OR($A40="North Clackamas School District",$A40="Provo City School District"),0.6,1),0)</f>
        <v/>
      </c>
      <c r="Y40" s="63">
        <f>IFERROR(MAX(0,MIN(100,(1-((IFERROR(INDEX('School District Profiles'!$D$2:$D$86,MATCH($A40,'School District Profiles'!$A$2:$A$86,0)),0)/100)^2+(IFERROR(INDEX('School District Profiles'!$E$2:$E$86,MATCH($A40,'School District Profiles'!$A$2:$A$86,0)),0)/100)^2+(IFERROR(INDEX('School District Profiles'!$F$2:$F$86,MATCH($A40,'School District Profiles'!$A$2:$A$86,0)),0)/100)^2+(IFERROR(INDEX('School District Profiles'!$G$2:$G$86,MATCH($A40,'School District Profiles'!$A$2:$A$86,0)),0)/100)^2+(AC40/100)^2))/0.8*100)),0)</f>
        <v/>
      </c>
      <c r="Z40" s="63">
        <f>IFERROR(AF40*AG40,0)</f>
        <v/>
      </c>
      <c r="AA40" s="69">
        <f>IFERROR(INDEX('Median Home and Rent Prices'!$F$2:$F$86,MATCH($A40,'Median Home and Rent Prices'!$A$2:$A$86,0)),0)</f>
        <v/>
      </c>
      <c r="AB40" s="63">
        <f>IFERROR(MAX(0,MIN(100,(800-AA40)/(800-150)*100)),0)</f>
        <v/>
      </c>
      <c r="AC40" s="114">
        <f>IFERROR(INDEX('School District Profiles'!$J$2:$J$86,MATCH($A40,'School District Profiles'!$A$2:$A$86,0)),0)</f>
        <v/>
      </c>
      <c r="AD40" s="63">
        <f>IFERROR(Q40*20/O40,0)</f>
        <v/>
      </c>
      <c r="AE40" s="63">
        <f>IFERROR(IF(AG40&gt;=1,100,IF(AG40&gt;=0.95,75,IF(AG40&gt;=0.9,60,IF(AG40&gt;=0.85,40,IF(AG40&gt;=0.8,25,0))))),0)</f>
        <v/>
      </c>
      <c r="AF40" s="63">
        <f>IFERROR(0.35*V40+0.3*U40+0.1*W40+0.1*X40+0.1*Y40+0.05*AR40,0)</f>
        <v/>
      </c>
      <c r="AG40" s="63" t="n">
        <v>0.9</v>
      </c>
      <c r="AH40" s="64" t="inlineStr">
        <is>
          <t>10% employment-stability penalty applied. Beaverton has strong salary/substitute inputs, but first-pass budget review showed current deficit/staffing-reduction risk, so it should not be treated as a clean low-risk #1.</t>
        </is>
      </c>
      <c r="AI40" s="65">
        <f>IF('Score Inputs'!$B$3="Bachelor's",CHOOSE(MATCH('Score Inputs'!$B$4,{0,5,10},0),D40,E40,F40),CHOOSE(MATCH('Score Inputs'!$B$4,{0,5,10},0),G40,H40,I40))</f>
        <v/>
      </c>
      <c r="AJ40" s="65">
        <f>IFERROR(AI40/12,0)</f>
        <v/>
      </c>
      <c r="AK40" s="114">
        <f>IFERROR(O40/AJ40,0)</f>
        <v/>
      </c>
      <c r="AL40" s="63">
        <f>IFERROR(IF(AK40&lt;=25%,100,IF(AK40&lt;=30%,100-(AK40-25%)/5%*30,IF(AK40&lt;=35%,70-(AK40-30%)/5%*10,IF(AK40&lt;=40%,60-(AK40-35%)/5%*20,MAX(0,40-(AK40-40%)/10%*40))))),0)</f>
        <v/>
      </c>
      <c r="AM40" s="65">
        <f>IFERROR(PMT('Score Inputs'!$B$5/12,'Score Inputs'!$B$7*12,-N40*(1-'Score Inputs'!$B$6)),0)</f>
        <v/>
      </c>
      <c r="AN40" s="114">
        <f>IFERROR(AM40/AJ40,0)</f>
        <v/>
      </c>
      <c r="AO40" s="63">
        <f>IFERROR(IF(AN40&lt;=25%,100,IF(AN40&lt;=30%,100-(AN40-25%)/5%*30,IF(AN40&lt;=35%,70-(AN40-30%)/5%*10,IF(AN40&lt;=40%,60-(AN40-35%)/5%*20,MAX(0,40-(AN40-40%)/10%*40))))),0)</f>
        <v/>
      </c>
      <c r="AP40" s="65">
        <f>IFERROR(AJ40-O40,0)</f>
        <v/>
      </c>
      <c r="AQ40" s="63">
        <f>IFERROR(MAX(0,MIN(100,(AP40-'Score Inputs'!$B$8)/('Score Inputs'!$B$9-'Score Inputs'!$B$8)*100)),0)</f>
        <v/>
      </c>
      <c r="AR40" s="63">
        <f>IFERROR(INDEX('State Funding Lookup'!$B$2:$B$86,MATCH($A40,'State Funding Lookup'!$A$2:$A$86,0)),0)</f>
        <v/>
      </c>
      <c r="AS40" s="67">
        <f>AK40</f>
        <v/>
      </c>
      <c r="AT40" s="67">
        <f>AN40</f>
        <v/>
      </c>
    </row>
    <row r="41" ht="30" customHeight="1" s="104">
      <c r="A41" s="64" t="inlineStr">
        <is>
          <t>Saint Helena Unified School District</t>
        </is>
      </c>
      <c r="B41" s="64">
        <f>IFERROR(INDEX('School District Profiles'!$B$2:$B$86,MATCH($A41,'School District Profiles'!$A$2:$A$86,0)),"")</f>
        <v/>
      </c>
      <c r="C41" s="64">
        <f>IFERROR(INDEX('School District Profiles'!$C$2:$C$86,MATCH($A41,'School District Profiles'!$A$2:$A$86,0)),"")</f>
        <v/>
      </c>
      <c r="D41" s="65">
        <f>IFERROR(SUMIFS('Teacher Salary Data'!$E$2:$E$1871,'Teacher Salary Data'!$A$2:$A$1871,$A41,'Teacher Salary Data'!$C$2:$C$1871,"Bachelor's",'Teacher Salary Data'!$D$2:$D$1871,0),0)</f>
        <v/>
      </c>
      <c r="E41" s="65">
        <f>IFERROR(SUMIFS('Teacher Salary Data'!$E$2:$E$1871,'Teacher Salary Data'!$A$2:$A$1871,$A41,'Teacher Salary Data'!$C$2:$C$1871,"Bachelor's",'Teacher Salary Data'!$D$2:$D$1871,5),0)</f>
        <v/>
      </c>
      <c r="F41" s="65">
        <f>IFERROR(SUMIFS('Teacher Salary Data'!$E$2:$E$1871,'Teacher Salary Data'!$A$2:$A$1871,$A41,'Teacher Salary Data'!$C$2:$C$1871,"Bachelor's",'Teacher Salary Data'!$D$2:$D$1871,10),0)</f>
        <v/>
      </c>
      <c r="G41" s="65">
        <f>IFERROR(SUMIFS('Teacher Salary Data'!$E$2:$E$1871,'Teacher Salary Data'!$A$2:$A$1871,$A41,'Teacher Salary Data'!$C$2:$C$1871,"Master's",'Teacher Salary Data'!$D$2:$D$1871,0),0)</f>
        <v/>
      </c>
      <c r="H41" s="65">
        <f>IFERROR(SUMIFS('Teacher Salary Data'!$E$2:$E$1871,'Teacher Salary Data'!$A$2:$A$1871,$A41,'Teacher Salary Data'!$C$2:$C$1871,"Master's",'Teacher Salary Data'!$D$2:$D$1871,5),0)</f>
        <v/>
      </c>
      <c r="I41" s="65">
        <f>IFERROR(SUMIFS('Teacher Salary Data'!$E$2:$E$1871,'Teacher Salary Data'!$A$2:$A$1871,$A41,'Teacher Salary Data'!$C$2:$C$1871,"Master's",'Teacher Salary Data'!$D$2:$D$1871,10),0)</f>
        <v/>
      </c>
      <c r="J41" s="65">
        <f>AVERAGE(D41,G41)</f>
        <v/>
      </c>
      <c r="K41" s="65">
        <f>AVERAGE(F41,I41)</f>
        <v/>
      </c>
      <c r="L41" s="114">
        <f>IFERROR((K41-J41)/J41,0)</f>
        <v/>
      </c>
      <c r="M41" s="65">
        <f>G41-D41</f>
        <v/>
      </c>
      <c r="N41" s="65">
        <f>IFERROR(INDEX('Median Home and Rent Prices'!$D$2:$D$86,MATCH($A41,'Median Home and Rent Prices'!$A$2:$A$86,0)),0)</f>
        <v/>
      </c>
      <c r="O41" s="65">
        <f>IFERROR(INDEX('Median Home and Rent Prices'!$E$2:$E$86,MATCH($A41,'Median Home and Rent Prices'!$A$2:$A$86,0)),0)</f>
        <v/>
      </c>
      <c r="P41" s="63">
        <f>IFERROR(INDEX('School District Profiles'!$H$2:$H$86,MATCH($A41,'School District Profiles'!$A$2:$A$86,0)),0)</f>
        <v/>
      </c>
      <c r="Q41" s="65">
        <f>IFERROR(INDEX('School District Profiles'!$I$2:$I$86,MATCH($A41,'School District Profiles'!$A$2:$A$86,0)),0)</f>
        <v/>
      </c>
      <c r="R41" s="63">
        <f>IFERROR(IF(($AI41-('Score Inputs'!$B$4*1500+IF('Score Inputs'!$B$3="Master's",4000,0)))&lt;53000,MAX(0,MIN(39.99,((($AI41-('Score Inputs'!$B$4*1500+IF('Score Inputs'!$B$3="Master's",4000,0))))-45000)/8000*39.99)),IF(($AI41-('Score Inputs'!$B$4*1500+IF('Score Inputs'!$B$3="Master's",4000,0)))&lt;58000,40+((($AI41-('Score Inputs'!$B$4*1500+IF('Score Inputs'!$B$3="Master's",4000,0))))-53000)/5000*20,IF(($AI41-('Score Inputs'!$B$4*1500+IF('Score Inputs'!$B$3="Master's",4000,0)))&lt;63000,60+((($AI41-('Score Inputs'!$B$4*1500+IF('Score Inputs'!$B$3="Master's",4000,0))))-58000)/5000*10,IF(($AI41-('Score Inputs'!$B$4*1500+IF('Score Inputs'!$B$3="Master's",4000,0)))&lt;70000,70+((($AI41-('Score Inputs'!$B$4*1500+IF('Score Inputs'!$B$3="Master's",4000,0))))-63000)/7000*10,IF(($AI41-('Score Inputs'!$B$4*1500+IF('Score Inputs'!$B$3="Master's",4000,0)))&lt;75000,80+((($AI41-('Score Inputs'!$B$4*1500+IF('Score Inputs'!$B$3="Master's",4000,0))))-70000)/5000*10,MIN(100,90+((($AI41-('Score Inputs'!$B$4*1500+IF('Score Inputs'!$B$3="Master's",4000,0))))-75000)/5000*10)))))),0)</f>
        <v/>
      </c>
      <c r="S41" s="63">
        <f>IFERROR(MAX(0,MIN(100,L41/0.48*100)),0)</f>
        <v/>
      </c>
      <c r="T41" s="63">
        <f>IFERROR(MAX(0,MIN(100,M41/15000*100)),0)</f>
        <v/>
      </c>
      <c r="U41" s="63">
        <f>IFERROR(0.5*R41+0.35*S41+0.15*T41,0)</f>
        <v/>
      </c>
      <c r="V41" s="63">
        <f>IFERROR(0.35*AL41+0.3*AO41+0.25*AB41+0.1*AQ41,0)</f>
        <v/>
      </c>
      <c r="W41" s="63">
        <f>IFERROR(MAX(0,MIN(100,(25-P41)/(25-12)*100)),0)</f>
        <v/>
      </c>
      <c r="X41" s="63">
        <f>IFERROR(MAX(0,MIN(100,(AD41-1)/(3-1)*100))*IF(OR($A41="North Clackamas School District",$A41="Provo City School District"),0.6,1),0)</f>
        <v/>
      </c>
      <c r="Y41" s="63">
        <f>IFERROR(MAX(0,MIN(100,(1-((IFERROR(INDEX('School District Profiles'!$D$2:$D$86,MATCH($A41,'School District Profiles'!$A$2:$A$86,0)),0)/100)^2+(IFERROR(INDEX('School District Profiles'!$E$2:$E$86,MATCH($A41,'School District Profiles'!$A$2:$A$86,0)),0)/100)^2+(IFERROR(INDEX('School District Profiles'!$F$2:$F$86,MATCH($A41,'School District Profiles'!$A$2:$A$86,0)),0)/100)^2+(IFERROR(INDEX('School District Profiles'!$G$2:$G$86,MATCH($A41,'School District Profiles'!$A$2:$A$86,0)),0)/100)^2+(AC41/100)^2))/0.8*100)),0)</f>
        <v/>
      </c>
      <c r="Z41" s="63">
        <f>IFERROR(AF41*AG41,0)</f>
        <v/>
      </c>
      <c r="AA41" s="69">
        <f>IFERROR(INDEX('Median Home and Rent Prices'!$F$2:$F$86,MATCH($A41,'Median Home and Rent Prices'!$A$2:$A$86,0)),0)</f>
        <v/>
      </c>
      <c r="AB41" s="63">
        <f>IFERROR(MAX(0,MIN(100,(800-AA41)/(800-150)*100)),0)</f>
        <v/>
      </c>
      <c r="AC41" s="114">
        <f>IFERROR(INDEX('School District Profiles'!$J$2:$J$86,MATCH($A41,'School District Profiles'!$A$2:$A$86,0)),0)</f>
        <v/>
      </c>
      <c r="AD41" s="63">
        <f>IFERROR(Q41*20/O41,0)</f>
        <v/>
      </c>
      <c r="AE41" s="63">
        <f>IFERROR(IF(AG41&gt;=1,100,IF(AG41&gt;=0.95,75,IF(AG41&gt;=0.9,60,IF(AG41&gt;=0.85,40,IF(AG41&gt;=0.8,25,0))))),0)</f>
        <v/>
      </c>
      <c r="AF41" s="63">
        <f>IFERROR(0.35*V41+0.3*U41+0.1*W41+0.1*X41+0.1*Y41+0.05*AR41,0)</f>
        <v/>
      </c>
      <c r="AG41" s="63" t="n">
        <v>1</v>
      </c>
      <c r="AH41" s="64" t="inlineStr">
        <is>
          <t>No current employment-stability penalty applied; first-pass research did not find reliable current layoff evidence.</t>
        </is>
      </c>
      <c r="AI41" s="65">
        <f>IF('Score Inputs'!$B$3="Bachelor's",CHOOSE(MATCH('Score Inputs'!$B$4,{0,5,10},0),D41,E41,F41),CHOOSE(MATCH('Score Inputs'!$B$4,{0,5,10},0),G41,H41,I41))</f>
        <v/>
      </c>
      <c r="AJ41" s="65">
        <f>IFERROR(AI41/12,0)</f>
        <v/>
      </c>
      <c r="AK41" s="114">
        <f>IFERROR(O41/AJ41,0)</f>
        <v/>
      </c>
      <c r="AL41" s="63">
        <f>IFERROR(IF(AK41&lt;=25%,100,IF(AK41&lt;=30%,100-(AK41-25%)/5%*30,IF(AK41&lt;=35%,70-(AK41-30%)/5%*10,IF(AK41&lt;=40%,60-(AK41-35%)/5%*20,MAX(0,40-(AK41-40%)/10%*40))))),0)</f>
        <v/>
      </c>
      <c r="AM41" s="65">
        <f>IFERROR(PMT('Score Inputs'!$B$5/12,'Score Inputs'!$B$7*12,-N41*(1-'Score Inputs'!$B$6)),0)</f>
        <v/>
      </c>
      <c r="AN41" s="114">
        <f>IFERROR(AM41/AJ41,0)</f>
        <v/>
      </c>
      <c r="AO41" s="63">
        <f>IFERROR(IF(AN41&lt;=25%,100,IF(AN41&lt;=30%,100-(AN41-25%)/5%*30,IF(AN41&lt;=35%,70-(AN41-30%)/5%*10,IF(AN41&lt;=40%,60-(AN41-35%)/5%*20,MAX(0,40-(AN41-40%)/10%*40))))),0)</f>
        <v/>
      </c>
      <c r="AP41" s="65">
        <f>IFERROR(AJ41-O41,0)</f>
        <v/>
      </c>
      <c r="AQ41" s="63">
        <f>IFERROR(MAX(0,MIN(100,(AP41-'Score Inputs'!$B$8)/('Score Inputs'!$B$9-'Score Inputs'!$B$8)*100)),0)</f>
        <v/>
      </c>
      <c r="AR41" s="63">
        <f>IFERROR(INDEX('State Funding Lookup'!$B$2:$B$86,MATCH($A41,'State Funding Lookup'!$A$2:$A$86,0)),0)</f>
        <v/>
      </c>
      <c r="AS41" s="67">
        <f>AK41</f>
        <v/>
      </c>
      <c r="AT41" s="67">
        <f>AN41</f>
        <v/>
      </c>
    </row>
    <row r="42" ht="30" customHeight="1" s="104">
      <c r="A42" s="64" t="inlineStr">
        <is>
          <t>Verona Area School District</t>
        </is>
      </c>
      <c r="B42" s="64">
        <f>IFERROR(INDEX('School District Profiles'!$B$2:$B$86,MATCH($A42,'School District Profiles'!$A$2:$A$86,0)),"")</f>
        <v/>
      </c>
      <c r="C42" s="64">
        <f>IFERROR(INDEX('School District Profiles'!$C$2:$C$86,MATCH($A42,'School District Profiles'!$A$2:$A$86,0)),"")</f>
        <v/>
      </c>
      <c r="D42" s="65">
        <f>IFERROR(SUMIFS('Teacher Salary Data'!$E$2:$E$1871,'Teacher Salary Data'!$A$2:$A$1871,$A42,'Teacher Salary Data'!$C$2:$C$1871,"Bachelor's",'Teacher Salary Data'!$D$2:$D$1871,0),0)</f>
        <v/>
      </c>
      <c r="E42" s="65">
        <f>IFERROR(SUMIFS('Teacher Salary Data'!$E$2:$E$1871,'Teacher Salary Data'!$A$2:$A$1871,$A42,'Teacher Salary Data'!$C$2:$C$1871,"Bachelor's",'Teacher Salary Data'!$D$2:$D$1871,5),0)</f>
        <v/>
      </c>
      <c r="F42" s="65">
        <f>IFERROR(SUMIFS('Teacher Salary Data'!$E$2:$E$1871,'Teacher Salary Data'!$A$2:$A$1871,$A42,'Teacher Salary Data'!$C$2:$C$1871,"Bachelor's",'Teacher Salary Data'!$D$2:$D$1871,10),0)</f>
        <v/>
      </c>
      <c r="G42" s="65">
        <f>IFERROR(SUMIFS('Teacher Salary Data'!$E$2:$E$1871,'Teacher Salary Data'!$A$2:$A$1871,$A42,'Teacher Salary Data'!$C$2:$C$1871,"Master's",'Teacher Salary Data'!$D$2:$D$1871,0),0)</f>
        <v/>
      </c>
      <c r="H42" s="65">
        <f>IFERROR(SUMIFS('Teacher Salary Data'!$E$2:$E$1871,'Teacher Salary Data'!$A$2:$A$1871,$A42,'Teacher Salary Data'!$C$2:$C$1871,"Master's",'Teacher Salary Data'!$D$2:$D$1871,5),0)</f>
        <v/>
      </c>
      <c r="I42" s="65">
        <f>IFERROR(SUMIFS('Teacher Salary Data'!$E$2:$E$1871,'Teacher Salary Data'!$A$2:$A$1871,$A42,'Teacher Salary Data'!$C$2:$C$1871,"Master's",'Teacher Salary Data'!$D$2:$D$1871,10),0)</f>
        <v/>
      </c>
      <c r="J42" s="65">
        <f>AVERAGE(D42,G42)</f>
        <v/>
      </c>
      <c r="K42" s="65">
        <f>AVERAGE(F42,I42)</f>
        <v/>
      </c>
      <c r="L42" s="114">
        <f>IFERROR((K42-J42)/J42,0)</f>
        <v/>
      </c>
      <c r="M42" s="65">
        <f>G42-D42</f>
        <v/>
      </c>
      <c r="N42" s="65">
        <f>IFERROR(INDEX('Median Home and Rent Prices'!$D$2:$D$86,MATCH($A42,'Median Home and Rent Prices'!$A$2:$A$86,0)),0)</f>
        <v/>
      </c>
      <c r="O42" s="65">
        <f>IFERROR(INDEX('Median Home and Rent Prices'!$E$2:$E$86,MATCH($A42,'Median Home and Rent Prices'!$A$2:$A$86,0)),0)</f>
        <v/>
      </c>
      <c r="P42" s="64">
        <f>IFERROR(INDEX('School District Profiles'!$H$2:$H$86,MATCH($A42,'School District Profiles'!$A$2:$A$86,0)),0)</f>
        <v/>
      </c>
      <c r="Q42" s="65">
        <f>IFERROR(INDEX('School District Profiles'!$I$2:$I$86,MATCH($A42,'School District Profiles'!$A$2:$A$86,0)),0)</f>
        <v/>
      </c>
      <c r="R42" s="63">
        <f>IFERROR(IF(($AI42-('Score Inputs'!$B$4*1500+IF('Score Inputs'!$B$3="Master's",4000,0)))&lt;53000,MAX(0,MIN(39.99,((($AI42-('Score Inputs'!$B$4*1500+IF('Score Inputs'!$B$3="Master's",4000,0))))-45000)/8000*39.99)),IF(($AI42-('Score Inputs'!$B$4*1500+IF('Score Inputs'!$B$3="Master's",4000,0)))&lt;58000,40+((($AI42-('Score Inputs'!$B$4*1500+IF('Score Inputs'!$B$3="Master's",4000,0))))-53000)/5000*20,IF(($AI42-('Score Inputs'!$B$4*1500+IF('Score Inputs'!$B$3="Master's",4000,0)))&lt;63000,60+((($AI42-('Score Inputs'!$B$4*1500+IF('Score Inputs'!$B$3="Master's",4000,0))))-58000)/5000*10,IF(($AI42-('Score Inputs'!$B$4*1500+IF('Score Inputs'!$B$3="Master's",4000,0)))&lt;70000,70+((($AI42-('Score Inputs'!$B$4*1500+IF('Score Inputs'!$B$3="Master's",4000,0))))-63000)/7000*10,IF(($AI42-('Score Inputs'!$B$4*1500+IF('Score Inputs'!$B$3="Master's",4000,0)))&lt;75000,80+((($AI42-('Score Inputs'!$B$4*1500+IF('Score Inputs'!$B$3="Master's",4000,0))))-70000)/5000*10,MIN(100,90+((($AI42-('Score Inputs'!$B$4*1500+IF('Score Inputs'!$B$3="Master's",4000,0))))-75000)/5000*10)))))),0)</f>
        <v/>
      </c>
      <c r="S42" s="63">
        <f>IFERROR(MAX(0,MIN(100,L42/0.48*100)),0)</f>
        <v/>
      </c>
      <c r="T42" s="63">
        <f>IFERROR(MAX(0,MIN(100,M42/15000*100)),0)</f>
        <v/>
      </c>
      <c r="U42" s="63">
        <f>IFERROR(0.5*R42+0.35*S42+0.15*T42,0)</f>
        <v/>
      </c>
      <c r="V42" s="63">
        <f>IFERROR(0.35*AL42+0.3*AO42+0.25*AB42+0.1*AQ42,0)</f>
        <v/>
      </c>
      <c r="W42" s="63">
        <f>IFERROR(MAX(0,MIN(100,(25-P42)/(25-12)*100)),0)</f>
        <v/>
      </c>
      <c r="X42" s="63">
        <f>IFERROR(MAX(0,MIN(100,(AD42-1)/(3-1)*100))*IF(OR($A42="North Clackamas School District",$A42="Provo City School District"),0.6,1),0)</f>
        <v/>
      </c>
      <c r="Y42" s="63">
        <f>IFERROR(MAX(0,MIN(100,(1-((IFERROR(INDEX('School District Profiles'!$D$2:$D$86,MATCH($A42,'School District Profiles'!$A$2:$A$86,0)),0)/100)^2+(IFERROR(INDEX('School District Profiles'!$E$2:$E$86,MATCH($A42,'School District Profiles'!$A$2:$A$86,0)),0)/100)^2+(IFERROR(INDEX('School District Profiles'!$F$2:$F$86,MATCH($A42,'School District Profiles'!$A$2:$A$86,0)),0)/100)^2+(IFERROR(INDEX('School District Profiles'!$G$2:$G$86,MATCH($A42,'School District Profiles'!$A$2:$A$86,0)),0)/100)^2+(AC42/100)^2))/0.8*100)),0)</f>
        <v/>
      </c>
      <c r="Z42" s="63">
        <f>IFERROR(AF42*AG42,0)</f>
        <v/>
      </c>
      <c r="AA42" s="69">
        <f>IFERROR(INDEX('Median Home and Rent Prices'!$F$2:$F$86,MATCH($A42,'Median Home and Rent Prices'!$A$2:$A$86,0)),0)</f>
        <v/>
      </c>
      <c r="AB42" s="63">
        <f>IFERROR(MAX(0,MIN(100,(800-AA42)/(800-150)*100)),0)</f>
        <v/>
      </c>
      <c r="AC42" s="114">
        <f>IFERROR(INDEX('School District Profiles'!$J$2:$J$86,MATCH($A42,'School District Profiles'!$A$2:$A$86,0)),0)</f>
        <v/>
      </c>
      <c r="AD42" s="63">
        <f>IFERROR(Q42*20/O42,0)</f>
        <v/>
      </c>
      <c r="AE42" s="63">
        <f>IFERROR(IF(AG42&gt;=1,100,IF(AG42&gt;=0.95,75,IF(AG42&gt;=0.9,60,IF(AG42&gt;=0.85,40,IF(AG42&gt;=0.8,25,0))))),0)</f>
        <v/>
      </c>
      <c r="AF42" s="63">
        <f>IFERROR(0.35*V42+0.3*U42+0.1*W42+0.1*X42+0.1*Y42+0.05*AR42,0)</f>
        <v/>
      </c>
      <c r="AG42" s="63" t="n">
        <v>1</v>
      </c>
      <c r="AH42" s="64" t="inlineStr">
        <is>
          <t>No current employment-stability penalty applied in this first-pass entry. Current salary and substitute sources were available; no reliable broad layoff/closure evidence found in this pass.</t>
        </is>
      </c>
      <c r="AI42" s="65">
        <f>IF('Score Inputs'!$B$3="Bachelor's",CHOOSE(MATCH('Score Inputs'!$B$4,{0,5,10},0),D42,E42,F42),CHOOSE(MATCH('Score Inputs'!$B$4,{0,5,10},0),G42,H42,I42))</f>
        <v/>
      </c>
      <c r="AJ42" s="65">
        <f>IFERROR(AI42/12,0)</f>
        <v/>
      </c>
      <c r="AK42" s="114">
        <f>IFERROR(O42/AJ42,0)</f>
        <v/>
      </c>
      <c r="AL42" s="63">
        <f>IFERROR(IF(AK42&lt;=25%,100,IF(AK42&lt;=30%,100-(AK42-25%)/5%*30,IF(AK42&lt;=35%,70-(AK42-30%)/5%*10,IF(AK42&lt;=40%,60-(AK42-35%)/5%*20,MAX(0,40-(AK42-40%)/10%*40))))),0)</f>
        <v/>
      </c>
      <c r="AM42" s="65">
        <f>IFERROR(PMT('Score Inputs'!$B$5/12,'Score Inputs'!$B$7*12,-N42*(1-'Score Inputs'!$B$6)),0)</f>
        <v/>
      </c>
      <c r="AN42" s="114">
        <f>IFERROR(AM42/AJ42,0)</f>
        <v/>
      </c>
      <c r="AO42" s="63">
        <f>IFERROR(IF(AN42&lt;=25%,100,IF(AN42&lt;=30%,100-(AN42-25%)/5%*30,IF(AN42&lt;=35%,70-(AN42-30%)/5%*10,IF(AN42&lt;=40%,60-(AN42-35%)/5%*20,MAX(0,40-(AN42-40%)/10%*40))))),0)</f>
        <v/>
      </c>
      <c r="AP42" s="65">
        <f>IFERROR(AJ42-O42,0)</f>
        <v/>
      </c>
      <c r="AQ42" s="63">
        <f>IFERROR(MAX(0,MIN(100,(AP42-'Score Inputs'!$B$8)/('Score Inputs'!$B$9-'Score Inputs'!$B$8)*100)),0)</f>
        <v/>
      </c>
      <c r="AR42" s="63">
        <f>IFERROR(INDEX('State Funding Lookup'!$B$2:$B$86,MATCH($A42,'State Funding Lookup'!$A$2:$A$86,0)),0)</f>
        <v/>
      </c>
      <c r="AS42" s="67">
        <f>AK42</f>
        <v/>
      </c>
      <c r="AT42" s="67">
        <f>AN42</f>
        <v/>
      </c>
    </row>
    <row r="43" ht="30" customHeight="1" s="104">
      <c r="A43" s="79" t="inlineStr">
        <is>
          <t>Wayzata Public Schools</t>
        </is>
      </c>
      <c r="B43" s="79">
        <f>IFERROR(INDEX('School District Profiles'!$B$2:$B$86,MATCH($A43,'School District Profiles'!$A$2:$A$86,0)),"")</f>
        <v/>
      </c>
      <c r="C43" s="79">
        <f>IFERROR(INDEX('School District Profiles'!$C$2:$C$86,MATCH($A43,'School District Profiles'!$A$2:$A$86,0)),"")</f>
        <v/>
      </c>
      <c r="D43" s="80">
        <f>IFERROR(SUMIFS('Teacher Salary Data'!$E$2:$E$1871,'Teacher Salary Data'!$A$2:$A$1871,$A43,'Teacher Salary Data'!$C$2:$C$1871,"Bachelor's",'Teacher Salary Data'!$D$2:$D$1871,0),0)</f>
        <v/>
      </c>
      <c r="E43" s="80">
        <f>IFERROR(SUMIFS('Teacher Salary Data'!$E$2:$E$1871,'Teacher Salary Data'!$A$2:$A$1871,$A43,'Teacher Salary Data'!$C$2:$C$1871,"Bachelor's",'Teacher Salary Data'!$D$2:$D$1871,5),0)</f>
        <v/>
      </c>
      <c r="F43" s="80">
        <f>IFERROR(SUMIFS('Teacher Salary Data'!$E$2:$E$1871,'Teacher Salary Data'!$A$2:$A$1871,$A43,'Teacher Salary Data'!$C$2:$C$1871,"Bachelor's",'Teacher Salary Data'!$D$2:$D$1871,10),0)</f>
        <v/>
      </c>
      <c r="G43" s="80">
        <f>IFERROR(SUMIFS('Teacher Salary Data'!$E$2:$E$1871,'Teacher Salary Data'!$A$2:$A$1871,$A43,'Teacher Salary Data'!$C$2:$C$1871,"Master's",'Teacher Salary Data'!$D$2:$D$1871,0),0)</f>
        <v/>
      </c>
      <c r="H43" s="80">
        <f>IFERROR(SUMIFS('Teacher Salary Data'!$E$2:$E$1871,'Teacher Salary Data'!$A$2:$A$1871,$A43,'Teacher Salary Data'!$C$2:$C$1871,"Master's",'Teacher Salary Data'!$D$2:$D$1871,5),0)</f>
        <v/>
      </c>
      <c r="I43" s="80">
        <f>IFERROR(SUMIFS('Teacher Salary Data'!$E$2:$E$1871,'Teacher Salary Data'!$A$2:$A$1871,$A43,'Teacher Salary Data'!$C$2:$C$1871,"Master's",'Teacher Salary Data'!$D$2:$D$1871,10),0)</f>
        <v/>
      </c>
      <c r="J43" s="80">
        <f>AVERAGE(D43,G43)</f>
        <v/>
      </c>
      <c r="K43" s="80">
        <f>AVERAGE(F43,I43)</f>
        <v/>
      </c>
      <c r="L43" s="117">
        <f>IFERROR((K43-J43)/J43,0)</f>
        <v/>
      </c>
      <c r="M43" s="80">
        <f>G43-D43</f>
        <v/>
      </c>
      <c r="N43" s="80">
        <f>IFERROR(INDEX('Median Home and Rent Prices'!$D$2:$D$86,MATCH($A43,'Median Home and Rent Prices'!$A$2:$A$86,0)),0)</f>
        <v/>
      </c>
      <c r="O43" s="80">
        <f>IFERROR(INDEX('Median Home and Rent Prices'!$E$2:$E$86,MATCH($A43,'Median Home and Rent Prices'!$A$2:$A$86,0)),0)</f>
        <v/>
      </c>
      <c r="P43" s="79">
        <f>IFERROR(INDEX('School District Profiles'!$H$2:$H$86,MATCH($A43,'School District Profiles'!$A$2:$A$86,0)),0)</f>
        <v/>
      </c>
      <c r="Q43" s="80">
        <f>IFERROR(INDEX('School District Profiles'!$I$2:$I$86,MATCH($A43,'School District Profiles'!$A$2:$A$86,0)),0)</f>
        <v/>
      </c>
      <c r="R43" s="82">
        <f>IFERROR(IF(($AI43-('Score Inputs'!$B$4*1500+IF('Score Inputs'!$B$3="Master's",4000,0)))&lt;53000,MAX(0,MIN(39.99,((($AI43-('Score Inputs'!$B$4*1500+IF('Score Inputs'!$B$3="Master's",4000,0))))-45000)/8000*39.99)),IF(($AI43-('Score Inputs'!$B$4*1500+IF('Score Inputs'!$B$3="Master's",4000,0)))&lt;58000,40+((($AI43-('Score Inputs'!$B$4*1500+IF('Score Inputs'!$B$3="Master's",4000,0))))-53000)/5000*20,IF(($AI43-('Score Inputs'!$B$4*1500+IF('Score Inputs'!$B$3="Master's",4000,0)))&lt;63000,60+((($AI43-('Score Inputs'!$B$4*1500+IF('Score Inputs'!$B$3="Master's",4000,0))))-58000)/5000*10,IF(($AI43-('Score Inputs'!$B$4*1500+IF('Score Inputs'!$B$3="Master's",4000,0)))&lt;70000,70+((($AI43-('Score Inputs'!$B$4*1500+IF('Score Inputs'!$B$3="Master's",4000,0))))-63000)/7000*10,IF(($AI43-('Score Inputs'!$B$4*1500+IF('Score Inputs'!$B$3="Master's",4000,0)))&lt;75000,80+((($AI43-('Score Inputs'!$B$4*1500+IF('Score Inputs'!$B$3="Master's",4000,0))))-70000)/5000*10,MIN(100,90+((($AI43-('Score Inputs'!$B$4*1500+IF('Score Inputs'!$B$3="Master's",4000,0))))-75000)/5000*10)))))),0)</f>
        <v/>
      </c>
      <c r="S43" s="82">
        <f>IFERROR(MAX(0,MIN(100,L43/0.48*100)),0)</f>
        <v/>
      </c>
      <c r="T43" s="82">
        <f>IFERROR(MAX(0,MIN(100,M43/15000*100)),0)</f>
        <v/>
      </c>
      <c r="U43" s="82">
        <f>IFERROR(0.5*R43+0.35*S43+0.15*T43,0)</f>
        <v/>
      </c>
      <c r="V43" s="82">
        <f>IFERROR(0.35*AL43+0.3*AO43+0.25*AB43+0.1*AQ43,0)</f>
        <v/>
      </c>
      <c r="W43" s="82">
        <f>IFERROR(MAX(0,MIN(100,(25-P43)/(25-12)*100)),0)</f>
        <v/>
      </c>
      <c r="X43" s="82">
        <f>IFERROR(MAX(0,MIN(100,(AD43-1)/(3-1)*100))*IF(OR($A43="North Clackamas School District",$A43="Provo City School District"),0.6,1),0)</f>
        <v/>
      </c>
      <c r="Y43" s="82">
        <f>IFERROR(MAX(0,MIN(100,(1-((IFERROR(INDEX('School District Profiles'!$D$2:$D$86,MATCH($A43,'School District Profiles'!$A$2:$A$86,0)),0)/100)^2+(IFERROR(INDEX('School District Profiles'!$E$2:$E$86,MATCH($A43,'School District Profiles'!$A$2:$A$86,0)),0)/100)^2+(IFERROR(INDEX('School District Profiles'!$F$2:$F$86,MATCH($A43,'School District Profiles'!$A$2:$A$86,0)),0)/100)^2+(IFERROR(INDEX('School District Profiles'!$G$2:$G$86,MATCH($A43,'School District Profiles'!$A$2:$A$86,0)),0)/100)^2+(AC43/100)^2))/0.8*100)),0)</f>
        <v/>
      </c>
      <c r="Z43" s="82">
        <f>IFERROR(AF43*AG43,0)</f>
        <v/>
      </c>
      <c r="AA43" s="83">
        <f>IFERROR(INDEX('Median Home and Rent Prices'!$F$2:$F$86,MATCH($A43,'Median Home and Rent Prices'!$A$2:$A$86,0)),0)</f>
        <v/>
      </c>
      <c r="AB43" s="82">
        <f>IFERROR(MAX(0,MIN(100,(800-AA43)/(800-150)*100)),0)</f>
        <v/>
      </c>
      <c r="AC43" s="79">
        <f>IFERROR(INDEX('School District Profiles'!$J$2:$J$86,MATCH($A43,'School District Profiles'!$A$2:$A$86,0)),0)</f>
        <v/>
      </c>
      <c r="AD43" s="82">
        <f>IFERROR(Q43*20/O43,0)</f>
        <v/>
      </c>
      <c r="AE43" s="82">
        <f>IFERROR(IF(AG43&gt;=1,100,IF(AG43&gt;=0.95,75,IF(AG43&gt;=0.9,60,IF(AG43&gt;=0.85,40,IF(AG43&gt;=0.8,25,0))))),0)</f>
        <v/>
      </c>
      <c r="AF43" s="82">
        <f>IFERROR(0.35*V43+0.3*U43+0.1*W43+0.1*X43+0.1*Y43+0.05*AR43,0)</f>
        <v/>
      </c>
      <c r="AG43" s="82" t="n">
        <v>1</v>
      </c>
      <c r="AH43" s="79" t="inlineStr">
        <is>
          <t>Round 3 first-pass entry; Wayzata reserve-teacher pay found; salary schedule estimated pending official lane/step table.</t>
        </is>
      </c>
      <c r="AI43" s="106">
        <f>IF('Score Inputs'!$B$3="Bachelor's",CHOOSE(MATCH('Score Inputs'!$B$4,{0,5,10},0),D43,E43,F43),CHOOSE(MATCH('Score Inputs'!$B$4,{0,5,10},0),G43,H43,I43))</f>
        <v/>
      </c>
      <c r="AJ43" s="106">
        <f>IFERROR(AI43/12,0)</f>
        <v/>
      </c>
      <c r="AK43" s="118">
        <f>IFERROR(O43/AJ43,0)</f>
        <v/>
      </c>
      <c r="AL43" s="110">
        <f>IFERROR(IF(AK43&lt;=25%,100,IF(AK43&lt;=30%,100-(AK43-25%)/5%*30,IF(AK43&lt;=35%,70-(AK43-30%)/5%*10,IF(AK43&lt;=40%,60-(AK43-35%)/5%*20,MAX(0,40-(AK43-40%)/10%*40))))),0)</f>
        <v/>
      </c>
      <c r="AM43" s="106">
        <f>IFERROR(PMT('Score Inputs'!$B$5/12,'Score Inputs'!$B$7*12,-N43*(1-'Score Inputs'!$B$6)),0)</f>
        <v/>
      </c>
      <c r="AN43" s="118">
        <f>IFERROR(AM43/AJ43,0)</f>
        <v/>
      </c>
      <c r="AO43" s="110">
        <f>IFERROR(IF(AN43&lt;=25%,100,IF(AN43&lt;=30%,100-(AN43-25%)/5%*30,IF(AN43&lt;=35%,70-(AN43-30%)/5%*10,IF(AN43&lt;=40%,60-(AN43-35%)/5%*20,MAX(0,40-(AN43-40%)/10%*40))))),0)</f>
        <v/>
      </c>
      <c r="AP43" s="106">
        <f>IFERROR(AJ43-O43,0)</f>
        <v/>
      </c>
      <c r="AQ43" s="110">
        <f>IFERROR(MAX(0,MIN(100,(AP43-'Score Inputs'!$B$8)/('Score Inputs'!$B$9-'Score Inputs'!$B$8)*100)),0)</f>
        <v/>
      </c>
      <c r="AR43" s="110">
        <f>IFERROR(INDEX('State Funding Lookup'!$B$2:$B$86,MATCH($A43,'State Funding Lookup'!$A$2:$A$86,0)),0)</f>
        <v/>
      </c>
      <c r="AS43" s="87">
        <f>AK43</f>
        <v/>
      </c>
      <c r="AT43" s="87">
        <f>AN43</f>
        <v/>
      </c>
    </row>
    <row r="44" ht="30" customHeight="1" s="104">
      <c r="A44" s="70" t="inlineStr">
        <is>
          <t>Waunakee Community School District</t>
        </is>
      </c>
      <c r="B44" s="70">
        <f>IFERROR(INDEX('School District Profiles'!$B$2:$B$86,MATCH($A44,'School District Profiles'!$A$2:$A$86,0)),"")</f>
        <v/>
      </c>
      <c r="C44" s="70">
        <f>IFERROR(INDEX('School District Profiles'!$C$2:$C$86,MATCH($A44,'School District Profiles'!$A$2:$A$86,0)),"")</f>
        <v/>
      </c>
      <c r="D44" s="71">
        <f>IFERROR(SUMIFS('Teacher Salary Data'!$E$2:$E$1871,'Teacher Salary Data'!$A$2:$A$1871,$A44,'Teacher Salary Data'!$C$2:$C$1871,"Bachelor's",'Teacher Salary Data'!$D$2:$D$1871,0),0)</f>
        <v/>
      </c>
      <c r="E44" s="71">
        <f>IFERROR(SUMIFS('Teacher Salary Data'!$E$2:$E$1871,'Teacher Salary Data'!$A$2:$A$1871,$A44,'Teacher Salary Data'!$C$2:$C$1871,"Bachelor's",'Teacher Salary Data'!$D$2:$D$1871,5),0)</f>
        <v/>
      </c>
      <c r="F44" s="71">
        <f>IFERROR(SUMIFS('Teacher Salary Data'!$E$2:$E$1871,'Teacher Salary Data'!$A$2:$A$1871,$A44,'Teacher Salary Data'!$C$2:$C$1871,"Bachelor's",'Teacher Salary Data'!$D$2:$D$1871,10),0)</f>
        <v/>
      </c>
      <c r="G44" s="71">
        <f>IFERROR(SUMIFS('Teacher Salary Data'!$E$2:$E$1871,'Teacher Salary Data'!$A$2:$A$1871,$A44,'Teacher Salary Data'!$C$2:$C$1871,"Master's",'Teacher Salary Data'!$D$2:$D$1871,0),0)</f>
        <v/>
      </c>
      <c r="H44" s="71">
        <f>IFERROR(SUMIFS('Teacher Salary Data'!$E$2:$E$1871,'Teacher Salary Data'!$A$2:$A$1871,$A44,'Teacher Salary Data'!$C$2:$C$1871,"Master's",'Teacher Salary Data'!$D$2:$D$1871,5),0)</f>
        <v/>
      </c>
      <c r="I44" s="71">
        <f>IFERROR(SUMIFS('Teacher Salary Data'!$E$2:$E$1871,'Teacher Salary Data'!$A$2:$A$1871,$A44,'Teacher Salary Data'!$C$2:$C$1871,"Master's",'Teacher Salary Data'!$D$2:$D$1871,10),0)</f>
        <v/>
      </c>
      <c r="J44" s="71">
        <f>AVERAGE(D44,G44)</f>
        <v/>
      </c>
      <c r="K44" s="71">
        <f>AVERAGE(F44,I44)</f>
        <v/>
      </c>
      <c r="L44" s="119">
        <f>IFERROR((K44-J44)/J44,0)</f>
        <v/>
      </c>
      <c r="M44" s="71">
        <f>G44-D44</f>
        <v/>
      </c>
      <c r="N44" s="71">
        <f>IFERROR(INDEX('Median Home and Rent Prices'!$D$2:$D$86,MATCH($A44,'Median Home and Rent Prices'!$A$2:$A$86,0)),0)</f>
        <v/>
      </c>
      <c r="O44" s="71">
        <f>IFERROR(INDEX('Median Home and Rent Prices'!$E$2:$E$86,MATCH($A44,'Median Home and Rent Prices'!$A$2:$A$86,0)),0)</f>
        <v/>
      </c>
      <c r="P44" s="70">
        <f>IFERROR(INDEX('School District Profiles'!$H$2:$H$86,MATCH($A44,'School District Profiles'!$A$2:$A$86,0)),0)</f>
        <v/>
      </c>
      <c r="Q44" s="71">
        <f>IFERROR(INDEX('School District Profiles'!$I$2:$I$86,MATCH($A44,'School District Profiles'!$A$2:$A$86,0)),0)</f>
        <v/>
      </c>
      <c r="R44" s="73">
        <f>IFERROR(IF(($AI44-('Score Inputs'!$B$4*1500+IF('Score Inputs'!$B$3="Master's",4000,0)))&lt;53000,MAX(0,MIN(39.99,((($AI44-('Score Inputs'!$B$4*1500+IF('Score Inputs'!$B$3="Master's",4000,0))))-45000)/8000*39.99)),IF(($AI44-('Score Inputs'!$B$4*1500+IF('Score Inputs'!$B$3="Master's",4000,0)))&lt;58000,40+((($AI44-('Score Inputs'!$B$4*1500+IF('Score Inputs'!$B$3="Master's",4000,0))))-53000)/5000*20,IF(($AI44-('Score Inputs'!$B$4*1500+IF('Score Inputs'!$B$3="Master's",4000,0)))&lt;63000,60+((($AI44-('Score Inputs'!$B$4*1500+IF('Score Inputs'!$B$3="Master's",4000,0))))-58000)/5000*10,IF(($AI44-('Score Inputs'!$B$4*1500+IF('Score Inputs'!$B$3="Master's",4000,0)))&lt;70000,70+((($AI44-('Score Inputs'!$B$4*1500+IF('Score Inputs'!$B$3="Master's",4000,0))))-63000)/7000*10,IF(($AI44-('Score Inputs'!$B$4*1500+IF('Score Inputs'!$B$3="Master's",4000,0)))&lt;75000,80+((($AI44-('Score Inputs'!$B$4*1500+IF('Score Inputs'!$B$3="Master's",4000,0))))-70000)/5000*10,MIN(100,90+((($AI44-('Score Inputs'!$B$4*1500+IF('Score Inputs'!$B$3="Master's",4000,0))))-75000)/5000*10)))))),0)</f>
        <v/>
      </c>
      <c r="S44" s="73">
        <f>IFERROR(MAX(0,MIN(100,L44/0.48*100)),0)</f>
        <v/>
      </c>
      <c r="T44" s="73">
        <f>IFERROR(MAX(0,MIN(100,M44/15000*100)),0)</f>
        <v/>
      </c>
      <c r="U44" s="73">
        <f>IFERROR(0.5*R44+0.35*S44+0.15*T44,0)</f>
        <v/>
      </c>
      <c r="V44" s="73">
        <f>IFERROR(0.35*AL44+0.3*AO44+0.25*AB44+0.1*AQ44,0)</f>
        <v/>
      </c>
      <c r="W44" s="73">
        <f>IFERROR(MAX(0,MIN(100,(25-P44)/(25-12)*100)),0)</f>
        <v/>
      </c>
      <c r="X44" s="73">
        <f>IFERROR(MAX(0,MIN(100,(AD44-1)/(3-1)*100))*IF(OR($A44="North Clackamas School District",$A44="Provo City School District"),0.6,1),0)</f>
        <v/>
      </c>
      <c r="Y44" s="73">
        <f>IFERROR(MAX(0,MIN(100,(1-((IFERROR(INDEX('School District Profiles'!$D$2:$D$86,MATCH($A44,'School District Profiles'!$A$2:$A$86,0)),0)/100)^2+(IFERROR(INDEX('School District Profiles'!$E$2:$E$86,MATCH($A44,'School District Profiles'!$A$2:$A$86,0)),0)/100)^2+(IFERROR(INDEX('School District Profiles'!$F$2:$F$86,MATCH($A44,'School District Profiles'!$A$2:$A$86,0)),0)/100)^2+(IFERROR(INDEX('School District Profiles'!$G$2:$G$86,MATCH($A44,'School District Profiles'!$A$2:$A$86,0)),0)/100)^2+(AC44/100)^2))/0.8*100)),0)</f>
        <v/>
      </c>
      <c r="Z44" s="73">
        <f>IFERROR(AF44*AG44,0)</f>
        <v/>
      </c>
      <c r="AA44" s="74">
        <f>IFERROR(INDEX('Median Home and Rent Prices'!$F$2:$F$86,MATCH($A44,'Median Home and Rent Prices'!$A$2:$A$86,0)),0)</f>
        <v/>
      </c>
      <c r="AB44" s="73">
        <f>IFERROR(MAX(0,MIN(100,(800-AA44)/(800-150)*100)),0)</f>
        <v/>
      </c>
      <c r="AC44" s="119">
        <f>IFERROR(INDEX('School District Profiles'!$J$2:$J$86,MATCH($A44,'School District Profiles'!$A$2:$A$86,0)),0)</f>
        <v/>
      </c>
      <c r="AD44" s="73">
        <f>IFERROR(Q44*20/O44,0)</f>
        <v/>
      </c>
      <c r="AE44" s="73">
        <f>IFERROR(IF(AG44&gt;=1,100,IF(AG44&gt;=0.95,75,IF(AG44&gt;=0.9,60,IF(AG44&gt;=0.85,40,IF(AG44&gt;=0.8,25,0))))),0)</f>
        <v/>
      </c>
      <c r="AF44" s="73">
        <f>IFERROR(0.35*V44+0.3*U44+0.1*W44+0.1*X44+0.1*Y44+0.05*AR44,0)</f>
        <v/>
      </c>
      <c r="AG44" s="73" t="n">
        <v>1</v>
      </c>
      <c r="AH44" s="70" t="inlineStr">
        <is>
          <t>No current employment-stability penalty applied in this first-pass entry. First-pass screening found substitute pay data and no current broad layoff/closure evidence.</t>
        </is>
      </c>
      <c r="AI44" s="105">
        <f>IF('Score Inputs'!$B$3="Bachelor's",CHOOSE(MATCH('Score Inputs'!$B$4,{0,5,10},0),D44,E44,F44),CHOOSE(MATCH('Score Inputs'!$B$4,{0,5,10},0),G44,H44,I44))</f>
        <v/>
      </c>
      <c r="AJ44" s="105">
        <f>IFERROR(AI44/12,0)</f>
        <v/>
      </c>
      <c r="AK44" s="120">
        <f>IFERROR(O44/AJ44,0)</f>
        <v/>
      </c>
      <c r="AL44" s="109">
        <f>IFERROR(IF(AK44&lt;=25%,100,IF(AK44&lt;=30%,100-(AK44-25%)/5%*30,IF(AK44&lt;=35%,70-(AK44-30%)/5%*10,IF(AK44&lt;=40%,60-(AK44-35%)/5%*20,MAX(0,40-(AK44-40%)/10%*40))))),0)</f>
        <v/>
      </c>
      <c r="AM44" s="105">
        <f>IFERROR(PMT('Score Inputs'!$B$5/12,'Score Inputs'!$B$7*12,-N44*(1-'Score Inputs'!$B$6)),0)</f>
        <v/>
      </c>
      <c r="AN44" s="120">
        <f>IFERROR(AM44/AJ44,0)</f>
        <v/>
      </c>
      <c r="AO44" s="109">
        <f>IFERROR(IF(AN44&lt;=25%,100,IF(AN44&lt;=30%,100-(AN44-25%)/5%*30,IF(AN44&lt;=35%,70-(AN44-30%)/5%*10,IF(AN44&lt;=40%,60-(AN44-35%)/5%*20,MAX(0,40-(AN44-40%)/10%*40))))),0)</f>
        <v/>
      </c>
      <c r="AP44" s="105">
        <f>IFERROR(AJ44-O44,0)</f>
        <v/>
      </c>
      <c r="AQ44" s="109">
        <f>IFERROR(MAX(0,MIN(100,(AP44-'Score Inputs'!$B$8)/('Score Inputs'!$B$9-'Score Inputs'!$B$8)*100)),0)</f>
        <v/>
      </c>
      <c r="AR44" s="109">
        <f>IFERROR(INDEX('State Funding Lookup'!$B$2:$B$86,MATCH($A44,'State Funding Lookup'!$A$2:$A$86,0)),0)</f>
        <v/>
      </c>
      <c r="AS44" s="78">
        <f>AK44</f>
        <v/>
      </c>
      <c r="AT44" s="78">
        <f>AN44</f>
        <v/>
      </c>
    </row>
    <row r="45" ht="30" customHeight="1" s="104">
      <c r="A45" s="79" t="inlineStr">
        <is>
          <t>Minnetonka Public Schools</t>
        </is>
      </c>
      <c r="B45" s="79">
        <f>IFERROR(INDEX('School District Profiles'!$B$2:$B$86,MATCH($A45,'School District Profiles'!$A$2:$A$86,0)),"")</f>
        <v/>
      </c>
      <c r="C45" s="79">
        <f>IFERROR(INDEX('School District Profiles'!$C$2:$C$86,MATCH($A45,'School District Profiles'!$A$2:$A$86,0)),"")</f>
        <v/>
      </c>
      <c r="D45" s="80">
        <f>IFERROR(SUMIFS('Teacher Salary Data'!$E$2:$E$1871,'Teacher Salary Data'!$A$2:$A$1871,$A45,'Teacher Salary Data'!$C$2:$C$1871,"Bachelor's",'Teacher Salary Data'!$D$2:$D$1871,0),0)</f>
        <v/>
      </c>
      <c r="E45" s="80">
        <f>IFERROR(SUMIFS('Teacher Salary Data'!$E$2:$E$1871,'Teacher Salary Data'!$A$2:$A$1871,$A45,'Teacher Salary Data'!$C$2:$C$1871,"Bachelor's",'Teacher Salary Data'!$D$2:$D$1871,5),0)</f>
        <v/>
      </c>
      <c r="F45" s="80">
        <f>IFERROR(SUMIFS('Teacher Salary Data'!$E$2:$E$1871,'Teacher Salary Data'!$A$2:$A$1871,$A45,'Teacher Salary Data'!$C$2:$C$1871,"Bachelor's",'Teacher Salary Data'!$D$2:$D$1871,10),0)</f>
        <v/>
      </c>
      <c r="G45" s="80">
        <f>IFERROR(SUMIFS('Teacher Salary Data'!$E$2:$E$1871,'Teacher Salary Data'!$A$2:$A$1871,$A45,'Teacher Salary Data'!$C$2:$C$1871,"Master's",'Teacher Salary Data'!$D$2:$D$1871,0),0)</f>
        <v/>
      </c>
      <c r="H45" s="80">
        <f>IFERROR(SUMIFS('Teacher Salary Data'!$E$2:$E$1871,'Teacher Salary Data'!$A$2:$A$1871,$A45,'Teacher Salary Data'!$C$2:$C$1871,"Master's",'Teacher Salary Data'!$D$2:$D$1871,5),0)</f>
        <v/>
      </c>
      <c r="I45" s="80">
        <f>IFERROR(SUMIFS('Teacher Salary Data'!$E$2:$E$1871,'Teacher Salary Data'!$A$2:$A$1871,$A45,'Teacher Salary Data'!$C$2:$C$1871,"Master's",'Teacher Salary Data'!$D$2:$D$1871,10),0)</f>
        <v/>
      </c>
      <c r="J45" s="80">
        <f>AVERAGE(D45,G45)</f>
        <v/>
      </c>
      <c r="K45" s="80">
        <f>AVERAGE(F45,I45)</f>
        <v/>
      </c>
      <c r="L45" s="117">
        <f>IFERROR((K45-J45)/J45,0)</f>
        <v/>
      </c>
      <c r="M45" s="80">
        <f>G45-D45</f>
        <v/>
      </c>
      <c r="N45" s="80">
        <f>IFERROR(INDEX('Median Home and Rent Prices'!$D$2:$D$86,MATCH($A45,'Median Home and Rent Prices'!$A$2:$A$86,0)),0)</f>
        <v/>
      </c>
      <c r="O45" s="80">
        <f>IFERROR(INDEX('Median Home and Rent Prices'!$E$2:$E$86,MATCH($A45,'Median Home and Rent Prices'!$A$2:$A$86,0)),0)</f>
        <v/>
      </c>
      <c r="P45" s="79">
        <f>IFERROR(INDEX('School District Profiles'!$H$2:$H$86,MATCH($A45,'School District Profiles'!$A$2:$A$86,0)),0)</f>
        <v/>
      </c>
      <c r="Q45" s="80">
        <f>IFERROR(INDEX('School District Profiles'!$I$2:$I$86,MATCH($A45,'School District Profiles'!$A$2:$A$86,0)),0)</f>
        <v/>
      </c>
      <c r="R45" s="82">
        <f>IFERROR(IF(($AI45-('Score Inputs'!$B$4*1500+IF('Score Inputs'!$B$3="Master's",4000,0)))&lt;53000,MAX(0,MIN(39.99,((($AI45-('Score Inputs'!$B$4*1500+IF('Score Inputs'!$B$3="Master's",4000,0))))-45000)/8000*39.99)),IF(($AI45-('Score Inputs'!$B$4*1500+IF('Score Inputs'!$B$3="Master's",4000,0)))&lt;58000,40+((($AI45-('Score Inputs'!$B$4*1500+IF('Score Inputs'!$B$3="Master's",4000,0))))-53000)/5000*20,IF(($AI45-('Score Inputs'!$B$4*1500+IF('Score Inputs'!$B$3="Master's",4000,0)))&lt;63000,60+((($AI45-('Score Inputs'!$B$4*1500+IF('Score Inputs'!$B$3="Master's",4000,0))))-58000)/5000*10,IF(($AI45-('Score Inputs'!$B$4*1500+IF('Score Inputs'!$B$3="Master's",4000,0)))&lt;70000,70+((($AI45-('Score Inputs'!$B$4*1500+IF('Score Inputs'!$B$3="Master's",4000,0))))-63000)/7000*10,IF(($AI45-('Score Inputs'!$B$4*1500+IF('Score Inputs'!$B$3="Master's",4000,0)))&lt;75000,80+((($AI45-('Score Inputs'!$B$4*1500+IF('Score Inputs'!$B$3="Master's",4000,0))))-70000)/5000*10,MIN(100,90+((($AI45-('Score Inputs'!$B$4*1500+IF('Score Inputs'!$B$3="Master's",4000,0))))-75000)/5000*10)))))),0)</f>
        <v/>
      </c>
      <c r="S45" s="82">
        <f>IFERROR(MAX(0,MIN(100,L45/0.48*100)),0)</f>
        <v/>
      </c>
      <c r="T45" s="82">
        <f>IFERROR(MAX(0,MIN(100,M45/15000*100)),0)</f>
        <v/>
      </c>
      <c r="U45" s="82">
        <f>IFERROR(0.5*R45+0.35*S45+0.15*T45,0)</f>
        <v/>
      </c>
      <c r="V45" s="82">
        <f>IFERROR(0.35*AL45+0.3*AO45+0.25*AB45+0.1*AQ45,0)</f>
        <v/>
      </c>
      <c r="W45" s="82">
        <f>IFERROR(MAX(0,MIN(100,(25-P45)/(25-12)*100)),0)</f>
        <v/>
      </c>
      <c r="X45" s="82">
        <f>IFERROR(MAX(0,MIN(100,(AD45-1)/(3-1)*100))*IF(OR($A45="North Clackamas School District",$A45="Provo City School District"),0.6,1),0)</f>
        <v/>
      </c>
      <c r="Y45" s="82">
        <f>IFERROR(MAX(0,MIN(100,(1-((IFERROR(INDEX('School District Profiles'!$D$2:$D$86,MATCH($A45,'School District Profiles'!$A$2:$A$86,0)),0)/100)^2+(IFERROR(INDEX('School District Profiles'!$E$2:$E$86,MATCH($A45,'School District Profiles'!$A$2:$A$86,0)),0)/100)^2+(IFERROR(INDEX('School District Profiles'!$F$2:$F$86,MATCH($A45,'School District Profiles'!$A$2:$A$86,0)),0)/100)^2+(IFERROR(INDEX('School District Profiles'!$G$2:$G$86,MATCH($A45,'School District Profiles'!$A$2:$A$86,0)),0)/100)^2+(AC45/100)^2))/0.8*100)),0)</f>
        <v/>
      </c>
      <c r="Z45" s="82">
        <f>IFERROR(AF45*AG45,0)</f>
        <v/>
      </c>
      <c r="AA45" s="83">
        <f>IFERROR(INDEX('Median Home and Rent Prices'!$F$2:$F$86,MATCH($A45,'Median Home and Rent Prices'!$A$2:$A$86,0)),0)</f>
        <v/>
      </c>
      <c r="AB45" s="82">
        <f>IFERROR(MAX(0,MIN(100,(800-AA45)/(800-150)*100)),0)</f>
        <v/>
      </c>
      <c r="AC45" s="79">
        <f>IFERROR(INDEX('School District Profiles'!$J$2:$J$86,MATCH($A45,'School District Profiles'!$A$2:$A$86,0)),0)</f>
        <v/>
      </c>
      <c r="AD45" s="82">
        <f>IFERROR(Q45*20/O45,0)</f>
        <v/>
      </c>
      <c r="AE45" s="82">
        <f>IFERROR(IF(AG45&gt;=1,100,IF(AG45&gt;=0.95,75,IF(AG45&gt;=0.9,60,IF(AG45&gt;=0.85,40,IF(AG45&gt;=0.8,25,0))))),0)</f>
        <v/>
      </c>
      <c r="AF45" s="82">
        <f>IFERROR(0.35*V45+0.3*U45+0.1*W45+0.1*X45+0.1*Y45+0.05*AR45,0)</f>
        <v/>
      </c>
      <c r="AG45" s="82" t="n">
        <v>1</v>
      </c>
      <c r="AH45" s="79" t="inlineStr">
        <is>
          <t>Round 3 first-pass entry; verify exact salary placement and substitute pay with HR before final ranking.</t>
        </is>
      </c>
      <c r="AI45" s="106">
        <f>IF('Score Inputs'!$B$3="Bachelor's",CHOOSE(MATCH('Score Inputs'!$B$4,{0,5,10},0),D45,E45,F45),CHOOSE(MATCH('Score Inputs'!$B$4,{0,5,10},0),G45,H45,I45))</f>
        <v/>
      </c>
      <c r="AJ45" s="106">
        <f>IFERROR(AI45/12,0)</f>
        <v/>
      </c>
      <c r="AK45" s="118">
        <f>IFERROR(O45/AJ45,0)</f>
        <v/>
      </c>
      <c r="AL45" s="110">
        <f>IFERROR(IF(AK45&lt;=25%,100,IF(AK45&lt;=30%,100-(AK45-25%)/5%*30,IF(AK45&lt;=35%,70-(AK45-30%)/5%*10,IF(AK45&lt;=40%,60-(AK45-35%)/5%*20,MAX(0,40-(AK45-40%)/10%*40))))),0)</f>
        <v/>
      </c>
      <c r="AM45" s="106">
        <f>IFERROR(PMT('Score Inputs'!$B$5/12,'Score Inputs'!$B$7*12,-N45*(1-'Score Inputs'!$B$6)),0)</f>
        <v/>
      </c>
      <c r="AN45" s="118">
        <f>IFERROR(AM45/AJ45,0)</f>
        <v/>
      </c>
      <c r="AO45" s="110">
        <f>IFERROR(IF(AN45&lt;=25%,100,IF(AN45&lt;=30%,100-(AN45-25%)/5%*30,IF(AN45&lt;=35%,70-(AN45-30%)/5%*10,IF(AN45&lt;=40%,60-(AN45-35%)/5%*20,MAX(0,40-(AN45-40%)/10%*40))))),0)</f>
        <v/>
      </c>
      <c r="AP45" s="106">
        <f>IFERROR(AJ45-O45,0)</f>
        <v/>
      </c>
      <c r="AQ45" s="110">
        <f>IFERROR(MAX(0,MIN(100,(AP45-'Score Inputs'!$B$8)/('Score Inputs'!$B$9-'Score Inputs'!$B$8)*100)),0)</f>
        <v/>
      </c>
      <c r="AR45" s="110">
        <f>IFERROR(INDEX('State Funding Lookup'!$B$2:$B$86,MATCH($A45,'State Funding Lookup'!$A$2:$A$86,0)),0)</f>
        <v/>
      </c>
      <c r="AS45" s="87">
        <f>AK45</f>
        <v/>
      </c>
      <c r="AT45" s="87">
        <f>AN45</f>
        <v/>
      </c>
    </row>
    <row r="46" ht="30" customHeight="1" s="104">
      <c r="A46" s="89" t="inlineStr">
        <is>
          <t>Jordan District</t>
        </is>
      </c>
      <c r="B46" s="89">
        <f>IFERROR(INDEX('School District Profiles'!$B$2:$B$86,MATCH($A46,'School District Profiles'!$A$2:$A$86,0)),"")</f>
        <v/>
      </c>
      <c r="C46" s="89">
        <f>IFERROR(INDEX('School District Profiles'!$C$2:$C$86,MATCH($A46,'School District Profiles'!$A$2:$A$86,0)),"")</f>
        <v/>
      </c>
      <c r="D46" s="91">
        <f>IFERROR(SUMIFS('Teacher Salary Data'!$E$2:$E$1871,'Teacher Salary Data'!$A$2:$A$1871,$A46,'Teacher Salary Data'!$C$2:$C$1871,"Bachelor's",'Teacher Salary Data'!$D$2:$D$1871,0),0)</f>
        <v/>
      </c>
      <c r="E46" s="91">
        <f>IFERROR(SUMIFS('Teacher Salary Data'!$E$2:$E$1871,'Teacher Salary Data'!$A$2:$A$1871,$A46,'Teacher Salary Data'!$C$2:$C$1871,"Bachelor's",'Teacher Salary Data'!$D$2:$D$1871,5),0)</f>
        <v/>
      </c>
      <c r="F46" s="91">
        <f>IFERROR(SUMIFS('Teacher Salary Data'!$E$2:$E$1871,'Teacher Salary Data'!$A$2:$A$1871,$A46,'Teacher Salary Data'!$C$2:$C$1871,"Bachelor's",'Teacher Salary Data'!$D$2:$D$1871,10),0)</f>
        <v/>
      </c>
      <c r="G46" s="91">
        <f>IFERROR(SUMIFS('Teacher Salary Data'!$E$2:$E$1871,'Teacher Salary Data'!$A$2:$A$1871,$A46,'Teacher Salary Data'!$C$2:$C$1871,"Master's",'Teacher Salary Data'!$D$2:$D$1871,0),0)</f>
        <v/>
      </c>
      <c r="H46" s="91">
        <f>IFERROR(SUMIFS('Teacher Salary Data'!$E$2:$E$1871,'Teacher Salary Data'!$A$2:$A$1871,$A46,'Teacher Salary Data'!$C$2:$C$1871,"Master's",'Teacher Salary Data'!$D$2:$D$1871,5),0)</f>
        <v/>
      </c>
      <c r="I46" s="91">
        <f>IFERROR(SUMIFS('Teacher Salary Data'!$E$2:$E$1871,'Teacher Salary Data'!$A$2:$A$1871,$A46,'Teacher Salary Data'!$C$2:$C$1871,"Master's",'Teacher Salary Data'!$D$2:$D$1871,10),0)</f>
        <v/>
      </c>
      <c r="J46" s="91">
        <f>AVERAGE(D46,G46)</f>
        <v/>
      </c>
      <c r="K46" s="91">
        <f>AVERAGE(F46,I46)</f>
        <v/>
      </c>
      <c r="L46" s="121">
        <f>IFERROR((K46-J46)/J46,0)</f>
        <v/>
      </c>
      <c r="M46" s="91">
        <f>G46-D46</f>
        <v/>
      </c>
      <c r="N46" s="91">
        <f>IFERROR(INDEX('Median Home and Rent Prices'!$D$2:$D$86,MATCH($A46,'Median Home and Rent Prices'!$A$2:$A$86,0)),0)</f>
        <v/>
      </c>
      <c r="O46" s="91">
        <f>IFERROR(INDEX('Median Home and Rent Prices'!$E$2:$E$86,MATCH($A46,'Median Home and Rent Prices'!$A$2:$A$86,0)),0)</f>
        <v/>
      </c>
      <c r="P46" s="94">
        <f>IFERROR(INDEX('School District Profiles'!$H$2:$H$86,MATCH($A46,'School District Profiles'!$A$2:$A$86,0)),0)</f>
        <v/>
      </c>
      <c r="Q46" s="91">
        <f>IFERROR(INDEX('School District Profiles'!$I$2:$I$86,MATCH($A46,'School District Profiles'!$A$2:$A$86,0)),0)</f>
        <v/>
      </c>
      <c r="R46" s="94">
        <f>IFERROR(IF(($AI46-('Score Inputs'!$B$4*1500+IF('Score Inputs'!$B$3="Master's",4000,0)))&lt;53000,MAX(0,MIN(39.99,((($AI46-('Score Inputs'!$B$4*1500+IF('Score Inputs'!$B$3="Master's",4000,0))))-45000)/8000*39.99)),IF(($AI46-('Score Inputs'!$B$4*1500+IF('Score Inputs'!$B$3="Master's",4000,0)))&lt;58000,40+((($AI46-('Score Inputs'!$B$4*1500+IF('Score Inputs'!$B$3="Master's",4000,0))))-53000)/5000*20,IF(($AI46-('Score Inputs'!$B$4*1500+IF('Score Inputs'!$B$3="Master's",4000,0)))&lt;63000,60+((($AI46-('Score Inputs'!$B$4*1500+IF('Score Inputs'!$B$3="Master's",4000,0))))-58000)/5000*10,IF(($AI46-('Score Inputs'!$B$4*1500+IF('Score Inputs'!$B$3="Master's",4000,0)))&lt;70000,70+((($AI46-('Score Inputs'!$B$4*1500+IF('Score Inputs'!$B$3="Master's",4000,0))))-63000)/7000*10,IF(($AI46-('Score Inputs'!$B$4*1500+IF('Score Inputs'!$B$3="Master's",4000,0)))&lt;75000,80+((($AI46-('Score Inputs'!$B$4*1500+IF('Score Inputs'!$B$3="Master's",4000,0))))-70000)/5000*10,MIN(100,90+((($AI46-('Score Inputs'!$B$4*1500+IF('Score Inputs'!$B$3="Master's",4000,0))))-75000)/5000*10)))))),0)</f>
        <v/>
      </c>
      <c r="S46" s="94">
        <f>IFERROR(MAX(0,MIN(100,L46/0.48*100)),0)</f>
        <v/>
      </c>
      <c r="T46" s="94">
        <f>IFERROR(MAX(0,MIN(100,M46/15000*100)),0)</f>
        <v/>
      </c>
      <c r="U46" s="94">
        <f>IFERROR(0.5*R46+0.35*S46+0.15*T46,0)</f>
        <v/>
      </c>
      <c r="V46" s="94">
        <f>IFERROR(0.35*AL46+0.3*AO46+0.25*AB46+0.1*AQ46,0)</f>
        <v/>
      </c>
      <c r="W46" s="94">
        <f>IFERROR(MAX(0,MIN(100,(25-P46)/(25-12)*100)),0)</f>
        <v/>
      </c>
      <c r="X46" s="94">
        <f>IFERROR(MAX(0,MIN(100,(AD46-1)/(3-1)*100))*IF(OR($A46="North Clackamas School District",$A46="Provo City School District"),0.6,1),0)</f>
        <v/>
      </c>
      <c r="Y46" s="94">
        <f>IFERROR(MAX(0,MIN(100,(1-((IFERROR(INDEX('School District Profiles'!$D$2:$D$86,MATCH($A46,'School District Profiles'!$A$2:$A$86,0)),0)/100)^2+(IFERROR(INDEX('School District Profiles'!$E$2:$E$86,MATCH($A46,'School District Profiles'!$A$2:$A$86,0)),0)/100)^2+(IFERROR(INDEX('School District Profiles'!$F$2:$F$86,MATCH($A46,'School District Profiles'!$A$2:$A$86,0)),0)/100)^2+(IFERROR(INDEX('School District Profiles'!$G$2:$G$86,MATCH($A46,'School District Profiles'!$A$2:$A$86,0)),0)/100)^2+(AC46/100)^2))/0.8*100)),0)</f>
        <v/>
      </c>
      <c r="Z46" s="94">
        <f>IFERROR(AF46*AG46,0)</f>
        <v/>
      </c>
      <c r="AA46" s="96">
        <f>IFERROR(INDEX('Median Home and Rent Prices'!$F$2:$F$86,MATCH($A46,'Median Home and Rent Prices'!$A$2:$A$86,0)),0)</f>
        <v/>
      </c>
      <c r="AB46" s="94">
        <f>IFERROR(MAX(0,MIN(100,(800-AA46)/(800-150)*100)),0)</f>
        <v/>
      </c>
      <c r="AC46" s="121">
        <f>IFERROR(INDEX('School District Profiles'!$J$2:$J$86,MATCH($A46,'School District Profiles'!$A$2:$A$86,0)),0)</f>
        <v/>
      </c>
      <c r="AD46" s="94">
        <f>IFERROR(Q46*20/O46,0)</f>
        <v/>
      </c>
      <c r="AE46" s="73">
        <f>IFERROR(IF(AG46&gt;=1,100,IF(AG46&gt;=0.95,75,IF(AG46&gt;=0.9,60,IF(AG46&gt;=0.85,40,IF(AG46&gt;=0.8,25,0))))),0)</f>
        <v/>
      </c>
      <c r="AF46" s="73">
        <f>IFERROR(0.35*V46+0.3*U46+0.1*W46+0.1*X46+0.1*Y46+0.05*AR46,0)</f>
        <v/>
      </c>
      <c r="AG46" s="73" t="n">
        <v>1</v>
      </c>
      <c r="AH46" s="70" t="inlineStr">
        <is>
          <t>No current employment-stability penalty applied; first-pass research did not find reliable current layoff evidence.</t>
        </is>
      </c>
      <c r="AI46" s="105">
        <f>IF('Score Inputs'!$B$3="Bachelor's",CHOOSE(MATCH('Score Inputs'!$B$4,{0,5,10},0),D46,E46,F46),CHOOSE(MATCH('Score Inputs'!$B$4,{0,5,10},0),G46,H46,I46))</f>
        <v/>
      </c>
      <c r="AJ46" s="105">
        <f>IFERROR(AI46/12,0)</f>
        <v/>
      </c>
      <c r="AK46" s="120">
        <f>IFERROR(O46/AJ46,0)</f>
        <v/>
      </c>
      <c r="AL46" s="109">
        <f>IFERROR(IF(AK46&lt;=25%,100,IF(AK46&lt;=30%,100-(AK46-25%)/5%*30,IF(AK46&lt;=35%,70-(AK46-30%)/5%*10,IF(AK46&lt;=40%,60-(AK46-35%)/5%*20,MAX(0,40-(AK46-40%)/10%*40))))),0)</f>
        <v/>
      </c>
      <c r="AM46" s="105">
        <f>IFERROR(PMT('Score Inputs'!$B$5/12,'Score Inputs'!$B$7*12,-N46*(1-'Score Inputs'!$B$6)),0)</f>
        <v/>
      </c>
      <c r="AN46" s="120">
        <f>IFERROR(AM46/AJ46,0)</f>
        <v/>
      </c>
      <c r="AO46" s="109">
        <f>IFERROR(IF(AN46&lt;=25%,100,IF(AN46&lt;=30%,100-(AN46-25%)/5%*30,IF(AN46&lt;=35%,70-(AN46-30%)/5%*10,IF(AN46&lt;=40%,60-(AN46-35%)/5%*20,MAX(0,40-(AN46-40%)/10%*40))))),0)</f>
        <v/>
      </c>
      <c r="AP46" s="105">
        <f>IFERROR(AJ46-O46,0)</f>
        <v/>
      </c>
      <c r="AQ46" s="109">
        <f>IFERROR(MAX(0,MIN(100,(AP46-'Score Inputs'!$B$8)/('Score Inputs'!$B$9-'Score Inputs'!$B$8)*100)),0)</f>
        <v/>
      </c>
      <c r="AR46" s="109">
        <f>IFERROR(INDEX('State Funding Lookup'!$B$2:$B$86,MATCH($A46,'State Funding Lookup'!$A$2:$A$86,0)),0)</f>
        <v/>
      </c>
      <c r="AS46" s="78">
        <f>AK46</f>
        <v/>
      </c>
      <c r="AT46" s="78">
        <f>AN46</f>
        <v/>
      </c>
    </row>
    <row r="47" ht="30" customHeight="1" s="104">
      <c r="A47" s="79" t="inlineStr">
        <is>
          <t>Mariemont City Schools</t>
        </is>
      </c>
      <c r="B47" s="79">
        <f>IFERROR(INDEX('School District Profiles'!$B$2:$B$86,MATCH($A47,'School District Profiles'!$A$2:$A$86,0)),"")</f>
        <v/>
      </c>
      <c r="C47" s="79">
        <f>IFERROR(INDEX('School District Profiles'!$C$2:$C$86,MATCH($A47,'School District Profiles'!$A$2:$A$86,0)),"")</f>
        <v/>
      </c>
      <c r="D47" s="80">
        <f>IFERROR(SUMIFS('Teacher Salary Data'!$E$2:$E$1871,'Teacher Salary Data'!$A$2:$A$1871,$A47,'Teacher Salary Data'!$C$2:$C$1871,"Bachelor's",'Teacher Salary Data'!$D$2:$D$1871,0),0)</f>
        <v/>
      </c>
      <c r="E47" s="80">
        <f>IFERROR(SUMIFS('Teacher Salary Data'!$E$2:$E$1871,'Teacher Salary Data'!$A$2:$A$1871,$A47,'Teacher Salary Data'!$C$2:$C$1871,"Bachelor's",'Teacher Salary Data'!$D$2:$D$1871,5),0)</f>
        <v/>
      </c>
      <c r="F47" s="80">
        <f>IFERROR(SUMIFS('Teacher Salary Data'!$E$2:$E$1871,'Teacher Salary Data'!$A$2:$A$1871,$A47,'Teacher Salary Data'!$C$2:$C$1871,"Bachelor's",'Teacher Salary Data'!$D$2:$D$1871,10),0)</f>
        <v/>
      </c>
      <c r="G47" s="80">
        <f>IFERROR(SUMIFS('Teacher Salary Data'!$E$2:$E$1871,'Teacher Salary Data'!$A$2:$A$1871,$A47,'Teacher Salary Data'!$C$2:$C$1871,"Master's",'Teacher Salary Data'!$D$2:$D$1871,0),0)</f>
        <v/>
      </c>
      <c r="H47" s="80">
        <f>IFERROR(SUMIFS('Teacher Salary Data'!$E$2:$E$1871,'Teacher Salary Data'!$A$2:$A$1871,$A47,'Teacher Salary Data'!$C$2:$C$1871,"Master's",'Teacher Salary Data'!$D$2:$D$1871,5),0)</f>
        <v/>
      </c>
      <c r="I47" s="80">
        <f>IFERROR(SUMIFS('Teacher Salary Data'!$E$2:$E$1871,'Teacher Salary Data'!$A$2:$A$1871,$A47,'Teacher Salary Data'!$C$2:$C$1871,"Master's",'Teacher Salary Data'!$D$2:$D$1871,10),0)</f>
        <v/>
      </c>
      <c r="J47" s="80">
        <f>AVERAGE(D47,G47)</f>
        <v/>
      </c>
      <c r="K47" s="80">
        <f>AVERAGE(F47,I47)</f>
        <v/>
      </c>
      <c r="L47" s="117">
        <f>IFERROR((K47-J47)/J47,0)</f>
        <v/>
      </c>
      <c r="M47" s="79">
        <f>G47-D47</f>
        <v/>
      </c>
      <c r="N47" s="80">
        <f>IFERROR(INDEX('Median Home and Rent Prices'!$D$2:$D$86,MATCH($A47,'Median Home and Rent Prices'!$A$2:$A$86,0)),0)</f>
        <v/>
      </c>
      <c r="O47" s="80">
        <f>IFERROR(INDEX('Median Home and Rent Prices'!$E$2:$E$86,MATCH($A47,'Median Home and Rent Prices'!$A$2:$A$86,0)),0)</f>
        <v/>
      </c>
      <c r="P47" s="79">
        <f>IFERROR(INDEX('School District Profiles'!$H$2:$H$86,MATCH($A47,'School District Profiles'!$A$2:$A$86,0)),0)</f>
        <v/>
      </c>
      <c r="Q47" s="80">
        <f>IFERROR(INDEX('School District Profiles'!$I$2:$I$86,MATCH($A47,'School District Profiles'!$A$2:$A$86,0)),0)</f>
        <v/>
      </c>
      <c r="R47" s="82">
        <f>IFERROR(IF(($AI47-('Score Inputs'!$B$4*1500+IF('Score Inputs'!$B$3="Master's",4000,0)))&lt;53000,MAX(0,MIN(39.99,((($AI47-('Score Inputs'!$B$4*1500+IF('Score Inputs'!$B$3="Master's",4000,0))))-45000)/8000*39.99)),IF(($AI47-('Score Inputs'!$B$4*1500+IF('Score Inputs'!$B$3="Master's",4000,0)))&lt;58000,40+((($AI47-('Score Inputs'!$B$4*1500+IF('Score Inputs'!$B$3="Master's",4000,0))))-53000)/5000*20,IF(($AI47-('Score Inputs'!$B$4*1500+IF('Score Inputs'!$B$3="Master's",4000,0)))&lt;63000,60+((($AI47-('Score Inputs'!$B$4*1500+IF('Score Inputs'!$B$3="Master's",4000,0))))-58000)/5000*10,IF(($AI47-('Score Inputs'!$B$4*1500+IF('Score Inputs'!$B$3="Master's",4000,0)))&lt;70000,70+((($AI47-('Score Inputs'!$B$4*1500+IF('Score Inputs'!$B$3="Master's",4000,0))))-63000)/7000*10,IF(($AI47-('Score Inputs'!$B$4*1500+IF('Score Inputs'!$B$3="Master's",4000,0)))&lt;75000,80+((($AI47-('Score Inputs'!$B$4*1500+IF('Score Inputs'!$B$3="Master's",4000,0))))-70000)/5000*10,MIN(100,90+((($AI47-('Score Inputs'!$B$4*1500+IF('Score Inputs'!$B$3="Master's",4000,0))))-75000)/5000*10)))))),0)</f>
        <v/>
      </c>
      <c r="S47" s="82">
        <f>IFERROR(MAX(0,MIN(100,L47/0.48*100)),0)</f>
        <v/>
      </c>
      <c r="T47" s="82">
        <f>IFERROR(MAX(0,MIN(100,M47/15000*100)),0)</f>
        <v/>
      </c>
      <c r="U47" s="82">
        <f>IFERROR(0.5*R47+0.35*S47+0.15*T47,0)</f>
        <v/>
      </c>
      <c r="V47" s="82">
        <f>IFERROR(0.35*AL47+0.3*AO47+0.25*AB47+0.1*AQ47,0)</f>
        <v/>
      </c>
      <c r="W47" s="82">
        <f>IFERROR(MAX(0,MIN(100,(25-P47)/(25-12)*100)),0)</f>
        <v/>
      </c>
      <c r="X47" s="82">
        <f>IFERROR(MAX(0,MIN(100,(AD47-1)/(3-1)*100))*IF(OR($A47="North Clackamas School District",$A47="Provo City School District"),0.6,1),0)</f>
        <v/>
      </c>
      <c r="Y47" s="82">
        <f>IFERROR(MAX(0,MIN(100,(1-((IFERROR(INDEX('School District Profiles'!$D$2:$D$86,MATCH($A47,'School District Profiles'!$A$2:$A$86,0)),0)/100)^2+(IFERROR(INDEX('School District Profiles'!$E$2:$E$86,MATCH($A47,'School District Profiles'!$A$2:$A$86,0)),0)/100)^2+(IFERROR(INDEX('School District Profiles'!$F$2:$F$86,MATCH($A47,'School District Profiles'!$A$2:$A$86,0)),0)/100)^2+(IFERROR(INDEX('School District Profiles'!$G$2:$G$86,MATCH($A47,'School District Profiles'!$A$2:$A$86,0)),0)/100)^2+(AC47/100)^2))/0.8*100)),0)</f>
        <v/>
      </c>
      <c r="Z47" s="82">
        <f>IFERROR(AF47*AG47,0)</f>
        <v/>
      </c>
      <c r="AA47" s="79">
        <f>IFERROR(INDEX('Median Home and Rent Prices'!$F$2:$F$86,MATCH($A47,'Median Home and Rent Prices'!$A$2:$A$86,0)),0)</f>
        <v/>
      </c>
      <c r="AB47" s="82">
        <f>IFERROR(MAX(0,MIN(100,(800-AA47)/(800-150)*100)),0)</f>
        <v/>
      </c>
      <c r="AC47" s="79">
        <f>IFERROR(INDEX('School District Profiles'!$J$2:$J$86,MATCH($A47,'School District Profiles'!$A$2:$A$86,0)),0)</f>
        <v/>
      </c>
      <c r="AD47" s="82">
        <f>IFERROR(Q47*20/O47,0)</f>
        <v/>
      </c>
      <c r="AE47" s="82">
        <f>IFERROR(IF(AG47&gt;=1,100,IF(AG47&gt;=0.95,75,IF(AG47&gt;=0.9,60,IF(AG47&gt;=0.85,40,IF(AG47&gt;=0.8,25,0))))),0)</f>
        <v/>
      </c>
      <c r="AF47" s="82">
        <f>IFERROR(0.35*V47+0.3*U47+0.1*W47+0.1*X47+0.1*Y47+0.05*AR47,0)</f>
        <v/>
      </c>
      <c r="AG47" s="82" t="n">
        <v>1</v>
      </c>
      <c r="AH47" s="79" t="inlineStr">
        <is>
          <t>No employment-stability penalty applied in this first-pass addition; verify with adopted budget, enrollment trend, board packets, and HR/union notices before final scoring.</t>
        </is>
      </c>
      <c r="AI47" s="106">
        <f>IF('Score Inputs'!$B$3="Bachelor's",CHOOSE(MATCH('Score Inputs'!$B$4,{0,5,10},0),D47,E47,F47),CHOOSE(MATCH('Score Inputs'!$B$4,{0,5,10},0),G47,H47,I47))</f>
        <v/>
      </c>
      <c r="AJ47" s="106">
        <f>IFERROR(AI47/12,0)</f>
        <v/>
      </c>
      <c r="AK47" s="118">
        <f>IFERROR(O47/AJ47,0)</f>
        <v/>
      </c>
      <c r="AL47" s="110">
        <f>IFERROR(IF(AK47&lt;=25%,100,IF(AK47&lt;=30%,100-(AK47-25%)/5%*30,IF(AK47&lt;=35%,70-(AK47-30%)/5%*10,IF(AK47&lt;=40%,60-(AK47-35%)/5%*20,MAX(0,40-(AK47-40%)/10%*40))))),0)</f>
        <v/>
      </c>
      <c r="AM47" s="106">
        <f>IFERROR(PMT('Score Inputs'!$B$5/12,'Score Inputs'!$B$7*12,-N47*(1-'Score Inputs'!$B$6)),0)</f>
        <v/>
      </c>
      <c r="AN47" s="118">
        <f>IFERROR(AM47/AJ47,0)</f>
        <v/>
      </c>
      <c r="AO47" s="110">
        <f>IFERROR(IF(AN47&lt;=25%,100,IF(AN47&lt;=30%,100-(AN47-25%)/5%*30,IF(AN47&lt;=35%,70-(AN47-30%)/5%*10,IF(AN47&lt;=40%,60-(AN47-35%)/5%*20,MAX(0,40-(AN47-40%)/10%*40))))),0)</f>
        <v/>
      </c>
      <c r="AP47" s="106">
        <f>IFERROR(AJ47-O47,0)</f>
        <v/>
      </c>
      <c r="AQ47" s="110">
        <f>IFERROR(MAX(0,MIN(100,(AP47-'Score Inputs'!$B$8)/('Score Inputs'!$B$9-'Score Inputs'!$B$8)*100)),0)</f>
        <v/>
      </c>
      <c r="AR47" s="110">
        <f>IFERROR(INDEX('State Funding Lookup'!$B$2:$B$86,MATCH($A47,'State Funding Lookup'!$A$2:$A$86,0)),0)</f>
        <v/>
      </c>
      <c r="AS47" s="87">
        <f>AK47</f>
        <v/>
      </c>
      <c r="AT47" s="87">
        <f>AN47</f>
        <v/>
      </c>
    </row>
    <row r="48" ht="30" customHeight="1" s="104">
      <c r="A48" s="89" t="inlineStr">
        <is>
          <t>Loudoun County Public Schools</t>
        </is>
      </c>
      <c r="B48" s="89">
        <f>IFERROR(INDEX('School District Profiles'!$B$2:$B$86,MATCH($A48,'School District Profiles'!$A$2:$A$86,0)),"")</f>
        <v/>
      </c>
      <c r="C48" s="89">
        <f>IFERROR(INDEX('School District Profiles'!$C$2:$C$86,MATCH($A48,'School District Profiles'!$A$2:$A$86,0)),"")</f>
        <v/>
      </c>
      <c r="D48" s="91">
        <f>IFERROR(SUMIFS('Teacher Salary Data'!$E$2:$E$1871,'Teacher Salary Data'!$A$2:$A$1871,$A48,'Teacher Salary Data'!$C$2:$C$1871,"Bachelor's",'Teacher Salary Data'!$D$2:$D$1871,0),0)</f>
        <v/>
      </c>
      <c r="E48" s="91">
        <f>IFERROR(SUMIFS('Teacher Salary Data'!$E$2:$E$1871,'Teacher Salary Data'!$A$2:$A$1871,$A48,'Teacher Salary Data'!$C$2:$C$1871,"Bachelor's",'Teacher Salary Data'!$D$2:$D$1871,5),0)</f>
        <v/>
      </c>
      <c r="F48" s="91">
        <f>IFERROR(SUMIFS('Teacher Salary Data'!$E$2:$E$1871,'Teacher Salary Data'!$A$2:$A$1871,$A48,'Teacher Salary Data'!$C$2:$C$1871,"Bachelor's",'Teacher Salary Data'!$D$2:$D$1871,10),0)</f>
        <v/>
      </c>
      <c r="G48" s="91">
        <f>IFERROR(SUMIFS('Teacher Salary Data'!$E$2:$E$1871,'Teacher Salary Data'!$A$2:$A$1871,$A48,'Teacher Salary Data'!$C$2:$C$1871,"Master's",'Teacher Salary Data'!$D$2:$D$1871,0),0)</f>
        <v/>
      </c>
      <c r="H48" s="91">
        <f>IFERROR(SUMIFS('Teacher Salary Data'!$E$2:$E$1871,'Teacher Salary Data'!$A$2:$A$1871,$A48,'Teacher Salary Data'!$C$2:$C$1871,"Master's",'Teacher Salary Data'!$D$2:$D$1871,5),0)</f>
        <v/>
      </c>
      <c r="I48" s="91">
        <f>IFERROR(SUMIFS('Teacher Salary Data'!$E$2:$E$1871,'Teacher Salary Data'!$A$2:$A$1871,$A48,'Teacher Salary Data'!$C$2:$C$1871,"Master's",'Teacher Salary Data'!$D$2:$D$1871,10),0)</f>
        <v/>
      </c>
      <c r="J48" s="91">
        <f>AVERAGE(D48,G48)</f>
        <v/>
      </c>
      <c r="K48" s="91">
        <f>AVERAGE(F48,I48)</f>
        <v/>
      </c>
      <c r="L48" s="121">
        <f>IFERROR((K48-J48)/J48,0)</f>
        <v/>
      </c>
      <c r="M48" s="91">
        <f>G48-D48</f>
        <v/>
      </c>
      <c r="N48" s="91">
        <f>IFERROR(INDEX('Median Home and Rent Prices'!$D$2:$D$86,MATCH($A48,'Median Home and Rent Prices'!$A$2:$A$86,0)),0)</f>
        <v/>
      </c>
      <c r="O48" s="91">
        <f>IFERROR(INDEX('Median Home and Rent Prices'!$E$2:$E$86,MATCH($A48,'Median Home and Rent Prices'!$A$2:$A$86,0)),0)</f>
        <v/>
      </c>
      <c r="P48" s="94">
        <f>IFERROR(INDEX('School District Profiles'!$H$2:$H$86,MATCH($A48,'School District Profiles'!$A$2:$A$86,0)),0)</f>
        <v/>
      </c>
      <c r="Q48" s="91">
        <f>IFERROR(INDEX('School District Profiles'!$I$2:$I$86,MATCH($A48,'School District Profiles'!$A$2:$A$86,0)),0)</f>
        <v/>
      </c>
      <c r="R48" s="94">
        <f>IFERROR(IF(($AI48-('Score Inputs'!$B$4*1500+IF('Score Inputs'!$B$3="Master's",4000,0)))&lt;53000,MAX(0,MIN(39.99,((($AI48-('Score Inputs'!$B$4*1500+IF('Score Inputs'!$B$3="Master's",4000,0))))-45000)/8000*39.99)),IF(($AI48-('Score Inputs'!$B$4*1500+IF('Score Inputs'!$B$3="Master's",4000,0)))&lt;58000,40+((($AI48-('Score Inputs'!$B$4*1500+IF('Score Inputs'!$B$3="Master's",4000,0))))-53000)/5000*20,IF(($AI48-('Score Inputs'!$B$4*1500+IF('Score Inputs'!$B$3="Master's",4000,0)))&lt;63000,60+((($AI48-('Score Inputs'!$B$4*1500+IF('Score Inputs'!$B$3="Master's",4000,0))))-58000)/5000*10,IF(($AI48-('Score Inputs'!$B$4*1500+IF('Score Inputs'!$B$3="Master's",4000,0)))&lt;70000,70+((($AI48-('Score Inputs'!$B$4*1500+IF('Score Inputs'!$B$3="Master's",4000,0))))-63000)/7000*10,IF(($AI48-('Score Inputs'!$B$4*1500+IF('Score Inputs'!$B$3="Master's",4000,0)))&lt;75000,80+((($AI48-('Score Inputs'!$B$4*1500+IF('Score Inputs'!$B$3="Master's",4000,0))))-70000)/5000*10,MIN(100,90+((($AI48-('Score Inputs'!$B$4*1500+IF('Score Inputs'!$B$3="Master's",4000,0))))-75000)/5000*10)))))),0)</f>
        <v/>
      </c>
      <c r="S48" s="94">
        <f>IFERROR(MAX(0,MIN(100,L48/0.48*100)),0)</f>
        <v/>
      </c>
      <c r="T48" s="94">
        <f>IFERROR(MAX(0,MIN(100,M48/15000*100)),0)</f>
        <v/>
      </c>
      <c r="U48" s="94">
        <f>IFERROR(0.5*R48+0.35*S48+0.15*T48,0)</f>
        <v/>
      </c>
      <c r="V48" s="94">
        <f>IFERROR(0.35*AL48+0.3*AO48+0.25*AB48+0.1*AQ48,0)</f>
        <v/>
      </c>
      <c r="W48" s="94">
        <f>IFERROR(MAX(0,MIN(100,(25-P48)/(25-12)*100)),0)</f>
        <v/>
      </c>
      <c r="X48" s="94">
        <f>IFERROR(MAX(0,MIN(100,(AD48-1)/(3-1)*100))*IF(OR($A48="North Clackamas School District",$A48="Provo City School District"),0.6,1),0)</f>
        <v/>
      </c>
      <c r="Y48" s="94">
        <f>IFERROR(MAX(0,MIN(100,(1-((IFERROR(INDEX('School District Profiles'!$D$2:$D$86,MATCH($A48,'School District Profiles'!$A$2:$A$86,0)),0)/100)^2+(IFERROR(INDEX('School District Profiles'!$E$2:$E$86,MATCH($A48,'School District Profiles'!$A$2:$A$86,0)),0)/100)^2+(IFERROR(INDEX('School District Profiles'!$F$2:$F$86,MATCH($A48,'School District Profiles'!$A$2:$A$86,0)),0)/100)^2+(IFERROR(INDEX('School District Profiles'!$G$2:$G$86,MATCH($A48,'School District Profiles'!$A$2:$A$86,0)),0)/100)^2+(AC48/100)^2))/0.8*100)),0)</f>
        <v/>
      </c>
      <c r="Z48" s="94">
        <f>IFERROR(AF48*AG48,0)</f>
        <v/>
      </c>
      <c r="AA48" s="96">
        <f>IFERROR(INDEX('Median Home and Rent Prices'!$F$2:$F$86,MATCH($A48,'Median Home and Rent Prices'!$A$2:$A$86,0)),0)</f>
        <v/>
      </c>
      <c r="AB48" s="94">
        <f>IFERROR(MAX(0,MIN(100,(800-AA48)/(800-150)*100)),0)</f>
        <v/>
      </c>
      <c r="AC48" s="121">
        <f>IFERROR(INDEX('School District Profiles'!$J$2:$J$86,MATCH($A48,'School District Profiles'!$A$2:$A$86,0)),0)</f>
        <v/>
      </c>
      <c r="AD48" s="94">
        <f>IFERROR(Q48*20/O48,0)</f>
        <v/>
      </c>
      <c r="AE48" s="73">
        <f>IFERROR(IF(AG48&gt;=1,100,IF(AG48&gt;=0.95,75,IF(AG48&gt;=0.9,60,IF(AG48&gt;=0.85,40,IF(AG48&gt;=0.8,25,0))))),0)</f>
        <v/>
      </c>
      <c r="AF48" s="73">
        <f>IFERROR(0.35*V48+0.3*U48+0.1*W48+0.1*X48+0.1*Y48+0.05*AR48,0)</f>
        <v/>
      </c>
      <c r="AG48" s="73" t="n">
        <v>0.95</v>
      </c>
      <c r="AH48" s="70" t="inlineStr">
        <is>
          <t>5% watchlist penalty applied. Current public-source pass found no active broad layoffs or closures; however, local reporting and LCPS enrollment planning indicate enrollment is projected to decline through 2031, so stability is not scored as a perfect 100.</t>
        </is>
      </c>
      <c r="AI48" s="105">
        <f>IF('Score Inputs'!$B$3="Bachelor's",CHOOSE(MATCH('Score Inputs'!$B$4,{0,5,10},0),D48,E48,F48),CHOOSE(MATCH('Score Inputs'!$B$4,{0,5,10},0),G48,H48,I48))</f>
        <v/>
      </c>
      <c r="AJ48" s="105">
        <f>IFERROR(AI48/12,0)</f>
        <v/>
      </c>
      <c r="AK48" s="120">
        <f>IFERROR(O48/AJ48,0)</f>
        <v/>
      </c>
      <c r="AL48" s="109">
        <f>IFERROR(IF(AK48&lt;=25%,100,IF(AK48&lt;=30%,100-(AK48-25%)/5%*30,IF(AK48&lt;=35%,70-(AK48-30%)/5%*10,IF(AK48&lt;=40%,60-(AK48-35%)/5%*20,MAX(0,40-(AK48-40%)/10%*40))))),0)</f>
        <v/>
      </c>
      <c r="AM48" s="105">
        <f>IFERROR(PMT('Score Inputs'!$B$5/12,'Score Inputs'!$B$7*12,-N48*(1-'Score Inputs'!$B$6)),0)</f>
        <v/>
      </c>
      <c r="AN48" s="120">
        <f>IFERROR(AM48/AJ48,0)</f>
        <v/>
      </c>
      <c r="AO48" s="109">
        <f>IFERROR(IF(AN48&lt;=25%,100,IF(AN48&lt;=30%,100-(AN48-25%)/5%*30,IF(AN48&lt;=35%,70-(AN48-30%)/5%*10,IF(AN48&lt;=40%,60-(AN48-35%)/5%*20,MAX(0,40-(AN48-40%)/10%*40))))),0)</f>
        <v/>
      </c>
      <c r="AP48" s="105">
        <f>IFERROR(AJ48-O48,0)</f>
        <v/>
      </c>
      <c r="AQ48" s="109">
        <f>IFERROR(MAX(0,MIN(100,(AP48-'Score Inputs'!$B$8)/('Score Inputs'!$B$9-'Score Inputs'!$B$8)*100)),0)</f>
        <v/>
      </c>
      <c r="AR48" s="109">
        <f>IFERROR(INDEX('State Funding Lookup'!$B$2:$B$86,MATCH($A48,'State Funding Lookup'!$A$2:$A$86,0)),0)</f>
        <v/>
      </c>
      <c r="AS48" s="78">
        <f>AK48</f>
        <v/>
      </c>
      <c r="AT48" s="78">
        <f>AN48</f>
        <v/>
      </c>
    </row>
    <row r="49" ht="30" customHeight="1" s="104">
      <c r="A49" s="79" t="inlineStr">
        <is>
          <t>Grossmont Union High School District</t>
        </is>
      </c>
      <c r="B49" s="79">
        <f>IFERROR(INDEX('School District Profiles'!$B$2:$B$86,MATCH($A49,'School District Profiles'!$A$2:$A$86,0)),"")</f>
        <v/>
      </c>
      <c r="C49" s="79">
        <f>IFERROR(INDEX('School District Profiles'!$C$2:$C$86,MATCH($A49,'School District Profiles'!$A$2:$A$86,0)),"")</f>
        <v/>
      </c>
      <c r="D49" s="80">
        <f>IFERROR(SUMIFS('Teacher Salary Data'!$E$2:$E$1871,'Teacher Salary Data'!$A$2:$A$1871,$A49,'Teacher Salary Data'!$C$2:$C$1871,"Bachelor's",'Teacher Salary Data'!$D$2:$D$1871,0),0)</f>
        <v/>
      </c>
      <c r="E49" s="80">
        <f>IFERROR(SUMIFS('Teacher Salary Data'!$E$2:$E$1871,'Teacher Salary Data'!$A$2:$A$1871,$A49,'Teacher Salary Data'!$C$2:$C$1871,"Bachelor's",'Teacher Salary Data'!$D$2:$D$1871,5),0)</f>
        <v/>
      </c>
      <c r="F49" s="80">
        <f>IFERROR(SUMIFS('Teacher Salary Data'!$E$2:$E$1871,'Teacher Salary Data'!$A$2:$A$1871,$A49,'Teacher Salary Data'!$C$2:$C$1871,"Bachelor's",'Teacher Salary Data'!$D$2:$D$1871,10),0)</f>
        <v/>
      </c>
      <c r="G49" s="80">
        <f>IFERROR(SUMIFS('Teacher Salary Data'!$E$2:$E$1871,'Teacher Salary Data'!$A$2:$A$1871,$A49,'Teacher Salary Data'!$C$2:$C$1871,"Master's",'Teacher Salary Data'!$D$2:$D$1871,0),0)</f>
        <v/>
      </c>
      <c r="H49" s="80">
        <f>IFERROR(SUMIFS('Teacher Salary Data'!$E$2:$E$1871,'Teacher Salary Data'!$A$2:$A$1871,$A49,'Teacher Salary Data'!$C$2:$C$1871,"Master's",'Teacher Salary Data'!$D$2:$D$1871,5),0)</f>
        <v/>
      </c>
      <c r="I49" s="80">
        <f>IFERROR(SUMIFS('Teacher Salary Data'!$E$2:$E$1871,'Teacher Salary Data'!$A$2:$A$1871,$A49,'Teacher Salary Data'!$C$2:$C$1871,"Master's",'Teacher Salary Data'!$D$2:$D$1871,10),0)</f>
        <v/>
      </c>
      <c r="J49" s="80">
        <f>AVERAGE(D49,G49)</f>
        <v/>
      </c>
      <c r="K49" s="80">
        <f>AVERAGE(F49,I49)</f>
        <v/>
      </c>
      <c r="L49" s="117">
        <f>IFERROR((K49-J49)/J49,0)</f>
        <v/>
      </c>
      <c r="M49" s="79">
        <f>G49-D49</f>
        <v/>
      </c>
      <c r="N49" s="80">
        <f>IFERROR(INDEX('Median Home and Rent Prices'!$D$2:$D$86,MATCH($A49,'Median Home and Rent Prices'!$A$2:$A$86,0)),0)</f>
        <v/>
      </c>
      <c r="O49" s="80">
        <f>IFERROR(INDEX('Median Home and Rent Prices'!$E$2:$E$86,MATCH($A49,'Median Home and Rent Prices'!$A$2:$A$86,0)),0)</f>
        <v/>
      </c>
      <c r="P49" s="79">
        <f>IFERROR(INDEX('School District Profiles'!$H$2:$H$86,MATCH($A49,'School District Profiles'!$A$2:$A$86,0)),0)</f>
        <v/>
      </c>
      <c r="Q49" s="80">
        <f>IFERROR(INDEX('School District Profiles'!$I$2:$I$86,MATCH($A49,'School District Profiles'!$A$2:$A$86,0)),0)</f>
        <v/>
      </c>
      <c r="R49" s="82">
        <f>IFERROR(IF(($AI49-('Score Inputs'!$B$4*1500+IF('Score Inputs'!$B$3="Master's",4000,0)))&lt;53000,MAX(0,MIN(39.99,((($AI49-('Score Inputs'!$B$4*1500+IF('Score Inputs'!$B$3="Master's",4000,0))))-45000)/8000*39.99)),IF(($AI49-('Score Inputs'!$B$4*1500+IF('Score Inputs'!$B$3="Master's",4000,0)))&lt;58000,40+((($AI49-('Score Inputs'!$B$4*1500+IF('Score Inputs'!$B$3="Master's",4000,0))))-53000)/5000*20,IF(($AI49-('Score Inputs'!$B$4*1500+IF('Score Inputs'!$B$3="Master's",4000,0)))&lt;63000,60+((($AI49-('Score Inputs'!$B$4*1500+IF('Score Inputs'!$B$3="Master's",4000,0))))-58000)/5000*10,IF(($AI49-('Score Inputs'!$B$4*1500+IF('Score Inputs'!$B$3="Master's",4000,0)))&lt;70000,70+((($AI49-('Score Inputs'!$B$4*1500+IF('Score Inputs'!$B$3="Master's",4000,0))))-63000)/7000*10,IF(($AI49-('Score Inputs'!$B$4*1500+IF('Score Inputs'!$B$3="Master's",4000,0)))&lt;75000,80+((($AI49-('Score Inputs'!$B$4*1500+IF('Score Inputs'!$B$3="Master's",4000,0))))-70000)/5000*10,MIN(100,90+((($AI49-('Score Inputs'!$B$4*1500+IF('Score Inputs'!$B$3="Master's",4000,0))))-75000)/5000*10)))))),0)</f>
        <v/>
      </c>
      <c r="S49" s="82">
        <f>IFERROR(MAX(0,MIN(100,L49/0.48*100)),0)</f>
        <v/>
      </c>
      <c r="T49" s="82">
        <f>IFERROR(MAX(0,MIN(100,M49/15000*100)),0)</f>
        <v/>
      </c>
      <c r="U49" s="82">
        <f>IFERROR(0.5*R49+0.35*S49+0.15*T49,0)</f>
        <v/>
      </c>
      <c r="V49" s="82">
        <f>IFERROR(0.35*AL49+0.3*AO49+0.25*AB49+0.1*AQ49,0)</f>
        <v/>
      </c>
      <c r="W49" s="82">
        <f>IFERROR(MAX(0,MIN(100,(25-P49)/(25-12)*100)),0)</f>
        <v/>
      </c>
      <c r="X49" s="82">
        <f>IFERROR(MAX(0,MIN(100,(AD49-1)/(3-1)*100))*IF(OR($A49="North Clackamas School District",$A49="Provo City School District"),0.6,1),0)</f>
        <v/>
      </c>
      <c r="Y49" s="82">
        <f>IFERROR(MAX(0,MIN(100,(1-((IFERROR(INDEX('School District Profiles'!$D$2:$D$86,MATCH($A49,'School District Profiles'!$A$2:$A$86,0)),0)/100)^2+(IFERROR(INDEX('School District Profiles'!$E$2:$E$86,MATCH($A49,'School District Profiles'!$A$2:$A$86,0)),0)/100)^2+(IFERROR(INDEX('School District Profiles'!$F$2:$F$86,MATCH($A49,'School District Profiles'!$A$2:$A$86,0)),0)/100)^2+(IFERROR(INDEX('School District Profiles'!$G$2:$G$86,MATCH($A49,'School District Profiles'!$A$2:$A$86,0)),0)/100)^2+(AC49/100)^2))/0.8*100)),0)</f>
        <v/>
      </c>
      <c r="Z49" s="82">
        <f>IFERROR(AF49*AG49,0)</f>
        <v/>
      </c>
      <c r="AA49" s="79">
        <f>IFERROR(INDEX('Median Home and Rent Prices'!$F$2:$F$86,MATCH($A49,'Median Home and Rent Prices'!$A$2:$A$86,0)),0)</f>
        <v/>
      </c>
      <c r="AB49" s="82">
        <f>IFERROR(MAX(0,MIN(100,(800-AA49)/(800-150)*100)),0)</f>
        <v/>
      </c>
      <c r="AC49" s="79">
        <f>IFERROR(INDEX('School District Profiles'!$J$2:$J$86,MATCH($A49,'School District Profiles'!$A$2:$A$86,0)),0)</f>
        <v/>
      </c>
      <c r="AD49" s="82">
        <f>IFERROR(Q49*20/O49,0)</f>
        <v/>
      </c>
      <c r="AE49" s="82">
        <f>IFERROR(IF(AG49&gt;=1,100,IF(AG49&gt;=0.95,75,IF(AG49&gt;=0.9,60,IF(AG49&gt;=0.85,40,IF(AG49&gt;=0.8,25,0))))),0)</f>
        <v/>
      </c>
      <c r="AF49" s="82">
        <f>IFERROR(0.35*V49+0.3*U49+0.1*W49+0.1*X49+0.1*Y49+0.05*AR49,0)</f>
        <v/>
      </c>
      <c r="AG49" s="82" t="n">
        <v>1</v>
      </c>
      <c r="AH49" s="79" t="inlineStr">
        <is>
          <t>Official 2025-26 salary-schedule page located, but table did not extract cleanly in this pass; salary and sub pay are first-pass estimates requiring audit.</t>
        </is>
      </c>
      <c r="AI49" s="106">
        <f>IF('Score Inputs'!$B$3="Bachelor's",CHOOSE(MATCH('Score Inputs'!$B$4,{0,5,10},0),D49,E49,F49),CHOOSE(MATCH('Score Inputs'!$B$4,{0,5,10},0),G49,H49,I49))</f>
        <v/>
      </c>
      <c r="AJ49" s="106">
        <f>IFERROR(AI49/12,0)</f>
        <v/>
      </c>
      <c r="AK49" s="118">
        <f>IFERROR(O49/AJ49,0)</f>
        <v/>
      </c>
      <c r="AL49" s="110">
        <f>IFERROR(IF(AK49&lt;=25%,100,IF(AK49&lt;=30%,100-(AK49-25%)/5%*30,IF(AK49&lt;=35%,70-(AK49-30%)/5%*10,IF(AK49&lt;=40%,60-(AK49-35%)/5%*20,MAX(0,40-(AK49-40%)/10%*40))))),0)</f>
        <v/>
      </c>
      <c r="AM49" s="106">
        <f>IFERROR(PMT('Score Inputs'!$B$5/12,'Score Inputs'!$B$7*12,-N49*(1-'Score Inputs'!$B$6)),0)</f>
        <v/>
      </c>
      <c r="AN49" s="118">
        <f>IFERROR(AM49/AJ49,0)</f>
        <v/>
      </c>
      <c r="AO49" s="110">
        <f>IFERROR(IF(AN49&lt;=25%,100,IF(AN49&lt;=30%,100-(AN49-25%)/5%*30,IF(AN49&lt;=35%,70-(AN49-30%)/5%*10,IF(AN49&lt;=40%,60-(AN49-35%)/5%*20,MAX(0,40-(AN49-40%)/10%*40))))),0)</f>
        <v/>
      </c>
      <c r="AP49" s="106">
        <f>IFERROR(AJ49-O49,0)</f>
        <v/>
      </c>
      <c r="AQ49" s="110">
        <f>IFERROR(MAX(0,MIN(100,(AP49-'Score Inputs'!$B$8)/('Score Inputs'!$B$9-'Score Inputs'!$B$8)*100)),0)</f>
        <v/>
      </c>
      <c r="AR49" s="110">
        <f>IFERROR(INDEX('State Funding Lookup'!$B$2:$B$86,MATCH($A49,'State Funding Lookup'!$A$2:$A$86,0)),0)</f>
        <v/>
      </c>
      <c r="AS49" s="87">
        <f>AK49</f>
        <v/>
      </c>
      <c r="AT49" s="87">
        <f>AN49</f>
        <v/>
      </c>
    </row>
    <row r="50" ht="30" customHeight="1" s="104">
      <c r="A50" s="79" t="inlineStr">
        <is>
          <t>Dublin City Schools</t>
        </is>
      </c>
      <c r="B50" s="79">
        <f>IFERROR(INDEX('School District Profiles'!$B$2:$B$86,MATCH($A50,'School District Profiles'!$A$2:$A$86,0)),"")</f>
        <v/>
      </c>
      <c r="C50" s="79">
        <f>IFERROR(INDEX('School District Profiles'!$C$2:$C$86,MATCH($A50,'School District Profiles'!$A$2:$A$86,0)),"")</f>
        <v/>
      </c>
      <c r="D50" s="80">
        <f>IFERROR(SUMIFS('Teacher Salary Data'!$E$2:$E$1871,'Teacher Salary Data'!$A$2:$A$1871,$A50,'Teacher Salary Data'!$C$2:$C$1871,"Bachelor's",'Teacher Salary Data'!$D$2:$D$1871,0),0)</f>
        <v/>
      </c>
      <c r="E50" s="80">
        <f>IFERROR(SUMIFS('Teacher Salary Data'!$E$2:$E$1871,'Teacher Salary Data'!$A$2:$A$1871,$A50,'Teacher Salary Data'!$C$2:$C$1871,"Bachelor's",'Teacher Salary Data'!$D$2:$D$1871,5),0)</f>
        <v/>
      </c>
      <c r="F50" s="80">
        <f>IFERROR(SUMIFS('Teacher Salary Data'!$E$2:$E$1871,'Teacher Salary Data'!$A$2:$A$1871,$A50,'Teacher Salary Data'!$C$2:$C$1871,"Bachelor's",'Teacher Salary Data'!$D$2:$D$1871,10),0)</f>
        <v/>
      </c>
      <c r="G50" s="80">
        <f>IFERROR(SUMIFS('Teacher Salary Data'!$E$2:$E$1871,'Teacher Salary Data'!$A$2:$A$1871,$A50,'Teacher Salary Data'!$C$2:$C$1871,"Master's",'Teacher Salary Data'!$D$2:$D$1871,0),0)</f>
        <v/>
      </c>
      <c r="H50" s="80">
        <f>IFERROR(SUMIFS('Teacher Salary Data'!$E$2:$E$1871,'Teacher Salary Data'!$A$2:$A$1871,$A50,'Teacher Salary Data'!$C$2:$C$1871,"Master's",'Teacher Salary Data'!$D$2:$D$1871,5),0)</f>
        <v/>
      </c>
      <c r="I50" s="80">
        <f>IFERROR(SUMIFS('Teacher Salary Data'!$E$2:$E$1871,'Teacher Salary Data'!$A$2:$A$1871,$A50,'Teacher Salary Data'!$C$2:$C$1871,"Master's",'Teacher Salary Data'!$D$2:$D$1871,10),0)</f>
        <v/>
      </c>
      <c r="J50" s="80">
        <f>AVERAGE(D50,G50)</f>
        <v/>
      </c>
      <c r="K50" s="80">
        <f>AVERAGE(F50,I50)</f>
        <v/>
      </c>
      <c r="L50" s="117">
        <f>IFERROR((K50-J50)/J50,0)</f>
        <v/>
      </c>
      <c r="M50" s="79">
        <f>G50-D50</f>
        <v/>
      </c>
      <c r="N50" s="80">
        <f>IFERROR(INDEX('Median Home and Rent Prices'!$D$2:$D$86,MATCH($A50,'Median Home and Rent Prices'!$A$2:$A$86,0)),0)</f>
        <v/>
      </c>
      <c r="O50" s="80">
        <f>IFERROR(INDEX('Median Home and Rent Prices'!$E$2:$E$86,MATCH($A50,'Median Home and Rent Prices'!$A$2:$A$86,0)),0)</f>
        <v/>
      </c>
      <c r="P50" s="79">
        <f>IFERROR(INDEX('School District Profiles'!$H$2:$H$86,MATCH($A50,'School District Profiles'!$A$2:$A$86,0)),0)</f>
        <v/>
      </c>
      <c r="Q50" s="80">
        <f>IFERROR(INDEX('School District Profiles'!$I$2:$I$86,MATCH($A50,'School District Profiles'!$A$2:$A$86,0)),0)</f>
        <v/>
      </c>
      <c r="R50" s="82">
        <f>IFERROR(IF(($AI50-('Score Inputs'!$B$4*1500+IF('Score Inputs'!$B$3="Master's",4000,0)))&lt;53000,MAX(0,MIN(39.99,((($AI50-('Score Inputs'!$B$4*1500+IF('Score Inputs'!$B$3="Master's",4000,0))))-45000)/8000*39.99)),IF(($AI50-('Score Inputs'!$B$4*1500+IF('Score Inputs'!$B$3="Master's",4000,0)))&lt;58000,40+((($AI50-('Score Inputs'!$B$4*1500+IF('Score Inputs'!$B$3="Master's",4000,0))))-53000)/5000*20,IF(($AI50-('Score Inputs'!$B$4*1500+IF('Score Inputs'!$B$3="Master's",4000,0)))&lt;63000,60+((($AI50-('Score Inputs'!$B$4*1500+IF('Score Inputs'!$B$3="Master's",4000,0))))-58000)/5000*10,IF(($AI50-('Score Inputs'!$B$4*1500+IF('Score Inputs'!$B$3="Master's",4000,0)))&lt;70000,70+((($AI50-('Score Inputs'!$B$4*1500+IF('Score Inputs'!$B$3="Master's",4000,0))))-63000)/7000*10,IF(($AI50-('Score Inputs'!$B$4*1500+IF('Score Inputs'!$B$3="Master's",4000,0)))&lt;75000,80+((($AI50-('Score Inputs'!$B$4*1500+IF('Score Inputs'!$B$3="Master's",4000,0))))-70000)/5000*10,MIN(100,90+((($AI50-('Score Inputs'!$B$4*1500+IF('Score Inputs'!$B$3="Master's",4000,0))))-75000)/5000*10)))))),0)</f>
        <v/>
      </c>
      <c r="S50" s="82">
        <f>IFERROR(MAX(0,MIN(100,L50/0.48*100)),0)</f>
        <v/>
      </c>
      <c r="T50" s="82">
        <f>IFERROR(MAX(0,MIN(100,M50/15000*100)),0)</f>
        <v/>
      </c>
      <c r="U50" s="82">
        <f>IFERROR(0.5*R50+0.35*S50+0.15*T50,0)</f>
        <v/>
      </c>
      <c r="V50" s="82">
        <f>IFERROR(0.35*AL50+0.3*AO50+0.25*AB50+0.1*AQ50,0)</f>
        <v/>
      </c>
      <c r="W50" s="82">
        <f>IFERROR(MAX(0,MIN(100,(25-P50)/(25-12)*100)),0)</f>
        <v/>
      </c>
      <c r="X50" s="82">
        <f>IFERROR(MAX(0,MIN(100,(AD50-1)/(3-1)*100))*IF(OR($A50="North Clackamas School District",$A50="Provo City School District"),0.6,1),0)</f>
        <v/>
      </c>
      <c r="Y50" s="82">
        <f>IFERROR(MAX(0,MIN(100,(1-((IFERROR(INDEX('School District Profiles'!$D$2:$D$86,MATCH($A50,'School District Profiles'!$A$2:$A$86,0)),0)/100)^2+(IFERROR(INDEX('School District Profiles'!$E$2:$E$86,MATCH($A50,'School District Profiles'!$A$2:$A$86,0)),0)/100)^2+(IFERROR(INDEX('School District Profiles'!$F$2:$F$86,MATCH($A50,'School District Profiles'!$A$2:$A$86,0)),0)/100)^2+(IFERROR(INDEX('School District Profiles'!$G$2:$G$86,MATCH($A50,'School District Profiles'!$A$2:$A$86,0)),0)/100)^2+(AC50/100)^2))/0.8*100)),0)</f>
        <v/>
      </c>
      <c r="Z50" s="82">
        <f>IFERROR(AF50*AG50,0)</f>
        <v/>
      </c>
      <c r="AA50" s="79">
        <f>IFERROR(INDEX('Median Home and Rent Prices'!$F$2:$F$86,MATCH($A50,'Median Home and Rent Prices'!$A$2:$A$86,0)),0)</f>
        <v/>
      </c>
      <c r="AB50" s="82">
        <f>IFERROR(MAX(0,MIN(100,(800-AA50)/(800-150)*100)),0)</f>
        <v/>
      </c>
      <c r="AC50" s="79">
        <f>IFERROR(INDEX('School District Profiles'!$J$2:$J$86,MATCH($A50,'School District Profiles'!$A$2:$A$86,0)),0)</f>
        <v/>
      </c>
      <c r="AD50" s="82">
        <f>IFERROR(Q50*20/O50,0)</f>
        <v/>
      </c>
      <c r="AE50" s="82">
        <f>IFERROR(IF(AG50&gt;=1,100,IF(AG50&gt;=0.95,75,IF(AG50&gt;=0.9,60,IF(AG50&gt;=0.85,40,IF(AG50&gt;=0.8,25,0))))),0)</f>
        <v/>
      </c>
      <c r="AF50" s="82">
        <f>IFERROR(0.35*V50+0.3*U50+0.1*W50+0.1*X50+0.1*Y50+0.05*AR50,0)</f>
        <v/>
      </c>
      <c r="AG50" s="82" t="n">
        <v>1</v>
      </c>
      <c r="AH50" s="79" t="inlineStr">
        <is>
          <t>No employment-stability penalty applied in this first-pass addition; verify with adopted budget, enrollment trend, board packets, and HR/union notices before final scoring.</t>
        </is>
      </c>
      <c r="AI50" s="106">
        <f>IF('Score Inputs'!$B$3="Bachelor's",CHOOSE(MATCH('Score Inputs'!$B$4,{0,5,10},0),D50,E50,F50),CHOOSE(MATCH('Score Inputs'!$B$4,{0,5,10},0),G50,H50,I50))</f>
        <v/>
      </c>
      <c r="AJ50" s="106">
        <f>IFERROR(AI50/12,0)</f>
        <v/>
      </c>
      <c r="AK50" s="118">
        <f>IFERROR(O50/AJ50,0)</f>
        <v/>
      </c>
      <c r="AL50" s="110">
        <f>IFERROR(IF(AK50&lt;=25%,100,IF(AK50&lt;=30%,100-(AK50-25%)/5%*30,IF(AK50&lt;=35%,70-(AK50-30%)/5%*10,IF(AK50&lt;=40%,60-(AK50-35%)/5%*20,MAX(0,40-(AK50-40%)/10%*40))))),0)</f>
        <v/>
      </c>
      <c r="AM50" s="106">
        <f>IFERROR(PMT('Score Inputs'!$B$5/12,'Score Inputs'!$B$7*12,-N50*(1-'Score Inputs'!$B$6)),0)</f>
        <v/>
      </c>
      <c r="AN50" s="118">
        <f>IFERROR(AM50/AJ50,0)</f>
        <v/>
      </c>
      <c r="AO50" s="110">
        <f>IFERROR(IF(AN50&lt;=25%,100,IF(AN50&lt;=30%,100-(AN50-25%)/5%*30,IF(AN50&lt;=35%,70-(AN50-30%)/5%*10,IF(AN50&lt;=40%,60-(AN50-35%)/5%*20,MAX(0,40-(AN50-40%)/10%*40))))),0)</f>
        <v/>
      </c>
      <c r="AP50" s="106">
        <f>IFERROR(AJ50-O50,0)</f>
        <v/>
      </c>
      <c r="AQ50" s="110">
        <f>IFERROR(MAX(0,MIN(100,(AP50-'Score Inputs'!$B$8)/('Score Inputs'!$B$9-'Score Inputs'!$B$8)*100)),0)</f>
        <v/>
      </c>
      <c r="AR50" s="110">
        <f>IFERROR(INDEX('State Funding Lookup'!$B$2:$B$86,MATCH($A50,'State Funding Lookup'!$A$2:$A$86,0)),0)</f>
        <v/>
      </c>
      <c r="AS50" s="87">
        <f>AK50</f>
        <v/>
      </c>
      <c r="AT50" s="87">
        <f>AN50</f>
        <v/>
      </c>
    </row>
    <row r="51" ht="30" customHeight="1" s="104">
      <c r="A51" s="79" t="inlineStr">
        <is>
          <t>Chaffey Joint Union High School District</t>
        </is>
      </c>
      <c r="B51" s="79">
        <f>IFERROR(INDEX('School District Profiles'!$B$2:$B$86,MATCH($A51,'School District Profiles'!$A$2:$A$86,0)),"")</f>
        <v/>
      </c>
      <c r="C51" s="79">
        <f>IFERROR(INDEX('School District Profiles'!$C$2:$C$86,MATCH($A51,'School District Profiles'!$A$2:$A$86,0)),"")</f>
        <v/>
      </c>
      <c r="D51" s="80">
        <f>IFERROR(SUMIFS('Teacher Salary Data'!$E$2:$E$1871,'Teacher Salary Data'!$A$2:$A$1871,$A51,'Teacher Salary Data'!$C$2:$C$1871,"Bachelor's",'Teacher Salary Data'!$D$2:$D$1871,0),0)</f>
        <v/>
      </c>
      <c r="E51" s="80">
        <f>IFERROR(SUMIFS('Teacher Salary Data'!$E$2:$E$1871,'Teacher Salary Data'!$A$2:$A$1871,$A51,'Teacher Salary Data'!$C$2:$C$1871,"Bachelor's",'Teacher Salary Data'!$D$2:$D$1871,5),0)</f>
        <v/>
      </c>
      <c r="F51" s="80">
        <f>IFERROR(SUMIFS('Teacher Salary Data'!$E$2:$E$1871,'Teacher Salary Data'!$A$2:$A$1871,$A51,'Teacher Salary Data'!$C$2:$C$1871,"Bachelor's",'Teacher Salary Data'!$D$2:$D$1871,10),0)</f>
        <v/>
      </c>
      <c r="G51" s="80">
        <f>IFERROR(SUMIFS('Teacher Salary Data'!$E$2:$E$1871,'Teacher Salary Data'!$A$2:$A$1871,$A51,'Teacher Salary Data'!$C$2:$C$1871,"Master's",'Teacher Salary Data'!$D$2:$D$1871,0),0)</f>
        <v/>
      </c>
      <c r="H51" s="80">
        <f>IFERROR(SUMIFS('Teacher Salary Data'!$E$2:$E$1871,'Teacher Salary Data'!$A$2:$A$1871,$A51,'Teacher Salary Data'!$C$2:$C$1871,"Master's",'Teacher Salary Data'!$D$2:$D$1871,5),0)</f>
        <v/>
      </c>
      <c r="I51" s="80">
        <f>IFERROR(SUMIFS('Teacher Salary Data'!$E$2:$E$1871,'Teacher Salary Data'!$A$2:$A$1871,$A51,'Teacher Salary Data'!$C$2:$C$1871,"Master's",'Teacher Salary Data'!$D$2:$D$1871,10),0)</f>
        <v/>
      </c>
      <c r="J51" s="80">
        <f>AVERAGE(D51,G51)</f>
        <v/>
      </c>
      <c r="K51" s="80">
        <f>AVERAGE(F51,I51)</f>
        <v/>
      </c>
      <c r="L51" s="117">
        <f>IFERROR((K51-J51)/J51,0)</f>
        <v/>
      </c>
      <c r="M51" s="79">
        <f>G51-D51</f>
        <v/>
      </c>
      <c r="N51" s="80">
        <f>IFERROR(INDEX('Median Home and Rent Prices'!$D$2:$D$86,MATCH($A51,'Median Home and Rent Prices'!$A$2:$A$86,0)),0)</f>
        <v/>
      </c>
      <c r="O51" s="80">
        <f>IFERROR(INDEX('Median Home and Rent Prices'!$E$2:$E$86,MATCH($A51,'Median Home and Rent Prices'!$A$2:$A$86,0)),0)</f>
        <v/>
      </c>
      <c r="P51" s="79">
        <f>IFERROR(INDEX('School District Profiles'!$H$2:$H$86,MATCH($A51,'School District Profiles'!$A$2:$A$86,0)),0)</f>
        <v/>
      </c>
      <c r="Q51" s="80">
        <f>IFERROR(INDEX('School District Profiles'!$I$2:$I$86,MATCH($A51,'School District Profiles'!$A$2:$A$86,0)),0)</f>
        <v/>
      </c>
      <c r="R51" s="82">
        <f>IFERROR(IF(($AI51-('Score Inputs'!$B$4*1500+IF('Score Inputs'!$B$3="Master's",4000,0)))&lt;53000,MAX(0,MIN(39.99,((($AI51-('Score Inputs'!$B$4*1500+IF('Score Inputs'!$B$3="Master's",4000,0))))-45000)/8000*39.99)),IF(($AI51-('Score Inputs'!$B$4*1500+IF('Score Inputs'!$B$3="Master's",4000,0)))&lt;58000,40+((($AI51-('Score Inputs'!$B$4*1500+IF('Score Inputs'!$B$3="Master's",4000,0))))-53000)/5000*20,IF(($AI51-('Score Inputs'!$B$4*1500+IF('Score Inputs'!$B$3="Master's",4000,0)))&lt;63000,60+((($AI51-('Score Inputs'!$B$4*1500+IF('Score Inputs'!$B$3="Master's",4000,0))))-58000)/5000*10,IF(($AI51-('Score Inputs'!$B$4*1500+IF('Score Inputs'!$B$3="Master's",4000,0)))&lt;70000,70+((($AI51-('Score Inputs'!$B$4*1500+IF('Score Inputs'!$B$3="Master's",4000,0))))-63000)/7000*10,IF(($AI51-('Score Inputs'!$B$4*1500+IF('Score Inputs'!$B$3="Master's",4000,0)))&lt;75000,80+((($AI51-('Score Inputs'!$B$4*1500+IF('Score Inputs'!$B$3="Master's",4000,0))))-70000)/5000*10,MIN(100,90+((($AI51-('Score Inputs'!$B$4*1500+IF('Score Inputs'!$B$3="Master's",4000,0))))-75000)/5000*10)))))),0)</f>
        <v/>
      </c>
      <c r="S51" s="82">
        <f>IFERROR(MAX(0,MIN(100,L51/0.48*100)),0)</f>
        <v/>
      </c>
      <c r="T51" s="82">
        <f>IFERROR(MAX(0,MIN(100,M51/15000*100)),0)</f>
        <v/>
      </c>
      <c r="U51" s="82">
        <f>IFERROR(0.5*R51+0.35*S51+0.15*T51,0)</f>
        <v/>
      </c>
      <c r="V51" s="82">
        <f>IFERROR(0.35*AL51+0.3*AO51+0.25*AB51+0.1*AQ51,0)</f>
        <v/>
      </c>
      <c r="W51" s="82">
        <f>IFERROR(MAX(0,MIN(100,(25-P51)/(25-12)*100)),0)</f>
        <v/>
      </c>
      <c r="X51" s="82">
        <f>IFERROR(MAX(0,MIN(100,(AD51-1)/(3-1)*100))*IF(OR($A51="North Clackamas School District",$A51="Provo City School District"),0.6,1),0)</f>
        <v/>
      </c>
      <c r="Y51" s="82">
        <f>IFERROR(MAX(0,MIN(100,(1-((IFERROR(INDEX('School District Profiles'!$D$2:$D$86,MATCH($A51,'School District Profiles'!$A$2:$A$86,0)),0)/100)^2+(IFERROR(INDEX('School District Profiles'!$E$2:$E$86,MATCH($A51,'School District Profiles'!$A$2:$A$86,0)),0)/100)^2+(IFERROR(INDEX('School District Profiles'!$F$2:$F$86,MATCH($A51,'School District Profiles'!$A$2:$A$86,0)),0)/100)^2+(IFERROR(INDEX('School District Profiles'!$G$2:$G$86,MATCH($A51,'School District Profiles'!$A$2:$A$86,0)),0)/100)^2+(AC51/100)^2))/0.8*100)),0)</f>
        <v/>
      </c>
      <c r="Z51" s="82">
        <f>IFERROR(AF51*AG51,0)</f>
        <v/>
      </c>
      <c r="AA51" s="79">
        <f>IFERROR(INDEX('Median Home and Rent Prices'!$F$2:$F$86,MATCH($A51,'Median Home and Rent Prices'!$A$2:$A$86,0)),0)</f>
        <v/>
      </c>
      <c r="AB51" s="82">
        <f>IFERROR(MAX(0,MIN(100,(800-AA51)/(800-150)*100)),0)</f>
        <v/>
      </c>
      <c r="AC51" s="79">
        <f>IFERROR(INDEX('School District Profiles'!$J$2:$J$86,MATCH($A51,'School District Profiles'!$A$2:$A$86,0)),0)</f>
        <v/>
      </c>
      <c r="AD51" s="82">
        <f>IFERROR(Q51*20/O51,0)</f>
        <v/>
      </c>
      <c r="AE51" s="82">
        <f>IFERROR(IF(AG51&gt;=1,100,IF(AG51&gt;=0.95,75,IF(AG51&gt;=0.9,60,IF(AG51&gt;=0.85,40,IF(AG51&gt;=0.8,25,0))))),0)</f>
        <v/>
      </c>
      <c r="AF51" s="82">
        <f>IFERROR(0.35*V51+0.3*U51+0.1*W51+0.1*X51+0.1*Y51+0.05*AR51,0)</f>
        <v/>
      </c>
      <c r="AG51" s="82" t="n">
        <v>1</v>
      </c>
      <c r="AH51" s="79" t="inlineStr">
        <is>
          <t>Official salary schedule extracted. BA maps to Class A; MA maps to Class D. High Hispanic concentration triggers demographic-balance caution.</t>
        </is>
      </c>
      <c r="AI51" s="106">
        <f>IF('Score Inputs'!$B$3="Bachelor's",CHOOSE(MATCH('Score Inputs'!$B$4,{0,5,10},0),D51,E51,F51),CHOOSE(MATCH('Score Inputs'!$B$4,{0,5,10},0),G51,H51,I51))</f>
        <v/>
      </c>
      <c r="AJ51" s="106">
        <f>IFERROR(AI51/12,0)</f>
        <v/>
      </c>
      <c r="AK51" s="118">
        <f>IFERROR(O51/AJ51,0)</f>
        <v/>
      </c>
      <c r="AL51" s="110">
        <f>IFERROR(IF(AK51&lt;=25%,100,IF(AK51&lt;=30%,100-(AK51-25%)/5%*30,IF(AK51&lt;=35%,70-(AK51-30%)/5%*10,IF(AK51&lt;=40%,60-(AK51-35%)/5%*20,MAX(0,40-(AK51-40%)/10%*40))))),0)</f>
        <v/>
      </c>
      <c r="AM51" s="106">
        <f>IFERROR(PMT('Score Inputs'!$B$5/12,'Score Inputs'!$B$7*12,-N51*(1-'Score Inputs'!$B$6)),0)</f>
        <v/>
      </c>
      <c r="AN51" s="118">
        <f>IFERROR(AM51/AJ51,0)</f>
        <v/>
      </c>
      <c r="AO51" s="110">
        <f>IFERROR(IF(AN51&lt;=25%,100,IF(AN51&lt;=30%,100-(AN51-25%)/5%*30,IF(AN51&lt;=35%,70-(AN51-30%)/5%*10,IF(AN51&lt;=40%,60-(AN51-35%)/5%*20,MAX(0,40-(AN51-40%)/10%*40))))),0)</f>
        <v/>
      </c>
      <c r="AP51" s="106">
        <f>IFERROR(AJ51-O51,0)</f>
        <v/>
      </c>
      <c r="AQ51" s="110">
        <f>IFERROR(MAX(0,MIN(100,(AP51-'Score Inputs'!$B$8)/('Score Inputs'!$B$9-'Score Inputs'!$B$8)*100)),0)</f>
        <v/>
      </c>
      <c r="AR51" s="110">
        <f>IFERROR(INDEX('State Funding Lookup'!$B$2:$B$86,MATCH($A51,'State Funding Lookup'!$A$2:$A$86,0)),0)</f>
        <v/>
      </c>
      <c r="AS51" s="87">
        <f>AK51</f>
        <v/>
      </c>
      <c r="AT51" s="87">
        <f>AN51</f>
        <v/>
      </c>
    </row>
    <row r="52" ht="30" customHeight="1" s="104">
      <c r="A52" s="79" t="inlineStr">
        <is>
          <t>Washoe County School District</t>
        </is>
      </c>
      <c r="B52" s="79">
        <f>IFERROR(INDEX('School District Profiles'!$B$2:$B$86,MATCH($A52,'School District Profiles'!$A$2:$A$86,0)),"")</f>
        <v/>
      </c>
      <c r="C52" s="79">
        <f>IFERROR(INDEX('School District Profiles'!$C$2:$C$86,MATCH($A52,'School District Profiles'!$A$2:$A$86,0)),"")</f>
        <v/>
      </c>
      <c r="D52" s="80">
        <f>IFERROR(SUMIFS('Teacher Salary Data'!$E$2:$E$1871,'Teacher Salary Data'!$A$2:$A$1871,$A52,'Teacher Salary Data'!$C$2:$C$1871,"Bachelor's",'Teacher Salary Data'!$D$2:$D$1871,0),0)</f>
        <v/>
      </c>
      <c r="E52" s="80">
        <f>IFERROR(SUMIFS('Teacher Salary Data'!$E$2:$E$1871,'Teacher Salary Data'!$A$2:$A$1871,$A52,'Teacher Salary Data'!$C$2:$C$1871,"Bachelor's",'Teacher Salary Data'!$D$2:$D$1871,5),0)</f>
        <v/>
      </c>
      <c r="F52" s="80">
        <f>IFERROR(SUMIFS('Teacher Salary Data'!$E$2:$E$1871,'Teacher Salary Data'!$A$2:$A$1871,$A52,'Teacher Salary Data'!$C$2:$C$1871,"Bachelor's",'Teacher Salary Data'!$D$2:$D$1871,10),0)</f>
        <v/>
      </c>
      <c r="G52" s="80">
        <f>IFERROR(SUMIFS('Teacher Salary Data'!$E$2:$E$1871,'Teacher Salary Data'!$A$2:$A$1871,$A52,'Teacher Salary Data'!$C$2:$C$1871,"Master's",'Teacher Salary Data'!$D$2:$D$1871,0),0)</f>
        <v/>
      </c>
      <c r="H52" s="80">
        <f>IFERROR(SUMIFS('Teacher Salary Data'!$E$2:$E$1871,'Teacher Salary Data'!$A$2:$A$1871,$A52,'Teacher Salary Data'!$C$2:$C$1871,"Master's",'Teacher Salary Data'!$D$2:$D$1871,5),0)</f>
        <v/>
      </c>
      <c r="I52" s="80">
        <f>IFERROR(SUMIFS('Teacher Salary Data'!$E$2:$E$1871,'Teacher Salary Data'!$A$2:$A$1871,$A52,'Teacher Salary Data'!$C$2:$C$1871,"Master's",'Teacher Salary Data'!$D$2:$D$1871,10),0)</f>
        <v/>
      </c>
      <c r="J52" s="80">
        <f>AVERAGE(D52,G52)</f>
        <v/>
      </c>
      <c r="K52" s="80">
        <f>AVERAGE(F52,I52)</f>
        <v/>
      </c>
      <c r="L52" s="117">
        <f>IFERROR((K52-J52)/J52,0)</f>
        <v/>
      </c>
      <c r="M52" s="79">
        <f>G52-D52</f>
        <v/>
      </c>
      <c r="N52" s="80">
        <f>IFERROR(INDEX('Median Home and Rent Prices'!$D$2:$D$86,MATCH($A52,'Median Home and Rent Prices'!$A$2:$A$86,0)),0)</f>
        <v/>
      </c>
      <c r="O52" s="80">
        <f>IFERROR(INDEX('Median Home and Rent Prices'!$E$2:$E$86,MATCH($A52,'Median Home and Rent Prices'!$A$2:$A$86,0)),0)</f>
        <v/>
      </c>
      <c r="P52" s="79">
        <f>IFERROR(INDEX('School District Profiles'!$H$2:$H$86,MATCH($A52,'School District Profiles'!$A$2:$A$86,0)),0)</f>
        <v/>
      </c>
      <c r="Q52" s="80">
        <f>IFERROR(INDEX('School District Profiles'!$I$2:$I$86,MATCH($A52,'School District Profiles'!$A$2:$A$86,0)),0)</f>
        <v/>
      </c>
      <c r="R52" s="82">
        <f>IFERROR(IF(($AI52-('Score Inputs'!$B$4*1500+IF('Score Inputs'!$B$3="Master's",4000,0)))&lt;53000,MAX(0,MIN(39.99,((($AI52-('Score Inputs'!$B$4*1500+IF('Score Inputs'!$B$3="Master's",4000,0))))-45000)/8000*39.99)),IF(($AI52-('Score Inputs'!$B$4*1500+IF('Score Inputs'!$B$3="Master's",4000,0)))&lt;58000,40+((($AI52-('Score Inputs'!$B$4*1500+IF('Score Inputs'!$B$3="Master's",4000,0))))-53000)/5000*20,IF(($AI52-('Score Inputs'!$B$4*1500+IF('Score Inputs'!$B$3="Master's",4000,0)))&lt;63000,60+((($AI52-('Score Inputs'!$B$4*1500+IF('Score Inputs'!$B$3="Master's",4000,0))))-58000)/5000*10,IF(($AI52-('Score Inputs'!$B$4*1500+IF('Score Inputs'!$B$3="Master's",4000,0)))&lt;70000,70+((($AI52-('Score Inputs'!$B$4*1500+IF('Score Inputs'!$B$3="Master's",4000,0))))-63000)/7000*10,IF(($AI52-('Score Inputs'!$B$4*1500+IF('Score Inputs'!$B$3="Master's",4000,0)))&lt;75000,80+((($AI52-('Score Inputs'!$B$4*1500+IF('Score Inputs'!$B$3="Master's",4000,0))))-70000)/5000*10,MIN(100,90+((($AI52-('Score Inputs'!$B$4*1500+IF('Score Inputs'!$B$3="Master's",4000,0))))-75000)/5000*10)))))),0)</f>
        <v/>
      </c>
      <c r="S52" s="82">
        <f>IFERROR(MAX(0,MIN(100,L52/0.48*100)),0)</f>
        <v/>
      </c>
      <c r="T52" s="82">
        <f>IFERROR(MAX(0,MIN(100,M52/15000*100)),0)</f>
        <v/>
      </c>
      <c r="U52" s="82">
        <f>IFERROR(0.5*R52+0.35*S52+0.15*T52,0)</f>
        <v/>
      </c>
      <c r="V52" s="82">
        <f>IFERROR(0.35*AL52+0.3*AO52+0.25*AB52+0.1*AQ52,0)</f>
        <v/>
      </c>
      <c r="W52" s="82">
        <f>IFERROR(MAX(0,MIN(100,(25-P52)/(25-12)*100)),0)</f>
        <v/>
      </c>
      <c r="X52" s="82">
        <f>IFERROR(MAX(0,MIN(100,(AD52-1)/(3-1)*100))*IF(OR($A52="North Clackamas School District",$A52="Provo City School District"),0.6,1),0)</f>
        <v/>
      </c>
      <c r="Y52" s="82">
        <f>IFERROR(MAX(0,MIN(100,(1-((IFERROR(INDEX('School District Profiles'!$D$2:$D$86,MATCH($A52,'School District Profiles'!$A$2:$A$86,0)),0)/100)^2+(IFERROR(INDEX('School District Profiles'!$E$2:$E$86,MATCH($A52,'School District Profiles'!$A$2:$A$86,0)),0)/100)^2+(IFERROR(INDEX('School District Profiles'!$F$2:$F$86,MATCH($A52,'School District Profiles'!$A$2:$A$86,0)),0)/100)^2+(IFERROR(INDEX('School District Profiles'!$G$2:$G$86,MATCH($A52,'School District Profiles'!$A$2:$A$86,0)),0)/100)^2+(AC52/100)^2))/0.8*100)),0)</f>
        <v/>
      </c>
      <c r="Z52" s="82">
        <f>IFERROR(AF52*AG52,0)</f>
        <v/>
      </c>
      <c r="AA52" s="79">
        <f>IFERROR(INDEX('Median Home and Rent Prices'!$F$2:$F$86,MATCH($A52,'Median Home and Rent Prices'!$A$2:$A$86,0)),0)</f>
        <v/>
      </c>
      <c r="AB52" s="82">
        <f>IFERROR(MAX(0,MIN(100,(800-AA52)/(800-150)*100)),0)</f>
        <v/>
      </c>
      <c r="AC52" s="79">
        <f>IFERROR(INDEX('School District Profiles'!$J$2:$J$86,MATCH($A52,'School District Profiles'!$A$2:$A$86,0)),0)</f>
        <v/>
      </c>
      <c r="AD52" s="82">
        <f>IFERROR(Q52*20/O52,0)</f>
        <v/>
      </c>
      <c r="AE52" s="82">
        <f>IFERROR(IF(AG52&gt;=1,100,IF(AG52&gt;=0.95,75,IF(AG52&gt;=0.9,60,IF(AG52&gt;=0.85,40,IF(AG52&gt;=0.8,25,0))))),0)</f>
        <v/>
      </c>
      <c r="AF52" s="82">
        <f>IFERROR(0.35*V52+0.3*U52+0.1*W52+0.1*X52+0.1*Y52+0.05*AR52,0)</f>
        <v/>
      </c>
      <c r="AG52" s="82" t="n">
        <v>0.95</v>
      </c>
      <c r="AH52" s="79" t="inlineStr">
        <is>
          <t>First-pass addition from public salary/housing sources. Verify official step placement, current sub pay, enrollment/budget stability, and district-boundary housing before final public ranking claims.</t>
        </is>
      </c>
      <c r="AI52" s="106">
        <f>IF('Score Inputs'!$B$3="Bachelor's",CHOOSE(MATCH('Score Inputs'!$B$4,{0,5,10},0),D52,E52,F52),CHOOSE(MATCH('Score Inputs'!$B$4,{0,5,10},0),G52,H52,I52))</f>
        <v/>
      </c>
      <c r="AJ52" s="106">
        <f>IFERROR(AI52/12,0)</f>
        <v/>
      </c>
      <c r="AK52" s="118">
        <f>IFERROR(O52/AJ52,0)</f>
        <v/>
      </c>
      <c r="AL52" s="110">
        <f>IFERROR(IF(AK52&lt;=25%,100,IF(AK52&lt;=30%,100-(AK52-25%)/5%*30,IF(AK52&lt;=35%,70-(AK52-30%)/5%*10,IF(AK52&lt;=40%,60-(AK52-35%)/5%*20,MAX(0,40-(AK52-40%)/10%*40))))),0)</f>
        <v/>
      </c>
      <c r="AM52" s="106">
        <f>IFERROR(PMT('Score Inputs'!$B$5/12,'Score Inputs'!$B$7*12,-N52*(1-'Score Inputs'!$B$6)),0)</f>
        <v/>
      </c>
      <c r="AN52" s="118">
        <f>IFERROR(AM52/AJ52,0)</f>
        <v/>
      </c>
      <c r="AO52" s="110">
        <f>IFERROR(IF(AN52&lt;=25%,100,IF(AN52&lt;=30%,100-(AN52-25%)/5%*30,IF(AN52&lt;=35%,70-(AN52-30%)/5%*10,IF(AN52&lt;=40%,60-(AN52-35%)/5%*20,MAX(0,40-(AN52-40%)/10%*40))))),0)</f>
        <v/>
      </c>
      <c r="AP52" s="106">
        <f>IFERROR(AJ52-O52,0)</f>
        <v/>
      </c>
      <c r="AQ52" s="110">
        <f>IFERROR(MAX(0,MIN(100,(AP52-'Score Inputs'!$B$8)/('Score Inputs'!$B$9-'Score Inputs'!$B$8)*100)),0)</f>
        <v/>
      </c>
      <c r="AR52" s="110">
        <f>IFERROR(INDEX('State Funding Lookup'!$B$2:$B$86,MATCH($A52,'State Funding Lookup'!$A$2:$A$86,0)),0)</f>
        <v/>
      </c>
      <c r="AS52" s="87">
        <f>AK52</f>
        <v/>
      </c>
      <c r="AT52" s="87">
        <f>AN52</f>
        <v/>
      </c>
    </row>
    <row r="53" ht="30" customHeight="1" s="104">
      <c r="A53" s="70" t="inlineStr">
        <is>
          <t>Middleton-Cross Plains Area School District</t>
        </is>
      </c>
      <c r="B53" s="70">
        <f>IFERROR(INDEX('School District Profiles'!$B$2:$B$86,MATCH($A53,'School District Profiles'!$A$2:$A$86,0)),"")</f>
        <v/>
      </c>
      <c r="C53" s="70">
        <f>IFERROR(INDEX('School District Profiles'!$C$2:$C$86,MATCH($A53,'School District Profiles'!$A$2:$A$86,0)),"")</f>
        <v/>
      </c>
      <c r="D53" s="71">
        <f>IFERROR(SUMIFS('Teacher Salary Data'!$E$2:$E$1871,'Teacher Salary Data'!$A$2:$A$1871,$A53,'Teacher Salary Data'!$C$2:$C$1871,"Bachelor's",'Teacher Salary Data'!$D$2:$D$1871,0),0)</f>
        <v/>
      </c>
      <c r="E53" s="71">
        <f>IFERROR(SUMIFS('Teacher Salary Data'!$E$2:$E$1871,'Teacher Salary Data'!$A$2:$A$1871,$A53,'Teacher Salary Data'!$C$2:$C$1871,"Bachelor's",'Teacher Salary Data'!$D$2:$D$1871,5),0)</f>
        <v/>
      </c>
      <c r="F53" s="71">
        <f>IFERROR(SUMIFS('Teacher Salary Data'!$E$2:$E$1871,'Teacher Salary Data'!$A$2:$A$1871,$A53,'Teacher Salary Data'!$C$2:$C$1871,"Bachelor's",'Teacher Salary Data'!$D$2:$D$1871,10),0)</f>
        <v/>
      </c>
      <c r="G53" s="71">
        <f>IFERROR(SUMIFS('Teacher Salary Data'!$E$2:$E$1871,'Teacher Salary Data'!$A$2:$A$1871,$A53,'Teacher Salary Data'!$C$2:$C$1871,"Master's",'Teacher Salary Data'!$D$2:$D$1871,0),0)</f>
        <v/>
      </c>
      <c r="H53" s="71">
        <f>IFERROR(SUMIFS('Teacher Salary Data'!$E$2:$E$1871,'Teacher Salary Data'!$A$2:$A$1871,$A53,'Teacher Salary Data'!$C$2:$C$1871,"Master's",'Teacher Salary Data'!$D$2:$D$1871,5),0)</f>
        <v/>
      </c>
      <c r="I53" s="71">
        <f>IFERROR(SUMIFS('Teacher Salary Data'!$E$2:$E$1871,'Teacher Salary Data'!$A$2:$A$1871,$A53,'Teacher Salary Data'!$C$2:$C$1871,"Master's",'Teacher Salary Data'!$D$2:$D$1871,10),0)</f>
        <v/>
      </c>
      <c r="J53" s="71">
        <f>AVERAGE(D53,G53)</f>
        <v/>
      </c>
      <c r="K53" s="71">
        <f>AVERAGE(F53,I53)</f>
        <v/>
      </c>
      <c r="L53" s="119">
        <f>IFERROR((K53-J53)/J53,0)</f>
        <v/>
      </c>
      <c r="M53" s="71">
        <f>G53-D53</f>
        <v/>
      </c>
      <c r="N53" s="71">
        <f>IFERROR(INDEX('Median Home and Rent Prices'!$D$2:$D$86,MATCH($A53,'Median Home and Rent Prices'!$A$2:$A$86,0)),0)</f>
        <v/>
      </c>
      <c r="O53" s="71">
        <f>IFERROR(INDEX('Median Home and Rent Prices'!$E$2:$E$86,MATCH($A53,'Median Home and Rent Prices'!$A$2:$A$86,0)),0)</f>
        <v/>
      </c>
      <c r="P53" s="70">
        <f>IFERROR(INDEX('School District Profiles'!$H$2:$H$86,MATCH($A53,'School District Profiles'!$A$2:$A$86,0)),0)</f>
        <v/>
      </c>
      <c r="Q53" s="71">
        <f>IFERROR(INDEX('School District Profiles'!$I$2:$I$86,MATCH($A53,'School District Profiles'!$A$2:$A$86,0)),0)</f>
        <v/>
      </c>
      <c r="R53" s="73">
        <f>IFERROR(IF(($AI53-('Score Inputs'!$B$4*1500+IF('Score Inputs'!$B$3="Master's",4000,0)))&lt;53000,MAX(0,MIN(39.99,((($AI53-('Score Inputs'!$B$4*1500+IF('Score Inputs'!$B$3="Master's",4000,0))))-45000)/8000*39.99)),IF(($AI53-('Score Inputs'!$B$4*1500+IF('Score Inputs'!$B$3="Master's",4000,0)))&lt;58000,40+((($AI53-('Score Inputs'!$B$4*1500+IF('Score Inputs'!$B$3="Master's",4000,0))))-53000)/5000*20,IF(($AI53-('Score Inputs'!$B$4*1500+IF('Score Inputs'!$B$3="Master's",4000,0)))&lt;63000,60+((($AI53-('Score Inputs'!$B$4*1500+IF('Score Inputs'!$B$3="Master's",4000,0))))-58000)/5000*10,IF(($AI53-('Score Inputs'!$B$4*1500+IF('Score Inputs'!$B$3="Master's",4000,0)))&lt;70000,70+((($AI53-('Score Inputs'!$B$4*1500+IF('Score Inputs'!$B$3="Master's",4000,0))))-63000)/7000*10,IF(($AI53-('Score Inputs'!$B$4*1500+IF('Score Inputs'!$B$3="Master's",4000,0)))&lt;75000,80+((($AI53-('Score Inputs'!$B$4*1500+IF('Score Inputs'!$B$3="Master's",4000,0))))-70000)/5000*10,MIN(100,90+((($AI53-('Score Inputs'!$B$4*1500+IF('Score Inputs'!$B$3="Master's",4000,0))))-75000)/5000*10)))))),0)</f>
        <v/>
      </c>
      <c r="S53" s="73">
        <f>IFERROR(MAX(0,MIN(100,L53/0.48*100)),0)</f>
        <v/>
      </c>
      <c r="T53" s="73">
        <f>IFERROR(MAX(0,MIN(100,M53/15000*100)),0)</f>
        <v/>
      </c>
      <c r="U53" s="73">
        <f>IFERROR(0.5*R53+0.35*S53+0.15*T53,0)</f>
        <v/>
      </c>
      <c r="V53" s="73">
        <f>IFERROR(0.35*AL53+0.3*AO53+0.25*AB53+0.1*AQ53,0)</f>
        <v/>
      </c>
      <c r="W53" s="73">
        <f>IFERROR(MAX(0,MIN(100,(25-P53)/(25-12)*100)),0)</f>
        <v/>
      </c>
      <c r="X53" s="73">
        <f>IFERROR(MAX(0,MIN(100,(AD53-1)/(3-1)*100))*IF(OR($A53="North Clackamas School District",$A53="Provo City School District"),0.6,1),0)</f>
        <v/>
      </c>
      <c r="Y53" s="73">
        <f>IFERROR(MAX(0,MIN(100,(1-((IFERROR(INDEX('School District Profiles'!$D$2:$D$86,MATCH($A53,'School District Profiles'!$A$2:$A$86,0)),0)/100)^2+(IFERROR(INDEX('School District Profiles'!$E$2:$E$86,MATCH($A53,'School District Profiles'!$A$2:$A$86,0)),0)/100)^2+(IFERROR(INDEX('School District Profiles'!$F$2:$F$86,MATCH($A53,'School District Profiles'!$A$2:$A$86,0)),0)/100)^2+(IFERROR(INDEX('School District Profiles'!$G$2:$G$86,MATCH($A53,'School District Profiles'!$A$2:$A$86,0)),0)/100)^2+(AC53/100)^2))/0.8*100)),0)</f>
        <v/>
      </c>
      <c r="Z53" s="73">
        <f>IFERROR(AF53*AG53,0)</f>
        <v/>
      </c>
      <c r="AA53" s="74">
        <f>IFERROR(INDEX('Median Home and Rent Prices'!$F$2:$F$86,MATCH($A53,'Median Home and Rent Prices'!$A$2:$A$86,0)),0)</f>
        <v/>
      </c>
      <c r="AB53" s="73">
        <f>IFERROR(MAX(0,MIN(100,(800-AA53)/(800-150)*100)),0)</f>
        <v/>
      </c>
      <c r="AC53" s="119">
        <f>IFERROR(INDEX('School District Profiles'!$J$2:$J$86,MATCH($A53,'School District Profiles'!$A$2:$A$86,0)),0)</f>
        <v/>
      </c>
      <c r="AD53" s="73">
        <f>IFERROR(Q53*20/O53,0)</f>
        <v/>
      </c>
      <c r="AE53" s="73">
        <f>IFERROR(IF(AG53&gt;=1,100,IF(AG53&gt;=0.95,75,IF(AG53&gt;=0.9,60,IF(AG53&gt;=0.85,40,IF(AG53&gt;=0.8,25,0))))),0)</f>
        <v/>
      </c>
      <c r="AF53" s="73">
        <f>IFERROR(0.35*V53+0.3*U53+0.1*W53+0.1*X53+0.1*Y53+0.05*AR53,0)</f>
        <v/>
      </c>
      <c r="AG53" s="73" t="n">
        <v>1</v>
      </c>
      <c r="AH53" s="70" t="inlineStr">
        <is>
          <t>No current employment-stability penalty applied in this first-pass entry. Local-source screening found a current compensation model and no broad current layoff/closure evidence; keep monitoring annual Wisconsin funding pressure.</t>
        </is>
      </c>
      <c r="AI53" s="105">
        <f>IF('Score Inputs'!$B$3="Bachelor's",CHOOSE(MATCH('Score Inputs'!$B$4,{0,5,10},0),D53,E53,F53),CHOOSE(MATCH('Score Inputs'!$B$4,{0,5,10},0),G53,H53,I53))</f>
        <v/>
      </c>
      <c r="AJ53" s="105">
        <f>IFERROR(AI53/12,0)</f>
        <v/>
      </c>
      <c r="AK53" s="120">
        <f>IFERROR(O53/AJ53,0)</f>
        <v/>
      </c>
      <c r="AL53" s="109">
        <f>IFERROR(IF(AK53&lt;=25%,100,IF(AK53&lt;=30%,100-(AK53-25%)/5%*30,IF(AK53&lt;=35%,70-(AK53-30%)/5%*10,IF(AK53&lt;=40%,60-(AK53-35%)/5%*20,MAX(0,40-(AK53-40%)/10%*40))))),0)</f>
        <v/>
      </c>
      <c r="AM53" s="105">
        <f>IFERROR(PMT('Score Inputs'!$B$5/12,'Score Inputs'!$B$7*12,-N53*(1-'Score Inputs'!$B$6)),0)</f>
        <v/>
      </c>
      <c r="AN53" s="120">
        <f>IFERROR(AM53/AJ53,0)</f>
        <v/>
      </c>
      <c r="AO53" s="109">
        <f>IFERROR(IF(AN53&lt;=25%,100,IF(AN53&lt;=30%,100-(AN53-25%)/5%*30,IF(AN53&lt;=35%,70-(AN53-30%)/5%*10,IF(AN53&lt;=40%,60-(AN53-35%)/5%*20,MAX(0,40-(AN53-40%)/10%*40))))),0)</f>
        <v/>
      </c>
      <c r="AP53" s="105">
        <f>IFERROR(AJ53-O53,0)</f>
        <v/>
      </c>
      <c r="AQ53" s="109">
        <f>IFERROR(MAX(0,MIN(100,(AP53-'Score Inputs'!$B$8)/('Score Inputs'!$B$9-'Score Inputs'!$B$8)*100)),0)</f>
        <v/>
      </c>
      <c r="AR53" s="109">
        <f>IFERROR(INDEX('State Funding Lookup'!$B$2:$B$86,MATCH($A53,'State Funding Lookup'!$A$2:$A$86,0)),0)</f>
        <v/>
      </c>
      <c r="AS53" s="78">
        <f>AK53</f>
        <v/>
      </c>
      <c r="AT53" s="78">
        <f>AN53</f>
        <v/>
      </c>
    </row>
    <row r="54" ht="30" customHeight="1" s="104">
      <c r="A54" s="79" t="inlineStr">
        <is>
          <t>Twin Falls School District</t>
        </is>
      </c>
      <c r="B54" s="79">
        <f>IFERROR(INDEX('School District Profiles'!$B$2:$B$86,MATCH($A54,'School District Profiles'!$A$2:$A$86,0)),"")</f>
        <v/>
      </c>
      <c r="C54" s="79">
        <f>IFERROR(INDEX('School District Profiles'!$C$2:$C$86,MATCH($A54,'School District Profiles'!$A$2:$A$86,0)),"")</f>
        <v/>
      </c>
      <c r="D54" s="80">
        <f>IFERROR(SUMIFS('Teacher Salary Data'!$E$2:$E$1871,'Teacher Salary Data'!$A$2:$A$1871,$A54,'Teacher Salary Data'!$C$2:$C$1871,"Bachelor's",'Teacher Salary Data'!$D$2:$D$1871,0),0)</f>
        <v/>
      </c>
      <c r="E54" s="80">
        <f>IFERROR(SUMIFS('Teacher Salary Data'!$E$2:$E$1871,'Teacher Salary Data'!$A$2:$A$1871,$A54,'Teacher Salary Data'!$C$2:$C$1871,"Bachelor's",'Teacher Salary Data'!$D$2:$D$1871,5),0)</f>
        <v/>
      </c>
      <c r="F54" s="80">
        <f>IFERROR(SUMIFS('Teacher Salary Data'!$E$2:$E$1871,'Teacher Salary Data'!$A$2:$A$1871,$A54,'Teacher Salary Data'!$C$2:$C$1871,"Bachelor's",'Teacher Salary Data'!$D$2:$D$1871,10),0)</f>
        <v/>
      </c>
      <c r="G54" s="80">
        <f>IFERROR(SUMIFS('Teacher Salary Data'!$E$2:$E$1871,'Teacher Salary Data'!$A$2:$A$1871,$A54,'Teacher Salary Data'!$C$2:$C$1871,"Master's",'Teacher Salary Data'!$D$2:$D$1871,0),0)</f>
        <v/>
      </c>
      <c r="H54" s="80">
        <f>IFERROR(SUMIFS('Teacher Salary Data'!$E$2:$E$1871,'Teacher Salary Data'!$A$2:$A$1871,$A54,'Teacher Salary Data'!$C$2:$C$1871,"Master's",'Teacher Salary Data'!$D$2:$D$1871,5),0)</f>
        <v/>
      </c>
      <c r="I54" s="80">
        <f>IFERROR(SUMIFS('Teacher Salary Data'!$E$2:$E$1871,'Teacher Salary Data'!$A$2:$A$1871,$A54,'Teacher Salary Data'!$C$2:$C$1871,"Master's",'Teacher Salary Data'!$D$2:$D$1871,10),0)</f>
        <v/>
      </c>
      <c r="J54" s="80">
        <f>AVERAGE(D54,G54)</f>
        <v/>
      </c>
      <c r="K54" s="80">
        <f>AVERAGE(F54,I54)</f>
        <v/>
      </c>
      <c r="L54" s="117">
        <f>IFERROR((K54-J54)/J54,0)</f>
        <v/>
      </c>
      <c r="M54" s="79">
        <f>G54-D54</f>
        <v/>
      </c>
      <c r="N54" s="80">
        <f>IFERROR(INDEX('Median Home and Rent Prices'!$D$2:$D$86,MATCH($A54,'Median Home and Rent Prices'!$A$2:$A$86,0)),0)</f>
        <v/>
      </c>
      <c r="O54" s="80">
        <f>IFERROR(INDEX('Median Home and Rent Prices'!$E$2:$E$86,MATCH($A54,'Median Home and Rent Prices'!$A$2:$A$86,0)),0)</f>
        <v/>
      </c>
      <c r="P54" s="79">
        <f>IFERROR(INDEX('School District Profiles'!$H$2:$H$86,MATCH($A54,'School District Profiles'!$A$2:$A$86,0)),0)</f>
        <v/>
      </c>
      <c r="Q54" s="80">
        <f>IFERROR(INDEX('School District Profiles'!$I$2:$I$86,MATCH($A54,'School District Profiles'!$A$2:$A$86,0)),0)</f>
        <v/>
      </c>
      <c r="R54" s="82">
        <f>IFERROR(IF(($AI54-('Score Inputs'!$B$4*1500+IF('Score Inputs'!$B$3="Master's",4000,0)))&lt;53000,MAX(0,MIN(39.99,((($AI54-('Score Inputs'!$B$4*1500+IF('Score Inputs'!$B$3="Master's",4000,0))))-45000)/8000*39.99)),IF(($AI54-('Score Inputs'!$B$4*1500+IF('Score Inputs'!$B$3="Master's",4000,0)))&lt;58000,40+((($AI54-('Score Inputs'!$B$4*1500+IF('Score Inputs'!$B$3="Master's",4000,0))))-53000)/5000*20,IF(($AI54-('Score Inputs'!$B$4*1500+IF('Score Inputs'!$B$3="Master's",4000,0)))&lt;63000,60+((($AI54-('Score Inputs'!$B$4*1500+IF('Score Inputs'!$B$3="Master's",4000,0))))-58000)/5000*10,IF(($AI54-('Score Inputs'!$B$4*1500+IF('Score Inputs'!$B$3="Master's",4000,0)))&lt;70000,70+((($AI54-('Score Inputs'!$B$4*1500+IF('Score Inputs'!$B$3="Master's",4000,0))))-63000)/7000*10,IF(($AI54-('Score Inputs'!$B$4*1500+IF('Score Inputs'!$B$3="Master's",4000,0)))&lt;75000,80+((($AI54-('Score Inputs'!$B$4*1500+IF('Score Inputs'!$B$3="Master's",4000,0))))-70000)/5000*10,MIN(100,90+((($AI54-('Score Inputs'!$B$4*1500+IF('Score Inputs'!$B$3="Master's",4000,0))))-75000)/5000*10)))))),0)</f>
        <v/>
      </c>
      <c r="S54" s="82">
        <f>IFERROR(MAX(0,MIN(100,L54/0.48*100)),0)</f>
        <v/>
      </c>
      <c r="T54" s="82">
        <f>IFERROR(MAX(0,MIN(100,M54/15000*100)),0)</f>
        <v/>
      </c>
      <c r="U54" s="82">
        <f>IFERROR(0.5*R54+0.35*S54+0.15*T54,0)</f>
        <v/>
      </c>
      <c r="V54" s="82">
        <f>IFERROR(0.35*AL54+0.3*AO54+0.25*AB54+0.1*AQ54,0)</f>
        <v/>
      </c>
      <c r="W54" s="82">
        <f>IFERROR(MAX(0,MIN(100,(25-P54)/(25-12)*100)),0)</f>
        <v/>
      </c>
      <c r="X54" s="82">
        <f>IFERROR(MAX(0,MIN(100,(AD54-1)/(3-1)*100))*IF(OR($A54="North Clackamas School District",$A54="Provo City School District"),0.6,1),0)</f>
        <v/>
      </c>
      <c r="Y54" s="82">
        <f>IFERROR(MAX(0,MIN(100,(1-((IFERROR(INDEX('School District Profiles'!$D$2:$D$86,MATCH($A54,'School District Profiles'!$A$2:$A$86,0)),0)/100)^2+(IFERROR(INDEX('School District Profiles'!$E$2:$E$86,MATCH($A54,'School District Profiles'!$A$2:$A$86,0)),0)/100)^2+(IFERROR(INDEX('School District Profiles'!$F$2:$F$86,MATCH($A54,'School District Profiles'!$A$2:$A$86,0)),0)/100)^2+(IFERROR(INDEX('School District Profiles'!$G$2:$G$86,MATCH($A54,'School District Profiles'!$A$2:$A$86,0)),0)/100)^2+(AC54/100)^2))/0.8*100)),0)</f>
        <v/>
      </c>
      <c r="Z54" s="82">
        <f>IFERROR(AF54*AG54,0)</f>
        <v/>
      </c>
      <c r="AA54" s="79">
        <f>IFERROR(INDEX('Median Home and Rent Prices'!$F$2:$F$86,MATCH($A54,'Median Home and Rent Prices'!$A$2:$A$86,0)),0)</f>
        <v/>
      </c>
      <c r="AB54" s="82">
        <f>IFERROR(MAX(0,MIN(100,(800-AA54)/(800-150)*100)),0)</f>
        <v/>
      </c>
      <c r="AC54" s="79">
        <f>IFERROR(INDEX('School District Profiles'!$J$2:$J$86,MATCH($A54,'School District Profiles'!$A$2:$A$86,0)),0)</f>
        <v/>
      </c>
      <c r="AD54" s="82">
        <f>IFERROR(Q54*20/O54,0)</f>
        <v/>
      </c>
      <c r="AE54" s="82">
        <f>IFERROR(IF(AG54&gt;=1,100,IF(AG54&gt;=0.95,75,IF(AG54&gt;=0.9,60,IF(AG54&gt;=0.85,40,IF(AG54&gt;=0.8,25,0))))),0)</f>
        <v/>
      </c>
      <c r="AF54" s="82">
        <f>IFERROR(0.35*V54+0.3*U54+0.1*W54+0.1*X54+0.1*Y54+0.05*AR54,0)</f>
        <v/>
      </c>
      <c r="AG54" s="82" t="n">
        <v>1</v>
      </c>
      <c r="AH54" s="79" t="inlineStr">
        <is>
          <t>First-pass addition from public salary/housing sources. Verify official step placement, current sub pay, enrollment/budget stability, and district-boundary housing before final public ranking claims.</t>
        </is>
      </c>
      <c r="AI54" s="106">
        <f>IF('Score Inputs'!$B$3="Bachelor's",CHOOSE(MATCH('Score Inputs'!$B$4,{0,5,10},0),D54,E54,F54),CHOOSE(MATCH('Score Inputs'!$B$4,{0,5,10},0),G54,H54,I54))</f>
        <v/>
      </c>
      <c r="AJ54" s="106">
        <f>IFERROR(AI54/12,0)</f>
        <v/>
      </c>
      <c r="AK54" s="118">
        <f>IFERROR(O54/AJ54,0)</f>
        <v/>
      </c>
      <c r="AL54" s="110">
        <f>IFERROR(IF(AK54&lt;=25%,100,IF(AK54&lt;=30%,100-(AK54-25%)/5%*30,IF(AK54&lt;=35%,70-(AK54-30%)/5%*10,IF(AK54&lt;=40%,60-(AK54-35%)/5%*20,MAX(0,40-(AK54-40%)/10%*40))))),0)</f>
        <v/>
      </c>
      <c r="AM54" s="106">
        <f>IFERROR(PMT('Score Inputs'!$B$5/12,'Score Inputs'!$B$7*12,-N54*(1-'Score Inputs'!$B$6)),0)</f>
        <v/>
      </c>
      <c r="AN54" s="118">
        <f>IFERROR(AM54/AJ54,0)</f>
        <v/>
      </c>
      <c r="AO54" s="110">
        <f>IFERROR(IF(AN54&lt;=25%,100,IF(AN54&lt;=30%,100-(AN54-25%)/5%*30,IF(AN54&lt;=35%,70-(AN54-30%)/5%*10,IF(AN54&lt;=40%,60-(AN54-35%)/5%*20,MAX(0,40-(AN54-40%)/10%*40))))),0)</f>
        <v/>
      </c>
      <c r="AP54" s="106">
        <f>IFERROR(AJ54-O54,0)</f>
        <v/>
      </c>
      <c r="AQ54" s="110">
        <f>IFERROR(MAX(0,MIN(100,(AP54-'Score Inputs'!$B$8)/('Score Inputs'!$B$9-'Score Inputs'!$B$8)*100)),0)</f>
        <v/>
      </c>
      <c r="AR54" s="110">
        <f>IFERROR(INDEX('State Funding Lookup'!$B$2:$B$86,MATCH($A54,'State Funding Lookup'!$A$2:$A$86,0)),0)</f>
        <v/>
      </c>
      <c r="AS54" s="87">
        <f>AK54</f>
        <v/>
      </c>
      <c r="AT54" s="87">
        <f>AN54</f>
        <v/>
      </c>
    </row>
    <row r="55" ht="30" customHeight="1" s="104">
      <c r="A55" s="70" t="inlineStr">
        <is>
          <t>San Antonio ISD</t>
        </is>
      </c>
      <c r="B55" s="70">
        <f>IFERROR(INDEX('School District Profiles'!$B$2:$B$86,MATCH($A55,'School District Profiles'!$A$2:$A$86,0)),"")</f>
        <v/>
      </c>
      <c r="C55" s="70">
        <f>IFERROR(INDEX('School District Profiles'!$C$2:$C$86,MATCH($A55,'School District Profiles'!$A$2:$A$86,0)),"")</f>
        <v/>
      </c>
      <c r="D55" s="71">
        <f>IFERROR(SUMIFS('Teacher Salary Data'!$E$2:$E$1871,'Teacher Salary Data'!$A$2:$A$1871,$A55,'Teacher Salary Data'!$C$2:$C$1871,"Bachelor's",'Teacher Salary Data'!$D$2:$D$1871,0),0)</f>
        <v/>
      </c>
      <c r="E55" s="71">
        <f>IFERROR(SUMIFS('Teacher Salary Data'!$E$2:$E$1871,'Teacher Salary Data'!$A$2:$A$1871,$A55,'Teacher Salary Data'!$C$2:$C$1871,"Bachelor's",'Teacher Salary Data'!$D$2:$D$1871,5),0)</f>
        <v/>
      </c>
      <c r="F55" s="71">
        <f>IFERROR(SUMIFS('Teacher Salary Data'!$E$2:$E$1871,'Teacher Salary Data'!$A$2:$A$1871,$A55,'Teacher Salary Data'!$C$2:$C$1871,"Bachelor's",'Teacher Salary Data'!$D$2:$D$1871,10),0)</f>
        <v/>
      </c>
      <c r="G55" s="71">
        <f>IFERROR(SUMIFS('Teacher Salary Data'!$E$2:$E$1871,'Teacher Salary Data'!$A$2:$A$1871,$A55,'Teacher Salary Data'!$C$2:$C$1871,"Master's",'Teacher Salary Data'!$D$2:$D$1871,0),0)</f>
        <v/>
      </c>
      <c r="H55" s="71">
        <f>IFERROR(SUMIFS('Teacher Salary Data'!$E$2:$E$1871,'Teacher Salary Data'!$A$2:$A$1871,$A55,'Teacher Salary Data'!$C$2:$C$1871,"Master's",'Teacher Salary Data'!$D$2:$D$1871,5),0)</f>
        <v/>
      </c>
      <c r="I55" s="71">
        <f>IFERROR(SUMIFS('Teacher Salary Data'!$E$2:$E$1871,'Teacher Salary Data'!$A$2:$A$1871,$A55,'Teacher Salary Data'!$C$2:$C$1871,"Master's",'Teacher Salary Data'!$D$2:$D$1871,10),0)</f>
        <v/>
      </c>
      <c r="J55" s="71">
        <f>AVERAGE(D55,G55)</f>
        <v/>
      </c>
      <c r="K55" s="71">
        <f>AVERAGE(F55,I55)</f>
        <v/>
      </c>
      <c r="L55" s="119">
        <f>IFERROR((K55-J55)/J55,0)</f>
        <v/>
      </c>
      <c r="M55" s="71">
        <f>G55-D55</f>
        <v/>
      </c>
      <c r="N55" s="71">
        <f>IFERROR(INDEX('Median Home and Rent Prices'!$D$2:$D$86,MATCH($A55,'Median Home and Rent Prices'!$A$2:$A$86,0)),0)</f>
        <v/>
      </c>
      <c r="O55" s="71">
        <f>IFERROR(INDEX('Median Home and Rent Prices'!$E$2:$E$86,MATCH($A55,'Median Home and Rent Prices'!$A$2:$A$86,0)),0)</f>
        <v/>
      </c>
      <c r="P55" s="73">
        <f>IFERROR(INDEX('School District Profiles'!$H$2:$H$86,MATCH($A55,'School District Profiles'!$A$2:$A$86,0)),0)</f>
        <v/>
      </c>
      <c r="Q55" s="71">
        <f>IFERROR(INDEX('School District Profiles'!$I$2:$I$86,MATCH($A55,'School District Profiles'!$A$2:$A$86,0)),0)</f>
        <v/>
      </c>
      <c r="R55" s="73">
        <f>IFERROR(IF(($AI55-('Score Inputs'!$B$4*1500+IF('Score Inputs'!$B$3="Master's",4000,0)))&lt;53000,MAX(0,MIN(39.99,((($AI55-('Score Inputs'!$B$4*1500+IF('Score Inputs'!$B$3="Master's",4000,0))))-45000)/8000*39.99)),IF(($AI55-('Score Inputs'!$B$4*1500+IF('Score Inputs'!$B$3="Master's",4000,0)))&lt;58000,40+((($AI55-('Score Inputs'!$B$4*1500+IF('Score Inputs'!$B$3="Master's",4000,0))))-53000)/5000*20,IF(($AI55-('Score Inputs'!$B$4*1500+IF('Score Inputs'!$B$3="Master's",4000,0)))&lt;63000,60+((($AI55-('Score Inputs'!$B$4*1500+IF('Score Inputs'!$B$3="Master's",4000,0))))-58000)/5000*10,IF(($AI55-('Score Inputs'!$B$4*1500+IF('Score Inputs'!$B$3="Master's",4000,0)))&lt;70000,70+((($AI55-('Score Inputs'!$B$4*1500+IF('Score Inputs'!$B$3="Master's",4000,0))))-63000)/7000*10,IF(($AI55-('Score Inputs'!$B$4*1500+IF('Score Inputs'!$B$3="Master's",4000,0)))&lt;75000,80+((($AI55-('Score Inputs'!$B$4*1500+IF('Score Inputs'!$B$3="Master's",4000,0))))-70000)/5000*10,MIN(100,90+((($AI55-('Score Inputs'!$B$4*1500+IF('Score Inputs'!$B$3="Master's",4000,0))))-75000)/5000*10)))))),0)</f>
        <v/>
      </c>
      <c r="S55" s="73">
        <f>IFERROR(MAX(0,MIN(100,L55/0.48*100)),0)</f>
        <v/>
      </c>
      <c r="T55" s="73">
        <f>IFERROR(MAX(0,MIN(100,M55/15000*100)),0)</f>
        <v/>
      </c>
      <c r="U55" s="73">
        <f>IFERROR(0.5*R55+0.35*S55+0.15*T55,0)</f>
        <v/>
      </c>
      <c r="V55" s="73">
        <f>IFERROR(0.35*AL55+0.3*AO55+0.25*AB55+0.1*AQ55,0)</f>
        <v/>
      </c>
      <c r="W55" s="73">
        <f>IFERROR(MAX(0,MIN(100,(25-P55)/(25-12)*100)),0)</f>
        <v/>
      </c>
      <c r="X55" s="73">
        <f>IFERROR(MAX(0,MIN(100,(AD55-1)/(3-1)*100))*IF(OR($A55="North Clackamas School District",$A55="Provo City School District"),0.6,1),0)</f>
        <v/>
      </c>
      <c r="Y55" s="73">
        <f>IFERROR(MAX(0,MIN(100,(1-((IFERROR(INDEX('School District Profiles'!$D$2:$D$86,MATCH($A55,'School District Profiles'!$A$2:$A$86,0)),0)/100)^2+(IFERROR(INDEX('School District Profiles'!$E$2:$E$86,MATCH($A55,'School District Profiles'!$A$2:$A$86,0)),0)/100)^2+(IFERROR(INDEX('School District Profiles'!$F$2:$F$86,MATCH($A55,'School District Profiles'!$A$2:$A$86,0)),0)/100)^2+(IFERROR(INDEX('School District Profiles'!$G$2:$G$86,MATCH($A55,'School District Profiles'!$A$2:$A$86,0)),0)/100)^2+(AC55/100)^2))/0.8*100)),0)</f>
        <v/>
      </c>
      <c r="Z55" s="73">
        <f>IFERROR(AF55*AG55,0)</f>
        <v/>
      </c>
      <c r="AA55" s="74">
        <f>IFERROR(INDEX('Median Home and Rent Prices'!$F$2:$F$86,MATCH($A55,'Median Home and Rent Prices'!$A$2:$A$86,0)),0)</f>
        <v/>
      </c>
      <c r="AB55" s="73">
        <f>IFERROR(MAX(0,MIN(100,(800-AA55)/(800-150)*100)),0)</f>
        <v/>
      </c>
      <c r="AC55" s="119">
        <f>IFERROR(INDEX('School District Profiles'!$J$2:$J$86,MATCH($A55,'School District Profiles'!$A$2:$A$86,0)),0)</f>
        <v/>
      </c>
      <c r="AD55" s="73">
        <f>IFERROR(Q55*20/O55,0)</f>
        <v/>
      </c>
      <c r="AE55" s="73">
        <f>IFERROR(IF(AG55&gt;=1,100,IF(AG55&gt;=0.95,75,IF(AG55&gt;=0.9,60,IF(AG55&gt;=0.85,40,IF(AG55&gt;=0.8,25,0))))),0)</f>
        <v/>
      </c>
      <c r="AF55" s="73">
        <f>IFERROR(0.35*V55+0.3*U55+0.1*W55+0.1*X55+0.1*Y55+0.05*AR55,0)</f>
        <v/>
      </c>
      <c r="AG55" s="73" t="n">
        <v>0.85</v>
      </c>
      <c r="AH55" s="70" t="inlineStr">
        <is>
          <t>15% employment-stability penalty due to major deficit, school closures, declining enrollment, hiring freeze/cuts, and staffing-reduction risk.</t>
        </is>
      </c>
      <c r="AI55" s="105">
        <f>IF('Score Inputs'!$B$3="Bachelor's",CHOOSE(MATCH('Score Inputs'!$B$4,{0,5,10},0),D55,E55,F55),CHOOSE(MATCH('Score Inputs'!$B$4,{0,5,10},0),G55,H55,I55))</f>
        <v/>
      </c>
      <c r="AJ55" s="105">
        <f>IFERROR(AI55/12,0)</f>
        <v/>
      </c>
      <c r="AK55" s="120">
        <f>IFERROR(O55/AJ55,0)</f>
        <v/>
      </c>
      <c r="AL55" s="109">
        <f>IFERROR(IF(AK55&lt;=25%,100,IF(AK55&lt;=30%,100-(AK55-25%)/5%*30,IF(AK55&lt;=35%,70-(AK55-30%)/5%*10,IF(AK55&lt;=40%,60-(AK55-35%)/5%*20,MAX(0,40-(AK55-40%)/10%*40))))),0)</f>
        <v/>
      </c>
      <c r="AM55" s="105">
        <f>IFERROR(PMT('Score Inputs'!$B$5/12,'Score Inputs'!$B$7*12,-N55*(1-'Score Inputs'!$B$6)),0)</f>
        <v/>
      </c>
      <c r="AN55" s="120">
        <f>IFERROR(AM55/AJ55,0)</f>
        <v/>
      </c>
      <c r="AO55" s="109">
        <f>IFERROR(IF(AN55&lt;=25%,100,IF(AN55&lt;=30%,100-(AN55-25%)/5%*30,IF(AN55&lt;=35%,70-(AN55-30%)/5%*10,IF(AN55&lt;=40%,60-(AN55-35%)/5%*20,MAX(0,40-(AN55-40%)/10%*40))))),0)</f>
        <v/>
      </c>
      <c r="AP55" s="105">
        <f>IFERROR(AJ55-O55,0)</f>
        <v/>
      </c>
      <c r="AQ55" s="109">
        <f>IFERROR(MAX(0,MIN(100,(AP55-'Score Inputs'!$B$8)/('Score Inputs'!$B$9-'Score Inputs'!$B$8)*100)),0)</f>
        <v/>
      </c>
      <c r="AR55" s="109">
        <f>IFERROR(INDEX('State Funding Lookup'!$B$2:$B$86,MATCH($A55,'State Funding Lookup'!$A$2:$A$86,0)),0)</f>
        <v/>
      </c>
      <c r="AS55" s="78">
        <f>AK55</f>
        <v/>
      </c>
      <c r="AT55" s="78">
        <f>AN55</f>
        <v/>
      </c>
    </row>
    <row r="56" ht="30" customHeight="1" s="104">
      <c r="A56" s="89" t="inlineStr">
        <is>
          <t>Leander ISD</t>
        </is>
      </c>
      <c r="B56" s="89">
        <f>IFERROR(INDEX('School District Profiles'!$B$2:$B$86,MATCH($A56,'School District Profiles'!$A$2:$A$86,0)),"")</f>
        <v/>
      </c>
      <c r="C56" s="89">
        <f>IFERROR(INDEX('School District Profiles'!$C$2:$C$86,MATCH($A56,'School District Profiles'!$A$2:$A$86,0)),"")</f>
        <v/>
      </c>
      <c r="D56" s="91">
        <f>IFERROR(SUMIFS('Teacher Salary Data'!$E$2:$E$1871,'Teacher Salary Data'!$A$2:$A$1871,$A56,'Teacher Salary Data'!$C$2:$C$1871,"Bachelor's",'Teacher Salary Data'!$D$2:$D$1871,0),0)</f>
        <v/>
      </c>
      <c r="E56" s="91">
        <f>IFERROR(SUMIFS('Teacher Salary Data'!$E$2:$E$1871,'Teacher Salary Data'!$A$2:$A$1871,$A56,'Teacher Salary Data'!$C$2:$C$1871,"Bachelor's",'Teacher Salary Data'!$D$2:$D$1871,5),0)</f>
        <v/>
      </c>
      <c r="F56" s="91">
        <f>IFERROR(SUMIFS('Teacher Salary Data'!$E$2:$E$1871,'Teacher Salary Data'!$A$2:$A$1871,$A56,'Teacher Salary Data'!$C$2:$C$1871,"Bachelor's",'Teacher Salary Data'!$D$2:$D$1871,10),0)</f>
        <v/>
      </c>
      <c r="G56" s="91">
        <f>IFERROR(SUMIFS('Teacher Salary Data'!$E$2:$E$1871,'Teacher Salary Data'!$A$2:$A$1871,$A56,'Teacher Salary Data'!$C$2:$C$1871,"Master's",'Teacher Salary Data'!$D$2:$D$1871,0),0)</f>
        <v/>
      </c>
      <c r="H56" s="91">
        <f>IFERROR(SUMIFS('Teacher Salary Data'!$E$2:$E$1871,'Teacher Salary Data'!$A$2:$A$1871,$A56,'Teacher Salary Data'!$C$2:$C$1871,"Master's",'Teacher Salary Data'!$D$2:$D$1871,5),0)</f>
        <v/>
      </c>
      <c r="I56" s="91">
        <f>IFERROR(SUMIFS('Teacher Salary Data'!$E$2:$E$1871,'Teacher Salary Data'!$A$2:$A$1871,$A56,'Teacher Salary Data'!$C$2:$C$1871,"Master's",'Teacher Salary Data'!$D$2:$D$1871,10),0)</f>
        <v/>
      </c>
      <c r="J56" s="91">
        <f>AVERAGE(D56,G56)</f>
        <v/>
      </c>
      <c r="K56" s="91">
        <f>AVERAGE(F56,I56)</f>
        <v/>
      </c>
      <c r="L56" s="121">
        <f>IFERROR((K56-J56)/J56,0)</f>
        <v/>
      </c>
      <c r="M56" s="91">
        <f>G56-D56</f>
        <v/>
      </c>
      <c r="N56" s="91">
        <f>IFERROR(INDEX('Median Home and Rent Prices'!$D$2:$D$86,MATCH($A56,'Median Home and Rent Prices'!$A$2:$A$86,0)),0)</f>
        <v/>
      </c>
      <c r="O56" s="91">
        <f>IFERROR(INDEX('Median Home and Rent Prices'!$E$2:$E$86,MATCH($A56,'Median Home and Rent Prices'!$A$2:$A$86,0)),0)</f>
        <v/>
      </c>
      <c r="P56" s="94">
        <f>IFERROR(INDEX('School District Profiles'!$H$2:$H$86,MATCH($A56,'School District Profiles'!$A$2:$A$86,0)),0)</f>
        <v/>
      </c>
      <c r="Q56" s="91">
        <f>IFERROR(INDEX('School District Profiles'!$I$2:$I$86,MATCH($A56,'School District Profiles'!$A$2:$A$86,0)),0)</f>
        <v/>
      </c>
      <c r="R56" s="94">
        <f>IFERROR(IF(($AI56-('Score Inputs'!$B$4*1500+IF('Score Inputs'!$B$3="Master's",4000,0)))&lt;53000,MAX(0,MIN(39.99,((($AI56-('Score Inputs'!$B$4*1500+IF('Score Inputs'!$B$3="Master's",4000,0))))-45000)/8000*39.99)),IF(($AI56-('Score Inputs'!$B$4*1500+IF('Score Inputs'!$B$3="Master's",4000,0)))&lt;58000,40+((($AI56-('Score Inputs'!$B$4*1500+IF('Score Inputs'!$B$3="Master's",4000,0))))-53000)/5000*20,IF(($AI56-('Score Inputs'!$B$4*1500+IF('Score Inputs'!$B$3="Master's",4000,0)))&lt;63000,60+((($AI56-('Score Inputs'!$B$4*1500+IF('Score Inputs'!$B$3="Master's",4000,0))))-58000)/5000*10,IF(($AI56-('Score Inputs'!$B$4*1500+IF('Score Inputs'!$B$3="Master's",4000,0)))&lt;70000,70+((($AI56-('Score Inputs'!$B$4*1500+IF('Score Inputs'!$B$3="Master's",4000,0))))-63000)/7000*10,IF(($AI56-('Score Inputs'!$B$4*1500+IF('Score Inputs'!$B$3="Master's",4000,0)))&lt;75000,80+((($AI56-('Score Inputs'!$B$4*1500+IF('Score Inputs'!$B$3="Master's",4000,0))))-70000)/5000*10,MIN(100,90+((($AI56-('Score Inputs'!$B$4*1500+IF('Score Inputs'!$B$3="Master's",4000,0))))-75000)/5000*10)))))),0)</f>
        <v/>
      </c>
      <c r="S56" s="94">
        <f>IFERROR(MAX(0,MIN(100,L56/0.48*100)),0)</f>
        <v/>
      </c>
      <c r="T56" s="94">
        <f>IFERROR(MAX(0,MIN(100,M56/15000*100)),0)</f>
        <v/>
      </c>
      <c r="U56" s="94">
        <f>IFERROR(0.5*R56+0.35*S56+0.15*T56,0)</f>
        <v/>
      </c>
      <c r="V56" s="94">
        <f>IFERROR(0.35*AL56+0.3*AO56+0.25*AB56+0.1*AQ56,0)</f>
        <v/>
      </c>
      <c r="W56" s="94">
        <f>IFERROR(MAX(0,MIN(100,(25-P56)/(25-12)*100)),0)</f>
        <v/>
      </c>
      <c r="X56" s="94">
        <f>IFERROR(MAX(0,MIN(100,(AD56-1)/(3-1)*100))*IF(OR($A56="North Clackamas School District",$A56="Provo City School District"),0.6,1),0)</f>
        <v/>
      </c>
      <c r="Y56" s="94">
        <f>IFERROR(MAX(0,MIN(100,(1-((IFERROR(INDEX('School District Profiles'!$D$2:$D$86,MATCH($A56,'School District Profiles'!$A$2:$A$86,0)),0)/100)^2+(IFERROR(INDEX('School District Profiles'!$E$2:$E$86,MATCH($A56,'School District Profiles'!$A$2:$A$86,0)),0)/100)^2+(IFERROR(INDEX('School District Profiles'!$F$2:$F$86,MATCH($A56,'School District Profiles'!$A$2:$A$86,0)),0)/100)^2+(IFERROR(INDEX('School District Profiles'!$G$2:$G$86,MATCH($A56,'School District Profiles'!$A$2:$A$86,0)),0)/100)^2+(AC56/100)^2))/0.8*100)),0)</f>
        <v/>
      </c>
      <c r="Z56" s="94">
        <f>IFERROR(AF56*AG56,0)</f>
        <v/>
      </c>
      <c r="AA56" s="96">
        <f>IFERROR(INDEX('Median Home and Rent Prices'!$F$2:$F$86,MATCH($A56,'Median Home and Rent Prices'!$A$2:$A$86,0)),0)</f>
        <v/>
      </c>
      <c r="AB56" s="94">
        <f>IFERROR(MAX(0,MIN(100,(800-AA56)/(800-150)*100)),0)</f>
        <v/>
      </c>
      <c r="AC56" s="121">
        <f>IFERROR(INDEX('School District Profiles'!$J$2:$J$86,MATCH($A56,'School District Profiles'!$A$2:$A$86,0)),0)</f>
        <v/>
      </c>
      <c r="AD56" s="94">
        <f>IFERROR(Q56*20/O56,0)</f>
        <v/>
      </c>
      <c r="AE56" s="73">
        <f>IFERROR(IF(AG56&gt;=1,100,IF(AG56&gt;=0.95,75,IF(AG56&gt;=0.9,60,IF(AG56&gt;=0.85,40,IF(AG56&gt;=0.8,25,0))))),0)</f>
        <v/>
      </c>
      <c r="AF56" s="73">
        <f>IFERROR(0.35*V56+0.3*U56+0.1*W56+0.1*X56+0.1*Y56+0.05*AR56,0)</f>
        <v/>
      </c>
      <c r="AG56" s="73" t="n">
        <v>0.9</v>
      </c>
      <c r="AH56" s="70" t="inlineStr">
        <is>
          <t>10% employment-stability penalty due to declining enrollment, projected deficit, and school-closure/consolidation discussions; teacher-layoff risk appears partly mitigated by attrition.</t>
        </is>
      </c>
      <c r="AI56" s="105">
        <f>IF('Score Inputs'!$B$3="Bachelor's",CHOOSE(MATCH('Score Inputs'!$B$4,{0,5,10},0),D56,E56,F56),CHOOSE(MATCH('Score Inputs'!$B$4,{0,5,10},0),G56,H56,I56))</f>
        <v/>
      </c>
      <c r="AJ56" s="105">
        <f>IFERROR(AI56/12,0)</f>
        <v/>
      </c>
      <c r="AK56" s="120">
        <f>IFERROR(O56/AJ56,0)</f>
        <v/>
      </c>
      <c r="AL56" s="109">
        <f>IFERROR(IF(AK56&lt;=25%,100,IF(AK56&lt;=30%,100-(AK56-25%)/5%*30,IF(AK56&lt;=35%,70-(AK56-30%)/5%*10,IF(AK56&lt;=40%,60-(AK56-35%)/5%*20,MAX(0,40-(AK56-40%)/10%*40))))),0)</f>
        <v/>
      </c>
      <c r="AM56" s="105">
        <f>IFERROR(PMT('Score Inputs'!$B$5/12,'Score Inputs'!$B$7*12,-N56*(1-'Score Inputs'!$B$6)),0)</f>
        <v/>
      </c>
      <c r="AN56" s="120">
        <f>IFERROR(AM56/AJ56,0)</f>
        <v/>
      </c>
      <c r="AO56" s="109">
        <f>IFERROR(IF(AN56&lt;=25%,100,IF(AN56&lt;=30%,100-(AN56-25%)/5%*30,IF(AN56&lt;=35%,70-(AN56-30%)/5%*10,IF(AN56&lt;=40%,60-(AN56-35%)/5%*20,MAX(0,40-(AN56-40%)/10%*40))))),0)</f>
        <v/>
      </c>
      <c r="AP56" s="105">
        <f>IFERROR(AJ56-O56,0)</f>
        <v/>
      </c>
      <c r="AQ56" s="109">
        <f>IFERROR(MAX(0,MIN(100,(AP56-'Score Inputs'!$B$8)/('Score Inputs'!$B$9-'Score Inputs'!$B$8)*100)),0)</f>
        <v/>
      </c>
      <c r="AR56" s="109">
        <f>IFERROR(INDEX('State Funding Lookup'!$B$2:$B$86,MATCH($A56,'State Funding Lookup'!$A$2:$A$86,0)),0)</f>
        <v/>
      </c>
      <c r="AS56" s="78">
        <f>AK56</f>
        <v/>
      </c>
      <c r="AT56" s="78">
        <f>AN56</f>
        <v/>
      </c>
    </row>
    <row r="57" ht="30" customHeight="1" s="104">
      <c r="A57" s="89" t="inlineStr">
        <is>
          <t>Cherry Creek School District</t>
        </is>
      </c>
      <c r="B57" s="89">
        <f>IFERROR(INDEX('School District Profiles'!$B$2:$B$86,MATCH($A57,'School District Profiles'!$A$2:$A$86,0)),"")</f>
        <v/>
      </c>
      <c r="C57" s="89">
        <f>IFERROR(INDEX('School District Profiles'!$C$2:$C$86,MATCH($A57,'School District Profiles'!$A$2:$A$86,0)),"")</f>
        <v/>
      </c>
      <c r="D57" s="91">
        <f>IFERROR(SUMIFS('Teacher Salary Data'!$E$2:$E$1871,'Teacher Salary Data'!$A$2:$A$1871,$A57,'Teacher Salary Data'!$C$2:$C$1871,"Bachelor's",'Teacher Salary Data'!$D$2:$D$1871,0),0)</f>
        <v/>
      </c>
      <c r="E57" s="91">
        <f>IFERROR(SUMIFS('Teacher Salary Data'!$E$2:$E$1871,'Teacher Salary Data'!$A$2:$A$1871,$A57,'Teacher Salary Data'!$C$2:$C$1871,"Bachelor's",'Teacher Salary Data'!$D$2:$D$1871,5),0)</f>
        <v/>
      </c>
      <c r="F57" s="91">
        <f>IFERROR(SUMIFS('Teacher Salary Data'!$E$2:$E$1871,'Teacher Salary Data'!$A$2:$A$1871,$A57,'Teacher Salary Data'!$C$2:$C$1871,"Bachelor's",'Teacher Salary Data'!$D$2:$D$1871,10),0)</f>
        <v/>
      </c>
      <c r="G57" s="91">
        <f>IFERROR(SUMIFS('Teacher Salary Data'!$E$2:$E$1871,'Teacher Salary Data'!$A$2:$A$1871,$A57,'Teacher Salary Data'!$C$2:$C$1871,"Master's",'Teacher Salary Data'!$D$2:$D$1871,0),0)</f>
        <v/>
      </c>
      <c r="H57" s="91">
        <f>IFERROR(SUMIFS('Teacher Salary Data'!$E$2:$E$1871,'Teacher Salary Data'!$A$2:$A$1871,$A57,'Teacher Salary Data'!$C$2:$C$1871,"Master's",'Teacher Salary Data'!$D$2:$D$1871,5),0)</f>
        <v/>
      </c>
      <c r="I57" s="91">
        <f>IFERROR(SUMIFS('Teacher Salary Data'!$E$2:$E$1871,'Teacher Salary Data'!$A$2:$A$1871,$A57,'Teacher Salary Data'!$C$2:$C$1871,"Master's",'Teacher Salary Data'!$D$2:$D$1871,10),0)</f>
        <v/>
      </c>
      <c r="J57" s="91">
        <f>AVERAGE(D57,G57)</f>
        <v/>
      </c>
      <c r="K57" s="91">
        <f>AVERAGE(F57,I57)</f>
        <v/>
      </c>
      <c r="L57" s="121">
        <f>IFERROR((K57-J57)/J57,0)</f>
        <v/>
      </c>
      <c r="M57" s="91">
        <f>G57-D57</f>
        <v/>
      </c>
      <c r="N57" s="91">
        <f>IFERROR(INDEX('Median Home and Rent Prices'!$D$2:$D$86,MATCH($A57,'Median Home and Rent Prices'!$A$2:$A$86,0)),0)</f>
        <v/>
      </c>
      <c r="O57" s="91">
        <f>IFERROR(INDEX('Median Home and Rent Prices'!$E$2:$E$86,MATCH($A57,'Median Home and Rent Prices'!$A$2:$A$86,0)),0)</f>
        <v/>
      </c>
      <c r="P57" s="94">
        <f>IFERROR(INDEX('School District Profiles'!$H$2:$H$86,MATCH($A57,'School District Profiles'!$A$2:$A$86,0)),0)</f>
        <v/>
      </c>
      <c r="Q57" s="91">
        <f>IFERROR(INDEX('School District Profiles'!$I$2:$I$86,MATCH($A57,'School District Profiles'!$A$2:$A$86,0)),0)</f>
        <v/>
      </c>
      <c r="R57" s="94">
        <f>IFERROR(IF(($AI57-('Score Inputs'!$B$4*1500+IF('Score Inputs'!$B$3="Master's",4000,0)))&lt;53000,MAX(0,MIN(39.99,((($AI57-('Score Inputs'!$B$4*1500+IF('Score Inputs'!$B$3="Master's",4000,0))))-45000)/8000*39.99)),IF(($AI57-('Score Inputs'!$B$4*1500+IF('Score Inputs'!$B$3="Master's",4000,0)))&lt;58000,40+((($AI57-('Score Inputs'!$B$4*1500+IF('Score Inputs'!$B$3="Master's",4000,0))))-53000)/5000*20,IF(($AI57-('Score Inputs'!$B$4*1500+IF('Score Inputs'!$B$3="Master's",4000,0)))&lt;63000,60+((($AI57-('Score Inputs'!$B$4*1500+IF('Score Inputs'!$B$3="Master's",4000,0))))-58000)/5000*10,IF(($AI57-('Score Inputs'!$B$4*1500+IF('Score Inputs'!$B$3="Master's",4000,0)))&lt;70000,70+((($AI57-('Score Inputs'!$B$4*1500+IF('Score Inputs'!$B$3="Master's",4000,0))))-63000)/7000*10,IF(($AI57-('Score Inputs'!$B$4*1500+IF('Score Inputs'!$B$3="Master's",4000,0)))&lt;75000,80+((($AI57-('Score Inputs'!$B$4*1500+IF('Score Inputs'!$B$3="Master's",4000,0))))-70000)/5000*10,MIN(100,90+((($AI57-('Score Inputs'!$B$4*1500+IF('Score Inputs'!$B$3="Master's",4000,0))))-75000)/5000*10)))))),0)</f>
        <v/>
      </c>
      <c r="S57" s="94">
        <f>IFERROR(MAX(0,MIN(100,L57/0.48*100)),0)</f>
        <v/>
      </c>
      <c r="T57" s="94">
        <f>IFERROR(MAX(0,MIN(100,M57/15000*100)),0)</f>
        <v/>
      </c>
      <c r="U57" s="94">
        <f>IFERROR(0.5*R57+0.35*S57+0.15*T57,0)</f>
        <v/>
      </c>
      <c r="V57" s="94">
        <f>IFERROR(0.35*AL57+0.3*AO57+0.25*AB57+0.1*AQ57,0)</f>
        <v/>
      </c>
      <c r="W57" s="94">
        <f>IFERROR(MAX(0,MIN(100,(25-P57)/(25-12)*100)),0)</f>
        <v/>
      </c>
      <c r="X57" s="94">
        <f>IFERROR(MAX(0,MIN(100,(AD57-1)/(3-1)*100))*IF(OR($A57="North Clackamas School District",$A57="Provo City School District"),0.6,1),0)</f>
        <v/>
      </c>
      <c r="Y57" s="94">
        <f>IFERROR(MAX(0,MIN(100,(1-((IFERROR(INDEX('School District Profiles'!$D$2:$D$86,MATCH($A57,'School District Profiles'!$A$2:$A$86,0)),0)/100)^2+(IFERROR(INDEX('School District Profiles'!$E$2:$E$86,MATCH($A57,'School District Profiles'!$A$2:$A$86,0)),0)/100)^2+(IFERROR(INDEX('School District Profiles'!$F$2:$F$86,MATCH($A57,'School District Profiles'!$A$2:$A$86,0)),0)/100)^2+(IFERROR(INDEX('School District Profiles'!$G$2:$G$86,MATCH($A57,'School District Profiles'!$A$2:$A$86,0)),0)/100)^2+(AC57/100)^2))/0.8*100)),0)</f>
        <v/>
      </c>
      <c r="Z57" s="94">
        <f>IFERROR(AF57*AG57,0)</f>
        <v/>
      </c>
      <c r="AA57" s="96">
        <f>IFERROR(INDEX('Median Home and Rent Prices'!$F$2:$F$86,MATCH($A57,'Median Home and Rent Prices'!$A$2:$A$86,0)),0)</f>
        <v/>
      </c>
      <c r="AB57" s="94">
        <f>IFERROR(MAX(0,MIN(100,(800-AA57)/(800-150)*100)),0)</f>
        <v/>
      </c>
      <c r="AC57" s="121">
        <f>IFERROR(INDEX('School District Profiles'!$J$2:$J$86,MATCH($A57,'School District Profiles'!$A$2:$A$86,0)),0)</f>
        <v/>
      </c>
      <c r="AD57" s="94">
        <f>IFERROR(Q57*20/O57,0)</f>
        <v/>
      </c>
      <c r="AE57" s="73">
        <f>IFERROR(IF(AG57&gt;=1,100,IF(AG57&gt;=0.95,75,IF(AG57&gt;=0.9,60,IF(AG57&gt;=0.85,40,IF(AG57&gt;=0.8,25,0))))),0)</f>
        <v/>
      </c>
      <c r="AF57" s="73">
        <f>IFERROR(0.35*V57+0.3*U57+0.1*W57+0.1*X57+0.1*Y57+0.05*AR57,0)</f>
        <v/>
      </c>
      <c r="AG57" s="73" t="n">
        <v>0.85</v>
      </c>
      <c r="AH57" s="70" t="inlineStr">
        <is>
          <t>15% employment-stability penalty due to announced job reductions and districtwide budget-cut plan.</t>
        </is>
      </c>
      <c r="AI57" s="105">
        <f>IF('Score Inputs'!$B$3="Bachelor's",CHOOSE(MATCH('Score Inputs'!$B$4,{0,5,10},0),D57,E57,F57),CHOOSE(MATCH('Score Inputs'!$B$4,{0,5,10},0),G57,H57,I57))</f>
        <v/>
      </c>
      <c r="AJ57" s="105">
        <f>IFERROR(AI57/12,0)</f>
        <v/>
      </c>
      <c r="AK57" s="120">
        <f>IFERROR(O57/AJ57,0)</f>
        <v/>
      </c>
      <c r="AL57" s="109">
        <f>IFERROR(IF(AK57&lt;=25%,100,IF(AK57&lt;=30%,100-(AK57-25%)/5%*30,IF(AK57&lt;=35%,70-(AK57-30%)/5%*10,IF(AK57&lt;=40%,60-(AK57-35%)/5%*20,MAX(0,40-(AK57-40%)/10%*40))))),0)</f>
        <v/>
      </c>
      <c r="AM57" s="105">
        <f>IFERROR(PMT('Score Inputs'!$B$5/12,'Score Inputs'!$B$7*12,-N57*(1-'Score Inputs'!$B$6)),0)</f>
        <v/>
      </c>
      <c r="AN57" s="120">
        <f>IFERROR(AM57/AJ57,0)</f>
        <v/>
      </c>
      <c r="AO57" s="109">
        <f>IFERROR(IF(AN57&lt;=25%,100,IF(AN57&lt;=30%,100-(AN57-25%)/5%*30,IF(AN57&lt;=35%,70-(AN57-30%)/5%*10,IF(AN57&lt;=40%,60-(AN57-35%)/5%*20,MAX(0,40-(AN57-40%)/10%*40))))),0)</f>
        <v/>
      </c>
      <c r="AP57" s="105">
        <f>IFERROR(AJ57-O57,0)</f>
        <v/>
      </c>
      <c r="AQ57" s="109">
        <f>IFERROR(MAX(0,MIN(100,(AP57-'Score Inputs'!$B$8)/('Score Inputs'!$B$9-'Score Inputs'!$B$8)*100)),0)</f>
        <v/>
      </c>
      <c r="AR57" s="109">
        <f>IFERROR(INDEX('State Funding Lookup'!$B$2:$B$86,MATCH($A57,'State Funding Lookup'!$A$2:$A$86,0)),0)</f>
        <v/>
      </c>
      <c r="AS57" s="78">
        <f>AK57</f>
        <v/>
      </c>
      <c r="AT57" s="78">
        <f>AN57</f>
        <v/>
      </c>
    </row>
    <row r="58" ht="30" customHeight="1" s="104">
      <c r="A58" s="79" t="inlineStr">
        <is>
          <t>Plano ISD</t>
        </is>
      </c>
      <c r="B58" s="79">
        <f>IFERROR(INDEX('School District Profiles'!$B$2:$B$86,MATCH($A58,'School District Profiles'!$A$2:$A$86,0)),"")</f>
        <v/>
      </c>
      <c r="C58" s="79">
        <f>IFERROR(INDEX('School District Profiles'!$C$2:$C$86,MATCH($A58,'School District Profiles'!$A$2:$A$86,0)),"")</f>
        <v/>
      </c>
      <c r="D58" s="80">
        <f>IFERROR(SUMIFS('Teacher Salary Data'!$E$2:$E$1871,'Teacher Salary Data'!$A$2:$A$1871,$A58,'Teacher Salary Data'!$C$2:$C$1871,"Bachelor's",'Teacher Salary Data'!$D$2:$D$1871,0),0)</f>
        <v/>
      </c>
      <c r="E58" s="80">
        <f>IFERROR(SUMIFS('Teacher Salary Data'!$E$2:$E$1871,'Teacher Salary Data'!$A$2:$A$1871,$A58,'Teacher Salary Data'!$C$2:$C$1871,"Bachelor's",'Teacher Salary Data'!$D$2:$D$1871,5),0)</f>
        <v/>
      </c>
      <c r="F58" s="80">
        <f>IFERROR(SUMIFS('Teacher Salary Data'!$E$2:$E$1871,'Teacher Salary Data'!$A$2:$A$1871,$A58,'Teacher Salary Data'!$C$2:$C$1871,"Bachelor's",'Teacher Salary Data'!$D$2:$D$1871,10),0)</f>
        <v/>
      </c>
      <c r="G58" s="80">
        <f>IFERROR(SUMIFS('Teacher Salary Data'!$E$2:$E$1871,'Teacher Salary Data'!$A$2:$A$1871,$A58,'Teacher Salary Data'!$C$2:$C$1871,"Master's",'Teacher Salary Data'!$D$2:$D$1871,0),0)</f>
        <v/>
      </c>
      <c r="H58" s="80">
        <f>IFERROR(SUMIFS('Teacher Salary Data'!$E$2:$E$1871,'Teacher Salary Data'!$A$2:$A$1871,$A58,'Teacher Salary Data'!$C$2:$C$1871,"Master's",'Teacher Salary Data'!$D$2:$D$1871,5),0)</f>
        <v/>
      </c>
      <c r="I58" s="80">
        <f>IFERROR(SUMIFS('Teacher Salary Data'!$E$2:$E$1871,'Teacher Salary Data'!$A$2:$A$1871,$A58,'Teacher Salary Data'!$C$2:$C$1871,"Master's",'Teacher Salary Data'!$D$2:$D$1871,10),0)</f>
        <v/>
      </c>
      <c r="J58" s="80">
        <f>AVERAGE(D58,G58)</f>
        <v/>
      </c>
      <c r="K58" s="80">
        <f>AVERAGE(F58,I58)</f>
        <v/>
      </c>
      <c r="L58" s="117">
        <f>IFERROR((K58-J58)/J58,0)</f>
        <v/>
      </c>
      <c r="M58" s="79">
        <f>G58-D58</f>
        <v/>
      </c>
      <c r="N58" s="80">
        <f>IFERROR(INDEX('Median Home and Rent Prices'!$D$2:$D$86,MATCH($A58,'Median Home and Rent Prices'!$A$2:$A$86,0)),0)</f>
        <v/>
      </c>
      <c r="O58" s="80">
        <f>IFERROR(INDEX('Median Home and Rent Prices'!$E$2:$E$86,MATCH($A58,'Median Home and Rent Prices'!$A$2:$A$86,0)),0)</f>
        <v/>
      </c>
      <c r="P58" s="79">
        <f>IFERROR(INDEX('School District Profiles'!$H$2:$H$86,MATCH($A58,'School District Profiles'!$A$2:$A$86,0)),0)</f>
        <v/>
      </c>
      <c r="Q58" s="80">
        <f>IFERROR(INDEX('School District Profiles'!$I$2:$I$86,MATCH($A58,'School District Profiles'!$A$2:$A$86,0)),0)</f>
        <v/>
      </c>
      <c r="R58" s="82">
        <f>IFERROR(IF(($AI58-('Score Inputs'!$B$4*1500+IF('Score Inputs'!$B$3="Master's",4000,0)))&lt;53000,MAX(0,MIN(39.99,((($AI58-('Score Inputs'!$B$4*1500+IF('Score Inputs'!$B$3="Master's",4000,0))))-45000)/8000*39.99)),IF(($AI58-('Score Inputs'!$B$4*1500+IF('Score Inputs'!$B$3="Master's",4000,0)))&lt;58000,40+((($AI58-('Score Inputs'!$B$4*1500+IF('Score Inputs'!$B$3="Master's",4000,0))))-53000)/5000*20,IF(($AI58-('Score Inputs'!$B$4*1500+IF('Score Inputs'!$B$3="Master's",4000,0)))&lt;63000,60+((($AI58-('Score Inputs'!$B$4*1500+IF('Score Inputs'!$B$3="Master's",4000,0))))-58000)/5000*10,IF(($AI58-('Score Inputs'!$B$4*1500+IF('Score Inputs'!$B$3="Master's",4000,0)))&lt;70000,70+((($AI58-('Score Inputs'!$B$4*1500+IF('Score Inputs'!$B$3="Master's",4000,0))))-63000)/7000*10,IF(($AI58-('Score Inputs'!$B$4*1500+IF('Score Inputs'!$B$3="Master's",4000,0)))&lt;75000,80+((($AI58-('Score Inputs'!$B$4*1500+IF('Score Inputs'!$B$3="Master's",4000,0))))-70000)/5000*10,MIN(100,90+((($AI58-('Score Inputs'!$B$4*1500+IF('Score Inputs'!$B$3="Master's",4000,0))))-75000)/5000*10)))))),0)</f>
        <v/>
      </c>
      <c r="S58" s="82">
        <f>IFERROR(MAX(0,MIN(100,L58/0.48*100)),0)</f>
        <v/>
      </c>
      <c r="T58" s="82">
        <f>IFERROR(MAX(0,MIN(100,M58/15000*100)),0)</f>
        <v/>
      </c>
      <c r="U58" s="82">
        <f>IFERROR(0.5*R58+0.35*S58+0.15*T58,0)</f>
        <v/>
      </c>
      <c r="V58" s="82">
        <f>IFERROR(0.35*AL58+0.3*AO58+0.25*AB58+0.1*AQ58,0)</f>
        <v/>
      </c>
      <c r="W58" s="82">
        <f>IFERROR(MAX(0,MIN(100,(25-P58)/(25-12)*100)),0)</f>
        <v/>
      </c>
      <c r="X58" s="82">
        <f>IFERROR(MAX(0,MIN(100,(AD58-1)/(3-1)*100))*IF(OR($A58="North Clackamas School District",$A58="Provo City School District"),0.6,1),0)</f>
        <v/>
      </c>
      <c r="Y58" s="82">
        <f>IFERROR(MAX(0,MIN(100,(1-((IFERROR(INDEX('School District Profiles'!$D$2:$D$86,MATCH($A58,'School District Profiles'!$A$2:$A$86,0)),0)/100)^2+(IFERROR(INDEX('School District Profiles'!$E$2:$E$86,MATCH($A58,'School District Profiles'!$A$2:$A$86,0)),0)/100)^2+(IFERROR(INDEX('School District Profiles'!$F$2:$F$86,MATCH($A58,'School District Profiles'!$A$2:$A$86,0)),0)/100)^2+(IFERROR(INDEX('School District Profiles'!$G$2:$G$86,MATCH($A58,'School District Profiles'!$A$2:$A$86,0)),0)/100)^2+(AC58/100)^2))/0.8*100)),0)</f>
        <v/>
      </c>
      <c r="Z58" s="82">
        <f>IFERROR(AF58*AG58,0)</f>
        <v/>
      </c>
      <c r="AA58" s="82">
        <f>IFERROR(INDEX('Median Home and Rent Prices'!$F$2:$F$86,MATCH($A58,'Median Home and Rent Prices'!$A$2:$A$86,0)),0)</f>
        <v/>
      </c>
      <c r="AB58" s="82">
        <f>IFERROR(MAX(0,MIN(100,(800-AA58)/(800-150)*100)),0)</f>
        <v/>
      </c>
      <c r="AC58" s="82">
        <f>IFERROR(INDEX('School District Profiles'!$J$2:$J$86,MATCH($A58,'School District Profiles'!$A$2:$A$86,0)),0)</f>
        <v/>
      </c>
      <c r="AD58" s="82">
        <f>IFERROR(Q58*20/O58,0)</f>
        <v/>
      </c>
      <c r="AE58" s="82">
        <f>IFERROR(IF(AG58&gt;=1,100,IF(AG58&gt;=0.95,75,IF(AG58&gt;=0.9,60,IF(AG58&gt;=0.85,40,IF(AG58&gt;=0.8,25,0))))),0)</f>
        <v/>
      </c>
      <c r="AF58" s="82">
        <f>IFERROR(0.35*V58+0.3*U58+0.1*W58+0.1*X58+0.1*Y58+0.05*AR58,0)</f>
        <v/>
      </c>
      <c r="AG58" s="82" t="n">
        <v>1</v>
      </c>
      <c r="AH58" s="79" t="inlineStr">
        <is>
          <t>No employment-stability penalty applied in this first-pass addition; verify with adopted budget, enrollment trend, board packets, and HR/union notices before final scoring.</t>
        </is>
      </c>
      <c r="AI58" s="106">
        <f>IF('Score Inputs'!$B$3="Bachelor's",CHOOSE(MATCH('Score Inputs'!$B$4,{0,5,10},0),D58,E58,F58),CHOOSE(MATCH('Score Inputs'!$B$4,{0,5,10},0),G58,H58,I58))</f>
        <v/>
      </c>
      <c r="AJ58" s="106">
        <f>IFERROR(AI58/12,0)</f>
        <v/>
      </c>
      <c r="AK58" s="118">
        <f>IFERROR(O58/AJ58,0)</f>
        <v/>
      </c>
      <c r="AL58" s="110">
        <f>IFERROR(IF(AK58&lt;=25%,100,IF(AK58&lt;=30%,100-(AK58-25%)/5%*30,IF(AK58&lt;=35%,70-(AK58-30%)/5%*10,IF(AK58&lt;=40%,60-(AK58-35%)/5%*20,MAX(0,40-(AK58-40%)/10%*40))))),0)</f>
        <v/>
      </c>
      <c r="AM58" s="106">
        <f>IFERROR(PMT('Score Inputs'!$B$5/12,'Score Inputs'!$B$7*12,-N58*(1-'Score Inputs'!$B$6)),0)</f>
        <v/>
      </c>
      <c r="AN58" s="118">
        <f>IFERROR(AM58/AJ58,0)</f>
        <v/>
      </c>
      <c r="AO58" s="110">
        <f>IFERROR(IF(AN58&lt;=25%,100,IF(AN58&lt;=30%,100-(AN58-25%)/5%*30,IF(AN58&lt;=35%,70-(AN58-30%)/5%*10,IF(AN58&lt;=40%,60-(AN58-35%)/5%*20,MAX(0,40-(AN58-40%)/10%*40))))),0)</f>
        <v/>
      </c>
      <c r="AP58" s="106">
        <f>IFERROR(AJ58-O58,0)</f>
        <v/>
      </c>
      <c r="AQ58" s="110">
        <f>IFERROR(MAX(0,MIN(100,(AP58-'Score Inputs'!$B$8)/('Score Inputs'!$B$9-'Score Inputs'!$B$8)*100)),0)</f>
        <v/>
      </c>
      <c r="AR58" s="110">
        <f>IFERROR(INDEX('State Funding Lookup'!$B$2:$B$86,MATCH($A58,'State Funding Lookup'!$A$2:$A$86,0)),0)</f>
        <v/>
      </c>
      <c r="AS58" s="87">
        <f>AK58</f>
        <v/>
      </c>
      <c r="AT58" s="87">
        <f>AN58</f>
        <v/>
      </c>
    </row>
    <row r="59" ht="30" customHeight="1" s="104">
      <c r="A59" s="89" t="inlineStr">
        <is>
          <t>Denver Public Schools</t>
        </is>
      </c>
      <c r="B59" s="89">
        <f>IFERROR(INDEX('School District Profiles'!$B$2:$B$86,MATCH($A59,'School District Profiles'!$A$2:$A$86,0)),"")</f>
        <v/>
      </c>
      <c r="C59" s="89">
        <f>IFERROR(INDEX('School District Profiles'!$C$2:$C$86,MATCH($A59,'School District Profiles'!$A$2:$A$86,0)),"")</f>
        <v/>
      </c>
      <c r="D59" s="91">
        <f>IFERROR(SUMIFS('Teacher Salary Data'!$E$2:$E$1871,'Teacher Salary Data'!$A$2:$A$1871,$A59,'Teacher Salary Data'!$C$2:$C$1871,"Bachelor's",'Teacher Salary Data'!$D$2:$D$1871,0),0)</f>
        <v/>
      </c>
      <c r="E59" s="91">
        <f>IFERROR(SUMIFS('Teacher Salary Data'!$E$2:$E$1871,'Teacher Salary Data'!$A$2:$A$1871,$A59,'Teacher Salary Data'!$C$2:$C$1871,"Bachelor's",'Teacher Salary Data'!$D$2:$D$1871,5),0)</f>
        <v/>
      </c>
      <c r="F59" s="91">
        <f>IFERROR(SUMIFS('Teacher Salary Data'!$E$2:$E$1871,'Teacher Salary Data'!$A$2:$A$1871,$A59,'Teacher Salary Data'!$C$2:$C$1871,"Bachelor's",'Teacher Salary Data'!$D$2:$D$1871,10),0)</f>
        <v/>
      </c>
      <c r="G59" s="91">
        <f>IFERROR(SUMIFS('Teacher Salary Data'!$E$2:$E$1871,'Teacher Salary Data'!$A$2:$A$1871,$A59,'Teacher Salary Data'!$C$2:$C$1871,"Master's",'Teacher Salary Data'!$D$2:$D$1871,0),0)</f>
        <v/>
      </c>
      <c r="H59" s="91">
        <f>IFERROR(SUMIFS('Teacher Salary Data'!$E$2:$E$1871,'Teacher Salary Data'!$A$2:$A$1871,$A59,'Teacher Salary Data'!$C$2:$C$1871,"Master's",'Teacher Salary Data'!$D$2:$D$1871,5),0)</f>
        <v/>
      </c>
      <c r="I59" s="91">
        <f>IFERROR(SUMIFS('Teacher Salary Data'!$E$2:$E$1871,'Teacher Salary Data'!$A$2:$A$1871,$A59,'Teacher Salary Data'!$C$2:$C$1871,"Master's",'Teacher Salary Data'!$D$2:$D$1871,10),0)</f>
        <v/>
      </c>
      <c r="J59" s="91">
        <f>AVERAGE(D59,G59)</f>
        <v/>
      </c>
      <c r="K59" s="91">
        <f>AVERAGE(F59,I59)</f>
        <v/>
      </c>
      <c r="L59" s="121">
        <f>IFERROR((K59-J59)/J59,0)</f>
        <v/>
      </c>
      <c r="M59" s="91">
        <f>G59-D59</f>
        <v/>
      </c>
      <c r="N59" s="91">
        <f>IFERROR(INDEX('Median Home and Rent Prices'!$D$2:$D$86,MATCH($A59,'Median Home and Rent Prices'!$A$2:$A$86,0)),0)</f>
        <v/>
      </c>
      <c r="O59" s="91">
        <f>IFERROR(INDEX('Median Home and Rent Prices'!$E$2:$E$86,MATCH($A59,'Median Home and Rent Prices'!$A$2:$A$86,0)),0)</f>
        <v/>
      </c>
      <c r="P59" s="94">
        <f>IFERROR(INDEX('School District Profiles'!$H$2:$H$86,MATCH($A59,'School District Profiles'!$A$2:$A$86,0)),0)</f>
        <v/>
      </c>
      <c r="Q59" s="91">
        <f>IFERROR(INDEX('School District Profiles'!$I$2:$I$86,MATCH($A59,'School District Profiles'!$A$2:$A$86,0)),0)</f>
        <v/>
      </c>
      <c r="R59" s="94">
        <f>IFERROR(IF(($AI59-('Score Inputs'!$B$4*1500+IF('Score Inputs'!$B$3="Master's",4000,0)))&lt;53000,MAX(0,MIN(39.99,((($AI59-('Score Inputs'!$B$4*1500+IF('Score Inputs'!$B$3="Master's",4000,0))))-45000)/8000*39.99)),IF(($AI59-('Score Inputs'!$B$4*1500+IF('Score Inputs'!$B$3="Master's",4000,0)))&lt;58000,40+((($AI59-('Score Inputs'!$B$4*1500+IF('Score Inputs'!$B$3="Master's",4000,0))))-53000)/5000*20,IF(($AI59-('Score Inputs'!$B$4*1500+IF('Score Inputs'!$B$3="Master's",4000,0)))&lt;63000,60+((($AI59-('Score Inputs'!$B$4*1500+IF('Score Inputs'!$B$3="Master's",4000,0))))-58000)/5000*10,IF(($AI59-('Score Inputs'!$B$4*1500+IF('Score Inputs'!$B$3="Master's",4000,0)))&lt;70000,70+((($AI59-('Score Inputs'!$B$4*1500+IF('Score Inputs'!$B$3="Master's",4000,0))))-63000)/7000*10,IF(($AI59-('Score Inputs'!$B$4*1500+IF('Score Inputs'!$B$3="Master's",4000,0)))&lt;75000,80+((($AI59-('Score Inputs'!$B$4*1500+IF('Score Inputs'!$B$3="Master's",4000,0))))-70000)/5000*10,MIN(100,90+((($AI59-('Score Inputs'!$B$4*1500+IF('Score Inputs'!$B$3="Master's",4000,0))))-75000)/5000*10)))))),0)</f>
        <v/>
      </c>
      <c r="S59" s="94">
        <f>IFERROR(MAX(0,MIN(100,L59/0.48*100)),0)</f>
        <v/>
      </c>
      <c r="T59" s="94">
        <f>IFERROR(MAX(0,MIN(100,M59/15000*100)),0)</f>
        <v/>
      </c>
      <c r="U59" s="94">
        <f>IFERROR(0.5*R59+0.35*S59+0.15*T59,0)</f>
        <v/>
      </c>
      <c r="V59" s="94">
        <f>IFERROR(0.35*AL59+0.3*AO59+0.25*AB59+0.1*AQ59,0)</f>
        <v/>
      </c>
      <c r="W59" s="94">
        <f>IFERROR(MAX(0,MIN(100,(25-P59)/(25-12)*100)),0)</f>
        <v/>
      </c>
      <c r="X59" s="94">
        <f>IFERROR(MAX(0,MIN(100,(AD59-1)/(3-1)*100))*IF(OR($A59="North Clackamas School District",$A59="Provo City School District"),0.6,1),0)</f>
        <v/>
      </c>
      <c r="Y59" s="94">
        <f>IFERROR(MAX(0,MIN(100,(1-((IFERROR(INDEX('School District Profiles'!$D$2:$D$86,MATCH($A59,'School District Profiles'!$A$2:$A$86,0)),0)/100)^2+(IFERROR(INDEX('School District Profiles'!$E$2:$E$86,MATCH($A59,'School District Profiles'!$A$2:$A$86,0)),0)/100)^2+(IFERROR(INDEX('School District Profiles'!$F$2:$F$86,MATCH($A59,'School District Profiles'!$A$2:$A$86,0)),0)/100)^2+(IFERROR(INDEX('School District Profiles'!$G$2:$G$86,MATCH($A59,'School District Profiles'!$A$2:$A$86,0)),0)/100)^2+(AC59/100)^2))/0.8*100)),0)</f>
        <v/>
      </c>
      <c r="Z59" s="94">
        <f>IFERROR(AF59*AG59,0)</f>
        <v/>
      </c>
      <c r="AA59" s="96">
        <f>IFERROR(INDEX('Median Home and Rent Prices'!$F$2:$F$86,MATCH($A59,'Median Home and Rent Prices'!$A$2:$A$86,0)),0)</f>
        <v/>
      </c>
      <c r="AB59" s="94">
        <f>IFERROR(MAX(0,MIN(100,(800-AA59)/(800-150)*100)),0)</f>
        <v/>
      </c>
      <c r="AC59" s="121">
        <f>IFERROR(INDEX('School District Profiles'!$J$2:$J$86,MATCH($A59,'School District Profiles'!$A$2:$A$86,0)),0)</f>
        <v/>
      </c>
      <c r="AD59" s="94">
        <f>IFERROR(Q59*20/O59,0)</f>
        <v/>
      </c>
      <c r="AE59" s="73">
        <f>IFERROR(IF(AG59&gt;=1,100,IF(AG59&gt;=0.95,75,IF(AG59&gt;=0.9,60,IF(AG59&gt;=0.85,40,IF(AG59&gt;=0.8,25,0))))),0)</f>
        <v/>
      </c>
      <c r="AF59" s="73">
        <f>IFERROR(0.35*V59+0.3*U59+0.1*W59+0.1*X59+0.1*Y59+0.05*AR59,0)</f>
        <v/>
      </c>
      <c r="AG59" s="73" t="n">
        <v>0.9</v>
      </c>
      <c r="AH59" s="70" t="inlineStr">
        <is>
          <t>10% employment-stability penalty due to central-office layoffs, declining enrollment pressure, and warnings about possible additional school closures.</t>
        </is>
      </c>
      <c r="AI59" s="105">
        <f>IF('Score Inputs'!$B$3="Bachelor's",CHOOSE(MATCH('Score Inputs'!$B$4,{0,5,10},0),D59,E59,F59),CHOOSE(MATCH('Score Inputs'!$B$4,{0,5,10},0),G59,H59,I59))</f>
        <v/>
      </c>
      <c r="AJ59" s="105">
        <f>IFERROR(AI59/12,0)</f>
        <v/>
      </c>
      <c r="AK59" s="120">
        <f>IFERROR(O59/AJ59,0)</f>
        <v/>
      </c>
      <c r="AL59" s="109">
        <f>IFERROR(IF(AK59&lt;=25%,100,IF(AK59&lt;=30%,100-(AK59-25%)/5%*30,IF(AK59&lt;=35%,70-(AK59-30%)/5%*10,IF(AK59&lt;=40%,60-(AK59-35%)/5%*20,MAX(0,40-(AK59-40%)/10%*40))))),0)</f>
        <v/>
      </c>
      <c r="AM59" s="105">
        <f>IFERROR(PMT('Score Inputs'!$B$5/12,'Score Inputs'!$B$7*12,-N59*(1-'Score Inputs'!$B$6)),0)</f>
        <v/>
      </c>
      <c r="AN59" s="120">
        <f>IFERROR(AM59/AJ59,0)</f>
        <v/>
      </c>
      <c r="AO59" s="109">
        <f>IFERROR(IF(AN59&lt;=25%,100,IF(AN59&lt;=30%,100-(AN59-25%)/5%*30,IF(AN59&lt;=35%,70-(AN59-30%)/5%*10,IF(AN59&lt;=40%,60-(AN59-35%)/5%*20,MAX(0,40-(AN59-40%)/10%*40))))),0)</f>
        <v/>
      </c>
      <c r="AP59" s="105">
        <f>IFERROR(AJ59-O59,0)</f>
        <v/>
      </c>
      <c r="AQ59" s="109">
        <f>IFERROR(MAX(0,MIN(100,(AP59-'Score Inputs'!$B$8)/('Score Inputs'!$B$9-'Score Inputs'!$B$8)*100)),0)</f>
        <v/>
      </c>
      <c r="AR59" s="109">
        <f>IFERROR(INDEX('State Funding Lookup'!$B$2:$B$86,MATCH($A59,'State Funding Lookup'!$A$2:$A$86,0)),0)</f>
        <v/>
      </c>
      <c r="AS59" s="78">
        <f>AK59</f>
        <v/>
      </c>
      <c r="AT59" s="78">
        <f>AN59</f>
        <v/>
      </c>
    </row>
    <row r="60" ht="30" customHeight="1" s="104">
      <c r="A60" s="79" t="inlineStr">
        <is>
          <t>Edina Public Schools</t>
        </is>
      </c>
      <c r="B60" s="79">
        <f>IFERROR(INDEX('School District Profiles'!$B$2:$B$86,MATCH($A60,'School District Profiles'!$A$2:$A$86,0)),"")</f>
        <v/>
      </c>
      <c r="C60" s="79">
        <f>IFERROR(INDEX('School District Profiles'!$C$2:$C$86,MATCH($A60,'School District Profiles'!$A$2:$A$86,0)),"")</f>
        <v/>
      </c>
      <c r="D60" s="80">
        <f>IFERROR(SUMIFS('Teacher Salary Data'!$E$2:$E$1871,'Teacher Salary Data'!$A$2:$A$1871,$A60,'Teacher Salary Data'!$C$2:$C$1871,"Bachelor's",'Teacher Salary Data'!$D$2:$D$1871,0),0)</f>
        <v/>
      </c>
      <c r="E60" s="80">
        <f>IFERROR(SUMIFS('Teacher Salary Data'!$E$2:$E$1871,'Teacher Salary Data'!$A$2:$A$1871,$A60,'Teacher Salary Data'!$C$2:$C$1871,"Bachelor's",'Teacher Salary Data'!$D$2:$D$1871,5),0)</f>
        <v/>
      </c>
      <c r="F60" s="80">
        <f>IFERROR(SUMIFS('Teacher Salary Data'!$E$2:$E$1871,'Teacher Salary Data'!$A$2:$A$1871,$A60,'Teacher Salary Data'!$C$2:$C$1871,"Bachelor's",'Teacher Salary Data'!$D$2:$D$1871,10),0)</f>
        <v/>
      </c>
      <c r="G60" s="80">
        <f>IFERROR(SUMIFS('Teacher Salary Data'!$E$2:$E$1871,'Teacher Salary Data'!$A$2:$A$1871,$A60,'Teacher Salary Data'!$C$2:$C$1871,"Master's",'Teacher Salary Data'!$D$2:$D$1871,0),0)</f>
        <v/>
      </c>
      <c r="H60" s="80">
        <f>IFERROR(SUMIFS('Teacher Salary Data'!$E$2:$E$1871,'Teacher Salary Data'!$A$2:$A$1871,$A60,'Teacher Salary Data'!$C$2:$C$1871,"Master's",'Teacher Salary Data'!$D$2:$D$1871,5),0)</f>
        <v/>
      </c>
      <c r="I60" s="80">
        <f>IFERROR(SUMIFS('Teacher Salary Data'!$E$2:$E$1871,'Teacher Salary Data'!$A$2:$A$1871,$A60,'Teacher Salary Data'!$C$2:$C$1871,"Master's",'Teacher Salary Data'!$D$2:$D$1871,10),0)</f>
        <v/>
      </c>
      <c r="J60" s="80">
        <f>AVERAGE(D60,G60)</f>
        <v/>
      </c>
      <c r="K60" s="80">
        <f>AVERAGE(F60,I60)</f>
        <v/>
      </c>
      <c r="L60" s="117">
        <f>IFERROR((K60-J60)/J60,0)</f>
        <v/>
      </c>
      <c r="M60" s="80">
        <f>G60-D60</f>
        <v/>
      </c>
      <c r="N60" s="80">
        <f>IFERROR(INDEX('Median Home and Rent Prices'!$D$2:$D$86,MATCH($A60,'Median Home and Rent Prices'!$A$2:$A$86,0)),0)</f>
        <v/>
      </c>
      <c r="O60" s="80">
        <f>IFERROR(INDEX('Median Home and Rent Prices'!$E$2:$E$86,MATCH($A60,'Median Home and Rent Prices'!$A$2:$A$86,0)),0)</f>
        <v/>
      </c>
      <c r="P60" s="79">
        <f>IFERROR(INDEX('School District Profiles'!$H$2:$H$86,MATCH($A60,'School District Profiles'!$A$2:$A$86,0)),0)</f>
        <v/>
      </c>
      <c r="Q60" s="80">
        <f>IFERROR(INDEX('School District Profiles'!$I$2:$I$86,MATCH($A60,'School District Profiles'!$A$2:$A$86,0)),0)</f>
        <v/>
      </c>
      <c r="R60" s="82">
        <f>IFERROR(IF(($AI60-('Score Inputs'!$B$4*1500+IF('Score Inputs'!$B$3="Master's",4000,0)))&lt;53000,MAX(0,MIN(39.99,((($AI60-('Score Inputs'!$B$4*1500+IF('Score Inputs'!$B$3="Master's",4000,0))))-45000)/8000*39.99)),IF(($AI60-('Score Inputs'!$B$4*1500+IF('Score Inputs'!$B$3="Master's",4000,0)))&lt;58000,40+((($AI60-('Score Inputs'!$B$4*1500+IF('Score Inputs'!$B$3="Master's",4000,0))))-53000)/5000*20,IF(($AI60-('Score Inputs'!$B$4*1500+IF('Score Inputs'!$B$3="Master's",4000,0)))&lt;63000,60+((($AI60-('Score Inputs'!$B$4*1500+IF('Score Inputs'!$B$3="Master's",4000,0))))-58000)/5000*10,IF(($AI60-('Score Inputs'!$B$4*1500+IF('Score Inputs'!$B$3="Master's",4000,0)))&lt;70000,70+((($AI60-('Score Inputs'!$B$4*1500+IF('Score Inputs'!$B$3="Master's",4000,0))))-63000)/7000*10,IF(($AI60-('Score Inputs'!$B$4*1500+IF('Score Inputs'!$B$3="Master's",4000,0)))&lt;75000,80+((($AI60-('Score Inputs'!$B$4*1500+IF('Score Inputs'!$B$3="Master's",4000,0))))-70000)/5000*10,MIN(100,90+((($AI60-('Score Inputs'!$B$4*1500+IF('Score Inputs'!$B$3="Master's",4000,0))))-75000)/5000*10)))))),0)</f>
        <v/>
      </c>
      <c r="S60" s="82">
        <f>IFERROR(MAX(0,MIN(100,L60/0.48*100)),0)</f>
        <v/>
      </c>
      <c r="T60" s="82">
        <f>IFERROR(MAX(0,MIN(100,M60/15000*100)),0)</f>
        <v/>
      </c>
      <c r="U60" s="82">
        <f>IFERROR(0.5*R60+0.35*S60+0.15*T60,0)</f>
        <v/>
      </c>
      <c r="V60" s="82">
        <f>IFERROR(0.35*AL60+0.3*AO60+0.25*AB60+0.1*AQ60,0)</f>
        <v/>
      </c>
      <c r="W60" s="82">
        <f>IFERROR(MAX(0,MIN(100,(25-P60)/(25-12)*100)),0)</f>
        <v/>
      </c>
      <c r="X60" s="82">
        <f>IFERROR(MAX(0,MIN(100,(AD60-1)/(3-1)*100))*IF(OR($A60="North Clackamas School District",$A60="Provo City School District"),0.6,1),0)</f>
        <v/>
      </c>
      <c r="Y60" s="82">
        <f>IFERROR(MAX(0,MIN(100,(1-((IFERROR(INDEX('School District Profiles'!$D$2:$D$86,MATCH($A60,'School District Profiles'!$A$2:$A$86,0)),0)/100)^2+(IFERROR(INDEX('School District Profiles'!$E$2:$E$86,MATCH($A60,'School District Profiles'!$A$2:$A$86,0)),0)/100)^2+(IFERROR(INDEX('School District Profiles'!$F$2:$F$86,MATCH($A60,'School District Profiles'!$A$2:$A$86,0)),0)/100)^2+(IFERROR(INDEX('School District Profiles'!$G$2:$G$86,MATCH($A60,'School District Profiles'!$A$2:$A$86,0)),0)/100)^2+(AC60/100)^2))/0.8*100)),0)</f>
        <v/>
      </c>
      <c r="Z60" s="82">
        <f>IFERROR(AF60*AG60,0)</f>
        <v/>
      </c>
      <c r="AA60" s="83">
        <f>IFERROR(INDEX('Median Home and Rent Prices'!$F$2:$F$86,MATCH($A60,'Median Home and Rent Prices'!$A$2:$A$86,0)),0)</f>
        <v/>
      </c>
      <c r="AB60" s="82">
        <f>IFERROR(MAX(0,MIN(100,(800-AA60)/(800-150)*100)),0)</f>
        <v/>
      </c>
      <c r="AC60" s="79">
        <f>IFERROR(INDEX('School District Profiles'!$J$2:$J$86,MATCH($A60,'School District Profiles'!$A$2:$A$86,0)),0)</f>
        <v/>
      </c>
      <c r="AD60" s="82">
        <f>IFERROR(Q60*20/O60,0)</f>
        <v/>
      </c>
      <c r="AE60" s="82">
        <f>IFERROR(IF(AG60&gt;=1,100,IF(AG60&gt;=0.95,75,IF(AG60&gt;=0.9,60,IF(AG60&gt;=0.85,40,IF(AG60&gt;=0.8,25,0))))),0)</f>
        <v/>
      </c>
      <c r="AF60" s="82">
        <f>IFERROR(0.35*V60+0.3*U60+0.1*W60+0.1*X60+0.1*Y60+0.05*AR60,0)</f>
        <v/>
      </c>
      <c r="AG60" s="82" t="n">
        <v>1</v>
      </c>
      <c r="AH60" s="79" t="inlineStr">
        <is>
          <t>Round 3 first-pass entry; Edina uses Kelly Education for substitutes, so daily sub rate is estimated pending verification.</t>
        </is>
      </c>
      <c r="AI60" s="106">
        <f>IF('Score Inputs'!$B$3="Bachelor's",CHOOSE(MATCH('Score Inputs'!$B$4,{0,5,10},0),D60,E60,F60),CHOOSE(MATCH('Score Inputs'!$B$4,{0,5,10},0),G60,H60,I60))</f>
        <v/>
      </c>
      <c r="AJ60" s="106">
        <f>IFERROR(AI60/12,0)</f>
        <v/>
      </c>
      <c r="AK60" s="118">
        <f>IFERROR(O60/AJ60,0)</f>
        <v/>
      </c>
      <c r="AL60" s="110">
        <f>IFERROR(IF(AK60&lt;=25%,100,IF(AK60&lt;=30%,100-(AK60-25%)/5%*30,IF(AK60&lt;=35%,70-(AK60-30%)/5%*10,IF(AK60&lt;=40%,60-(AK60-35%)/5%*20,MAX(0,40-(AK60-40%)/10%*40))))),0)</f>
        <v/>
      </c>
      <c r="AM60" s="106">
        <f>IFERROR(PMT('Score Inputs'!$B$5/12,'Score Inputs'!$B$7*12,-N60*(1-'Score Inputs'!$B$6)),0)</f>
        <v/>
      </c>
      <c r="AN60" s="118">
        <f>IFERROR(AM60/AJ60,0)</f>
        <v/>
      </c>
      <c r="AO60" s="110">
        <f>IFERROR(IF(AN60&lt;=25%,100,IF(AN60&lt;=30%,100-(AN60-25%)/5%*30,IF(AN60&lt;=35%,70-(AN60-30%)/5%*10,IF(AN60&lt;=40%,60-(AN60-35%)/5%*20,MAX(0,40-(AN60-40%)/10%*40))))),0)</f>
        <v/>
      </c>
      <c r="AP60" s="106">
        <f>IFERROR(AJ60-O60,0)</f>
        <v/>
      </c>
      <c r="AQ60" s="110">
        <f>IFERROR(MAX(0,MIN(100,(AP60-'Score Inputs'!$B$8)/('Score Inputs'!$B$9-'Score Inputs'!$B$8)*100)),0)</f>
        <v/>
      </c>
      <c r="AR60" s="110">
        <f>IFERROR(INDEX('State Funding Lookup'!$B$2:$B$86,MATCH($A60,'State Funding Lookup'!$A$2:$A$86,0)),0)</f>
        <v/>
      </c>
      <c r="AS60" s="87">
        <f>AK60</f>
        <v/>
      </c>
      <c r="AT60" s="87">
        <f>AN60</f>
        <v/>
      </c>
    </row>
    <row r="61" ht="30" customHeight="1" s="104">
      <c r="A61" s="89" t="inlineStr">
        <is>
          <t>Lake Washington School District</t>
        </is>
      </c>
      <c r="B61" s="89">
        <f>IFERROR(INDEX('School District Profiles'!$B$2:$B$86,MATCH($A61,'School District Profiles'!$A$2:$A$86,0)),"")</f>
        <v/>
      </c>
      <c r="C61" s="89">
        <f>IFERROR(INDEX('School District Profiles'!$C$2:$C$86,MATCH($A61,'School District Profiles'!$A$2:$A$86,0)),"")</f>
        <v/>
      </c>
      <c r="D61" s="91">
        <f>IFERROR(SUMIFS('Teacher Salary Data'!$E$2:$E$1871,'Teacher Salary Data'!$A$2:$A$1871,$A61,'Teacher Salary Data'!$C$2:$C$1871,"Bachelor's",'Teacher Salary Data'!$D$2:$D$1871,0),0)</f>
        <v/>
      </c>
      <c r="E61" s="91">
        <f>IFERROR(SUMIFS('Teacher Salary Data'!$E$2:$E$1871,'Teacher Salary Data'!$A$2:$A$1871,$A61,'Teacher Salary Data'!$C$2:$C$1871,"Bachelor's",'Teacher Salary Data'!$D$2:$D$1871,5),0)</f>
        <v/>
      </c>
      <c r="F61" s="91">
        <f>IFERROR(SUMIFS('Teacher Salary Data'!$E$2:$E$1871,'Teacher Salary Data'!$A$2:$A$1871,$A61,'Teacher Salary Data'!$C$2:$C$1871,"Bachelor's",'Teacher Salary Data'!$D$2:$D$1871,10),0)</f>
        <v/>
      </c>
      <c r="G61" s="91">
        <f>IFERROR(SUMIFS('Teacher Salary Data'!$E$2:$E$1871,'Teacher Salary Data'!$A$2:$A$1871,$A61,'Teacher Salary Data'!$C$2:$C$1871,"Master's",'Teacher Salary Data'!$D$2:$D$1871,0),0)</f>
        <v/>
      </c>
      <c r="H61" s="91">
        <f>IFERROR(SUMIFS('Teacher Salary Data'!$E$2:$E$1871,'Teacher Salary Data'!$A$2:$A$1871,$A61,'Teacher Salary Data'!$C$2:$C$1871,"Master's",'Teacher Salary Data'!$D$2:$D$1871,5),0)</f>
        <v/>
      </c>
      <c r="I61" s="91">
        <f>IFERROR(SUMIFS('Teacher Salary Data'!$E$2:$E$1871,'Teacher Salary Data'!$A$2:$A$1871,$A61,'Teacher Salary Data'!$C$2:$C$1871,"Master's",'Teacher Salary Data'!$D$2:$D$1871,10),0)</f>
        <v/>
      </c>
      <c r="J61" s="91">
        <f>AVERAGE(D61,G61)</f>
        <v/>
      </c>
      <c r="K61" s="91">
        <f>AVERAGE(F61,I61)</f>
        <v/>
      </c>
      <c r="L61" s="121">
        <f>IFERROR((K61-J61)/J61,0)</f>
        <v/>
      </c>
      <c r="M61" s="91">
        <f>G61-D61</f>
        <v/>
      </c>
      <c r="N61" s="91">
        <f>IFERROR(INDEX('Median Home and Rent Prices'!$D$2:$D$86,MATCH($A61,'Median Home and Rent Prices'!$A$2:$A$86,0)),0)</f>
        <v/>
      </c>
      <c r="O61" s="91">
        <f>IFERROR(INDEX('Median Home and Rent Prices'!$E$2:$E$86,MATCH($A61,'Median Home and Rent Prices'!$A$2:$A$86,0)),0)</f>
        <v/>
      </c>
      <c r="P61" s="94">
        <f>IFERROR(INDEX('School District Profiles'!$H$2:$H$86,MATCH($A61,'School District Profiles'!$A$2:$A$86,0)),0)</f>
        <v/>
      </c>
      <c r="Q61" s="91">
        <f>IFERROR(INDEX('School District Profiles'!$I$2:$I$86,MATCH($A61,'School District Profiles'!$A$2:$A$86,0)),0)</f>
        <v/>
      </c>
      <c r="R61" s="94">
        <f>IFERROR(IF(($AI61-('Score Inputs'!$B$4*1500+IF('Score Inputs'!$B$3="Master's",4000,0)))&lt;53000,MAX(0,MIN(39.99,((($AI61-('Score Inputs'!$B$4*1500+IF('Score Inputs'!$B$3="Master's",4000,0))))-45000)/8000*39.99)),IF(($AI61-('Score Inputs'!$B$4*1500+IF('Score Inputs'!$B$3="Master's",4000,0)))&lt;58000,40+((($AI61-('Score Inputs'!$B$4*1500+IF('Score Inputs'!$B$3="Master's",4000,0))))-53000)/5000*20,IF(($AI61-('Score Inputs'!$B$4*1500+IF('Score Inputs'!$B$3="Master's",4000,0)))&lt;63000,60+((($AI61-('Score Inputs'!$B$4*1500+IF('Score Inputs'!$B$3="Master's",4000,0))))-58000)/5000*10,IF(($AI61-('Score Inputs'!$B$4*1500+IF('Score Inputs'!$B$3="Master's",4000,0)))&lt;70000,70+((($AI61-('Score Inputs'!$B$4*1500+IF('Score Inputs'!$B$3="Master's",4000,0))))-63000)/7000*10,IF(($AI61-('Score Inputs'!$B$4*1500+IF('Score Inputs'!$B$3="Master's",4000,0)))&lt;75000,80+((($AI61-('Score Inputs'!$B$4*1500+IF('Score Inputs'!$B$3="Master's",4000,0))))-70000)/5000*10,MIN(100,90+((($AI61-('Score Inputs'!$B$4*1500+IF('Score Inputs'!$B$3="Master's",4000,0))))-75000)/5000*10)))))),0)</f>
        <v/>
      </c>
      <c r="S61" s="94">
        <f>IFERROR(MAX(0,MIN(100,L61/0.48*100)),0)</f>
        <v/>
      </c>
      <c r="T61" s="94">
        <f>IFERROR(MAX(0,MIN(100,M61/15000*100)),0)</f>
        <v/>
      </c>
      <c r="U61" s="94">
        <f>IFERROR(0.5*R61+0.35*S61+0.15*T61,0)</f>
        <v/>
      </c>
      <c r="V61" s="94">
        <f>IFERROR(0.35*AL61+0.3*AO61+0.25*AB61+0.1*AQ61,0)</f>
        <v/>
      </c>
      <c r="W61" s="94">
        <f>IFERROR(MAX(0,MIN(100,(25-P61)/(25-12)*100)),0)</f>
        <v/>
      </c>
      <c r="X61" s="94">
        <f>IFERROR(MAX(0,MIN(100,(AD61-1)/(3-1)*100))*IF(OR($A61="North Clackamas School District",$A61="Provo City School District"),0.6,1),0)</f>
        <v/>
      </c>
      <c r="Y61" s="94">
        <f>IFERROR(MAX(0,MIN(100,(1-((IFERROR(INDEX('School District Profiles'!$D$2:$D$86,MATCH($A61,'School District Profiles'!$A$2:$A$86,0)),0)/100)^2+(IFERROR(INDEX('School District Profiles'!$E$2:$E$86,MATCH($A61,'School District Profiles'!$A$2:$A$86,0)),0)/100)^2+(IFERROR(INDEX('School District Profiles'!$F$2:$F$86,MATCH($A61,'School District Profiles'!$A$2:$A$86,0)),0)/100)^2+(IFERROR(INDEX('School District Profiles'!$G$2:$G$86,MATCH($A61,'School District Profiles'!$A$2:$A$86,0)),0)/100)^2+(AC61/100)^2))/0.8*100)),0)</f>
        <v/>
      </c>
      <c r="Z61" s="94">
        <f>IFERROR(AF61*AG61,0)</f>
        <v/>
      </c>
      <c r="AA61" s="96">
        <f>IFERROR(INDEX('Median Home and Rent Prices'!$F$2:$F$86,MATCH($A61,'Median Home and Rent Prices'!$A$2:$A$86,0)),0)</f>
        <v/>
      </c>
      <c r="AB61" s="94">
        <f>IFERROR(MAX(0,MIN(100,(800-AA61)/(800-150)*100)),0)</f>
        <v/>
      </c>
      <c r="AC61" s="121">
        <f>IFERROR(INDEX('School District Profiles'!$J$2:$J$86,MATCH($A61,'School District Profiles'!$A$2:$A$86,0)),0)</f>
        <v/>
      </c>
      <c r="AD61" s="94">
        <f>IFERROR(Q61*20/O61,0)</f>
        <v/>
      </c>
      <c r="AE61" s="73">
        <f>IFERROR(IF(AG61&gt;=1,100,IF(AG61&gt;=0.95,75,IF(AG61&gt;=0.9,60,IF(AG61&gt;=0.85,40,IF(AG61&gt;=0.8,25,0))))),0)</f>
        <v/>
      </c>
      <c r="AF61" s="73">
        <f>IFERROR(0.35*V61+0.3*U61+0.1*W61+0.1*X61+0.1*Y61+0.05*AR61,0)</f>
        <v/>
      </c>
      <c r="AG61" s="73" t="n">
        <v>0.95</v>
      </c>
      <c r="AH61" s="70" t="inlineStr">
        <is>
          <t>5% watchlist penalty applied. LWSD has strong salary and high district quality, but current budget planning references declining enrollment, rising costs, and state/local funding constraints. No broad active layoff evidence found in this pass.</t>
        </is>
      </c>
      <c r="AI61" s="105">
        <f>IF('Score Inputs'!$B$3="Bachelor's",CHOOSE(MATCH('Score Inputs'!$B$4,{0,5,10},0),D61,E61,F61),CHOOSE(MATCH('Score Inputs'!$B$4,{0,5,10},0),G61,H61,I61))</f>
        <v/>
      </c>
      <c r="AJ61" s="105">
        <f>IFERROR(AI61/12,0)</f>
        <v/>
      </c>
      <c r="AK61" s="120">
        <f>IFERROR(O61/AJ61,0)</f>
        <v/>
      </c>
      <c r="AL61" s="109">
        <f>IFERROR(IF(AK61&lt;=25%,100,IF(AK61&lt;=30%,100-(AK61-25%)/5%*30,IF(AK61&lt;=35%,70-(AK61-30%)/5%*10,IF(AK61&lt;=40%,60-(AK61-35%)/5%*20,MAX(0,40-(AK61-40%)/10%*40))))),0)</f>
        <v/>
      </c>
      <c r="AM61" s="105">
        <f>IFERROR(PMT('Score Inputs'!$B$5/12,'Score Inputs'!$B$7*12,-N61*(1-'Score Inputs'!$B$6)),0)</f>
        <v/>
      </c>
      <c r="AN61" s="120">
        <f>IFERROR(AM61/AJ61,0)</f>
        <v/>
      </c>
      <c r="AO61" s="109">
        <f>IFERROR(IF(AN61&lt;=25%,100,IF(AN61&lt;=30%,100-(AN61-25%)/5%*30,IF(AN61&lt;=35%,70-(AN61-30%)/5%*10,IF(AN61&lt;=40%,60-(AN61-35%)/5%*20,MAX(0,40-(AN61-40%)/10%*40))))),0)</f>
        <v/>
      </c>
      <c r="AP61" s="105">
        <f>IFERROR(AJ61-O61,0)</f>
        <v/>
      </c>
      <c r="AQ61" s="109">
        <f>IFERROR(MAX(0,MIN(100,(AP61-'Score Inputs'!$B$8)/('Score Inputs'!$B$9-'Score Inputs'!$B$8)*100)),0)</f>
        <v/>
      </c>
      <c r="AR61" s="109">
        <f>IFERROR(INDEX('State Funding Lookup'!$B$2:$B$86,MATCH($A61,'State Funding Lookup'!$A$2:$A$86,0)),0)</f>
        <v/>
      </c>
      <c r="AS61" s="78">
        <f>AK61</f>
        <v/>
      </c>
      <c r="AT61" s="78">
        <f>AN61</f>
        <v/>
      </c>
    </row>
    <row r="62" ht="30" customHeight="1" s="104">
      <c r="A62" s="79" t="inlineStr">
        <is>
          <t>Vail School District</t>
        </is>
      </c>
      <c r="B62" s="79">
        <f>IFERROR(INDEX('School District Profiles'!$B$2:$B$86,MATCH($A62,'School District Profiles'!$A$2:$A$86,0)),"")</f>
        <v/>
      </c>
      <c r="C62" s="79">
        <f>IFERROR(INDEX('School District Profiles'!$C$2:$C$86,MATCH($A62,'School District Profiles'!$A$2:$A$86,0)),"")</f>
        <v/>
      </c>
      <c r="D62" s="80">
        <f>IFERROR(SUMIFS('Teacher Salary Data'!$E$2:$E$1871,'Teacher Salary Data'!$A$2:$A$1871,$A62,'Teacher Salary Data'!$C$2:$C$1871,"Bachelor's",'Teacher Salary Data'!$D$2:$D$1871,0),0)</f>
        <v/>
      </c>
      <c r="E62" s="80">
        <f>IFERROR(SUMIFS('Teacher Salary Data'!$E$2:$E$1871,'Teacher Salary Data'!$A$2:$A$1871,$A62,'Teacher Salary Data'!$C$2:$C$1871,"Bachelor's",'Teacher Salary Data'!$D$2:$D$1871,5),0)</f>
        <v/>
      </c>
      <c r="F62" s="80">
        <f>IFERROR(SUMIFS('Teacher Salary Data'!$E$2:$E$1871,'Teacher Salary Data'!$A$2:$A$1871,$A62,'Teacher Salary Data'!$C$2:$C$1871,"Bachelor's",'Teacher Salary Data'!$D$2:$D$1871,10),0)</f>
        <v/>
      </c>
      <c r="G62" s="80">
        <f>IFERROR(SUMIFS('Teacher Salary Data'!$E$2:$E$1871,'Teacher Salary Data'!$A$2:$A$1871,$A62,'Teacher Salary Data'!$C$2:$C$1871,"Master's",'Teacher Salary Data'!$D$2:$D$1871,0),0)</f>
        <v/>
      </c>
      <c r="H62" s="80">
        <f>IFERROR(SUMIFS('Teacher Salary Data'!$E$2:$E$1871,'Teacher Salary Data'!$A$2:$A$1871,$A62,'Teacher Salary Data'!$C$2:$C$1871,"Master's",'Teacher Salary Data'!$D$2:$D$1871,5),0)</f>
        <v/>
      </c>
      <c r="I62" s="80">
        <f>IFERROR(SUMIFS('Teacher Salary Data'!$E$2:$E$1871,'Teacher Salary Data'!$A$2:$A$1871,$A62,'Teacher Salary Data'!$C$2:$C$1871,"Master's",'Teacher Salary Data'!$D$2:$D$1871,10),0)</f>
        <v/>
      </c>
      <c r="J62" s="80">
        <f>AVERAGE(D62,G62)</f>
        <v/>
      </c>
      <c r="K62" s="80">
        <f>AVERAGE(F62,I62)</f>
        <v/>
      </c>
      <c r="L62" s="117">
        <f>IFERROR((K62-J62)/J62,0)</f>
        <v/>
      </c>
      <c r="M62" s="79">
        <f>G62-D62</f>
        <v/>
      </c>
      <c r="N62" s="80">
        <f>IFERROR(INDEX('Median Home and Rent Prices'!$D$2:$D$86,MATCH($A62,'Median Home and Rent Prices'!$A$2:$A$86,0)),0)</f>
        <v/>
      </c>
      <c r="O62" s="80">
        <f>IFERROR(INDEX('Median Home and Rent Prices'!$E$2:$E$86,MATCH($A62,'Median Home and Rent Prices'!$A$2:$A$86,0)),0)</f>
        <v/>
      </c>
      <c r="P62" s="79">
        <f>IFERROR(INDEX('School District Profiles'!$H$2:$H$86,MATCH($A62,'School District Profiles'!$A$2:$A$86,0)),0)</f>
        <v/>
      </c>
      <c r="Q62" s="80">
        <f>IFERROR(INDEX('School District Profiles'!$I$2:$I$86,MATCH($A62,'School District Profiles'!$A$2:$A$86,0)),0)</f>
        <v/>
      </c>
      <c r="R62" s="82">
        <f>IFERROR(IF(($AI62-('Score Inputs'!$B$4*1500+IF('Score Inputs'!$B$3="Master's",4000,0)))&lt;53000,MAX(0,MIN(39.99,((($AI62-('Score Inputs'!$B$4*1500+IF('Score Inputs'!$B$3="Master's",4000,0))))-45000)/8000*39.99)),IF(($AI62-('Score Inputs'!$B$4*1500+IF('Score Inputs'!$B$3="Master's",4000,0)))&lt;58000,40+((($AI62-('Score Inputs'!$B$4*1500+IF('Score Inputs'!$B$3="Master's",4000,0))))-53000)/5000*20,IF(($AI62-('Score Inputs'!$B$4*1500+IF('Score Inputs'!$B$3="Master's",4000,0)))&lt;63000,60+((($AI62-('Score Inputs'!$B$4*1500+IF('Score Inputs'!$B$3="Master's",4000,0))))-58000)/5000*10,IF(($AI62-('Score Inputs'!$B$4*1500+IF('Score Inputs'!$B$3="Master's",4000,0)))&lt;70000,70+((($AI62-('Score Inputs'!$B$4*1500+IF('Score Inputs'!$B$3="Master's",4000,0))))-63000)/7000*10,IF(($AI62-('Score Inputs'!$B$4*1500+IF('Score Inputs'!$B$3="Master's",4000,0)))&lt;75000,80+((($AI62-('Score Inputs'!$B$4*1500+IF('Score Inputs'!$B$3="Master's",4000,0))))-70000)/5000*10,MIN(100,90+((($AI62-('Score Inputs'!$B$4*1500+IF('Score Inputs'!$B$3="Master's",4000,0))))-75000)/5000*10)))))),0)</f>
        <v/>
      </c>
      <c r="S62" s="82">
        <f>IFERROR(MAX(0,MIN(100,L62/0.48*100)),0)</f>
        <v/>
      </c>
      <c r="T62" s="82">
        <f>IFERROR(MAX(0,MIN(100,M62/15000*100)),0)</f>
        <v/>
      </c>
      <c r="U62" s="82">
        <f>IFERROR(0.5*R62+0.35*S62+0.15*T62,0)</f>
        <v/>
      </c>
      <c r="V62" s="82">
        <f>IFERROR(0.35*AL62+0.3*AO62+0.25*AB62+0.1*AQ62,0)</f>
        <v/>
      </c>
      <c r="W62" s="82">
        <f>IFERROR(MAX(0,MIN(100,(25-P62)/(25-12)*100)),0)</f>
        <v/>
      </c>
      <c r="X62" s="82">
        <f>IFERROR(MAX(0,MIN(100,(AD62-1)/(3-1)*100))*IF(OR($A62="North Clackamas School District",$A62="Provo City School District"),0.6,1),0)</f>
        <v/>
      </c>
      <c r="Y62" s="82">
        <f>IFERROR(MAX(0,MIN(100,(1-((IFERROR(INDEX('School District Profiles'!$D$2:$D$86,MATCH($A62,'School District Profiles'!$A$2:$A$86,0)),0)/100)^2+(IFERROR(INDEX('School District Profiles'!$E$2:$E$86,MATCH($A62,'School District Profiles'!$A$2:$A$86,0)),0)/100)^2+(IFERROR(INDEX('School District Profiles'!$F$2:$F$86,MATCH($A62,'School District Profiles'!$A$2:$A$86,0)),0)/100)^2+(IFERROR(INDEX('School District Profiles'!$G$2:$G$86,MATCH($A62,'School District Profiles'!$A$2:$A$86,0)),0)/100)^2+(AC62/100)^2))/0.8*100)),0)</f>
        <v/>
      </c>
      <c r="Z62" s="82">
        <f>IFERROR(AF62*AG62,0)</f>
        <v/>
      </c>
      <c r="AA62" s="79">
        <f>IFERROR(INDEX('Median Home and Rent Prices'!$F$2:$F$86,MATCH($A62,'Median Home and Rent Prices'!$A$2:$A$86,0)),0)</f>
        <v/>
      </c>
      <c r="AB62" s="82">
        <f>IFERROR(MAX(0,MIN(100,(800-AA62)/(800-150)*100)),0)</f>
        <v/>
      </c>
      <c r="AC62" s="79">
        <f>IFERROR(INDEX('School District Profiles'!$J$2:$J$86,MATCH($A62,'School District Profiles'!$A$2:$A$86,0)),0)</f>
        <v/>
      </c>
      <c r="AD62" s="82">
        <f>IFERROR(Q62*20/O62,0)</f>
        <v/>
      </c>
      <c r="AE62" s="82">
        <f>IFERROR(IF(AG62&gt;=1,100,IF(AG62&gt;=0.95,75,IF(AG62&gt;=0.9,60,IF(AG62&gt;=0.85,40,IF(AG62&gt;=0.8,25,0))))),0)</f>
        <v/>
      </c>
      <c r="AF62" s="82">
        <f>IFERROR(0.35*V62+0.3*U62+0.1*W62+0.1*X62+0.1*Y62+0.05*AR62,0)</f>
        <v/>
      </c>
      <c r="AG62" s="82" t="n">
        <v>1</v>
      </c>
      <c r="AH62" s="79" t="inlineStr">
        <is>
          <t>First-pass addition from public salary/housing sources. Verify official step placement, current sub pay, enrollment/budget stability, and district-boundary housing before final public ranking claims.</t>
        </is>
      </c>
      <c r="AI62" s="106">
        <f>IF('Score Inputs'!$B$3="Bachelor's",CHOOSE(MATCH('Score Inputs'!$B$4,{0,5,10},0),D62,E62,F62),CHOOSE(MATCH('Score Inputs'!$B$4,{0,5,10},0),G62,H62,I62))</f>
        <v/>
      </c>
      <c r="AJ62" s="106">
        <f>IFERROR(AI62/12,0)</f>
        <v/>
      </c>
      <c r="AK62" s="118">
        <f>IFERROR(O62/AJ62,0)</f>
        <v/>
      </c>
      <c r="AL62" s="110">
        <f>IFERROR(IF(AK62&lt;=25%,100,IF(AK62&lt;=30%,100-(AK62-25%)/5%*30,IF(AK62&lt;=35%,70-(AK62-30%)/5%*10,IF(AK62&lt;=40%,60-(AK62-35%)/5%*20,MAX(0,40-(AK62-40%)/10%*40))))),0)</f>
        <v/>
      </c>
      <c r="AM62" s="106">
        <f>IFERROR(PMT('Score Inputs'!$B$5/12,'Score Inputs'!$B$7*12,-N62*(1-'Score Inputs'!$B$6)),0)</f>
        <v/>
      </c>
      <c r="AN62" s="118">
        <f>IFERROR(AM62/AJ62,0)</f>
        <v/>
      </c>
      <c r="AO62" s="110">
        <f>IFERROR(IF(AN62&lt;=25%,100,IF(AN62&lt;=30%,100-(AN62-25%)/5%*30,IF(AN62&lt;=35%,70-(AN62-30%)/5%*10,IF(AN62&lt;=40%,60-(AN62-35%)/5%*20,MAX(0,40-(AN62-40%)/10%*40))))),0)</f>
        <v/>
      </c>
      <c r="AP62" s="106">
        <f>IFERROR(AJ62-O62,0)</f>
        <v/>
      </c>
      <c r="AQ62" s="110">
        <f>IFERROR(MAX(0,MIN(100,(AP62-'Score Inputs'!$B$8)/('Score Inputs'!$B$9-'Score Inputs'!$B$8)*100)),0)</f>
        <v/>
      </c>
      <c r="AR62" s="110">
        <f>IFERROR(INDEX('State Funding Lookup'!$B$2:$B$86,MATCH($A62,'State Funding Lookup'!$A$2:$A$86,0)),0)</f>
        <v/>
      </c>
      <c r="AS62" s="87">
        <f>AK62</f>
        <v/>
      </c>
      <c r="AT62" s="87">
        <f>AN62</f>
        <v/>
      </c>
    </row>
    <row r="63" ht="30" customHeight="1" s="104">
      <c r="A63" s="89" t="inlineStr">
        <is>
          <t>Royal ISD</t>
        </is>
      </c>
      <c r="B63" s="89">
        <f>IFERROR(INDEX('School District Profiles'!$B$2:$B$86,MATCH($A63,'School District Profiles'!$A$2:$A$86,0)),"")</f>
        <v/>
      </c>
      <c r="C63" s="89">
        <f>IFERROR(INDEX('School District Profiles'!$C$2:$C$86,MATCH($A63,'School District Profiles'!$A$2:$A$86,0)),"")</f>
        <v/>
      </c>
      <c r="D63" s="91">
        <f>IFERROR(SUMIFS('Teacher Salary Data'!$E$2:$E$1871,'Teacher Salary Data'!$A$2:$A$1871,$A63,'Teacher Salary Data'!$C$2:$C$1871,"Bachelor's",'Teacher Salary Data'!$D$2:$D$1871,0),0)</f>
        <v/>
      </c>
      <c r="E63" s="91">
        <f>IFERROR(SUMIFS('Teacher Salary Data'!$E$2:$E$1871,'Teacher Salary Data'!$A$2:$A$1871,$A63,'Teacher Salary Data'!$C$2:$C$1871,"Bachelor's",'Teacher Salary Data'!$D$2:$D$1871,5),0)</f>
        <v/>
      </c>
      <c r="F63" s="91">
        <f>IFERROR(SUMIFS('Teacher Salary Data'!$E$2:$E$1871,'Teacher Salary Data'!$A$2:$A$1871,$A63,'Teacher Salary Data'!$C$2:$C$1871,"Bachelor's",'Teacher Salary Data'!$D$2:$D$1871,10),0)</f>
        <v/>
      </c>
      <c r="G63" s="91">
        <f>IFERROR(SUMIFS('Teacher Salary Data'!$E$2:$E$1871,'Teacher Salary Data'!$A$2:$A$1871,$A63,'Teacher Salary Data'!$C$2:$C$1871,"Master's",'Teacher Salary Data'!$D$2:$D$1871,0),0)</f>
        <v/>
      </c>
      <c r="H63" s="91">
        <f>IFERROR(SUMIFS('Teacher Salary Data'!$E$2:$E$1871,'Teacher Salary Data'!$A$2:$A$1871,$A63,'Teacher Salary Data'!$C$2:$C$1871,"Master's",'Teacher Salary Data'!$D$2:$D$1871,5),0)</f>
        <v/>
      </c>
      <c r="I63" s="91">
        <f>IFERROR(SUMIFS('Teacher Salary Data'!$E$2:$E$1871,'Teacher Salary Data'!$A$2:$A$1871,$A63,'Teacher Salary Data'!$C$2:$C$1871,"Master's",'Teacher Salary Data'!$D$2:$D$1871,10),0)</f>
        <v/>
      </c>
      <c r="J63" s="91">
        <f>AVERAGE(D63,G63)</f>
        <v/>
      </c>
      <c r="K63" s="91">
        <f>AVERAGE(F63,I63)</f>
        <v/>
      </c>
      <c r="L63" s="121">
        <f>IFERROR((K63-J63)/J63,0)</f>
        <v/>
      </c>
      <c r="M63" s="91">
        <f>G63-D63</f>
        <v/>
      </c>
      <c r="N63" s="91">
        <f>IFERROR(INDEX('Median Home and Rent Prices'!$D$2:$D$86,MATCH($A63,'Median Home and Rent Prices'!$A$2:$A$86,0)),0)</f>
        <v/>
      </c>
      <c r="O63" s="91">
        <f>IFERROR(INDEX('Median Home and Rent Prices'!$E$2:$E$86,MATCH($A63,'Median Home and Rent Prices'!$A$2:$A$86,0)),0)</f>
        <v/>
      </c>
      <c r="P63" s="94">
        <f>IFERROR(INDEX('School District Profiles'!$H$2:$H$86,MATCH($A63,'School District Profiles'!$A$2:$A$86,0)),0)</f>
        <v/>
      </c>
      <c r="Q63" s="91">
        <f>IFERROR(INDEX('School District Profiles'!$I$2:$I$86,MATCH($A63,'School District Profiles'!$A$2:$A$86,0)),0)</f>
        <v/>
      </c>
      <c r="R63" s="94">
        <f>IFERROR(IF(($AI63-('Score Inputs'!$B$4*1500+IF('Score Inputs'!$B$3="Master's",4000,0)))&lt;53000,MAX(0,MIN(39.99,((($AI63-('Score Inputs'!$B$4*1500+IF('Score Inputs'!$B$3="Master's",4000,0))))-45000)/8000*39.99)),IF(($AI63-('Score Inputs'!$B$4*1500+IF('Score Inputs'!$B$3="Master's",4000,0)))&lt;58000,40+((($AI63-('Score Inputs'!$B$4*1500+IF('Score Inputs'!$B$3="Master's",4000,0))))-53000)/5000*20,IF(($AI63-('Score Inputs'!$B$4*1500+IF('Score Inputs'!$B$3="Master's",4000,0)))&lt;63000,60+((($AI63-('Score Inputs'!$B$4*1500+IF('Score Inputs'!$B$3="Master's",4000,0))))-58000)/5000*10,IF(($AI63-('Score Inputs'!$B$4*1500+IF('Score Inputs'!$B$3="Master's",4000,0)))&lt;70000,70+((($AI63-('Score Inputs'!$B$4*1500+IF('Score Inputs'!$B$3="Master's",4000,0))))-63000)/7000*10,IF(($AI63-('Score Inputs'!$B$4*1500+IF('Score Inputs'!$B$3="Master's",4000,0)))&lt;75000,80+((($AI63-('Score Inputs'!$B$4*1500+IF('Score Inputs'!$B$3="Master's",4000,0))))-70000)/5000*10,MIN(100,90+((($AI63-('Score Inputs'!$B$4*1500+IF('Score Inputs'!$B$3="Master's",4000,0))))-75000)/5000*10)))))),0)</f>
        <v/>
      </c>
      <c r="S63" s="94">
        <f>IFERROR(MAX(0,MIN(100,L63/0.48*100)),0)</f>
        <v/>
      </c>
      <c r="T63" s="94">
        <f>IFERROR(MAX(0,MIN(100,M63/15000*100)),0)</f>
        <v/>
      </c>
      <c r="U63" s="94">
        <f>IFERROR(0.5*R63+0.35*S63+0.15*T63,0)</f>
        <v/>
      </c>
      <c r="V63" s="94">
        <f>IFERROR(0.35*AL63+0.3*AO63+0.25*AB63+0.1*AQ63,0)</f>
        <v/>
      </c>
      <c r="W63" s="94">
        <f>IFERROR(MAX(0,MIN(100,(25-P63)/(25-12)*100)),0)</f>
        <v/>
      </c>
      <c r="X63" s="94">
        <f>IFERROR(MAX(0,MIN(100,(AD63-1)/(3-1)*100))*IF(OR($A63="North Clackamas School District",$A63="Provo City School District"),0.6,1),0)</f>
        <v/>
      </c>
      <c r="Y63" s="94">
        <f>IFERROR(MAX(0,MIN(100,(1-((IFERROR(INDEX('School District Profiles'!$D$2:$D$86,MATCH($A63,'School District Profiles'!$A$2:$A$86,0)),0)/100)^2+(IFERROR(INDEX('School District Profiles'!$E$2:$E$86,MATCH($A63,'School District Profiles'!$A$2:$A$86,0)),0)/100)^2+(IFERROR(INDEX('School District Profiles'!$F$2:$F$86,MATCH($A63,'School District Profiles'!$A$2:$A$86,0)),0)/100)^2+(IFERROR(INDEX('School District Profiles'!$G$2:$G$86,MATCH($A63,'School District Profiles'!$A$2:$A$86,0)),0)/100)^2+(AC63/100)^2))/0.8*100)),0)</f>
        <v/>
      </c>
      <c r="Z63" s="94">
        <f>IFERROR(AF63*AG63,0)</f>
        <v/>
      </c>
      <c r="AA63" s="96">
        <f>IFERROR(INDEX('Median Home and Rent Prices'!$F$2:$F$86,MATCH($A63,'Median Home and Rent Prices'!$A$2:$A$86,0)),0)</f>
        <v/>
      </c>
      <c r="AB63" s="94">
        <f>IFERROR(MAX(0,MIN(100,(800-AA63)/(800-150)*100)),0)</f>
        <v/>
      </c>
      <c r="AC63" s="121">
        <f>IFERROR(INDEX('School District Profiles'!$J$2:$J$86,MATCH($A63,'School District Profiles'!$A$2:$A$86,0)),0)</f>
        <v/>
      </c>
      <c r="AD63" s="94">
        <f>IFERROR(Q63*20/O63,0)</f>
        <v/>
      </c>
      <c r="AE63" s="73">
        <f>IFERROR(IF(AG63&gt;=1,100,IF(AG63&gt;=0.95,75,IF(AG63&gt;=0.9,60,IF(AG63&gt;=0.85,40,IF(AG63&gt;=0.8,25,0))))),0)</f>
        <v/>
      </c>
      <c r="AF63" s="73">
        <f>IFERROR(0.35*V63+0.3*U63+0.1*W63+0.1*X63+0.1*Y63+0.05*AR63,0)</f>
        <v/>
      </c>
      <c r="AG63" s="73" t="n">
        <v>1</v>
      </c>
      <c r="AH63" s="70" t="inlineStr">
        <is>
          <t>No current employment-stability penalty applied; first-pass research did not find reliable current layoff evidence.</t>
        </is>
      </c>
      <c r="AI63" s="105">
        <f>IF('Score Inputs'!$B$3="Bachelor's",CHOOSE(MATCH('Score Inputs'!$B$4,{0,5,10},0),D63,E63,F63),CHOOSE(MATCH('Score Inputs'!$B$4,{0,5,10},0),G63,H63,I63))</f>
        <v/>
      </c>
      <c r="AJ63" s="105">
        <f>IFERROR(AI63/12,0)</f>
        <v/>
      </c>
      <c r="AK63" s="120">
        <f>IFERROR(O63/AJ63,0)</f>
        <v/>
      </c>
      <c r="AL63" s="109">
        <f>IFERROR(IF(AK63&lt;=25%,100,IF(AK63&lt;=30%,100-(AK63-25%)/5%*30,IF(AK63&lt;=35%,70-(AK63-30%)/5%*10,IF(AK63&lt;=40%,60-(AK63-35%)/5%*20,MAX(0,40-(AK63-40%)/10%*40))))),0)</f>
        <v/>
      </c>
      <c r="AM63" s="105">
        <f>IFERROR(PMT('Score Inputs'!$B$5/12,'Score Inputs'!$B$7*12,-N63*(1-'Score Inputs'!$B$6)),0)</f>
        <v/>
      </c>
      <c r="AN63" s="120">
        <f>IFERROR(AM63/AJ63,0)</f>
        <v/>
      </c>
      <c r="AO63" s="109">
        <f>IFERROR(IF(AN63&lt;=25%,100,IF(AN63&lt;=30%,100-(AN63-25%)/5%*30,IF(AN63&lt;=35%,70-(AN63-30%)/5%*10,IF(AN63&lt;=40%,60-(AN63-35%)/5%*20,MAX(0,40-(AN63-40%)/10%*40))))),0)</f>
        <v/>
      </c>
      <c r="AP63" s="105">
        <f>IFERROR(AJ63-O63,0)</f>
        <v/>
      </c>
      <c r="AQ63" s="109">
        <f>IFERROR(MAX(0,MIN(100,(AP63-'Score Inputs'!$B$8)/('Score Inputs'!$B$9-'Score Inputs'!$B$8)*100)),0)</f>
        <v/>
      </c>
      <c r="AR63" s="109">
        <f>IFERROR(INDEX('State Funding Lookup'!$B$2:$B$86,MATCH($A63,'State Funding Lookup'!$A$2:$A$86,0)),0)</f>
        <v/>
      </c>
      <c r="AS63" s="78">
        <f>AK63</f>
        <v/>
      </c>
      <c r="AT63" s="78">
        <f>AN63</f>
        <v/>
      </c>
    </row>
    <row r="64" ht="30" customHeight="1" s="104">
      <c r="A64" s="89" t="inlineStr">
        <is>
          <t>Provo City School District</t>
        </is>
      </c>
      <c r="B64" s="89">
        <f>IFERROR(INDEX('School District Profiles'!$B$2:$B$86,MATCH($A64,'School District Profiles'!$A$2:$A$86,0)),"")</f>
        <v/>
      </c>
      <c r="C64" s="89">
        <f>IFERROR(INDEX('School District Profiles'!$C$2:$C$86,MATCH($A64,'School District Profiles'!$A$2:$A$86,0)),"")</f>
        <v/>
      </c>
      <c r="D64" s="91">
        <f>IFERROR(SUMIFS('Teacher Salary Data'!$E$2:$E$1871,'Teacher Salary Data'!$A$2:$A$1871,$A64,'Teacher Salary Data'!$C$2:$C$1871,"Bachelor's",'Teacher Salary Data'!$D$2:$D$1871,0),0)</f>
        <v/>
      </c>
      <c r="E64" s="91">
        <f>IFERROR(SUMIFS('Teacher Salary Data'!$E$2:$E$1871,'Teacher Salary Data'!$A$2:$A$1871,$A64,'Teacher Salary Data'!$C$2:$C$1871,"Bachelor's",'Teacher Salary Data'!$D$2:$D$1871,5),0)</f>
        <v/>
      </c>
      <c r="F64" s="91">
        <f>IFERROR(SUMIFS('Teacher Salary Data'!$E$2:$E$1871,'Teacher Salary Data'!$A$2:$A$1871,$A64,'Teacher Salary Data'!$C$2:$C$1871,"Bachelor's",'Teacher Salary Data'!$D$2:$D$1871,10),0)</f>
        <v/>
      </c>
      <c r="G64" s="91">
        <f>IFERROR(SUMIFS('Teacher Salary Data'!$E$2:$E$1871,'Teacher Salary Data'!$A$2:$A$1871,$A64,'Teacher Salary Data'!$C$2:$C$1871,"Master's",'Teacher Salary Data'!$D$2:$D$1871,0),0)</f>
        <v/>
      </c>
      <c r="H64" s="91">
        <f>IFERROR(SUMIFS('Teacher Salary Data'!$E$2:$E$1871,'Teacher Salary Data'!$A$2:$A$1871,$A64,'Teacher Salary Data'!$C$2:$C$1871,"Master's",'Teacher Salary Data'!$D$2:$D$1871,5),0)</f>
        <v/>
      </c>
      <c r="I64" s="91">
        <f>IFERROR(SUMIFS('Teacher Salary Data'!$E$2:$E$1871,'Teacher Salary Data'!$A$2:$A$1871,$A64,'Teacher Salary Data'!$C$2:$C$1871,"Master's",'Teacher Salary Data'!$D$2:$D$1871,10),0)</f>
        <v/>
      </c>
      <c r="J64" s="91">
        <f>AVERAGE(D64,G64)</f>
        <v/>
      </c>
      <c r="K64" s="91">
        <f>AVERAGE(F64,I64)</f>
        <v/>
      </c>
      <c r="L64" s="121">
        <f>IFERROR((K64-J64)/J64,0)</f>
        <v/>
      </c>
      <c r="M64" s="91">
        <f>G64-D64</f>
        <v/>
      </c>
      <c r="N64" s="91">
        <f>IFERROR(INDEX('Median Home and Rent Prices'!$D$2:$D$86,MATCH($A64,'Median Home and Rent Prices'!$A$2:$A$86,0)),0)</f>
        <v/>
      </c>
      <c r="O64" s="91">
        <f>IFERROR(INDEX('Median Home and Rent Prices'!$E$2:$E$86,MATCH($A64,'Median Home and Rent Prices'!$A$2:$A$86,0)),0)</f>
        <v/>
      </c>
      <c r="P64" s="94">
        <f>IFERROR(INDEX('School District Profiles'!$H$2:$H$86,MATCH($A64,'School District Profiles'!$A$2:$A$86,0)),0)</f>
        <v/>
      </c>
      <c r="Q64" s="91">
        <f>IFERROR(INDEX('School District Profiles'!$I$2:$I$86,MATCH($A64,'School District Profiles'!$A$2:$A$86,0)),0)</f>
        <v/>
      </c>
      <c r="R64" s="94">
        <f>IFERROR(IF(($AI64-('Score Inputs'!$B$4*1500+IF('Score Inputs'!$B$3="Master's",4000,0)))&lt;53000,MAX(0,MIN(39.99,((($AI64-('Score Inputs'!$B$4*1500+IF('Score Inputs'!$B$3="Master's",4000,0))))-45000)/8000*39.99)),IF(($AI64-('Score Inputs'!$B$4*1500+IF('Score Inputs'!$B$3="Master's",4000,0)))&lt;58000,40+((($AI64-('Score Inputs'!$B$4*1500+IF('Score Inputs'!$B$3="Master's",4000,0))))-53000)/5000*20,IF(($AI64-('Score Inputs'!$B$4*1500+IF('Score Inputs'!$B$3="Master's",4000,0)))&lt;63000,60+((($AI64-('Score Inputs'!$B$4*1500+IF('Score Inputs'!$B$3="Master's",4000,0))))-58000)/5000*10,IF(($AI64-('Score Inputs'!$B$4*1500+IF('Score Inputs'!$B$3="Master's",4000,0)))&lt;70000,70+((($AI64-('Score Inputs'!$B$4*1500+IF('Score Inputs'!$B$3="Master's",4000,0))))-63000)/7000*10,IF(($AI64-('Score Inputs'!$B$4*1500+IF('Score Inputs'!$B$3="Master's",4000,0)))&lt;75000,80+((($AI64-('Score Inputs'!$B$4*1500+IF('Score Inputs'!$B$3="Master's",4000,0))))-70000)/5000*10,MIN(100,90+((($AI64-('Score Inputs'!$B$4*1500+IF('Score Inputs'!$B$3="Master's",4000,0))))-75000)/5000*10)))))),0)</f>
        <v/>
      </c>
      <c r="S64" s="94">
        <f>IFERROR(MAX(0,MIN(100,L64/0.48*100)),0)</f>
        <v/>
      </c>
      <c r="T64" s="94">
        <f>IFERROR(MAX(0,MIN(100,M64/15000*100)),0)</f>
        <v/>
      </c>
      <c r="U64" s="94">
        <f>IFERROR(0.5*R64+0.35*S64+0.15*T64,0)</f>
        <v/>
      </c>
      <c r="V64" s="94">
        <f>IFERROR(0.35*AL64+0.3*AO64+0.25*AB64+0.1*AQ64,0)</f>
        <v/>
      </c>
      <c r="W64" s="94">
        <f>IFERROR(MAX(0,MIN(100,(25-P64)/(25-12)*100)),0)</f>
        <v/>
      </c>
      <c r="X64" s="94">
        <f>IFERROR(MAX(0,MIN(100,(AD64-1)/(3-1)*100))*IF(OR($A64="North Clackamas School District",$A64="Provo City School District"),0.6,1),0)</f>
        <v/>
      </c>
      <c r="Y64" s="94">
        <f>IFERROR(MAX(0,MIN(100,(1-((IFERROR(INDEX('School District Profiles'!$D$2:$D$86,MATCH($A64,'School District Profiles'!$A$2:$A$86,0)),0)/100)^2+(IFERROR(INDEX('School District Profiles'!$E$2:$E$86,MATCH($A64,'School District Profiles'!$A$2:$A$86,0)),0)/100)^2+(IFERROR(INDEX('School District Profiles'!$F$2:$F$86,MATCH($A64,'School District Profiles'!$A$2:$A$86,0)),0)/100)^2+(IFERROR(INDEX('School District Profiles'!$G$2:$G$86,MATCH($A64,'School District Profiles'!$A$2:$A$86,0)),0)/100)^2+(AC64/100)^2))/0.8*100)),0)</f>
        <v/>
      </c>
      <c r="Z64" s="94">
        <f>IFERROR(AF64*AG64,0)</f>
        <v/>
      </c>
      <c r="AA64" s="96">
        <f>IFERROR(INDEX('Median Home and Rent Prices'!$F$2:$F$86,MATCH($A64,'Median Home and Rent Prices'!$A$2:$A$86,0)),0)</f>
        <v/>
      </c>
      <c r="AB64" s="94">
        <f>IFERROR(MAX(0,MIN(100,(800-AA64)/(800-150)*100)),0)</f>
        <v/>
      </c>
      <c r="AC64" s="121">
        <f>IFERROR(INDEX('School District Profiles'!$J$2:$J$86,MATCH($A64,'School District Profiles'!$A$2:$A$86,0)),0)</f>
        <v/>
      </c>
      <c r="AD64" s="94">
        <f>IFERROR(Q64*20/O64,0)</f>
        <v/>
      </c>
      <c r="AE64" s="73">
        <f>IFERROR(IF(AG64&gt;=1,100,IF(AG64&gt;=0.95,75,IF(AG64&gt;=0.9,60,IF(AG64&gt;=0.85,40,IF(AG64&gt;=0.8,25,0))))),0)</f>
        <v/>
      </c>
      <c r="AF64" s="73">
        <f>IFERROR(0.35*V64+0.3*U64+0.1*W64+0.1*X64+0.1*Y64+0.05*AR64,0)</f>
        <v/>
      </c>
      <c r="AG64" s="73" t="n">
        <v>0.9</v>
      </c>
      <c r="AH64" s="70" t="inlineStr">
        <is>
          <t>10% employment-stability penalty due to active budget-reduction discussions and enrollment/funding challenges.</t>
        </is>
      </c>
      <c r="AI64" s="105">
        <f>IF('Score Inputs'!$B$3="Bachelor's",CHOOSE(MATCH('Score Inputs'!$B$4,{0,5,10},0),D64,E64,F64),CHOOSE(MATCH('Score Inputs'!$B$4,{0,5,10},0),G64,H64,I64))</f>
        <v/>
      </c>
      <c r="AJ64" s="105">
        <f>IFERROR(AI64/12,0)</f>
        <v/>
      </c>
      <c r="AK64" s="120">
        <f>IFERROR(O64/AJ64,0)</f>
        <v/>
      </c>
      <c r="AL64" s="109">
        <f>IFERROR(IF(AK64&lt;=25%,100,IF(AK64&lt;=30%,100-(AK64-25%)/5%*30,IF(AK64&lt;=35%,70-(AK64-30%)/5%*10,IF(AK64&lt;=40%,60-(AK64-35%)/5%*20,MAX(0,40-(AK64-40%)/10%*40))))),0)</f>
        <v/>
      </c>
      <c r="AM64" s="105">
        <f>IFERROR(PMT('Score Inputs'!$B$5/12,'Score Inputs'!$B$7*12,-N64*(1-'Score Inputs'!$B$6)),0)</f>
        <v/>
      </c>
      <c r="AN64" s="120">
        <f>IFERROR(AM64/AJ64,0)</f>
        <v/>
      </c>
      <c r="AO64" s="109">
        <f>IFERROR(IF(AN64&lt;=25%,100,IF(AN64&lt;=30%,100-(AN64-25%)/5%*30,IF(AN64&lt;=35%,70-(AN64-30%)/5%*10,IF(AN64&lt;=40%,60-(AN64-35%)/5%*20,MAX(0,40-(AN64-40%)/10%*40))))),0)</f>
        <v/>
      </c>
      <c r="AP64" s="105">
        <f>IFERROR(AJ64-O64,0)</f>
        <v/>
      </c>
      <c r="AQ64" s="109">
        <f>IFERROR(MAX(0,MIN(100,(AP64-'Score Inputs'!$B$8)/('Score Inputs'!$B$9-'Score Inputs'!$B$8)*100)),0)</f>
        <v/>
      </c>
      <c r="AR64" s="109">
        <f>IFERROR(INDEX('State Funding Lookup'!$B$2:$B$86,MATCH($A64,'State Funding Lookup'!$A$2:$A$86,0)),0)</f>
        <v/>
      </c>
      <c r="AS64" s="78">
        <f>AK64</f>
        <v/>
      </c>
      <c r="AT64" s="78">
        <f>AN64</f>
        <v/>
      </c>
    </row>
    <row r="65" ht="30" customHeight="1" s="104">
      <c r="A65" s="79" t="inlineStr">
        <is>
          <t>Gilbert Public Schools</t>
        </is>
      </c>
      <c r="B65" s="79">
        <f>IFERROR(INDEX('School District Profiles'!$B$2:$B$86,MATCH($A65,'School District Profiles'!$A$2:$A$86,0)),"")</f>
        <v/>
      </c>
      <c r="C65" s="79">
        <f>IFERROR(INDEX('School District Profiles'!$C$2:$C$86,MATCH($A65,'School District Profiles'!$A$2:$A$86,0)),"")</f>
        <v/>
      </c>
      <c r="D65" s="80">
        <f>IFERROR(SUMIFS('Teacher Salary Data'!$E$2:$E$1871,'Teacher Salary Data'!$A$2:$A$1871,$A65,'Teacher Salary Data'!$C$2:$C$1871,"Bachelor's",'Teacher Salary Data'!$D$2:$D$1871,0),0)</f>
        <v/>
      </c>
      <c r="E65" s="80">
        <f>IFERROR(SUMIFS('Teacher Salary Data'!$E$2:$E$1871,'Teacher Salary Data'!$A$2:$A$1871,$A65,'Teacher Salary Data'!$C$2:$C$1871,"Bachelor's",'Teacher Salary Data'!$D$2:$D$1871,5),0)</f>
        <v/>
      </c>
      <c r="F65" s="80">
        <f>IFERROR(SUMIFS('Teacher Salary Data'!$E$2:$E$1871,'Teacher Salary Data'!$A$2:$A$1871,$A65,'Teacher Salary Data'!$C$2:$C$1871,"Bachelor's",'Teacher Salary Data'!$D$2:$D$1871,10),0)</f>
        <v/>
      </c>
      <c r="G65" s="80">
        <f>IFERROR(SUMIFS('Teacher Salary Data'!$E$2:$E$1871,'Teacher Salary Data'!$A$2:$A$1871,$A65,'Teacher Salary Data'!$C$2:$C$1871,"Master's",'Teacher Salary Data'!$D$2:$D$1871,0),0)</f>
        <v/>
      </c>
      <c r="H65" s="80">
        <f>IFERROR(SUMIFS('Teacher Salary Data'!$E$2:$E$1871,'Teacher Salary Data'!$A$2:$A$1871,$A65,'Teacher Salary Data'!$C$2:$C$1871,"Master's",'Teacher Salary Data'!$D$2:$D$1871,5),0)</f>
        <v/>
      </c>
      <c r="I65" s="80">
        <f>IFERROR(SUMIFS('Teacher Salary Data'!$E$2:$E$1871,'Teacher Salary Data'!$A$2:$A$1871,$A65,'Teacher Salary Data'!$C$2:$C$1871,"Master's",'Teacher Salary Data'!$D$2:$D$1871,10),0)</f>
        <v/>
      </c>
      <c r="J65" s="80">
        <f>AVERAGE(D65,G65)</f>
        <v/>
      </c>
      <c r="K65" s="80">
        <f>AVERAGE(F65,I65)</f>
        <v/>
      </c>
      <c r="L65" s="117">
        <f>IFERROR((K65-J65)/J65,0)</f>
        <v/>
      </c>
      <c r="M65" s="79">
        <f>G65-D65</f>
        <v/>
      </c>
      <c r="N65" s="80">
        <f>IFERROR(INDEX('Median Home and Rent Prices'!$D$2:$D$86,MATCH($A65,'Median Home and Rent Prices'!$A$2:$A$86,0)),0)</f>
        <v/>
      </c>
      <c r="O65" s="80">
        <f>IFERROR(INDEX('Median Home and Rent Prices'!$E$2:$E$86,MATCH($A65,'Median Home and Rent Prices'!$A$2:$A$86,0)),0)</f>
        <v/>
      </c>
      <c r="P65" s="79">
        <f>IFERROR(INDEX('School District Profiles'!$H$2:$H$86,MATCH($A65,'School District Profiles'!$A$2:$A$86,0)),0)</f>
        <v/>
      </c>
      <c r="Q65" s="80">
        <f>IFERROR(INDEX('School District Profiles'!$I$2:$I$86,MATCH($A65,'School District Profiles'!$A$2:$A$86,0)),0)</f>
        <v/>
      </c>
      <c r="R65" s="82">
        <f>IFERROR(IF(($AI65-('Score Inputs'!$B$4*1500+IF('Score Inputs'!$B$3="Master's",4000,0)))&lt;53000,MAX(0,MIN(39.99,((($AI65-('Score Inputs'!$B$4*1500+IF('Score Inputs'!$B$3="Master's",4000,0))))-45000)/8000*39.99)),IF(($AI65-('Score Inputs'!$B$4*1500+IF('Score Inputs'!$B$3="Master's",4000,0)))&lt;58000,40+((($AI65-('Score Inputs'!$B$4*1500+IF('Score Inputs'!$B$3="Master's",4000,0))))-53000)/5000*20,IF(($AI65-('Score Inputs'!$B$4*1500+IF('Score Inputs'!$B$3="Master's",4000,0)))&lt;63000,60+((($AI65-('Score Inputs'!$B$4*1500+IF('Score Inputs'!$B$3="Master's",4000,0))))-58000)/5000*10,IF(($AI65-('Score Inputs'!$B$4*1500+IF('Score Inputs'!$B$3="Master's",4000,0)))&lt;70000,70+((($AI65-('Score Inputs'!$B$4*1500+IF('Score Inputs'!$B$3="Master's",4000,0))))-63000)/7000*10,IF(($AI65-('Score Inputs'!$B$4*1500+IF('Score Inputs'!$B$3="Master's",4000,0)))&lt;75000,80+((($AI65-('Score Inputs'!$B$4*1500+IF('Score Inputs'!$B$3="Master's",4000,0))))-70000)/5000*10,MIN(100,90+((($AI65-('Score Inputs'!$B$4*1500+IF('Score Inputs'!$B$3="Master's",4000,0))))-75000)/5000*10)))))),0)</f>
        <v/>
      </c>
      <c r="S65" s="82">
        <f>IFERROR(MAX(0,MIN(100,L65/0.48*100)),0)</f>
        <v/>
      </c>
      <c r="T65" s="82">
        <f>IFERROR(MAX(0,MIN(100,M65/15000*100)),0)</f>
        <v/>
      </c>
      <c r="U65" s="82">
        <f>IFERROR(0.5*R65+0.35*S65+0.15*T65,0)</f>
        <v/>
      </c>
      <c r="V65" s="82">
        <f>IFERROR(0.35*AL65+0.3*AO65+0.25*AB65+0.1*AQ65,0)</f>
        <v/>
      </c>
      <c r="W65" s="82">
        <f>IFERROR(MAX(0,MIN(100,(25-P65)/(25-12)*100)),0)</f>
        <v/>
      </c>
      <c r="X65" s="82">
        <f>IFERROR(MAX(0,MIN(100,(AD65-1)/(3-1)*100))*IF(OR($A65="North Clackamas School District",$A65="Provo City School District"),0.6,1),0)</f>
        <v/>
      </c>
      <c r="Y65" s="82">
        <f>IFERROR(MAX(0,MIN(100,(1-((IFERROR(INDEX('School District Profiles'!$D$2:$D$86,MATCH($A65,'School District Profiles'!$A$2:$A$86,0)),0)/100)^2+(IFERROR(INDEX('School District Profiles'!$E$2:$E$86,MATCH($A65,'School District Profiles'!$A$2:$A$86,0)),0)/100)^2+(IFERROR(INDEX('School District Profiles'!$F$2:$F$86,MATCH($A65,'School District Profiles'!$A$2:$A$86,0)),0)/100)^2+(IFERROR(INDEX('School District Profiles'!$G$2:$G$86,MATCH($A65,'School District Profiles'!$A$2:$A$86,0)),0)/100)^2+(AC65/100)^2))/0.8*100)),0)</f>
        <v/>
      </c>
      <c r="Z65" s="82">
        <f>IFERROR(AF65*AG65,0)</f>
        <v/>
      </c>
      <c r="AA65" s="79">
        <f>IFERROR(INDEX('Median Home and Rent Prices'!$F$2:$F$86,MATCH($A65,'Median Home and Rent Prices'!$A$2:$A$86,0)),0)</f>
        <v/>
      </c>
      <c r="AB65" s="82">
        <f>IFERROR(MAX(0,MIN(100,(800-AA65)/(800-150)*100)),0)</f>
        <v/>
      </c>
      <c r="AC65" s="79">
        <f>IFERROR(INDEX('School District Profiles'!$J$2:$J$86,MATCH($A65,'School District Profiles'!$A$2:$A$86,0)),0)</f>
        <v/>
      </c>
      <c r="AD65" s="82">
        <f>IFERROR(Q65*20/O65,0)</f>
        <v/>
      </c>
      <c r="AE65" s="82">
        <f>IFERROR(IF(AG65&gt;=1,100,IF(AG65&gt;=0.95,75,IF(AG65&gt;=0.9,60,IF(AG65&gt;=0.85,40,IF(AG65&gt;=0.8,25,0))))),0)</f>
        <v/>
      </c>
      <c r="AF65" s="82">
        <f>IFERROR(0.35*V65+0.3*U65+0.1*W65+0.1*X65+0.1*Y65+0.05*AR65,0)</f>
        <v/>
      </c>
      <c r="AG65" s="82" t="n">
        <v>1</v>
      </c>
      <c r="AH65" s="79" t="inlineStr">
        <is>
          <t>First-pass addition from public salary/housing sources. Verify official step placement, current sub pay, enrollment/budget stability, and district-boundary housing before final public ranking claims.</t>
        </is>
      </c>
      <c r="AI65" s="106">
        <f>IF('Score Inputs'!$B$3="Bachelor's",CHOOSE(MATCH('Score Inputs'!$B$4,{0,5,10},0),D65,E65,F65),CHOOSE(MATCH('Score Inputs'!$B$4,{0,5,10},0),G65,H65,I65))</f>
        <v/>
      </c>
      <c r="AJ65" s="106">
        <f>IFERROR(AI65/12,0)</f>
        <v/>
      </c>
      <c r="AK65" s="118">
        <f>IFERROR(O65/AJ65,0)</f>
        <v/>
      </c>
      <c r="AL65" s="110">
        <f>IFERROR(IF(AK65&lt;=25%,100,IF(AK65&lt;=30%,100-(AK65-25%)/5%*30,IF(AK65&lt;=35%,70-(AK65-30%)/5%*10,IF(AK65&lt;=40%,60-(AK65-35%)/5%*20,MAX(0,40-(AK65-40%)/10%*40))))),0)</f>
        <v/>
      </c>
      <c r="AM65" s="106">
        <f>IFERROR(PMT('Score Inputs'!$B$5/12,'Score Inputs'!$B$7*12,-N65*(1-'Score Inputs'!$B$6)),0)</f>
        <v/>
      </c>
      <c r="AN65" s="118">
        <f>IFERROR(AM65/AJ65,0)</f>
        <v/>
      </c>
      <c r="AO65" s="110">
        <f>IFERROR(IF(AN65&lt;=25%,100,IF(AN65&lt;=30%,100-(AN65-25%)/5%*30,IF(AN65&lt;=35%,70-(AN65-30%)/5%*10,IF(AN65&lt;=40%,60-(AN65-35%)/5%*20,MAX(0,40-(AN65-40%)/10%*40))))),0)</f>
        <v/>
      </c>
      <c r="AP65" s="106">
        <f>IFERROR(AJ65-O65,0)</f>
        <v/>
      </c>
      <c r="AQ65" s="110">
        <f>IFERROR(MAX(0,MIN(100,(AP65-'Score Inputs'!$B$8)/('Score Inputs'!$B$9-'Score Inputs'!$B$8)*100)),0)</f>
        <v/>
      </c>
      <c r="AR65" s="110">
        <f>IFERROR(INDEX('State Funding Lookup'!$B$2:$B$86,MATCH($A65,'State Funding Lookup'!$A$2:$A$86,0)),0)</f>
        <v/>
      </c>
      <c r="AS65" s="87">
        <f>AK65</f>
        <v/>
      </c>
      <c r="AT65" s="87">
        <f>AN65</f>
        <v/>
      </c>
    </row>
    <row r="66" ht="30" customHeight="1" s="104">
      <c r="A66" s="89" t="inlineStr">
        <is>
          <t>Metro Nashville Public Schools</t>
        </is>
      </c>
      <c r="B66" s="89">
        <f>IFERROR(INDEX('School District Profiles'!$B$2:$B$86,MATCH($A66,'School District Profiles'!$A$2:$A$86,0)),"")</f>
        <v/>
      </c>
      <c r="C66" s="89">
        <f>IFERROR(INDEX('School District Profiles'!$C$2:$C$86,MATCH($A66,'School District Profiles'!$A$2:$A$86,0)),"")</f>
        <v/>
      </c>
      <c r="D66" s="91">
        <f>IFERROR(SUMIFS('Teacher Salary Data'!$E$2:$E$1871,'Teacher Salary Data'!$A$2:$A$1871,$A66,'Teacher Salary Data'!$C$2:$C$1871,"Bachelor's",'Teacher Salary Data'!$D$2:$D$1871,0),0)</f>
        <v/>
      </c>
      <c r="E66" s="91">
        <f>IFERROR(SUMIFS('Teacher Salary Data'!$E$2:$E$1871,'Teacher Salary Data'!$A$2:$A$1871,$A66,'Teacher Salary Data'!$C$2:$C$1871,"Bachelor's",'Teacher Salary Data'!$D$2:$D$1871,5),0)</f>
        <v/>
      </c>
      <c r="F66" s="91">
        <f>IFERROR(SUMIFS('Teacher Salary Data'!$E$2:$E$1871,'Teacher Salary Data'!$A$2:$A$1871,$A66,'Teacher Salary Data'!$C$2:$C$1871,"Bachelor's",'Teacher Salary Data'!$D$2:$D$1871,10),0)</f>
        <v/>
      </c>
      <c r="G66" s="91">
        <f>IFERROR(SUMIFS('Teacher Salary Data'!$E$2:$E$1871,'Teacher Salary Data'!$A$2:$A$1871,$A66,'Teacher Salary Data'!$C$2:$C$1871,"Master's",'Teacher Salary Data'!$D$2:$D$1871,0),0)</f>
        <v/>
      </c>
      <c r="H66" s="91">
        <f>IFERROR(SUMIFS('Teacher Salary Data'!$E$2:$E$1871,'Teacher Salary Data'!$A$2:$A$1871,$A66,'Teacher Salary Data'!$C$2:$C$1871,"Master's",'Teacher Salary Data'!$D$2:$D$1871,5),0)</f>
        <v/>
      </c>
      <c r="I66" s="91">
        <f>IFERROR(SUMIFS('Teacher Salary Data'!$E$2:$E$1871,'Teacher Salary Data'!$A$2:$A$1871,$A66,'Teacher Salary Data'!$C$2:$C$1871,"Master's",'Teacher Salary Data'!$D$2:$D$1871,10),0)</f>
        <v/>
      </c>
      <c r="J66" s="91">
        <f>AVERAGE(D66,G66)</f>
        <v/>
      </c>
      <c r="K66" s="91">
        <f>AVERAGE(F66,I66)</f>
        <v/>
      </c>
      <c r="L66" s="121">
        <f>IFERROR((K66-J66)/J66,0)</f>
        <v/>
      </c>
      <c r="M66" s="91">
        <f>G66-D66</f>
        <v/>
      </c>
      <c r="N66" s="91">
        <f>IFERROR(INDEX('Median Home and Rent Prices'!$D$2:$D$86,MATCH($A66,'Median Home and Rent Prices'!$A$2:$A$86,0)),0)</f>
        <v/>
      </c>
      <c r="O66" s="91">
        <f>IFERROR(INDEX('Median Home and Rent Prices'!$E$2:$E$86,MATCH($A66,'Median Home and Rent Prices'!$A$2:$A$86,0)),0)</f>
        <v/>
      </c>
      <c r="P66" s="94">
        <f>IFERROR(INDEX('School District Profiles'!$H$2:$H$86,MATCH($A66,'School District Profiles'!$A$2:$A$86,0)),0)</f>
        <v/>
      </c>
      <c r="Q66" s="91">
        <f>IFERROR(INDEX('School District Profiles'!$I$2:$I$86,MATCH($A66,'School District Profiles'!$A$2:$A$86,0)),0)</f>
        <v/>
      </c>
      <c r="R66" s="94">
        <f>IFERROR(IF(($AI66-('Score Inputs'!$B$4*1500+IF('Score Inputs'!$B$3="Master's",4000,0)))&lt;53000,MAX(0,MIN(39.99,((($AI66-('Score Inputs'!$B$4*1500+IF('Score Inputs'!$B$3="Master's",4000,0))))-45000)/8000*39.99)),IF(($AI66-('Score Inputs'!$B$4*1500+IF('Score Inputs'!$B$3="Master's",4000,0)))&lt;58000,40+((($AI66-('Score Inputs'!$B$4*1500+IF('Score Inputs'!$B$3="Master's",4000,0))))-53000)/5000*20,IF(($AI66-('Score Inputs'!$B$4*1500+IF('Score Inputs'!$B$3="Master's",4000,0)))&lt;63000,60+((($AI66-('Score Inputs'!$B$4*1500+IF('Score Inputs'!$B$3="Master's",4000,0))))-58000)/5000*10,IF(($AI66-('Score Inputs'!$B$4*1500+IF('Score Inputs'!$B$3="Master's",4000,0)))&lt;70000,70+((($AI66-('Score Inputs'!$B$4*1500+IF('Score Inputs'!$B$3="Master's",4000,0))))-63000)/7000*10,IF(($AI66-('Score Inputs'!$B$4*1500+IF('Score Inputs'!$B$3="Master's",4000,0)))&lt;75000,80+((($AI66-('Score Inputs'!$B$4*1500+IF('Score Inputs'!$B$3="Master's",4000,0))))-70000)/5000*10,MIN(100,90+((($AI66-('Score Inputs'!$B$4*1500+IF('Score Inputs'!$B$3="Master's",4000,0))))-75000)/5000*10)))))),0)</f>
        <v/>
      </c>
      <c r="S66" s="94">
        <f>IFERROR(MAX(0,MIN(100,L66/0.48*100)),0)</f>
        <v/>
      </c>
      <c r="T66" s="94">
        <f>IFERROR(MAX(0,MIN(100,M66/15000*100)),0)</f>
        <v/>
      </c>
      <c r="U66" s="94">
        <f>IFERROR(0.5*R66+0.35*S66+0.15*T66,0)</f>
        <v/>
      </c>
      <c r="V66" s="94">
        <f>IFERROR(0.35*AL66+0.3*AO66+0.25*AB66+0.1*AQ66,0)</f>
        <v/>
      </c>
      <c r="W66" s="94">
        <f>IFERROR(MAX(0,MIN(100,(25-P66)/(25-12)*100)),0)</f>
        <v/>
      </c>
      <c r="X66" s="94">
        <f>IFERROR(MAX(0,MIN(100,(AD66-1)/(3-1)*100))*IF(OR($A66="North Clackamas School District",$A66="Provo City School District"),0.6,1),0)</f>
        <v/>
      </c>
      <c r="Y66" s="94">
        <f>IFERROR(MAX(0,MIN(100,(1-((IFERROR(INDEX('School District Profiles'!$D$2:$D$86,MATCH($A66,'School District Profiles'!$A$2:$A$86,0)),0)/100)^2+(IFERROR(INDEX('School District Profiles'!$E$2:$E$86,MATCH($A66,'School District Profiles'!$A$2:$A$86,0)),0)/100)^2+(IFERROR(INDEX('School District Profiles'!$F$2:$F$86,MATCH($A66,'School District Profiles'!$A$2:$A$86,0)),0)/100)^2+(IFERROR(INDEX('School District Profiles'!$G$2:$G$86,MATCH($A66,'School District Profiles'!$A$2:$A$86,0)),0)/100)^2+(AC66/100)^2))/0.8*100)),0)</f>
        <v/>
      </c>
      <c r="Z66" s="94">
        <f>IFERROR(AF66*AG66,0)</f>
        <v/>
      </c>
      <c r="AA66" s="96">
        <f>IFERROR(INDEX('Median Home and Rent Prices'!$F$2:$F$86,MATCH($A66,'Median Home and Rent Prices'!$A$2:$A$86,0)),0)</f>
        <v/>
      </c>
      <c r="AB66" s="94">
        <f>IFERROR(MAX(0,MIN(100,(800-AA66)/(800-150)*100)),0)</f>
        <v/>
      </c>
      <c r="AC66" s="121">
        <f>IFERROR(INDEX('School District Profiles'!$J$2:$J$86,MATCH($A66,'School District Profiles'!$A$2:$A$86,0)),0)</f>
        <v/>
      </c>
      <c r="AD66" s="94">
        <f>IFERROR(Q66*20/O66,0)</f>
        <v/>
      </c>
      <c r="AE66" s="73">
        <f>IFERROR(IF(AG66&gt;=1,100,IF(AG66&gt;=0.95,75,IF(AG66&gt;=0.9,60,IF(AG66&gt;=0.85,40,IF(AG66&gt;=0.8,25,0))))),0)</f>
        <v/>
      </c>
      <c r="AF66" s="73">
        <f>IFERROR(0.35*V66+0.3*U66+0.1*W66+0.1*X66+0.1*Y66+0.05*AR66,0)</f>
        <v/>
      </c>
      <c r="AG66" s="73" t="n">
        <v>0.95</v>
      </c>
      <c r="AH66" s="70" t="inlineStr">
        <is>
          <t>5% watchlist penalty due to budget-pressure reporting tied to expiring federal aid/funding issues, without strong current broad-layoff evidence.</t>
        </is>
      </c>
      <c r="AI66" s="105">
        <f>IF('Score Inputs'!$B$3="Bachelor's",CHOOSE(MATCH('Score Inputs'!$B$4,{0,5,10},0),D66,E66,F66),CHOOSE(MATCH('Score Inputs'!$B$4,{0,5,10},0),G66,H66,I66))</f>
        <v/>
      </c>
      <c r="AJ66" s="105">
        <f>IFERROR(AI66/12,0)</f>
        <v/>
      </c>
      <c r="AK66" s="120">
        <f>IFERROR(O66/AJ66,0)</f>
        <v/>
      </c>
      <c r="AL66" s="109">
        <f>IFERROR(IF(AK66&lt;=25%,100,IF(AK66&lt;=30%,100-(AK66-25%)/5%*30,IF(AK66&lt;=35%,70-(AK66-30%)/5%*10,IF(AK66&lt;=40%,60-(AK66-35%)/5%*20,MAX(0,40-(AK66-40%)/10%*40))))),0)</f>
        <v/>
      </c>
      <c r="AM66" s="105">
        <f>IFERROR(PMT('Score Inputs'!$B$5/12,'Score Inputs'!$B$7*12,-N66*(1-'Score Inputs'!$B$6)),0)</f>
        <v/>
      </c>
      <c r="AN66" s="120">
        <f>IFERROR(AM66/AJ66,0)</f>
        <v/>
      </c>
      <c r="AO66" s="109">
        <f>IFERROR(IF(AN66&lt;=25%,100,IF(AN66&lt;=30%,100-(AN66-25%)/5%*30,IF(AN66&lt;=35%,70-(AN66-30%)/5%*10,IF(AN66&lt;=40%,60-(AN66-35%)/5%*20,MAX(0,40-(AN66-40%)/10%*40))))),0)</f>
        <v/>
      </c>
      <c r="AP66" s="105">
        <f>IFERROR(AJ66-O66,0)</f>
        <v/>
      </c>
      <c r="AQ66" s="109">
        <f>IFERROR(MAX(0,MIN(100,(AP66-'Score Inputs'!$B$8)/('Score Inputs'!$B$9-'Score Inputs'!$B$8)*100)),0)</f>
        <v/>
      </c>
      <c r="AR66" s="109">
        <f>IFERROR(INDEX('State Funding Lookup'!$B$2:$B$86,MATCH($A66,'State Funding Lookup'!$A$2:$A$86,0)),0)</f>
        <v/>
      </c>
      <c r="AS66" s="78">
        <f>AK66</f>
        <v/>
      </c>
      <c r="AT66" s="78">
        <f>AN66</f>
        <v/>
      </c>
    </row>
    <row r="67" ht="30" customHeight="1" s="104">
      <c r="A67" s="89" t="inlineStr">
        <is>
          <t>Canyons School District</t>
        </is>
      </c>
      <c r="B67" s="89">
        <f>IFERROR(INDEX('School District Profiles'!$B$2:$B$86,MATCH($A67,'School District Profiles'!$A$2:$A$86,0)),"")</f>
        <v/>
      </c>
      <c r="C67" s="89">
        <f>IFERROR(INDEX('School District Profiles'!$C$2:$C$86,MATCH($A67,'School District Profiles'!$A$2:$A$86,0)),"")</f>
        <v/>
      </c>
      <c r="D67" s="91">
        <f>IFERROR(SUMIFS('Teacher Salary Data'!$E$2:$E$1871,'Teacher Salary Data'!$A$2:$A$1871,$A67,'Teacher Salary Data'!$C$2:$C$1871,"Bachelor's",'Teacher Salary Data'!$D$2:$D$1871,0),0)</f>
        <v/>
      </c>
      <c r="E67" s="91">
        <f>IFERROR(SUMIFS('Teacher Salary Data'!$E$2:$E$1871,'Teacher Salary Data'!$A$2:$A$1871,$A67,'Teacher Salary Data'!$C$2:$C$1871,"Bachelor's",'Teacher Salary Data'!$D$2:$D$1871,5),0)</f>
        <v/>
      </c>
      <c r="F67" s="91">
        <f>IFERROR(SUMIFS('Teacher Salary Data'!$E$2:$E$1871,'Teacher Salary Data'!$A$2:$A$1871,$A67,'Teacher Salary Data'!$C$2:$C$1871,"Bachelor's",'Teacher Salary Data'!$D$2:$D$1871,10),0)</f>
        <v/>
      </c>
      <c r="G67" s="91">
        <f>IFERROR(SUMIFS('Teacher Salary Data'!$E$2:$E$1871,'Teacher Salary Data'!$A$2:$A$1871,$A67,'Teacher Salary Data'!$C$2:$C$1871,"Master's",'Teacher Salary Data'!$D$2:$D$1871,0),0)</f>
        <v/>
      </c>
      <c r="H67" s="91">
        <f>IFERROR(SUMIFS('Teacher Salary Data'!$E$2:$E$1871,'Teacher Salary Data'!$A$2:$A$1871,$A67,'Teacher Salary Data'!$C$2:$C$1871,"Master's",'Teacher Salary Data'!$D$2:$D$1871,5),0)</f>
        <v/>
      </c>
      <c r="I67" s="91">
        <f>IFERROR(SUMIFS('Teacher Salary Data'!$E$2:$E$1871,'Teacher Salary Data'!$A$2:$A$1871,$A67,'Teacher Salary Data'!$C$2:$C$1871,"Master's",'Teacher Salary Data'!$D$2:$D$1871,10),0)</f>
        <v/>
      </c>
      <c r="J67" s="91">
        <f>AVERAGE(D67,G67)</f>
        <v/>
      </c>
      <c r="K67" s="91">
        <f>AVERAGE(F67,I67)</f>
        <v/>
      </c>
      <c r="L67" s="121">
        <f>IFERROR((K67-J67)/J67,0)</f>
        <v/>
      </c>
      <c r="M67" s="91">
        <f>G67-D67</f>
        <v/>
      </c>
      <c r="N67" s="91">
        <f>IFERROR(INDEX('Median Home and Rent Prices'!$D$2:$D$86,MATCH($A67,'Median Home and Rent Prices'!$A$2:$A$86,0)),0)</f>
        <v/>
      </c>
      <c r="O67" s="91">
        <f>IFERROR(INDEX('Median Home and Rent Prices'!$E$2:$E$86,MATCH($A67,'Median Home and Rent Prices'!$A$2:$A$86,0)),0)</f>
        <v/>
      </c>
      <c r="P67" s="94">
        <f>IFERROR(INDEX('School District Profiles'!$H$2:$H$86,MATCH($A67,'School District Profiles'!$A$2:$A$86,0)),0)</f>
        <v/>
      </c>
      <c r="Q67" s="91">
        <f>IFERROR(INDEX('School District Profiles'!$I$2:$I$86,MATCH($A67,'School District Profiles'!$A$2:$A$86,0)),0)</f>
        <v/>
      </c>
      <c r="R67" s="94">
        <f>IFERROR(IF(($AI67-('Score Inputs'!$B$4*1500+IF('Score Inputs'!$B$3="Master's",4000,0)))&lt;53000,MAX(0,MIN(39.99,((($AI67-('Score Inputs'!$B$4*1500+IF('Score Inputs'!$B$3="Master's",4000,0))))-45000)/8000*39.99)),IF(($AI67-('Score Inputs'!$B$4*1500+IF('Score Inputs'!$B$3="Master's",4000,0)))&lt;58000,40+((($AI67-('Score Inputs'!$B$4*1500+IF('Score Inputs'!$B$3="Master's",4000,0))))-53000)/5000*20,IF(($AI67-('Score Inputs'!$B$4*1500+IF('Score Inputs'!$B$3="Master's",4000,0)))&lt;63000,60+((($AI67-('Score Inputs'!$B$4*1500+IF('Score Inputs'!$B$3="Master's",4000,0))))-58000)/5000*10,IF(($AI67-('Score Inputs'!$B$4*1500+IF('Score Inputs'!$B$3="Master's",4000,0)))&lt;70000,70+((($AI67-('Score Inputs'!$B$4*1500+IF('Score Inputs'!$B$3="Master's",4000,0))))-63000)/7000*10,IF(($AI67-('Score Inputs'!$B$4*1500+IF('Score Inputs'!$B$3="Master's",4000,0)))&lt;75000,80+((($AI67-('Score Inputs'!$B$4*1500+IF('Score Inputs'!$B$3="Master's",4000,0))))-70000)/5000*10,MIN(100,90+((($AI67-('Score Inputs'!$B$4*1500+IF('Score Inputs'!$B$3="Master's",4000,0))))-75000)/5000*10)))))),0)</f>
        <v/>
      </c>
      <c r="S67" s="94">
        <f>IFERROR(MAX(0,MIN(100,L67/0.48*100)),0)</f>
        <v/>
      </c>
      <c r="T67" s="94">
        <f>IFERROR(MAX(0,MIN(100,M67/15000*100)),0)</f>
        <v/>
      </c>
      <c r="U67" s="94">
        <f>IFERROR(0.5*R67+0.35*S67+0.15*T67,0)</f>
        <v/>
      </c>
      <c r="V67" s="94">
        <f>IFERROR(0.35*AL67+0.3*AO67+0.25*AB67+0.1*AQ67,0)</f>
        <v/>
      </c>
      <c r="W67" s="94">
        <f>IFERROR(MAX(0,MIN(100,(25-P67)/(25-12)*100)),0)</f>
        <v/>
      </c>
      <c r="X67" s="94">
        <f>IFERROR(MAX(0,MIN(100,(AD67-1)/(3-1)*100))*IF(OR($A67="North Clackamas School District",$A67="Provo City School District"),0.6,1),0)</f>
        <v/>
      </c>
      <c r="Y67" s="94">
        <f>IFERROR(MAX(0,MIN(100,(1-((IFERROR(INDEX('School District Profiles'!$D$2:$D$86,MATCH($A67,'School District Profiles'!$A$2:$A$86,0)),0)/100)^2+(IFERROR(INDEX('School District Profiles'!$E$2:$E$86,MATCH($A67,'School District Profiles'!$A$2:$A$86,0)),0)/100)^2+(IFERROR(INDEX('School District Profiles'!$F$2:$F$86,MATCH($A67,'School District Profiles'!$A$2:$A$86,0)),0)/100)^2+(IFERROR(INDEX('School District Profiles'!$G$2:$G$86,MATCH($A67,'School District Profiles'!$A$2:$A$86,0)),0)/100)^2+(AC67/100)^2))/0.8*100)),0)</f>
        <v/>
      </c>
      <c r="Z67" s="94">
        <f>IFERROR(AF67*AG67,0)</f>
        <v/>
      </c>
      <c r="AA67" s="96">
        <f>IFERROR(INDEX('Median Home and Rent Prices'!$F$2:$F$86,MATCH($A67,'Median Home and Rent Prices'!$A$2:$A$86,0)),0)</f>
        <v/>
      </c>
      <c r="AB67" s="94">
        <f>IFERROR(MAX(0,MIN(100,(800-AA67)/(800-150)*100)),0)</f>
        <v/>
      </c>
      <c r="AC67" s="121">
        <f>IFERROR(INDEX('School District Profiles'!$J$2:$J$86,MATCH($A67,'School District Profiles'!$A$2:$A$86,0)),0)</f>
        <v/>
      </c>
      <c r="AD67" s="94">
        <f>IFERROR(Q67*20/O67,0)</f>
        <v/>
      </c>
      <c r="AE67" s="73">
        <f>IFERROR(IF(AG67&gt;=1,100,IF(AG67&gt;=0.95,75,IF(AG67&gt;=0.9,60,IF(AG67&gt;=0.85,40,IF(AG67&gt;=0.8,25,0))))),0)</f>
        <v/>
      </c>
      <c r="AF67" s="73">
        <f>IFERROR(0.35*V67+0.3*U67+0.1*W67+0.1*X67+0.1*Y67+0.05*AR67,0)</f>
        <v/>
      </c>
      <c r="AG67" s="73" t="n">
        <v>0.9</v>
      </c>
      <c r="AH67" s="70" t="inlineStr">
        <is>
          <t>10% employment-stability penalty due to declining enrollment and possible elementary-school changes/closures; no broad layoff evidence found in first pass.</t>
        </is>
      </c>
      <c r="AI67" s="105">
        <f>IF('Score Inputs'!$B$3="Bachelor's",CHOOSE(MATCH('Score Inputs'!$B$4,{0,5,10},0),D67,E67,F67),CHOOSE(MATCH('Score Inputs'!$B$4,{0,5,10},0),G67,H67,I67))</f>
        <v/>
      </c>
      <c r="AJ67" s="105">
        <f>IFERROR(AI67/12,0)</f>
        <v/>
      </c>
      <c r="AK67" s="120">
        <f>IFERROR(O67/AJ67,0)</f>
        <v/>
      </c>
      <c r="AL67" s="109">
        <f>IFERROR(IF(AK67&lt;=25%,100,IF(AK67&lt;=30%,100-(AK67-25%)/5%*30,IF(AK67&lt;=35%,70-(AK67-30%)/5%*10,IF(AK67&lt;=40%,60-(AK67-35%)/5%*20,MAX(0,40-(AK67-40%)/10%*40))))),0)</f>
        <v/>
      </c>
      <c r="AM67" s="105">
        <f>IFERROR(PMT('Score Inputs'!$B$5/12,'Score Inputs'!$B$7*12,-N67*(1-'Score Inputs'!$B$6)),0)</f>
        <v/>
      </c>
      <c r="AN67" s="120">
        <f>IFERROR(AM67/AJ67,0)</f>
        <v/>
      </c>
      <c r="AO67" s="109">
        <f>IFERROR(IF(AN67&lt;=25%,100,IF(AN67&lt;=30%,100-(AN67-25%)/5%*30,IF(AN67&lt;=35%,70-(AN67-30%)/5%*10,IF(AN67&lt;=40%,60-(AN67-35%)/5%*20,MAX(0,40-(AN67-40%)/10%*40))))),0)</f>
        <v/>
      </c>
      <c r="AP67" s="105">
        <f>IFERROR(AJ67-O67,0)</f>
        <v/>
      </c>
      <c r="AQ67" s="109">
        <f>IFERROR(MAX(0,MIN(100,(AP67-'Score Inputs'!$B$8)/('Score Inputs'!$B$9-'Score Inputs'!$B$8)*100)),0)</f>
        <v/>
      </c>
      <c r="AR67" s="109">
        <f>IFERROR(INDEX('State Funding Lookup'!$B$2:$B$86,MATCH($A67,'State Funding Lookup'!$A$2:$A$86,0)),0)</f>
        <v/>
      </c>
      <c r="AS67" s="78">
        <f>AK67</f>
        <v/>
      </c>
      <c r="AT67" s="78">
        <f>AN67</f>
        <v/>
      </c>
    </row>
    <row r="68" ht="30" customHeight="1" s="104">
      <c r="A68" s="70" t="inlineStr">
        <is>
          <t>San Jose Unified School District</t>
        </is>
      </c>
      <c r="B68" s="70">
        <f>IFERROR(INDEX('School District Profiles'!$B$2:$B$86,MATCH($A68,'School District Profiles'!$A$2:$A$86,0)),"")</f>
        <v/>
      </c>
      <c r="C68" s="70">
        <f>IFERROR(INDEX('School District Profiles'!$C$2:$C$86,MATCH($A68,'School District Profiles'!$A$2:$A$86,0)),"")</f>
        <v/>
      </c>
      <c r="D68" s="71">
        <f>IFERROR(SUMIFS('Teacher Salary Data'!$E$2:$E$1871,'Teacher Salary Data'!$A$2:$A$1871,$A68,'Teacher Salary Data'!$C$2:$C$1871,"Bachelor's",'Teacher Salary Data'!$D$2:$D$1871,0),0)</f>
        <v/>
      </c>
      <c r="E68" s="71">
        <f>IFERROR(SUMIFS('Teacher Salary Data'!$E$2:$E$1871,'Teacher Salary Data'!$A$2:$A$1871,$A68,'Teacher Salary Data'!$C$2:$C$1871,"Bachelor's",'Teacher Salary Data'!$D$2:$D$1871,5),0)</f>
        <v/>
      </c>
      <c r="F68" s="71">
        <f>IFERROR(SUMIFS('Teacher Salary Data'!$E$2:$E$1871,'Teacher Salary Data'!$A$2:$A$1871,$A68,'Teacher Salary Data'!$C$2:$C$1871,"Bachelor's",'Teacher Salary Data'!$D$2:$D$1871,10),0)</f>
        <v/>
      </c>
      <c r="G68" s="71">
        <f>IFERROR(SUMIFS('Teacher Salary Data'!$E$2:$E$1871,'Teacher Salary Data'!$A$2:$A$1871,$A68,'Teacher Salary Data'!$C$2:$C$1871,"Master's",'Teacher Salary Data'!$D$2:$D$1871,0),0)</f>
        <v/>
      </c>
      <c r="H68" s="71">
        <f>IFERROR(SUMIFS('Teacher Salary Data'!$E$2:$E$1871,'Teacher Salary Data'!$A$2:$A$1871,$A68,'Teacher Salary Data'!$C$2:$C$1871,"Master's",'Teacher Salary Data'!$D$2:$D$1871,5),0)</f>
        <v/>
      </c>
      <c r="I68" s="71">
        <f>IFERROR(SUMIFS('Teacher Salary Data'!$E$2:$E$1871,'Teacher Salary Data'!$A$2:$A$1871,$A68,'Teacher Salary Data'!$C$2:$C$1871,"Master's",'Teacher Salary Data'!$D$2:$D$1871,10),0)</f>
        <v/>
      </c>
      <c r="J68" s="71">
        <f>AVERAGE(D68,G68)</f>
        <v/>
      </c>
      <c r="K68" s="71">
        <f>AVERAGE(F68,I68)</f>
        <v/>
      </c>
      <c r="L68" s="119">
        <f>IFERROR((K68-J68)/J68,0)</f>
        <v/>
      </c>
      <c r="M68" s="71">
        <f>G68-D68</f>
        <v/>
      </c>
      <c r="N68" s="71">
        <f>IFERROR(INDEX('Median Home and Rent Prices'!$D$2:$D$86,MATCH($A68,'Median Home and Rent Prices'!$A$2:$A$86,0)),0)</f>
        <v/>
      </c>
      <c r="O68" s="71">
        <f>IFERROR(INDEX('Median Home and Rent Prices'!$E$2:$E$86,MATCH($A68,'Median Home and Rent Prices'!$A$2:$A$86,0)),0)</f>
        <v/>
      </c>
      <c r="P68" s="73">
        <f>IFERROR(INDEX('School District Profiles'!$H$2:$H$86,MATCH($A68,'School District Profiles'!$A$2:$A$86,0)),0)</f>
        <v/>
      </c>
      <c r="Q68" s="71">
        <f>IFERROR(INDEX('School District Profiles'!$I$2:$I$86,MATCH($A68,'School District Profiles'!$A$2:$A$86,0)),0)</f>
        <v/>
      </c>
      <c r="R68" s="73">
        <f>IFERROR(IF(($AI68-('Score Inputs'!$B$4*1500+IF('Score Inputs'!$B$3="Master's",4000,0)))&lt;53000,MAX(0,MIN(39.99,((($AI68-('Score Inputs'!$B$4*1500+IF('Score Inputs'!$B$3="Master's",4000,0))))-45000)/8000*39.99)),IF(($AI68-('Score Inputs'!$B$4*1500+IF('Score Inputs'!$B$3="Master's",4000,0)))&lt;58000,40+((($AI68-('Score Inputs'!$B$4*1500+IF('Score Inputs'!$B$3="Master's",4000,0))))-53000)/5000*20,IF(($AI68-('Score Inputs'!$B$4*1500+IF('Score Inputs'!$B$3="Master's",4000,0)))&lt;63000,60+((($AI68-('Score Inputs'!$B$4*1500+IF('Score Inputs'!$B$3="Master's",4000,0))))-58000)/5000*10,IF(($AI68-('Score Inputs'!$B$4*1500+IF('Score Inputs'!$B$3="Master's",4000,0)))&lt;70000,70+((($AI68-('Score Inputs'!$B$4*1500+IF('Score Inputs'!$B$3="Master's",4000,0))))-63000)/7000*10,IF(($AI68-('Score Inputs'!$B$4*1500+IF('Score Inputs'!$B$3="Master's",4000,0)))&lt;75000,80+((($AI68-('Score Inputs'!$B$4*1500+IF('Score Inputs'!$B$3="Master's",4000,0))))-70000)/5000*10,MIN(100,90+((($AI68-('Score Inputs'!$B$4*1500+IF('Score Inputs'!$B$3="Master's",4000,0))))-75000)/5000*10)))))),0)</f>
        <v/>
      </c>
      <c r="S68" s="73">
        <f>IFERROR(MAX(0,MIN(100,L68/0.48*100)),0)</f>
        <v/>
      </c>
      <c r="T68" s="73">
        <f>IFERROR(MAX(0,MIN(100,M68/15000*100)),0)</f>
        <v/>
      </c>
      <c r="U68" s="73">
        <f>IFERROR(0.5*R68+0.35*S68+0.15*T68,0)</f>
        <v/>
      </c>
      <c r="V68" s="73">
        <f>IFERROR(0.35*AL68+0.3*AO68+0.25*AB68+0.1*AQ68,0)</f>
        <v/>
      </c>
      <c r="W68" s="73">
        <f>IFERROR(MAX(0,MIN(100,(25-P68)/(25-12)*100)),0)</f>
        <v/>
      </c>
      <c r="X68" s="73">
        <f>IFERROR(MAX(0,MIN(100,(AD68-1)/(3-1)*100))*IF(OR($A68="North Clackamas School District",$A68="Provo City School District"),0.6,1),0)</f>
        <v/>
      </c>
      <c r="Y68" s="73">
        <f>IFERROR(MAX(0,MIN(100,(1-((IFERROR(INDEX('School District Profiles'!$D$2:$D$86,MATCH($A68,'School District Profiles'!$A$2:$A$86,0)),0)/100)^2+(IFERROR(INDEX('School District Profiles'!$E$2:$E$86,MATCH($A68,'School District Profiles'!$A$2:$A$86,0)),0)/100)^2+(IFERROR(INDEX('School District Profiles'!$F$2:$F$86,MATCH($A68,'School District Profiles'!$A$2:$A$86,0)),0)/100)^2+(IFERROR(INDEX('School District Profiles'!$G$2:$G$86,MATCH($A68,'School District Profiles'!$A$2:$A$86,0)),0)/100)^2+(AC68/100)^2))/0.8*100)),0)</f>
        <v/>
      </c>
      <c r="Z68" s="73">
        <f>IFERROR(AF68*AG68,0)</f>
        <v/>
      </c>
      <c r="AA68" s="74">
        <f>IFERROR(INDEX('Median Home and Rent Prices'!$F$2:$F$86,MATCH($A68,'Median Home and Rent Prices'!$A$2:$A$86,0)),0)</f>
        <v/>
      </c>
      <c r="AB68" s="73">
        <f>IFERROR(MAX(0,MIN(100,(800-AA68)/(800-150)*100)),0)</f>
        <v/>
      </c>
      <c r="AC68" s="119">
        <f>IFERROR(INDEX('School District Profiles'!$J$2:$J$86,MATCH($A68,'School District Profiles'!$A$2:$A$86,0)),0)</f>
        <v/>
      </c>
      <c r="AD68" s="73">
        <f>IFERROR(Q68*20/O68,0)</f>
        <v/>
      </c>
      <c r="AE68" s="73">
        <f>IFERROR(IF(AG68&gt;=1,100,IF(AG68&gt;=0.95,75,IF(AG68&gt;=0.9,60,IF(AG68&gt;=0.85,40,IF(AG68&gt;=0.8,25,0))))),0)</f>
        <v/>
      </c>
      <c r="AF68" s="73">
        <f>IFERROR(0.35*V68+0.3*U68+0.1*W68+0.1*X68+0.1*Y68+0.05*AR68,0)</f>
        <v/>
      </c>
      <c r="AG68" s="73" t="n">
        <v>0.9</v>
      </c>
      <c r="AH68" s="70" t="inlineStr">
        <is>
          <t>10% employment-stability penalty due to school-closure risk and declining-enrollment pressure.</t>
        </is>
      </c>
      <c r="AI68" s="105">
        <f>IF('Score Inputs'!$B$3="Bachelor's",CHOOSE(MATCH('Score Inputs'!$B$4,{0,5,10},0),D68,E68,F68),CHOOSE(MATCH('Score Inputs'!$B$4,{0,5,10},0),G68,H68,I68))</f>
        <v/>
      </c>
      <c r="AJ68" s="105">
        <f>IFERROR(AI68/12,0)</f>
        <v/>
      </c>
      <c r="AK68" s="120">
        <f>IFERROR(O68/AJ68,0)</f>
        <v/>
      </c>
      <c r="AL68" s="109">
        <f>IFERROR(IF(AK68&lt;=25%,100,IF(AK68&lt;=30%,100-(AK68-25%)/5%*30,IF(AK68&lt;=35%,70-(AK68-30%)/5%*10,IF(AK68&lt;=40%,60-(AK68-35%)/5%*20,MAX(0,40-(AK68-40%)/10%*40))))),0)</f>
        <v/>
      </c>
      <c r="AM68" s="105">
        <f>IFERROR(PMT('Score Inputs'!$B$5/12,'Score Inputs'!$B$7*12,-N68*(1-'Score Inputs'!$B$6)),0)</f>
        <v/>
      </c>
      <c r="AN68" s="120">
        <f>IFERROR(AM68/AJ68,0)</f>
        <v/>
      </c>
      <c r="AO68" s="109">
        <f>IFERROR(IF(AN68&lt;=25%,100,IF(AN68&lt;=30%,100-(AN68-25%)/5%*30,IF(AN68&lt;=35%,70-(AN68-30%)/5%*10,IF(AN68&lt;=40%,60-(AN68-35%)/5%*20,MAX(0,40-(AN68-40%)/10%*40))))),0)</f>
        <v/>
      </c>
      <c r="AP68" s="105">
        <f>IFERROR(AJ68-O68,0)</f>
        <v/>
      </c>
      <c r="AQ68" s="109">
        <f>IFERROR(MAX(0,MIN(100,(AP68-'Score Inputs'!$B$8)/('Score Inputs'!$B$9-'Score Inputs'!$B$8)*100)),0)</f>
        <v/>
      </c>
      <c r="AR68" s="109">
        <f>IFERROR(INDEX('State Funding Lookup'!$B$2:$B$86,MATCH($A68,'State Funding Lookup'!$A$2:$A$86,0)),0)</f>
        <v/>
      </c>
      <c r="AS68" s="78">
        <f>AK68</f>
        <v/>
      </c>
      <c r="AT68" s="78">
        <f>AN68</f>
        <v/>
      </c>
    </row>
    <row r="69" ht="30" customHeight="1" s="104">
      <c r="A69" s="79" t="inlineStr">
        <is>
          <t>Queen Creek Unified School District</t>
        </is>
      </c>
      <c r="B69" s="79">
        <f>IFERROR(INDEX('School District Profiles'!$B$2:$B$86,MATCH($A69,'School District Profiles'!$A$2:$A$86,0)),"")</f>
        <v/>
      </c>
      <c r="C69" s="79">
        <f>IFERROR(INDEX('School District Profiles'!$C$2:$C$86,MATCH($A69,'School District Profiles'!$A$2:$A$86,0)),"")</f>
        <v/>
      </c>
      <c r="D69" s="80">
        <f>IFERROR(SUMIFS('Teacher Salary Data'!$E$2:$E$1871,'Teacher Salary Data'!$A$2:$A$1871,$A69,'Teacher Salary Data'!$C$2:$C$1871,"Bachelor's",'Teacher Salary Data'!$D$2:$D$1871,0),0)</f>
        <v/>
      </c>
      <c r="E69" s="80">
        <f>IFERROR(SUMIFS('Teacher Salary Data'!$E$2:$E$1871,'Teacher Salary Data'!$A$2:$A$1871,$A69,'Teacher Salary Data'!$C$2:$C$1871,"Bachelor's",'Teacher Salary Data'!$D$2:$D$1871,5),0)</f>
        <v/>
      </c>
      <c r="F69" s="80">
        <f>IFERROR(SUMIFS('Teacher Salary Data'!$E$2:$E$1871,'Teacher Salary Data'!$A$2:$A$1871,$A69,'Teacher Salary Data'!$C$2:$C$1871,"Bachelor's",'Teacher Salary Data'!$D$2:$D$1871,10),0)</f>
        <v/>
      </c>
      <c r="G69" s="80">
        <f>IFERROR(SUMIFS('Teacher Salary Data'!$E$2:$E$1871,'Teacher Salary Data'!$A$2:$A$1871,$A69,'Teacher Salary Data'!$C$2:$C$1871,"Master's",'Teacher Salary Data'!$D$2:$D$1871,0),0)</f>
        <v/>
      </c>
      <c r="H69" s="80">
        <f>IFERROR(SUMIFS('Teacher Salary Data'!$E$2:$E$1871,'Teacher Salary Data'!$A$2:$A$1871,$A69,'Teacher Salary Data'!$C$2:$C$1871,"Master's",'Teacher Salary Data'!$D$2:$D$1871,5),0)</f>
        <v/>
      </c>
      <c r="I69" s="80">
        <f>IFERROR(SUMIFS('Teacher Salary Data'!$E$2:$E$1871,'Teacher Salary Data'!$A$2:$A$1871,$A69,'Teacher Salary Data'!$C$2:$C$1871,"Master's",'Teacher Salary Data'!$D$2:$D$1871,10),0)</f>
        <v/>
      </c>
      <c r="J69" s="80">
        <f>AVERAGE(D69,G69)</f>
        <v/>
      </c>
      <c r="K69" s="80">
        <f>AVERAGE(F69,I69)</f>
        <v/>
      </c>
      <c r="L69" s="117">
        <f>IFERROR((K69-J69)/J69,0)</f>
        <v/>
      </c>
      <c r="M69" s="79">
        <f>G69-D69</f>
        <v/>
      </c>
      <c r="N69" s="80">
        <f>IFERROR(INDEX('Median Home and Rent Prices'!$D$2:$D$86,MATCH($A69,'Median Home and Rent Prices'!$A$2:$A$86,0)),0)</f>
        <v/>
      </c>
      <c r="O69" s="80">
        <f>IFERROR(INDEX('Median Home and Rent Prices'!$E$2:$E$86,MATCH($A69,'Median Home and Rent Prices'!$A$2:$A$86,0)),0)</f>
        <v/>
      </c>
      <c r="P69" s="79">
        <f>IFERROR(INDEX('School District Profiles'!$H$2:$H$86,MATCH($A69,'School District Profiles'!$A$2:$A$86,0)),0)</f>
        <v/>
      </c>
      <c r="Q69" s="80">
        <f>IFERROR(INDEX('School District Profiles'!$I$2:$I$86,MATCH($A69,'School District Profiles'!$A$2:$A$86,0)),0)</f>
        <v/>
      </c>
      <c r="R69" s="82">
        <f>IFERROR(IF(($AI69-('Score Inputs'!$B$4*1500+IF('Score Inputs'!$B$3="Master's",4000,0)))&lt;53000,MAX(0,MIN(39.99,((($AI69-('Score Inputs'!$B$4*1500+IF('Score Inputs'!$B$3="Master's",4000,0))))-45000)/8000*39.99)),IF(($AI69-('Score Inputs'!$B$4*1500+IF('Score Inputs'!$B$3="Master's",4000,0)))&lt;58000,40+((($AI69-('Score Inputs'!$B$4*1500+IF('Score Inputs'!$B$3="Master's",4000,0))))-53000)/5000*20,IF(($AI69-('Score Inputs'!$B$4*1500+IF('Score Inputs'!$B$3="Master's",4000,0)))&lt;63000,60+((($AI69-('Score Inputs'!$B$4*1500+IF('Score Inputs'!$B$3="Master's",4000,0))))-58000)/5000*10,IF(($AI69-('Score Inputs'!$B$4*1500+IF('Score Inputs'!$B$3="Master's",4000,0)))&lt;70000,70+((($AI69-('Score Inputs'!$B$4*1500+IF('Score Inputs'!$B$3="Master's",4000,0))))-63000)/7000*10,IF(($AI69-('Score Inputs'!$B$4*1500+IF('Score Inputs'!$B$3="Master's",4000,0)))&lt;75000,80+((($AI69-('Score Inputs'!$B$4*1500+IF('Score Inputs'!$B$3="Master's",4000,0))))-70000)/5000*10,MIN(100,90+((($AI69-('Score Inputs'!$B$4*1500+IF('Score Inputs'!$B$3="Master's",4000,0))))-75000)/5000*10)))))),0)</f>
        <v/>
      </c>
      <c r="S69" s="82">
        <f>IFERROR(MAX(0,MIN(100,L69/0.48*100)),0)</f>
        <v/>
      </c>
      <c r="T69" s="82">
        <f>IFERROR(MAX(0,MIN(100,M69/15000*100)),0)</f>
        <v/>
      </c>
      <c r="U69" s="82">
        <f>IFERROR(0.5*R69+0.35*S69+0.15*T69,0)</f>
        <v/>
      </c>
      <c r="V69" s="82">
        <f>IFERROR(0.35*AL69+0.3*AO69+0.25*AB69+0.1*AQ69,0)</f>
        <v/>
      </c>
      <c r="W69" s="82">
        <f>IFERROR(MAX(0,MIN(100,(25-P69)/(25-12)*100)),0)</f>
        <v/>
      </c>
      <c r="X69" s="82">
        <f>IFERROR(MAX(0,MIN(100,(AD69-1)/(3-1)*100))*IF(OR($A69="North Clackamas School District",$A69="Provo City School District"),0.6,1),0)</f>
        <v/>
      </c>
      <c r="Y69" s="82">
        <f>IFERROR(MAX(0,MIN(100,(1-((IFERROR(INDEX('School District Profiles'!$D$2:$D$86,MATCH($A69,'School District Profiles'!$A$2:$A$86,0)),0)/100)^2+(IFERROR(INDEX('School District Profiles'!$E$2:$E$86,MATCH($A69,'School District Profiles'!$A$2:$A$86,0)),0)/100)^2+(IFERROR(INDEX('School District Profiles'!$F$2:$F$86,MATCH($A69,'School District Profiles'!$A$2:$A$86,0)),0)/100)^2+(IFERROR(INDEX('School District Profiles'!$G$2:$G$86,MATCH($A69,'School District Profiles'!$A$2:$A$86,0)),0)/100)^2+(AC69/100)^2))/0.8*100)),0)</f>
        <v/>
      </c>
      <c r="Z69" s="82">
        <f>IFERROR(AF69*AG69,0)</f>
        <v/>
      </c>
      <c r="AA69" s="79">
        <f>IFERROR(INDEX('Median Home and Rent Prices'!$F$2:$F$86,MATCH($A69,'Median Home and Rent Prices'!$A$2:$A$86,0)),0)</f>
        <v/>
      </c>
      <c r="AB69" s="82">
        <f>IFERROR(MAX(0,MIN(100,(800-AA69)/(800-150)*100)),0)</f>
        <v/>
      </c>
      <c r="AC69" s="79">
        <f>IFERROR(INDEX('School District Profiles'!$J$2:$J$86,MATCH($A69,'School District Profiles'!$A$2:$A$86,0)),0)</f>
        <v/>
      </c>
      <c r="AD69" s="82">
        <f>IFERROR(Q69*20/O69,0)</f>
        <v/>
      </c>
      <c r="AE69" s="82">
        <f>IFERROR(IF(AG69&gt;=1,100,IF(AG69&gt;=0.95,75,IF(AG69&gt;=0.9,60,IF(AG69&gt;=0.85,40,IF(AG69&gt;=0.8,25,0))))),0)</f>
        <v/>
      </c>
      <c r="AF69" s="82">
        <f>IFERROR(0.35*V69+0.3*U69+0.1*W69+0.1*X69+0.1*Y69+0.05*AR69,0)</f>
        <v/>
      </c>
      <c r="AG69" s="82" t="n">
        <v>1</v>
      </c>
      <c r="AH69" s="79" t="inlineStr">
        <is>
          <t>First-pass addition from public salary/housing sources. Verify official step placement, current sub pay, enrollment/budget stability, and district-boundary housing before final public ranking claims.</t>
        </is>
      </c>
      <c r="AI69" s="106">
        <f>IF('Score Inputs'!$B$3="Bachelor's",CHOOSE(MATCH('Score Inputs'!$B$4,{0,5,10},0),D69,E69,F69),CHOOSE(MATCH('Score Inputs'!$B$4,{0,5,10},0),G69,H69,I69))</f>
        <v/>
      </c>
      <c r="AJ69" s="106">
        <f>IFERROR(AI69/12,0)</f>
        <v/>
      </c>
      <c r="AK69" s="118">
        <f>IFERROR(O69/AJ69,0)</f>
        <v/>
      </c>
      <c r="AL69" s="110">
        <f>IFERROR(IF(AK69&lt;=25%,100,IF(AK69&lt;=30%,100-(AK69-25%)/5%*30,IF(AK69&lt;=35%,70-(AK69-30%)/5%*10,IF(AK69&lt;=40%,60-(AK69-35%)/5%*20,MAX(0,40-(AK69-40%)/10%*40))))),0)</f>
        <v/>
      </c>
      <c r="AM69" s="106">
        <f>IFERROR(PMT('Score Inputs'!$B$5/12,'Score Inputs'!$B$7*12,-N69*(1-'Score Inputs'!$B$6)),0)</f>
        <v/>
      </c>
      <c r="AN69" s="118">
        <f>IFERROR(AM69/AJ69,0)</f>
        <v/>
      </c>
      <c r="AO69" s="110">
        <f>IFERROR(IF(AN69&lt;=25%,100,IF(AN69&lt;=30%,100-(AN69-25%)/5%*30,IF(AN69&lt;=35%,70-(AN69-30%)/5%*10,IF(AN69&lt;=40%,60-(AN69-35%)/5%*20,MAX(0,40-(AN69-40%)/10%*40))))),0)</f>
        <v/>
      </c>
      <c r="AP69" s="106">
        <f>IFERROR(AJ69-O69,0)</f>
        <v/>
      </c>
      <c r="AQ69" s="110">
        <f>IFERROR(MAX(0,MIN(100,(AP69-'Score Inputs'!$B$8)/('Score Inputs'!$B$9-'Score Inputs'!$B$8)*100)),0)</f>
        <v/>
      </c>
      <c r="AR69" s="110">
        <f>IFERROR(INDEX('State Funding Lookup'!$B$2:$B$86,MATCH($A69,'State Funding Lookup'!$A$2:$A$86,0)),0)</f>
        <v/>
      </c>
      <c r="AS69" s="87">
        <f>AK69</f>
        <v/>
      </c>
      <c r="AT69" s="87">
        <f>AN69</f>
        <v/>
      </c>
    </row>
    <row r="70" ht="30" customHeight="1" s="104">
      <c r="A70" s="79" t="inlineStr">
        <is>
          <t>West Ada School District</t>
        </is>
      </c>
      <c r="B70" s="79">
        <f>IFERROR(INDEX('School District Profiles'!$B$2:$B$86,MATCH($A70,'School District Profiles'!$A$2:$A$86,0)),"")</f>
        <v/>
      </c>
      <c r="C70" s="79">
        <f>IFERROR(INDEX('School District Profiles'!$C$2:$C$86,MATCH($A70,'School District Profiles'!$A$2:$A$86,0)),"")</f>
        <v/>
      </c>
      <c r="D70" s="80">
        <f>IFERROR(SUMIFS('Teacher Salary Data'!$E$2:$E$1871,'Teacher Salary Data'!$A$2:$A$1871,$A70,'Teacher Salary Data'!$C$2:$C$1871,"Bachelor's",'Teacher Salary Data'!$D$2:$D$1871,0),0)</f>
        <v/>
      </c>
      <c r="E70" s="80">
        <f>IFERROR(SUMIFS('Teacher Salary Data'!$E$2:$E$1871,'Teacher Salary Data'!$A$2:$A$1871,$A70,'Teacher Salary Data'!$C$2:$C$1871,"Bachelor's",'Teacher Salary Data'!$D$2:$D$1871,5),0)</f>
        <v/>
      </c>
      <c r="F70" s="80">
        <f>IFERROR(SUMIFS('Teacher Salary Data'!$E$2:$E$1871,'Teacher Salary Data'!$A$2:$A$1871,$A70,'Teacher Salary Data'!$C$2:$C$1871,"Bachelor's",'Teacher Salary Data'!$D$2:$D$1871,10),0)</f>
        <v/>
      </c>
      <c r="G70" s="80">
        <f>IFERROR(SUMIFS('Teacher Salary Data'!$E$2:$E$1871,'Teacher Salary Data'!$A$2:$A$1871,$A70,'Teacher Salary Data'!$C$2:$C$1871,"Master's",'Teacher Salary Data'!$D$2:$D$1871,0),0)</f>
        <v/>
      </c>
      <c r="H70" s="80">
        <f>IFERROR(SUMIFS('Teacher Salary Data'!$E$2:$E$1871,'Teacher Salary Data'!$A$2:$A$1871,$A70,'Teacher Salary Data'!$C$2:$C$1871,"Master's",'Teacher Salary Data'!$D$2:$D$1871,5),0)</f>
        <v/>
      </c>
      <c r="I70" s="80">
        <f>IFERROR(SUMIFS('Teacher Salary Data'!$E$2:$E$1871,'Teacher Salary Data'!$A$2:$A$1871,$A70,'Teacher Salary Data'!$C$2:$C$1871,"Master's",'Teacher Salary Data'!$D$2:$D$1871,10),0)</f>
        <v/>
      </c>
      <c r="J70" s="80">
        <f>AVERAGE(D70,G70)</f>
        <v/>
      </c>
      <c r="K70" s="80">
        <f>AVERAGE(F70,I70)</f>
        <v/>
      </c>
      <c r="L70" s="117">
        <f>IFERROR((K70-J70)/J70,0)</f>
        <v/>
      </c>
      <c r="M70" s="79">
        <f>G70-D70</f>
        <v/>
      </c>
      <c r="N70" s="80">
        <f>IFERROR(INDEX('Median Home and Rent Prices'!$D$2:$D$86,MATCH($A70,'Median Home and Rent Prices'!$A$2:$A$86,0)),0)</f>
        <v/>
      </c>
      <c r="O70" s="80">
        <f>IFERROR(INDEX('Median Home and Rent Prices'!$E$2:$E$86,MATCH($A70,'Median Home and Rent Prices'!$A$2:$A$86,0)),0)</f>
        <v/>
      </c>
      <c r="P70" s="79">
        <f>IFERROR(INDEX('School District Profiles'!$H$2:$H$86,MATCH($A70,'School District Profiles'!$A$2:$A$86,0)),0)</f>
        <v/>
      </c>
      <c r="Q70" s="80">
        <f>IFERROR(INDEX('School District Profiles'!$I$2:$I$86,MATCH($A70,'School District Profiles'!$A$2:$A$86,0)),0)</f>
        <v/>
      </c>
      <c r="R70" s="82">
        <f>IFERROR(IF(($AI70-('Score Inputs'!$B$4*1500+IF('Score Inputs'!$B$3="Master's",4000,0)))&lt;53000,MAX(0,MIN(39.99,((($AI70-('Score Inputs'!$B$4*1500+IF('Score Inputs'!$B$3="Master's",4000,0))))-45000)/8000*39.99)),IF(($AI70-('Score Inputs'!$B$4*1500+IF('Score Inputs'!$B$3="Master's",4000,0)))&lt;58000,40+((($AI70-('Score Inputs'!$B$4*1500+IF('Score Inputs'!$B$3="Master's",4000,0))))-53000)/5000*20,IF(($AI70-('Score Inputs'!$B$4*1500+IF('Score Inputs'!$B$3="Master's",4000,0)))&lt;63000,60+((($AI70-('Score Inputs'!$B$4*1500+IF('Score Inputs'!$B$3="Master's",4000,0))))-58000)/5000*10,IF(($AI70-('Score Inputs'!$B$4*1500+IF('Score Inputs'!$B$3="Master's",4000,0)))&lt;70000,70+((($AI70-('Score Inputs'!$B$4*1500+IF('Score Inputs'!$B$3="Master's",4000,0))))-63000)/7000*10,IF(($AI70-('Score Inputs'!$B$4*1500+IF('Score Inputs'!$B$3="Master's",4000,0)))&lt;75000,80+((($AI70-('Score Inputs'!$B$4*1500+IF('Score Inputs'!$B$3="Master's",4000,0))))-70000)/5000*10,MIN(100,90+((($AI70-('Score Inputs'!$B$4*1500+IF('Score Inputs'!$B$3="Master's",4000,0))))-75000)/5000*10)))))),0)</f>
        <v/>
      </c>
      <c r="S70" s="82">
        <f>IFERROR(MAX(0,MIN(100,L70/0.48*100)),0)</f>
        <v/>
      </c>
      <c r="T70" s="82">
        <f>IFERROR(MAX(0,MIN(100,M70/15000*100)),0)</f>
        <v/>
      </c>
      <c r="U70" s="82">
        <f>IFERROR(0.5*R70+0.35*S70+0.15*T70,0)</f>
        <v/>
      </c>
      <c r="V70" s="82">
        <f>IFERROR(0.35*AL70+0.3*AO70+0.25*AB70+0.1*AQ70,0)</f>
        <v/>
      </c>
      <c r="W70" s="82">
        <f>IFERROR(MAX(0,MIN(100,(25-P70)/(25-12)*100)),0)</f>
        <v/>
      </c>
      <c r="X70" s="82">
        <f>IFERROR(MAX(0,MIN(100,(AD70-1)/(3-1)*100))*IF(OR($A70="North Clackamas School District",$A70="Provo City School District"),0.6,1),0)</f>
        <v/>
      </c>
      <c r="Y70" s="82">
        <f>IFERROR(MAX(0,MIN(100,(1-((IFERROR(INDEX('School District Profiles'!$D$2:$D$86,MATCH($A70,'School District Profiles'!$A$2:$A$86,0)),0)/100)^2+(IFERROR(INDEX('School District Profiles'!$E$2:$E$86,MATCH($A70,'School District Profiles'!$A$2:$A$86,0)),0)/100)^2+(IFERROR(INDEX('School District Profiles'!$F$2:$F$86,MATCH($A70,'School District Profiles'!$A$2:$A$86,0)),0)/100)^2+(IFERROR(INDEX('School District Profiles'!$G$2:$G$86,MATCH($A70,'School District Profiles'!$A$2:$A$86,0)),0)/100)^2+(AC70/100)^2))/0.8*100)),0)</f>
        <v/>
      </c>
      <c r="Z70" s="82">
        <f>IFERROR(AF70*AG70,0)</f>
        <v/>
      </c>
      <c r="AA70" s="79">
        <f>IFERROR(INDEX('Median Home and Rent Prices'!$F$2:$F$86,MATCH($A70,'Median Home and Rent Prices'!$A$2:$A$86,0)),0)</f>
        <v/>
      </c>
      <c r="AB70" s="82">
        <f>IFERROR(MAX(0,MIN(100,(800-AA70)/(800-150)*100)),0)</f>
        <v/>
      </c>
      <c r="AC70" s="79">
        <f>IFERROR(INDEX('School District Profiles'!$J$2:$J$86,MATCH($A70,'School District Profiles'!$A$2:$A$86,0)),0)</f>
        <v/>
      </c>
      <c r="AD70" s="82">
        <f>IFERROR(Q70*20/O70,0)</f>
        <v/>
      </c>
      <c r="AE70" s="82">
        <f>IFERROR(IF(AG70&gt;=1,100,IF(AG70&gt;=0.95,75,IF(AG70&gt;=0.9,60,IF(AG70&gt;=0.85,40,IF(AG70&gt;=0.8,25,0))))),0)</f>
        <v/>
      </c>
      <c r="AF70" s="82">
        <f>IFERROR(0.35*V70+0.3*U70+0.1*W70+0.1*X70+0.1*Y70+0.05*AR70,0)</f>
        <v/>
      </c>
      <c r="AG70" s="82" t="n">
        <v>1</v>
      </c>
      <c r="AH70" s="79" t="inlineStr">
        <is>
          <t>First-pass addition from public salary/housing sources. Verify official step placement, current sub pay, enrollment/budget stability, and district-boundary housing before final public ranking claims.</t>
        </is>
      </c>
      <c r="AI70" s="106">
        <f>IF('Score Inputs'!$B$3="Bachelor's",CHOOSE(MATCH('Score Inputs'!$B$4,{0,5,10},0),D70,E70,F70),CHOOSE(MATCH('Score Inputs'!$B$4,{0,5,10},0),G70,H70,I70))</f>
        <v/>
      </c>
      <c r="AJ70" s="106">
        <f>IFERROR(AI70/12,0)</f>
        <v/>
      </c>
      <c r="AK70" s="118">
        <f>IFERROR(O70/AJ70,0)</f>
        <v/>
      </c>
      <c r="AL70" s="110">
        <f>IFERROR(IF(AK70&lt;=25%,100,IF(AK70&lt;=30%,100-(AK70-25%)/5%*30,IF(AK70&lt;=35%,70-(AK70-30%)/5%*10,IF(AK70&lt;=40%,60-(AK70-35%)/5%*20,MAX(0,40-(AK70-40%)/10%*40))))),0)</f>
        <v/>
      </c>
      <c r="AM70" s="106">
        <f>IFERROR(PMT('Score Inputs'!$B$5/12,'Score Inputs'!$B$7*12,-N70*(1-'Score Inputs'!$B$6)),0)</f>
        <v/>
      </c>
      <c r="AN70" s="118">
        <f>IFERROR(AM70/AJ70,0)</f>
        <v/>
      </c>
      <c r="AO70" s="110">
        <f>IFERROR(IF(AN70&lt;=25%,100,IF(AN70&lt;=30%,100-(AN70-25%)/5%*30,IF(AN70&lt;=35%,70-(AN70-30%)/5%*10,IF(AN70&lt;=40%,60-(AN70-35%)/5%*20,MAX(0,40-(AN70-40%)/10%*40))))),0)</f>
        <v/>
      </c>
      <c r="AP70" s="106">
        <f>IFERROR(AJ70-O70,0)</f>
        <v/>
      </c>
      <c r="AQ70" s="110">
        <f>IFERROR(MAX(0,MIN(100,(AP70-'Score Inputs'!$B$8)/('Score Inputs'!$B$9-'Score Inputs'!$B$8)*100)),0)</f>
        <v/>
      </c>
      <c r="AR70" s="110">
        <f>IFERROR(INDEX('State Funding Lookup'!$B$2:$B$86,MATCH($A70,'State Funding Lookup'!$A$2:$A$86,0)),0)</f>
        <v/>
      </c>
      <c r="AS70" s="87">
        <f>AK70</f>
        <v/>
      </c>
      <c r="AT70" s="87">
        <f>AN70</f>
        <v/>
      </c>
    </row>
    <row r="71" ht="30" customHeight="1" s="104">
      <c r="A71" s="89" t="inlineStr">
        <is>
          <t>Ocean Springs School District</t>
        </is>
      </c>
      <c r="B71" s="89">
        <f>IFERROR(INDEX('School District Profiles'!$B$2:$B$86,MATCH($A71,'School District Profiles'!$A$2:$A$86,0)),"")</f>
        <v/>
      </c>
      <c r="C71" s="89">
        <f>IFERROR(INDEX('School District Profiles'!$C$2:$C$86,MATCH($A71,'School District Profiles'!$A$2:$A$86,0)),"")</f>
        <v/>
      </c>
      <c r="D71" s="91">
        <f>IFERROR(SUMIFS('Teacher Salary Data'!$E$2:$E$1871,'Teacher Salary Data'!$A$2:$A$1871,$A71,'Teacher Salary Data'!$C$2:$C$1871,"Bachelor's",'Teacher Salary Data'!$D$2:$D$1871,0),0)</f>
        <v/>
      </c>
      <c r="E71" s="91">
        <f>IFERROR(SUMIFS('Teacher Salary Data'!$E$2:$E$1871,'Teacher Salary Data'!$A$2:$A$1871,$A71,'Teacher Salary Data'!$C$2:$C$1871,"Bachelor's",'Teacher Salary Data'!$D$2:$D$1871,5),0)</f>
        <v/>
      </c>
      <c r="F71" s="91">
        <f>IFERROR(SUMIFS('Teacher Salary Data'!$E$2:$E$1871,'Teacher Salary Data'!$A$2:$A$1871,$A71,'Teacher Salary Data'!$C$2:$C$1871,"Bachelor's",'Teacher Salary Data'!$D$2:$D$1871,10),0)</f>
        <v/>
      </c>
      <c r="G71" s="91">
        <f>IFERROR(SUMIFS('Teacher Salary Data'!$E$2:$E$1871,'Teacher Salary Data'!$A$2:$A$1871,$A71,'Teacher Salary Data'!$C$2:$C$1871,"Master's",'Teacher Salary Data'!$D$2:$D$1871,0),0)</f>
        <v/>
      </c>
      <c r="H71" s="91">
        <f>IFERROR(SUMIFS('Teacher Salary Data'!$E$2:$E$1871,'Teacher Salary Data'!$A$2:$A$1871,$A71,'Teacher Salary Data'!$C$2:$C$1871,"Master's",'Teacher Salary Data'!$D$2:$D$1871,5),0)</f>
        <v/>
      </c>
      <c r="I71" s="91">
        <f>IFERROR(SUMIFS('Teacher Salary Data'!$E$2:$E$1871,'Teacher Salary Data'!$A$2:$A$1871,$A71,'Teacher Salary Data'!$C$2:$C$1871,"Master's",'Teacher Salary Data'!$D$2:$D$1871,10),0)</f>
        <v/>
      </c>
      <c r="J71" s="91">
        <f>AVERAGE(D71,G71)</f>
        <v/>
      </c>
      <c r="K71" s="91">
        <f>AVERAGE(F71,I71)</f>
        <v/>
      </c>
      <c r="L71" s="121">
        <f>IFERROR((K71-J71)/J71,0)</f>
        <v/>
      </c>
      <c r="M71" s="91">
        <f>G71-D71</f>
        <v/>
      </c>
      <c r="N71" s="91">
        <f>IFERROR(INDEX('Median Home and Rent Prices'!$D$2:$D$86,MATCH($A71,'Median Home and Rent Prices'!$A$2:$A$86,0)),0)</f>
        <v/>
      </c>
      <c r="O71" s="91">
        <f>IFERROR(INDEX('Median Home and Rent Prices'!$E$2:$E$86,MATCH($A71,'Median Home and Rent Prices'!$A$2:$A$86,0)),0)</f>
        <v/>
      </c>
      <c r="P71" s="94">
        <f>IFERROR(INDEX('School District Profiles'!$H$2:$H$86,MATCH($A71,'School District Profiles'!$A$2:$A$86,0)),0)</f>
        <v/>
      </c>
      <c r="Q71" s="91">
        <f>IFERROR(INDEX('School District Profiles'!$I$2:$I$86,MATCH($A71,'School District Profiles'!$A$2:$A$86,0)),0)</f>
        <v/>
      </c>
      <c r="R71" s="94">
        <f>IFERROR(IF(($AI71-('Score Inputs'!$B$4*1500+IF('Score Inputs'!$B$3="Master's",4000,0)))&lt;53000,MAX(0,MIN(39.99,((($AI71-('Score Inputs'!$B$4*1500+IF('Score Inputs'!$B$3="Master's",4000,0))))-45000)/8000*39.99)),IF(($AI71-('Score Inputs'!$B$4*1500+IF('Score Inputs'!$B$3="Master's",4000,0)))&lt;58000,40+((($AI71-('Score Inputs'!$B$4*1500+IF('Score Inputs'!$B$3="Master's",4000,0))))-53000)/5000*20,IF(($AI71-('Score Inputs'!$B$4*1500+IF('Score Inputs'!$B$3="Master's",4000,0)))&lt;63000,60+((($AI71-('Score Inputs'!$B$4*1500+IF('Score Inputs'!$B$3="Master's",4000,0))))-58000)/5000*10,IF(($AI71-('Score Inputs'!$B$4*1500+IF('Score Inputs'!$B$3="Master's",4000,0)))&lt;70000,70+((($AI71-('Score Inputs'!$B$4*1500+IF('Score Inputs'!$B$3="Master's",4000,0))))-63000)/7000*10,IF(($AI71-('Score Inputs'!$B$4*1500+IF('Score Inputs'!$B$3="Master's",4000,0)))&lt;75000,80+((($AI71-('Score Inputs'!$B$4*1500+IF('Score Inputs'!$B$3="Master's",4000,0))))-70000)/5000*10,MIN(100,90+((($AI71-('Score Inputs'!$B$4*1500+IF('Score Inputs'!$B$3="Master's",4000,0))))-75000)/5000*10)))))),0)</f>
        <v/>
      </c>
      <c r="S71" s="94">
        <f>IFERROR(MAX(0,MIN(100,L71/0.48*100)),0)</f>
        <v/>
      </c>
      <c r="T71" s="94">
        <f>IFERROR(MAX(0,MIN(100,M71/15000*100)),0)</f>
        <v/>
      </c>
      <c r="U71" s="94">
        <f>IFERROR(0.5*R71+0.35*S71+0.15*T71,0)</f>
        <v/>
      </c>
      <c r="V71" s="94">
        <f>IFERROR(0.35*AL71+0.3*AO71+0.25*AB71+0.1*AQ71,0)</f>
        <v/>
      </c>
      <c r="W71" s="94">
        <f>IFERROR(MAX(0,MIN(100,(25-P71)/(25-12)*100)),0)</f>
        <v/>
      </c>
      <c r="X71" s="94">
        <f>IFERROR(MAX(0,MIN(100,(AD71-1)/(3-1)*100))*IF(OR($A71="North Clackamas School District",$A71="Provo City School District"),0.6,1),0)</f>
        <v/>
      </c>
      <c r="Y71" s="94">
        <f>IFERROR(MAX(0,MIN(100,(1-((IFERROR(INDEX('School District Profiles'!$D$2:$D$86,MATCH($A71,'School District Profiles'!$A$2:$A$86,0)),0)/100)^2+(IFERROR(INDEX('School District Profiles'!$E$2:$E$86,MATCH($A71,'School District Profiles'!$A$2:$A$86,0)),0)/100)^2+(IFERROR(INDEX('School District Profiles'!$F$2:$F$86,MATCH($A71,'School District Profiles'!$A$2:$A$86,0)),0)/100)^2+(IFERROR(INDEX('School District Profiles'!$G$2:$G$86,MATCH($A71,'School District Profiles'!$A$2:$A$86,0)),0)/100)^2+(AC71/100)^2))/0.8*100)),0)</f>
        <v/>
      </c>
      <c r="Z71" s="94">
        <f>IFERROR(AF71*AG71,0)</f>
        <v/>
      </c>
      <c r="AA71" s="96">
        <f>IFERROR(INDEX('Median Home and Rent Prices'!$F$2:$F$86,MATCH($A71,'Median Home and Rent Prices'!$A$2:$A$86,0)),0)</f>
        <v/>
      </c>
      <c r="AB71" s="94">
        <f>IFERROR(MAX(0,MIN(100,(800-AA71)/(800-150)*100)),0)</f>
        <v/>
      </c>
      <c r="AC71" s="121">
        <f>IFERROR(INDEX('School District Profiles'!$J$2:$J$86,MATCH($A71,'School District Profiles'!$A$2:$A$86,0)),0)</f>
        <v/>
      </c>
      <c r="AD71" s="94">
        <f>IFERROR(Q71*20/O71,0)</f>
        <v/>
      </c>
      <c r="AE71" s="73">
        <f>IFERROR(IF(AG71&gt;=1,100,IF(AG71&gt;=0.95,75,IF(AG71&gt;=0.9,60,IF(AG71&gt;=0.85,40,IF(AG71&gt;=0.8,25,0))))),0)</f>
        <v/>
      </c>
      <c r="AF71" s="73">
        <f>IFERROR(0.35*V71+0.3*U71+0.1*W71+0.1*X71+0.1*Y71+0.05*AR71,0)</f>
        <v/>
      </c>
      <c r="AG71" s="73" t="n">
        <v>1</v>
      </c>
      <c r="AH71" s="70" t="inlineStr">
        <is>
          <t>No current employment-stability penalty applied; first-pass research did not find reliable current layoff evidence.</t>
        </is>
      </c>
      <c r="AI71" s="105">
        <f>IF('Score Inputs'!$B$3="Bachelor's",CHOOSE(MATCH('Score Inputs'!$B$4,{0,5,10},0),D71,E71,F71),CHOOSE(MATCH('Score Inputs'!$B$4,{0,5,10},0),G71,H71,I71))</f>
        <v/>
      </c>
      <c r="AJ71" s="105">
        <f>IFERROR(AI71/12,0)</f>
        <v/>
      </c>
      <c r="AK71" s="120">
        <f>IFERROR(O71/AJ71,0)</f>
        <v/>
      </c>
      <c r="AL71" s="109">
        <f>IFERROR(IF(AK71&lt;=25%,100,IF(AK71&lt;=30%,100-(AK71-25%)/5%*30,IF(AK71&lt;=35%,70-(AK71-30%)/5%*10,IF(AK71&lt;=40%,60-(AK71-35%)/5%*20,MAX(0,40-(AK71-40%)/10%*40))))),0)</f>
        <v/>
      </c>
      <c r="AM71" s="105">
        <f>IFERROR(PMT('Score Inputs'!$B$5/12,'Score Inputs'!$B$7*12,-N71*(1-'Score Inputs'!$B$6)),0)</f>
        <v/>
      </c>
      <c r="AN71" s="120">
        <f>IFERROR(AM71/AJ71,0)</f>
        <v/>
      </c>
      <c r="AO71" s="109">
        <f>IFERROR(IF(AN71&lt;=25%,100,IF(AN71&lt;=30%,100-(AN71-25%)/5%*30,IF(AN71&lt;=35%,70-(AN71-30%)/5%*10,IF(AN71&lt;=40%,60-(AN71-35%)/5%*20,MAX(0,40-(AN71-40%)/10%*40))))),0)</f>
        <v/>
      </c>
      <c r="AP71" s="105">
        <f>IFERROR(AJ71-O71,0)</f>
        <v/>
      </c>
      <c r="AQ71" s="109">
        <f>IFERROR(MAX(0,MIN(100,(AP71-'Score Inputs'!$B$8)/('Score Inputs'!$B$9-'Score Inputs'!$B$8)*100)),0)</f>
        <v/>
      </c>
      <c r="AR71" s="109">
        <f>IFERROR(INDEX('State Funding Lookup'!$B$2:$B$86,MATCH($A71,'State Funding Lookup'!$A$2:$A$86,0)),0)</f>
        <v/>
      </c>
      <c r="AS71" s="78">
        <f>AK71</f>
        <v/>
      </c>
      <c r="AT71" s="78">
        <f>AN71</f>
        <v/>
      </c>
    </row>
    <row r="72" ht="30" customHeight="1" s="104">
      <c r="A72" s="89" t="inlineStr">
        <is>
          <t>Oakland Unified School District</t>
        </is>
      </c>
      <c r="B72" s="89">
        <f>IFERROR(INDEX('School District Profiles'!$B$2:$B$86,MATCH($A72,'School District Profiles'!$A$2:$A$86,0)),"")</f>
        <v/>
      </c>
      <c r="C72" s="89">
        <f>IFERROR(INDEX('School District Profiles'!$C$2:$C$86,MATCH($A72,'School District Profiles'!$A$2:$A$86,0)),"")</f>
        <v/>
      </c>
      <c r="D72" s="91">
        <f>IFERROR(SUMIFS('Teacher Salary Data'!$E$2:$E$1871,'Teacher Salary Data'!$A$2:$A$1871,$A72,'Teacher Salary Data'!$C$2:$C$1871,"Bachelor's",'Teacher Salary Data'!$D$2:$D$1871,0),0)</f>
        <v/>
      </c>
      <c r="E72" s="91">
        <f>IFERROR(SUMIFS('Teacher Salary Data'!$E$2:$E$1871,'Teacher Salary Data'!$A$2:$A$1871,$A72,'Teacher Salary Data'!$C$2:$C$1871,"Bachelor's",'Teacher Salary Data'!$D$2:$D$1871,5),0)</f>
        <v/>
      </c>
      <c r="F72" s="91">
        <f>IFERROR(SUMIFS('Teacher Salary Data'!$E$2:$E$1871,'Teacher Salary Data'!$A$2:$A$1871,$A72,'Teacher Salary Data'!$C$2:$C$1871,"Bachelor's",'Teacher Salary Data'!$D$2:$D$1871,10),0)</f>
        <v/>
      </c>
      <c r="G72" s="91">
        <f>IFERROR(SUMIFS('Teacher Salary Data'!$E$2:$E$1871,'Teacher Salary Data'!$A$2:$A$1871,$A72,'Teacher Salary Data'!$C$2:$C$1871,"Master's",'Teacher Salary Data'!$D$2:$D$1871,0),0)</f>
        <v/>
      </c>
      <c r="H72" s="91">
        <f>IFERROR(SUMIFS('Teacher Salary Data'!$E$2:$E$1871,'Teacher Salary Data'!$A$2:$A$1871,$A72,'Teacher Salary Data'!$C$2:$C$1871,"Master's",'Teacher Salary Data'!$D$2:$D$1871,5),0)</f>
        <v/>
      </c>
      <c r="I72" s="91">
        <f>IFERROR(SUMIFS('Teacher Salary Data'!$E$2:$E$1871,'Teacher Salary Data'!$A$2:$A$1871,$A72,'Teacher Salary Data'!$C$2:$C$1871,"Master's",'Teacher Salary Data'!$D$2:$D$1871,10),0)</f>
        <v/>
      </c>
      <c r="J72" s="91">
        <f>AVERAGE(D72,G72)</f>
        <v/>
      </c>
      <c r="K72" s="91">
        <f>AVERAGE(F72,I72)</f>
        <v/>
      </c>
      <c r="L72" s="121">
        <f>IFERROR((K72-J72)/J72,0)</f>
        <v/>
      </c>
      <c r="M72" s="91">
        <f>G72-D72</f>
        <v/>
      </c>
      <c r="N72" s="91">
        <f>IFERROR(INDEX('Median Home and Rent Prices'!$D$2:$D$86,MATCH($A72,'Median Home and Rent Prices'!$A$2:$A$86,0)),0)</f>
        <v/>
      </c>
      <c r="O72" s="91">
        <f>IFERROR(INDEX('Median Home and Rent Prices'!$E$2:$E$86,MATCH($A72,'Median Home and Rent Prices'!$A$2:$A$86,0)),0)</f>
        <v/>
      </c>
      <c r="P72" s="94">
        <f>IFERROR(INDEX('School District Profiles'!$H$2:$H$86,MATCH($A72,'School District Profiles'!$A$2:$A$86,0)),0)</f>
        <v/>
      </c>
      <c r="Q72" s="91">
        <f>IFERROR(INDEX('School District Profiles'!$I$2:$I$86,MATCH($A72,'School District Profiles'!$A$2:$A$86,0)),0)</f>
        <v/>
      </c>
      <c r="R72" s="94">
        <f>IFERROR(IF(($AI72-('Score Inputs'!$B$4*1500+IF('Score Inputs'!$B$3="Master's",4000,0)))&lt;53000,MAX(0,MIN(39.99,((($AI72-('Score Inputs'!$B$4*1500+IF('Score Inputs'!$B$3="Master's",4000,0))))-45000)/8000*39.99)),IF(($AI72-('Score Inputs'!$B$4*1500+IF('Score Inputs'!$B$3="Master's",4000,0)))&lt;58000,40+((($AI72-('Score Inputs'!$B$4*1500+IF('Score Inputs'!$B$3="Master's",4000,0))))-53000)/5000*20,IF(($AI72-('Score Inputs'!$B$4*1500+IF('Score Inputs'!$B$3="Master's",4000,0)))&lt;63000,60+((($AI72-('Score Inputs'!$B$4*1500+IF('Score Inputs'!$B$3="Master's",4000,0))))-58000)/5000*10,IF(($AI72-('Score Inputs'!$B$4*1500+IF('Score Inputs'!$B$3="Master's",4000,0)))&lt;70000,70+((($AI72-('Score Inputs'!$B$4*1500+IF('Score Inputs'!$B$3="Master's",4000,0))))-63000)/7000*10,IF(($AI72-('Score Inputs'!$B$4*1500+IF('Score Inputs'!$B$3="Master's",4000,0)))&lt;75000,80+((($AI72-('Score Inputs'!$B$4*1500+IF('Score Inputs'!$B$3="Master's",4000,0))))-70000)/5000*10,MIN(100,90+((($AI72-('Score Inputs'!$B$4*1500+IF('Score Inputs'!$B$3="Master's",4000,0))))-75000)/5000*10)))))),0)</f>
        <v/>
      </c>
      <c r="S72" s="94">
        <f>IFERROR(MAX(0,MIN(100,L72/0.48*100)),0)</f>
        <v/>
      </c>
      <c r="T72" s="94">
        <f>IFERROR(MAX(0,MIN(100,M72/15000*100)),0)</f>
        <v/>
      </c>
      <c r="U72" s="94">
        <f>IFERROR(0.5*R72+0.35*S72+0.15*T72,0)</f>
        <v/>
      </c>
      <c r="V72" s="94">
        <f>IFERROR(0.35*AL72+0.3*AO72+0.25*AB72+0.1*AQ72,0)</f>
        <v/>
      </c>
      <c r="W72" s="94">
        <f>IFERROR(MAX(0,MIN(100,(25-P72)/(25-12)*100)),0)</f>
        <v/>
      </c>
      <c r="X72" s="94">
        <f>IFERROR(MAX(0,MIN(100,(AD72-1)/(3-1)*100))*IF(OR($A72="North Clackamas School District",$A72="Provo City School District"),0.6,1),0)</f>
        <v/>
      </c>
      <c r="Y72" s="94">
        <f>IFERROR(MAX(0,MIN(100,(1-((IFERROR(INDEX('School District Profiles'!$D$2:$D$86,MATCH($A72,'School District Profiles'!$A$2:$A$86,0)),0)/100)^2+(IFERROR(INDEX('School District Profiles'!$E$2:$E$86,MATCH($A72,'School District Profiles'!$A$2:$A$86,0)),0)/100)^2+(IFERROR(INDEX('School District Profiles'!$F$2:$F$86,MATCH($A72,'School District Profiles'!$A$2:$A$86,0)),0)/100)^2+(IFERROR(INDEX('School District Profiles'!$G$2:$G$86,MATCH($A72,'School District Profiles'!$A$2:$A$86,0)),0)/100)^2+(AC72/100)^2))/0.8*100)),0)</f>
        <v/>
      </c>
      <c r="Z72" s="94">
        <f>IFERROR(AF72*AG72,0)</f>
        <v/>
      </c>
      <c r="AA72" s="96">
        <f>IFERROR(INDEX('Median Home and Rent Prices'!$F$2:$F$86,MATCH($A72,'Median Home and Rent Prices'!$A$2:$A$86,0)),0)</f>
        <v/>
      </c>
      <c r="AB72" s="94">
        <f>IFERROR(MAX(0,MIN(100,(800-AA72)/(800-150)*100)),0)</f>
        <v/>
      </c>
      <c r="AC72" s="121">
        <f>IFERROR(INDEX('School District Profiles'!$J$2:$J$86,MATCH($A72,'School District Profiles'!$A$2:$A$86,0)),0)</f>
        <v/>
      </c>
      <c r="AD72" s="94">
        <f>IFERROR(Q72*20/O72,0)</f>
        <v/>
      </c>
      <c r="AE72" s="73">
        <f>IFERROR(IF(AG72&gt;=1,100,IF(AG72&gt;=0.95,75,IF(AG72&gt;=0.9,60,IF(AG72&gt;=0.85,40,IF(AG72&gt;=0.8,25,0))))),0)</f>
        <v/>
      </c>
      <c r="AF72" s="73">
        <f>IFERROR(0.35*V72+0.3*U72+0.1*W72+0.1*X72+0.1*Y72+0.05*AR72,0)</f>
        <v/>
      </c>
      <c r="AG72" s="73" t="n">
        <v>0.8</v>
      </c>
      <c r="AH72" s="70" t="inlineStr">
        <is>
          <t>20% employment-stability penalty due to major deficit, approved large-scale layoffs, and labor/fiscal instability concerns.</t>
        </is>
      </c>
      <c r="AI72" s="105">
        <f>IF('Score Inputs'!$B$3="Bachelor's",CHOOSE(MATCH('Score Inputs'!$B$4,{0,5,10},0),D72,E72,F72),CHOOSE(MATCH('Score Inputs'!$B$4,{0,5,10},0),G72,H72,I72))</f>
        <v/>
      </c>
      <c r="AJ72" s="105">
        <f>IFERROR(AI72/12,0)</f>
        <v/>
      </c>
      <c r="AK72" s="120">
        <f>IFERROR(O72/AJ72,0)</f>
        <v/>
      </c>
      <c r="AL72" s="109">
        <f>IFERROR(IF(AK72&lt;=25%,100,IF(AK72&lt;=30%,100-(AK72-25%)/5%*30,IF(AK72&lt;=35%,70-(AK72-30%)/5%*10,IF(AK72&lt;=40%,60-(AK72-35%)/5%*20,MAX(0,40-(AK72-40%)/10%*40))))),0)</f>
        <v/>
      </c>
      <c r="AM72" s="105">
        <f>IFERROR(PMT('Score Inputs'!$B$5/12,'Score Inputs'!$B$7*12,-N72*(1-'Score Inputs'!$B$6)),0)</f>
        <v/>
      </c>
      <c r="AN72" s="120">
        <f>IFERROR(AM72/AJ72,0)</f>
        <v/>
      </c>
      <c r="AO72" s="109">
        <f>IFERROR(IF(AN72&lt;=25%,100,IF(AN72&lt;=30%,100-(AN72-25%)/5%*30,IF(AN72&lt;=35%,70-(AN72-30%)/5%*10,IF(AN72&lt;=40%,60-(AN72-35%)/5%*20,MAX(0,40-(AN72-40%)/10%*40))))),0)</f>
        <v/>
      </c>
      <c r="AP72" s="105">
        <f>IFERROR(AJ72-O72,0)</f>
        <v/>
      </c>
      <c r="AQ72" s="109">
        <f>IFERROR(MAX(0,MIN(100,(AP72-'Score Inputs'!$B$8)/('Score Inputs'!$B$9-'Score Inputs'!$B$8)*100)),0)</f>
        <v/>
      </c>
      <c r="AR72" s="109">
        <f>IFERROR(INDEX('State Funding Lookup'!$B$2:$B$86,MATCH($A72,'State Funding Lookup'!$A$2:$A$86,0)),0)</f>
        <v/>
      </c>
      <c r="AS72" s="78">
        <f>AK72</f>
        <v/>
      </c>
      <c r="AT72" s="78">
        <f>AN72</f>
        <v/>
      </c>
    </row>
    <row r="73" ht="30" customHeight="1" s="104">
      <c r="A73" s="89" t="inlineStr">
        <is>
          <t>Nassau County School District</t>
        </is>
      </c>
      <c r="B73" s="89">
        <f>IFERROR(INDEX('School District Profiles'!$B$2:$B$86,MATCH($A73,'School District Profiles'!$A$2:$A$86,0)),"")</f>
        <v/>
      </c>
      <c r="C73" s="89">
        <f>IFERROR(INDEX('School District Profiles'!$C$2:$C$86,MATCH($A73,'School District Profiles'!$A$2:$A$86,0)),"")</f>
        <v/>
      </c>
      <c r="D73" s="91">
        <f>IFERROR(SUMIFS('Teacher Salary Data'!$E$2:$E$1871,'Teacher Salary Data'!$A$2:$A$1871,$A73,'Teacher Salary Data'!$C$2:$C$1871,"Bachelor's",'Teacher Salary Data'!$D$2:$D$1871,0),0)</f>
        <v/>
      </c>
      <c r="E73" s="91">
        <f>IFERROR(SUMIFS('Teacher Salary Data'!$E$2:$E$1871,'Teacher Salary Data'!$A$2:$A$1871,$A73,'Teacher Salary Data'!$C$2:$C$1871,"Bachelor's",'Teacher Salary Data'!$D$2:$D$1871,5),0)</f>
        <v/>
      </c>
      <c r="F73" s="91">
        <f>IFERROR(SUMIFS('Teacher Salary Data'!$E$2:$E$1871,'Teacher Salary Data'!$A$2:$A$1871,$A73,'Teacher Salary Data'!$C$2:$C$1871,"Bachelor's",'Teacher Salary Data'!$D$2:$D$1871,10),0)</f>
        <v/>
      </c>
      <c r="G73" s="91">
        <f>IFERROR(SUMIFS('Teacher Salary Data'!$E$2:$E$1871,'Teacher Salary Data'!$A$2:$A$1871,$A73,'Teacher Salary Data'!$C$2:$C$1871,"Master's",'Teacher Salary Data'!$D$2:$D$1871,0),0)</f>
        <v/>
      </c>
      <c r="H73" s="91">
        <f>IFERROR(SUMIFS('Teacher Salary Data'!$E$2:$E$1871,'Teacher Salary Data'!$A$2:$A$1871,$A73,'Teacher Salary Data'!$C$2:$C$1871,"Master's",'Teacher Salary Data'!$D$2:$D$1871,5),0)</f>
        <v/>
      </c>
      <c r="I73" s="91">
        <f>IFERROR(SUMIFS('Teacher Salary Data'!$E$2:$E$1871,'Teacher Salary Data'!$A$2:$A$1871,$A73,'Teacher Salary Data'!$C$2:$C$1871,"Master's",'Teacher Salary Data'!$D$2:$D$1871,10),0)</f>
        <v/>
      </c>
      <c r="J73" s="91">
        <f>AVERAGE(D73,G73)</f>
        <v/>
      </c>
      <c r="K73" s="91">
        <f>AVERAGE(F73,I73)</f>
        <v/>
      </c>
      <c r="L73" s="121">
        <f>IFERROR((K73-J73)/J73,0)</f>
        <v/>
      </c>
      <c r="M73" s="91">
        <f>G73-D73</f>
        <v/>
      </c>
      <c r="N73" s="91">
        <f>IFERROR(INDEX('Median Home and Rent Prices'!$D$2:$D$86,MATCH($A73,'Median Home and Rent Prices'!$A$2:$A$86,0)),0)</f>
        <v/>
      </c>
      <c r="O73" s="91">
        <f>IFERROR(INDEX('Median Home and Rent Prices'!$E$2:$E$86,MATCH($A73,'Median Home and Rent Prices'!$A$2:$A$86,0)),0)</f>
        <v/>
      </c>
      <c r="P73" s="94">
        <f>IFERROR(INDEX('School District Profiles'!$H$2:$H$86,MATCH($A73,'School District Profiles'!$A$2:$A$86,0)),0)</f>
        <v/>
      </c>
      <c r="Q73" s="91">
        <f>IFERROR(INDEX('School District Profiles'!$I$2:$I$86,MATCH($A73,'School District Profiles'!$A$2:$A$86,0)),0)</f>
        <v/>
      </c>
      <c r="R73" s="94">
        <f>IFERROR(IF(($AI73-('Score Inputs'!$B$4*1500+IF('Score Inputs'!$B$3="Master's",4000,0)))&lt;53000,MAX(0,MIN(39.99,((($AI73-('Score Inputs'!$B$4*1500+IF('Score Inputs'!$B$3="Master's",4000,0))))-45000)/8000*39.99)),IF(($AI73-('Score Inputs'!$B$4*1500+IF('Score Inputs'!$B$3="Master's",4000,0)))&lt;58000,40+((($AI73-('Score Inputs'!$B$4*1500+IF('Score Inputs'!$B$3="Master's",4000,0))))-53000)/5000*20,IF(($AI73-('Score Inputs'!$B$4*1500+IF('Score Inputs'!$B$3="Master's",4000,0)))&lt;63000,60+((($AI73-('Score Inputs'!$B$4*1500+IF('Score Inputs'!$B$3="Master's",4000,0))))-58000)/5000*10,IF(($AI73-('Score Inputs'!$B$4*1500+IF('Score Inputs'!$B$3="Master's",4000,0)))&lt;70000,70+((($AI73-('Score Inputs'!$B$4*1500+IF('Score Inputs'!$B$3="Master's",4000,0))))-63000)/7000*10,IF(($AI73-('Score Inputs'!$B$4*1500+IF('Score Inputs'!$B$3="Master's",4000,0)))&lt;75000,80+((($AI73-('Score Inputs'!$B$4*1500+IF('Score Inputs'!$B$3="Master's",4000,0))))-70000)/5000*10,MIN(100,90+((($AI73-('Score Inputs'!$B$4*1500+IF('Score Inputs'!$B$3="Master's",4000,0))))-75000)/5000*10)))))),0)</f>
        <v/>
      </c>
      <c r="S73" s="94">
        <f>IFERROR(MAX(0,MIN(100,L73/0.48*100)),0)</f>
        <v/>
      </c>
      <c r="T73" s="94">
        <f>IFERROR(MAX(0,MIN(100,M73/15000*100)),0)</f>
        <v/>
      </c>
      <c r="U73" s="94">
        <f>IFERROR(0.5*R73+0.35*S73+0.15*T73,0)</f>
        <v/>
      </c>
      <c r="V73" s="94">
        <f>IFERROR(0.35*AL73+0.3*AO73+0.25*AB73+0.1*AQ73,0)</f>
        <v/>
      </c>
      <c r="W73" s="94">
        <f>IFERROR(MAX(0,MIN(100,(25-P73)/(25-12)*100)),0)</f>
        <v/>
      </c>
      <c r="X73" s="94">
        <f>IFERROR(MAX(0,MIN(100,(AD73-1)/(3-1)*100))*IF(OR($A73="North Clackamas School District",$A73="Provo City School District"),0.6,1),0)</f>
        <v/>
      </c>
      <c r="Y73" s="94">
        <f>IFERROR(MAX(0,MIN(100,(1-((IFERROR(INDEX('School District Profiles'!$D$2:$D$86,MATCH($A73,'School District Profiles'!$A$2:$A$86,0)),0)/100)^2+(IFERROR(INDEX('School District Profiles'!$E$2:$E$86,MATCH($A73,'School District Profiles'!$A$2:$A$86,0)),0)/100)^2+(IFERROR(INDEX('School District Profiles'!$F$2:$F$86,MATCH($A73,'School District Profiles'!$A$2:$A$86,0)),0)/100)^2+(IFERROR(INDEX('School District Profiles'!$G$2:$G$86,MATCH($A73,'School District Profiles'!$A$2:$A$86,0)),0)/100)^2+(AC73/100)^2))/0.8*100)),0)</f>
        <v/>
      </c>
      <c r="Z73" s="94">
        <f>IFERROR(AF73*AG73,0)</f>
        <v/>
      </c>
      <c r="AA73" s="96">
        <f>IFERROR(INDEX('Median Home and Rent Prices'!$F$2:$F$86,MATCH($A73,'Median Home and Rent Prices'!$A$2:$A$86,0)),0)</f>
        <v/>
      </c>
      <c r="AB73" s="94">
        <f>IFERROR(MAX(0,MIN(100,(800-AA73)/(800-150)*100)),0)</f>
        <v/>
      </c>
      <c r="AC73" s="121">
        <f>IFERROR(INDEX('School District Profiles'!$J$2:$J$86,MATCH($A73,'School District Profiles'!$A$2:$A$86,0)),0)</f>
        <v/>
      </c>
      <c r="AD73" s="94">
        <f>IFERROR(Q73*20/O73,0)</f>
        <v/>
      </c>
      <c r="AE73" s="73">
        <f>IFERROR(IF(AG73&gt;=1,100,IF(AG73&gt;=0.95,75,IF(AG73&gt;=0.9,60,IF(AG73&gt;=0.85,40,IF(AG73&gt;=0.8,25,0))))),0)</f>
        <v/>
      </c>
      <c r="AF73" s="73">
        <f>IFERROR(0.35*V73+0.3*U73+0.1*W73+0.1*X73+0.1*Y73+0.05*AR73,0)</f>
        <v/>
      </c>
      <c r="AG73" s="73" t="n">
        <v>1</v>
      </c>
      <c r="AH73" s="70" t="inlineStr">
        <is>
          <t>No penalty applied. Current pass found strong public-facing district performance signals and no broad layoff/closure/fiscal-crisis warning comparable to Austin, Oakland, LAUSD, or Portland.</t>
        </is>
      </c>
      <c r="AI73" s="105">
        <f>IF('Score Inputs'!$B$3="Bachelor's",CHOOSE(MATCH('Score Inputs'!$B$4,{0,5,10},0),D73,E73,F73),CHOOSE(MATCH('Score Inputs'!$B$4,{0,5,10},0),G73,H73,I73))</f>
        <v/>
      </c>
      <c r="AJ73" s="105">
        <f>IFERROR(AI73/12,0)</f>
        <v/>
      </c>
      <c r="AK73" s="120">
        <f>IFERROR(O73/AJ73,0)</f>
        <v/>
      </c>
      <c r="AL73" s="109">
        <f>IFERROR(IF(AK73&lt;=25%,100,IF(AK73&lt;=30%,100-(AK73-25%)/5%*30,IF(AK73&lt;=35%,70-(AK73-30%)/5%*10,IF(AK73&lt;=40%,60-(AK73-35%)/5%*20,MAX(0,40-(AK73-40%)/10%*40))))),0)</f>
        <v/>
      </c>
      <c r="AM73" s="105">
        <f>IFERROR(PMT('Score Inputs'!$B$5/12,'Score Inputs'!$B$7*12,-N73*(1-'Score Inputs'!$B$6)),0)</f>
        <v/>
      </c>
      <c r="AN73" s="120">
        <f>IFERROR(AM73/AJ73,0)</f>
        <v/>
      </c>
      <c r="AO73" s="109">
        <f>IFERROR(IF(AN73&lt;=25%,100,IF(AN73&lt;=30%,100-(AN73-25%)/5%*30,IF(AN73&lt;=35%,70-(AN73-30%)/5%*10,IF(AN73&lt;=40%,60-(AN73-35%)/5%*20,MAX(0,40-(AN73-40%)/10%*40))))),0)</f>
        <v/>
      </c>
      <c r="AP73" s="105">
        <f>IFERROR(AJ73-O73,0)</f>
        <v/>
      </c>
      <c r="AQ73" s="109">
        <f>IFERROR(MAX(0,MIN(100,(AP73-'Score Inputs'!$B$8)/('Score Inputs'!$B$9-'Score Inputs'!$B$8)*100)),0)</f>
        <v/>
      </c>
      <c r="AR73" s="109">
        <f>IFERROR(INDEX('State Funding Lookup'!$B$2:$B$86,MATCH($A73,'State Funding Lookup'!$A$2:$A$86,0)),0)</f>
        <v/>
      </c>
      <c r="AS73" s="78">
        <f>AK73</f>
        <v/>
      </c>
      <c r="AT73" s="78">
        <f>AN73</f>
        <v/>
      </c>
    </row>
    <row r="74" ht="30" customHeight="1" s="104">
      <c r="A74" s="89" t="inlineStr">
        <is>
          <t>La Cañada Unified School District</t>
        </is>
      </c>
      <c r="B74" s="89">
        <f>IFERROR(INDEX('School District Profiles'!$B$2:$B$86,MATCH($A74,'School District Profiles'!$A$2:$A$86,0)),"")</f>
        <v/>
      </c>
      <c r="C74" s="89">
        <f>IFERROR(INDEX('School District Profiles'!$C$2:$C$86,MATCH($A74,'School District Profiles'!$A$2:$A$86,0)),"")</f>
        <v/>
      </c>
      <c r="D74" s="91">
        <f>IFERROR(SUMIFS('Teacher Salary Data'!$E$2:$E$1871,'Teacher Salary Data'!$A$2:$A$1871,$A74,'Teacher Salary Data'!$C$2:$C$1871,"Bachelor's",'Teacher Salary Data'!$D$2:$D$1871,0),0)</f>
        <v/>
      </c>
      <c r="E74" s="91">
        <f>IFERROR(SUMIFS('Teacher Salary Data'!$E$2:$E$1871,'Teacher Salary Data'!$A$2:$A$1871,$A74,'Teacher Salary Data'!$C$2:$C$1871,"Bachelor's",'Teacher Salary Data'!$D$2:$D$1871,5),0)</f>
        <v/>
      </c>
      <c r="F74" s="91">
        <f>IFERROR(SUMIFS('Teacher Salary Data'!$E$2:$E$1871,'Teacher Salary Data'!$A$2:$A$1871,$A74,'Teacher Salary Data'!$C$2:$C$1871,"Bachelor's",'Teacher Salary Data'!$D$2:$D$1871,10),0)</f>
        <v/>
      </c>
      <c r="G74" s="91">
        <f>IFERROR(SUMIFS('Teacher Salary Data'!$E$2:$E$1871,'Teacher Salary Data'!$A$2:$A$1871,$A74,'Teacher Salary Data'!$C$2:$C$1871,"Master's",'Teacher Salary Data'!$D$2:$D$1871,0),0)</f>
        <v/>
      </c>
      <c r="H74" s="91">
        <f>IFERROR(SUMIFS('Teacher Salary Data'!$E$2:$E$1871,'Teacher Salary Data'!$A$2:$A$1871,$A74,'Teacher Salary Data'!$C$2:$C$1871,"Master's",'Teacher Salary Data'!$D$2:$D$1871,5),0)</f>
        <v/>
      </c>
      <c r="I74" s="91">
        <f>IFERROR(SUMIFS('Teacher Salary Data'!$E$2:$E$1871,'Teacher Salary Data'!$A$2:$A$1871,$A74,'Teacher Salary Data'!$C$2:$C$1871,"Master's",'Teacher Salary Data'!$D$2:$D$1871,10),0)</f>
        <v/>
      </c>
      <c r="J74" s="91">
        <f>AVERAGE(D74,G74)</f>
        <v/>
      </c>
      <c r="K74" s="91">
        <f>AVERAGE(F74,I74)</f>
        <v/>
      </c>
      <c r="L74" s="121">
        <f>IFERROR((K74-J74)/J74,0)</f>
        <v/>
      </c>
      <c r="M74" s="91">
        <f>G74-D74</f>
        <v/>
      </c>
      <c r="N74" s="91">
        <f>IFERROR(INDEX('Median Home and Rent Prices'!$D$2:$D$86,MATCH($A74,'Median Home and Rent Prices'!$A$2:$A$86,0)),0)</f>
        <v/>
      </c>
      <c r="O74" s="91">
        <f>IFERROR(INDEX('Median Home and Rent Prices'!$E$2:$E$86,MATCH($A74,'Median Home and Rent Prices'!$A$2:$A$86,0)),0)</f>
        <v/>
      </c>
      <c r="P74" s="94">
        <f>IFERROR(INDEX('School District Profiles'!$H$2:$H$86,MATCH($A74,'School District Profiles'!$A$2:$A$86,0)),0)</f>
        <v/>
      </c>
      <c r="Q74" s="91">
        <f>IFERROR(INDEX('School District Profiles'!$I$2:$I$86,MATCH($A74,'School District Profiles'!$A$2:$A$86,0)),0)</f>
        <v/>
      </c>
      <c r="R74" s="94">
        <f>IFERROR(IF(($AI74-('Score Inputs'!$B$4*1500+IF('Score Inputs'!$B$3="Master's",4000,0)))&lt;53000,MAX(0,MIN(39.99,((($AI74-('Score Inputs'!$B$4*1500+IF('Score Inputs'!$B$3="Master's",4000,0))))-45000)/8000*39.99)),IF(($AI74-('Score Inputs'!$B$4*1500+IF('Score Inputs'!$B$3="Master's",4000,0)))&lt;58000,40+((($AI74-('Score Inputs'!$B$4*1500+IF('Score Inputs'!$B$3="Master's",4000,0))))-53000)/5000*20,IF(($AI74-('Score Inputs'!$B$4*1500+IF('Score Inputs'!$B$3="Master's",4000,0)))&lt;63000,60+((($AI74-('Score Inputs'!$B$4*1500+IF('Score Inputs'!$B$3="Master's",4000,0))))-58000)/5000*10,IF(($AI74-('Score Inputs'!$B$4*1500+IF('Score Inputs'!$B$3="Master's",4000,0)))&lt;70000,70+((($AI74-('Score Inputs'!$B$4*1500+IF('Score Inputs'!$B$3="Master's",4000,0))))-63000)/7000*10,IF(($AI74-('Score Inputs'!$B$4*1500+IF('Score Inputs'!$B$3="Master's",4000,0)))&lt;75000,80+((($AI74-('Score Inputs'!$B$4*1500+IF('Score Inputs'!$B$3="Master's",4000,0))))-70000)/5000*10,MIN(100,90+((($AI74-('Score Inputs'!$B$4*1500+IF('Score Inputs'!$B$3="Master's",4000,0))))-75000)/5000*10)))))),0)</f>
        <v/>
      </c>
      <c r="S74" s="94">
        <f>IFERROR(MAX(0,MIN(100,L74/0.48*100)),0)</f>
        <v/>
      </c>
      <c r="T74" s="94">
        <f>IFERROR(MAX(0,MIN(100,M74/15000*100)),0)</f>
        <v/>
      </c>
      <c r="U74" s="94">
        <f>IFERROR(0.5*R74+0.35*S74+0.15*T74,0)</f>
        <v/>
      </c>
      <c r="V74" s="94">
        <f>IFERROR(0.35*AL74+0.3*AO74+0.25*AB74+0.1*AQ74,0)</f>
        <v/>
      </c>
      <c r="W74" s="94">
        <f>IFERROR(MAX(0,MIN(100,(25-P74)/(25-12)*100)),0)</f>
        <v/>
      </c>
      <c r="X74" s="94">
        <f>IFERROR(MAX(0,MIN(100,(AD74-1)/(3-1)*100))*IF(OR($A74="North Clackamas School District",$A74="Provo City School District"),0.6,1),0)</f>
        <v/>
      </c>
      <c r="Y74" s="94">
        <f>IFERROR(MAX(0,MIN(100,(1-((IFERROR(INDEX('School District Profiles'!$D$2:$D$86,MATCH($A74,'School District Profiles'!$A$2:$A$86,0)),0)/100)^2+(IFERROR(INDEX('School District Profiles'!$E$2:$E$86,MATCH($A74,'School District Profiles'!$A$2:$A$86,0)),0)/100)^2+(IFERROR(INDEX('School District Profiles'!$F$2:$F$86,MATCH($A74,'School District Profiles'!$A$2:$A$86,0)),0)/100)^2+(IFERROR(INDEX('School District Profiles'!$G$2:$G$86,MATCH($A74,'School District Profiles'!$A$2:$A$86,0)),0)/100)^2+(AC74/100)^2))/0.8*100)),0)</f>
        <v/>
      </c>
      <c r="Z74" s="94">
        <f>IFERROR(AF74*AG74,0)</f>
        <v/>
      </c>
      <c r="AA74" s="96">
        <f>IFERROR(INDEX('Median Home and Rent Prices'!$F$2:$F$86,MATCH($A74,'Median Home and Rent Prices'!$A$2:$A$86,0)),0)</f>
        <v/>
      </c>
      <c r="AB74" s="94">
        <f>IFERROR(MAX(0,MIN(100,(800-AA74)/(800-150)*100)),0)</f>
        <v/>
      </c>
      <c r="AC74" s="121">
        <f>IFERROR(INDEX('School District Profiles'!$J$2:$J$86,MATCH($A74,'School District Profiles'!$A$2:$A$86,0)),0)</f>
        <v/>
      </c>
      <c r="AD74" s="94">
        <f>IFERROR(Q74*20/O74,0)</f>
        <v/>
      </c>
      <c r="AE74" s="73">
        <f>IFERROR(IF(AG74&gt;=1,100,IF(AG74&gt;=0.95,75,IF(AG74&gt;=0.9,60,IF(AG74&gt;=0.85,40,IF(AG74&gt;=0.8,25,0))))),0)</f>
        <v/>
      </c>
      <c r="AF74" s="73">
        <f>IFERROR(0.35*V74+0.3*U74+0.1*W74+0.1*X74+0.1*Y74+0.05*AR74,0)</f>
        <v/>
      </c>
      <c r="AG74" s="73" t="n">
        <v>1</v>
      </c>
      <c r="AH74" s="70" t="inlineStr">
        <is>
          <t>No current employment-stability penalty applied; first-pass research did not find reliable current layoff evidence.</t>
        </is>
      </c>
      <c r="AI74" s="105">
        <f>IF('Score Inputs'!$B$3="Bachelor's",CHOOSE(MATCH('Score Inputs'!$B$4,{0,5,10},0),D74,E74,F74),CHOOSE(MATCH('Score Inputs'!$B$4,{0,5,10},0),G74,H74,I74))</f>
        <v/>
      </c>
      <c r="AJ74" s="105">
        <f>IFERROR(AI74/12,0)</f>
        <v/>
      </c>
      <c r="AK74" s="120">
        <f>IFERROR(O74/AJ74,0)</f>
        <v/>
      </c>
      <c r="AL74" s="109">
        <f>IFERROR(IF(AK74&lt;=25%,100,IF(AK74&lt;=30%,100-(AK74-25%)/5%*30,IF(AK74&lt;=35%,70-(AK74-30%)/5%*10,IF(AK74&lt;=40%,60-(AK74-35%)/5%*20,MAX(0,40-(AK74-40%)/10%*40))))),0)</f>
        <v/>
      </c>
      <c r="AM74" s="105">
        <f>IFERROR(PMT('Score Inputs'!$B$5/12,'Score Inputs'!$B$7*12,-N74*(1-'Score Inputs'!$B$6)),0)</f>
        <v/>
      </c>
      <c r="AN74" s="120">
        <f>IFERROR(AM74/AJ74,0)</f>
        <v/>
      </c>
      <c r="AO74" s="109">
        <f>IFERROR(IF(AN74&lt;=25%,100,IF(AN74&lt;=30%,100-(AN74-25%)/5%*30,IF(AN74&lt;=35%,70-(AN74-30%)/5%*10,IF(AN74&lt;=40%,60-(AN74-35%)/5%*20,MAX(0,40-(AN74-40%)/10%*40))))),0)</f>
        <v/>
      </c>
      <c r="AP74" s="105">
        <f>IFERROR(AJ74-O74,0)</f>
        <v/>
      </c>
      <c r="AQ74" s="109">
        <f>IFERROR(MAX(0,MIN(100,(AP74-'Score Inputs'!$B$8)/('Score Inputs'!$B$9-'Score Inputs'!$B$8)*100)),0)</f>
        <v/>
      </c>
      <c r="AR74" s="109">
        <f>IFERROR(INDEX('State Funding Lookup'!$B$2:$B$86,MATCH($A74,'State Funding Lookup'!$A$2:$A$86,0)),0)</f>
        <v/>
      </c>
      <c r="AS74" s="78">
        <f>AK74</f>
        <v/>
      </c>
      <c r="AT74" s="78">
        <f>AN74</f>
        <v/>
      </c>
    </row>
    <row r="75" ht="30" customHeight="1" s="104">
      <c r="A75" s="89" t="inlineStr">
        <is>
          <t>Glendora Unified School District</t>
        </is>
      </c>
      <c r="B75" s="89">
        <f>IFERROR(INDEX('School District Profiles'!$B$2:$B$86,MATCH($A75,'School District Profiles'!$A$2:$A$86,0)),"")</f>
        <v/>
      </c>
      <c r="C75" s="89">
        <f>IFERROR(INDEX('School District Profiles'!$C$2:$C$86,MATCH($A75,'School District Profiles'!$A$2:$A$86,0)),"")</f>
        <v/>
      </c>
      <c r="D75" s="91">
        <f>IFERROR(SUMIFS('Teacher Salary Data'!$E$2:$E$1871,'Teacher Salary Data'!$A$2:$A$1871,$A75,'Teacher Salary Data'!$C$2:$C$1871,"Bachelor's",'Teacher Salary Data'!$D$2:$D$1871,0),0)</f>
        <v/>
      </c>
      <c r="E75" s="91">
        <f>IFERROR(SUMIFS('Teacher Salary Data'!$E$2:$E$1871,'Teacher Salary Data'!$A$2:$A$1871,$A75,'Teacher Salary Data'!$C$2:$C$1871,"Bachelor's",'Teacher Salary Data'!$D$2:$D$1871,5),0)</f>
        <v/>
      </c>
      <c r="F75" s="91">
        <f>IFERROR(SUMIFS('Teacher Salary Data'!$E$2:$E$1871,'Teacher Salary Data'!$A$2:$A$1871,$A75,'Teacher Salary Data'!$C$2:$C$1871,"Bachelor's",'Teacher Salary Data'!$D$2:$D$1871,10),0)</f>
        <v/>
      </c>
      <c r="G75" s="91">
        <f>IFERROR(SUMIFS('Teacher Salary Data'!$E$2:$E$1871,'Teacher Salary Data'!$A$2:$A$1871,$A75,'Teacher Salary Data'!$C$2:$C$1871,"Master's",'Teacher Salary Data'!$D$2:$D$1871,0),0)</f>
        <v/>
      </c>
      <c r="H75" s="91">
        <f>IFERROR(SUMIFS('Teacher Salary Data'!$E$2:$E$1871,'Teacher Salary Data'!$A$2:$A$1871,$A75,'Teacher Salary Data'!$C$2:$C$1871,"Master's",'Teacher Salary Data'!$D$2:$D$1871,5),0)</f>
        <v/>
      </c>
      <c r="I75" s="91">
        <f>IFERROR(SUMIFS('Teacher Salary Data'!$E$2:$E$1871,'Teacher Salary Data'!$A$2:$A$1871,$A75,'Teacher Salary Data'!$C$2:$C$1871,"Master's",'Teacher Salary Data'!$D$2:$D$1871,10),0)</f>
        <v/>
      </c>
      <c r="J75" s="91">
        <f>AVERAGE(D75,G75)</f>
        <v/>
      </c>
      <c r="K75" s="91">
        <f>AVERAGE(F75,I75)</f>
        <v/>
      </c>
      <c r="L75" s="121">
        <f>IFERROR((K75-J75)/J75,0)</f>
        <v/>
      </c>
      <c r="M75" s="91">
        <f>G75-D75</f>
        <v/>
      </c>
      <c r="N75" s="91">
        <f>IFERROR(INDEX('Median Home and Rent Prices'!$D$2:$D$86,MATCH($A75,'Median Home and Rent Prices'!$A$2:$A$86,0)),0)</f>
        <v/>
      </c>
      <c r="O75" s="91">
        <f>IFERROR(INDEX('Median Home and Rent Prices'!$E$2:$E$86,MATCH($A75,'Median Home and Rent Prices'!$A$2:$A$86,0)),0)</f>
        <v/>
      </c>
      <c r="P75" s="94">
        <f>IFERROR(INDEX('School District Profiles'!$H$2:$H$86,MATCH($A75,'School District Profiles'!$A$2:$A$86,0)),0)</f>
        <v/>
      </c>
      <c r="Q75" s="91">
        <f>IFERROR(INDEX('School District Profiles'!$I$2:$I$86,MATCH($A75,'School District Profiles'!$A$2:$A$86,0)),0)</f>
        <v/>
      </c>
      <c r="R75" s="94">
        <f>IFERROR(IF(($AI75-('Score Inputs'!$B$4*1500+IF('Score Inputs'!$B$3="Master's",4000,0)))&lt;53000,MAX(0,MIN(39.99,((($AI75-('Score Inputs'!$B$4*1500+IF('Score Inputs'!$B$3="Master's",4000,0))))-45000)/8000*39.99)),IF(($AI75-('Score Inputs'!$B$4*1500+IF('Score Inputs'!$B$3="Master's",4000,0)))&lt;58000,40+((($AI75-('Score Inputs'!$B$4*1500+IF('Score Inputs'!$B$3="Master's",4000,0))))-53000)/5000*20,IF(($AI75-('Score Inputs'!$B$4*1500+IF('Score Inputs'!$B$3="Master's",4000,0)))&lt;63000,60+((($AI75-('Score Inputs'!$B$4*1500+IF('Score Inputs'!$B$3="Master's",4000,0))))-58000)/5000*10,IF(($AI75-('Score Inputs'!$B$4*1500+IF('Score Inputs'!$B$3="Master's",4000,0)))&lt;70000,70+((($AI75-('Score Inputs'!$B$4*1500+IF('Score Inputs'!$B$3="Master's",4000,0))))-63000)/7000*10,IF(($AI75-('Score Inputs'!$B$4*1500+IF('Score Inputs'!$B$3="Master's",4000,0)))&lt;75000,80+((($AI75-('Score Inputs'!$B$4*1500+IF('Score Inputs'!$B$3="Master's",4000,0))))-70000)/5000*10,MIN(100,90+((($AI75-('Score Inputs'!$B$4*1500+IF('Score Inputs'!$B$3="Master's",4000,0))))-75000)/5000*10)))))),0)</f>
        <v/>
      </c>
      <c r="S75" s="94">
        <f>IFERROR(MAX(0,MIN(100,L75/0.48*100)),0)</f>
        <v/>
      </c>
      <c r="T75" s="94">
        <f>IFERROR(MAX(0,MIN(100,M75/15000*100)),0)</f>
        <v/>
      </c>
      <c r="U75" s="94">
        <f>IFERROR(0.5*R75+0.35*S75+0.15*T75,0)</f>
        <v/>
      </c>
      <c r="V75" s="94">
        <f>IFERROR(0.35*AL75+0.3*AO75+0.25*AB75+0.1*AQ75,0)</f>
        <v/>
      </c>
      <c r="W75" s="94">
        <f>IFERROR(MAX(0,MIN(100,(25-P75)/(25-12)*100)),0)</f>
        <v/>
      </c>
      <c r="X75" s="94">
        <f>IFERROR(MAX(0,MIN(100,(AD75-1)/(3-1)*100))*IF(OR($A75="North Clackamas School District",$A75="Provo City School District"),0.6,1),0)</f>
        <v/>
      </c>
      <c r="Y75" s="94">
        <f>IFERROR(MAX(0,MIN(100,(1-((IFERROR(INDEX('School District Profiles'!$D$2:$D$86,MATCH($A75,'School District Profiles'!$A$2:$A$86,0)),0)/100)^2+(IFERROR(INDEX('School District Profiles'!$E$2:$E$86,MATCH($A75,'School District Profiles'!$A$2:$A$86,0)),0)/100)^2+(IFERROR(INDEX('School District Profiles'!$F$2:$F$86,MATCH($A75,'School District Profiles'!$A$2:$A$86,0)),0)/100)^2+(IFERROR(INDEX('School District Profiles'!$G$2:$G$86,MATCH($A75,'School District Profiles'!$A$2:$A$86,0)),0)/100)^2+(AC75/100)^2))/0.8*100)),0)</f>
        <v/>
      </c>
      <c r="Z75" s="94">
        <f>IFERROR(AF75*AG75,0)</f>
        <v/>
      </c>
      <c r="AA75" s="96">
        <f>IFERROR(INDEX('Median Home and Rent Prices'!$F$2:$F$86,MATCH($A75,'Median Home and Rent Prices'!$A$2:$A$86,0)),0)</f>
        <v/>
      </c>
      <c r="AB75" s="94">
        <f>IFERROR(MAX(0,MIN(100,(800-AA75)/(800-150)*100)),0)</f>
        <v/>
      </c>
      <c r="AC75" s="121">
        <f>IFERROR(INDEX('School District Profiles'!$J$2:$J$86,MATCH($A75,'School District Profiles'!$A$2:$A$86,0)),0)</f>
        <v/>
      </c>
      <c r="AD75" s="94">
        <f>IFERROR(Q75*20/O75,0)</f>
        <v/>
      </c>
      <c r="AE75" s="73">
        <f>IFERROR(IF(AG75&gt;=1,100,IF(AG75&gt;=0.95,75,IF(AG75&gt;=0.9,60,IF(AG75&gt;=0.85,40,IF(AG75&gt;=0.8,25,0))))),0)</f>
        <v/>
      </c>
      <c r="AF75" s="73">
        <f>IFERROR(0.35*V75+0.3*U75+0.1*W75+0.1*X75+0.1*Y75+0.05*AR75,0)</f>
        <v/>
      </c>
      <c r="AG75" s="73" t="n">
        <v>0.95</v>
      </c>
      <c r="AH75" s="70" t="inlineStr">
        <is>
          <t>5% watchlist penalty because current layoff evidence is unclear; needs official budget/interim report verification.</t>
        </is>
      </c>
      <c r="AI75" s="105">
        <f>IF('Score Inputs'!$B$3="Bachelor's",CHOOSE(MATCH('Score Inputs'!$B$4,{0,5,10},0),D75,E75,F75),CHOOSE(MATCH('Score Inputs'!$B$4,{0,5,10},0),G75,H75,I75))</f>
        <v/>
      </c>
      <c r="AJ75" s="105">
        <f>IFERROR(AI75/12,0)</f>
        <v/>
      </c>
      <c r="AK75" s="120">
        <f>IFERROR(O75/AJ75,0)</f>
        <v/>
      </c>
      <c r="AL75" s="109">
        <f>IFERROR(IF(AK75&lt;=25%,100,IF(AK75&lt;=30%,100-(AK75-25%)/5%*30,IF(AK75&lt;=35%,70-(AK75-30%)/5%*10,IF(AK75&lt;=40%,60-(AK75-35%)/5%*20,MAX(0,40-(AK75-40%)/10%*40))))),0)</f>
        <v/>
      </c>
      <c r="AM75" s="105">
        <f>IFERROR(PMT('Score Inputs'!$B$5/12,'Score Inputs'!$B$7*12,-N75*(1-'Score Inputs'!$B$6)),0)</f>
        <v/>
      </c>
      <c r="AN75" s="120">
        <f>IFERROR(AM75/AJ75,0)</f>
        <v/>
      </c>
      <c r="AO75" s="109">
        <f>IFERROR(IF(AN75&lt;=25%,100,IF(AN75&lt;=30%,100-(AN75-25%)/5%*30,IF(AN75&lt;=35%,70-(AN75-30%)/5%*10,IF(AN75&lt;=40%,60-(AN75-35%)/5%*20,MAX(0,40-(AN75-40%)/10%*40))))),0)</f>
        <v/>
      </c>
      <c r="AP75" s="105">
        <f>IFERROR(AJ75-O75,0)</f>
        <v/>
      </c>
      <c r="AQ75" s="109">
        <f>IFERROR(MAX(0,MIN(100,(AP75-'Score Inputs'!$B$8)/('Score Inputs'!$B$9-'Score Inputs'!$B$8)*100)),0)</f>
        <v/>
      </c>
      <c r="AR75" s="109">
        <f>IFERROR(INDEX('State Funding Lookup'!$B$2:$B$86,MATCH($A75,'State Funding Lookup'!$A$2:$A$86,0)),0)</f>
        <v/>
      </c>
      <c r="AS75" s="78">
        <f>AK75</f>
        <v/>
      </c>
      <c r="AT75" s="78">
        <f>AN75</f>
        <v/>
      </c>
    </row>
    <row r="76" ht="30" customHeight="1" s="104">
      <c r="A76" s="89" t="inlineStr">
        <is>
          <t>Austin ISD</t>
        </is>
      </c>
      <c r="B76" s="89">
        <f>IFERROR(INDEX('School District Profiles'!$B$2:$B$86,MATCH($A76,'School District Profiles'!$A$2:$A$86,0)),"")</f>
        <v/>
      </c>
      <c r="C76" s="89">
        <f>IFERROR(INDEX('School District Profiles'!$C$2:$C$86,MATCH($A76,'School District Profiles'!$A$2:$A$86,0)),"")</f>
        <v/>
      </c>
      <c r="D76" s="91">
        <f>IFERROR(SUMIFS('Teacher Salary Data'!$E$2:$E$1871,'Teacher Salary Data'!$A$2:$A$1871,$A76,'Teacher Salary Data'!$C$2:$C$1871,"Bachelor's",'Teacher Salary Data'!$D$2:$D$1871,0),0)</f>
        <v/>
      </c>
      <c r="E76" s="91">
        <f>IFERROR(SUMIFS('Teacher Salary Data'!$E$2:$E$1871,'Teacher Salary Data'!$A$2:$A$1871,$A76,'Teacher Salary Data'!$C$2:$C$1871,"Bachelor's",'Teacher Salary Data'!$D$2:$D$1871,5),0)</f>
        <v/>
      </c>
      <c r="F76" s="91">
        <f>IFERROR(SUMIFS('Teacher Salary Data'!$E$2:$E$1871,'Teacher Salary Data'!$A$2:$A$1871,$A76,'Teacher Salary Data'!$C$2:$C$1871,"Bachelor's",'Teacher Salary Data'!$D$2:$D$1871,10),0)</f>
        <v/>
      </c>
      <c r="G76" s="91">
        <f>IFERROR(SUMIFS('Teacher Salary Data'!$E$2:$E$1871,'Teacher Salary Data'!$A$2:$A$1871,$A76,'Teacher Salary Data'!$C$2:$C$1871,"Master's",'Teacher Salary Data'!$D$2:$D$1871,0),0)</f>
        <v/>
      </c>
      <c r="H76" s="91">
        <f>IFERROR(SUMIFS('Teacher Salary Data'!$E$2:$E$1871,'Teacher Salary Data'!$A$2:$A$1871,$A76,'Teacher Salary Data'!$C$2:$C$1871,"Master's",'Teacher Salary Data'!$D$2:$D$1871,5),0)</f>
        <v/>
      </c>
      <c r="I76" s="91">
        <f>IFERROR(SUMIFS('Teacher Salary Data'!$E$2:$E$1871,'Teacher Salary Data'!$A$2:$A$1871,$A76,'Teacher Salary Data'!$C$2:$C$1871,"Master's",'Teacher Salary Data'!$D$2:$D$1871,10),0)</f>
        <v/>
      </c>
      <c r="J76" s="91">
        <f>AVERAGE(D76,G76)</f>
        <v/>
      </c>
      <c r="K76" s="91">
        <f>AVERAGE(F76,I76)</f>
        <v/>
      </c>
      <c r="L76" s="121">
        <f>IFERROR((K76-J76)/J76,0)</f>
        <v/>
      </c>
      <c r="M76" s="91">
        <f>G76-D76</f>
        <v/>
      </c>
      <c r="N76" s="91">
        <f>IFERROR(INDEX('Median Home and Rent Prices'!$D$2:$D$86,MATCH($A76,'Median Home and Rent Prices'!$A$2:$A$86,0)),0)</f>
        <v/>
      </c>
      <c r="O76" s="91">
        <f>IFERROR(INDEX('Median Home and Rent Prices'!$E$2:$E$86,MATCH($A76,'Median Home and Rent Prices'!$A$2:$A$86,0)),0)</f>
        <v/>
      </c>
      <c r="P76" s="94">
        <f>IFERROR(INDEX('School District Profiles'!$H$2:$H$86,MATCH($A76,'School District Profiles'!$A$2:$A$86,0)),0)</f>
        <v/>
      </c>
      <c r="Q76" s="91">
        <f>IFERROR(INDEX('School District Profiles'!$I$2:$I$86,MATCH($A76,'School District Profiles'!$A$2:$A$86,0)),0)</f>
        <v/>
      </c>
      <c r="R76" s="94">
        <f>IFERROR(IF(($AI76-('Score Inputs'!$B$4*1500+IF('Score Inputs'!$B$3="Master's",4000,0)))&lt;53000,MAX(0,MIN(39.99,((($AI76-('Score Inputs'!$B$4*1500+IF('Score Inputs'!$B$3="Master's",4000,0))))-45000)/8000*39.99)),IF(($AI76-('Score Inputs'!$B$4*1500+IF('Score Inputs'!$B$3="Master's",4000,0)))&lt;58000,40+((($AI76-('Score Inputs'!$B$4*1500+IF('Score Inputs'!$B$3="Master's",4000,0))))-53000)/5000*20,IF(($AI76-('Score Inputs'!$B$4*1500+IF('Score Inputs'!$B$3="Master's",4000,0)))&lt;63000,60+((($AI76-('Score Inputs'!$B$4*1500+IF('Score Inputs'!$B$3="Master's",4000,0))))-58000)/5000*10,IF(($AI76-('Score Inputs'!$B$4*1500+IF('Score Inputs'!$B$3="Master's",4000,0)))&lt;70000,70+((($AI76-('Score Inputs'!$B$4*1500+IF('Score Inputs'!$B$3="Master's",4000,0))))-63000)/7000*10,IF(($AI76-('Score Inputs'!$B$4*1500+IF('Score Inputs'!$B$3="Master's",4000,0)))&lt;75000,80+((($AI76-('Score Inputs'!$B$4*1500+IF('Score Inputs'!$B$3="Master's",4000,0))))-70000)/5000*10,MIN(100,90+((($AI76-('Score Inputs'!$B$4*1500+IF('Score Inputs'!$B$3="Master's",4000,0))))-75000)/5000*10)))))),0)</f>
        <v/>
      </c>
      <c r="S76" s="94">
        <f>IFERROR(MAX(0,MIN(100,L76/0.48*100)),0)</f>
        <v/>
      </c>
      <c r="T76" s="94">
        <f>IFERROR(MAX(0,MIN(100,M76/15000*100)),0)</f>
        <v/>
      </c>
      <c r="U76" s="94">
        <f>IFERROR(0.5*R76+0.35*S76+0.15*T76,0)</f>
        <v/>
      </c>
      <c r="V76" s="94">
        <f>IFERROR(0.35*AL76+0.3*AO76+0.25*AB76+0.1*AQ76,0)</f>
        <v/>
      </c>
      <c r="W76" s="94">
        <f>IFERROR(MAX(0,MIN(100,(25-P76)/(25-12)*100)),0)</f>
        <v/>
      </c>
      <c r="X76" s="94">
        <f>IFERROR(MAX(0,MIN(100,(AD76-1)/(3-1)*100))*IF(OR($A76="North Clackamas School District",$A76="Provo City School District"),0.6,1),0)</f>
        <v/>
      </c>
      <c r="Y76" s="94">
        <f>IFERROR(MAX(0,MIN(100,(1-((IFERROR(INDEX('School District Profiles'!$D$2:$D$86,MATCH($A76,'School District Profiles'!$A$2:$A$86,0)),0)/100)^2+(IFERROR(INDEX('School District Profiles'!$E$2:$E$86,MATCH($A76,'School District Profiles'!$A$2:$A$86,0)),0)/100)^2+(IFERROR(INDEX('School District Profiles'!$F$2:$F$86,MATCH($A76,'School District Profiles'!$A$2:$A$86,0)),0)/100)^2+(IFERROR(INDEX('School District Profiles'!$G$2:$G$86,MATCH($A76,'School District Profiles'!$A$2:$A$86,0)),0)/100)^2+(AC76/100)^2))/0.8*100)),0)</f>
        <v/>
      </c>
      <c r="Z76" s="94">
        <f>IFERROR(AF76*AG76,0)</f>
        <v/>
      </c>
      <c r="AA76" s="96">
        <f>IFERROR(INDEX('Median Home and Rent Prices'!$F$2:$F$86,MATCH($A76,'Median Home and Rent Prices'!$A$2:$A$86,0)),0)</f>
        <v/>
      </c>
      <c r="AB76" s="94">
        <f>IFERROR(MAX(0,MIN(100,(800-AA76)/(800-150)*100)),0)</f>
        <v/>
      </c>
      <c r="AC76" s="121">
        <f>IFERROR(INDEX('School District Profiles'!$J$2:$J$86,MATCH($A76,'School District Profiles'!$A$2:$A$86,0)),0)</f>
        <v/>
      </c>
      <c r="AD76" s="94">
        <f>IFERROR(Q76*20/O76,0)</f>
        <v/>
      </c>
      <c r="AE76" s="73">
        <f>IFERROR(IF(AG76&gt;=1,100,IF(AG76&gt;=0.95,75,IF(AG76&gt;=0.9,60,IF(AG76&gt;=0.85,40,IF(AG76&gt;=0.8,25,0))))),0)</f>
        <v/>
      </c>
      <c r="AF76" s="73">
        <f>IFERROR(0.35*V76+0.3*U76+0.1*W76+0.1*X76+0.1*Y76+0.05*AR76,0)</f>
        <v/>
      </c>
      <c r="AG76" s="73" t="n">
        <v>0.8</v>
      </c>
      <c r="AH76" s="70" t="inlineStr">
        <is>
          <t>20% employment-stability penalty due to very large projected budget gap, planned job cuts, school-closure discussions, and possible governance/fiscal instability.</t>
        </is>
      </c>
      <c r="AI76" s="105">
        <f>IF('Score Inputs'!$B$3="Bachelor's",CHOOSE(MATCH('Score Inputs'!$B$4,{0,5,10},0),D76,E76,F76),CHOOSE(MATCH('Score Inputs'!$B$4,{0,5,10},0),G76,H76,I76))</f>
        <v/>
      </c>
      <c r="AJ76" s="105">
        <f>IFERROR(AI76/12,0)</f>
        <v/>
      </c>
      <c r="AK76" s="120">
        <f>IFERROR(O76/AJ76,0)</f>
        <v/>
      </c>
      <c r="AL76" s="109">
        <f>IFERROR(IF(AK76&lt;=25%,100,IF(AK76&lt;=30%,100-(AK76-25%)/5%*30,IF(AK76&lt;=35%,70-(AK76-30%)/5%*10,IF(AK76&lt;=40%,60-(AK76-35%)/5%*20,MAX(0,40-(AK76-40%)/10%*40))))),0)</f>
        <v/>
      </c>
      <c r="AM76" s="105">
        <f>IFERROR(PMT('Score Inputs'!$B$5/12,'Score Inputs'!$B$7*12,-N76*(1-'Score Inputs'!$B$6)),0)</f>
        <v/>
      </c>
      <c r="AN76" s="120">
        <f>IFERROR(AM76/AJ76,0)</f>
        <v/>
      </c>
      <c r="AO76" s="109">
        <f>IFERROR(IF(AN76&lt;=25%,100,IF(AN76&lt;=30%,100-(AN76-25%)/5%*30,IF(AN76&lt;=35%,70-(AN76-30%)/5%*10,IF(AN76&lt;=40%,60-(AN76-35%)/5%*20,MAX(0,40-(AN76-40%)/10%*40))))),0)</f>
        <v/>
      </c>
      <c r="AP76" s="105">
        <f>IFERROR(AJ76-O76,0)</f>
        <v/>
      </c>
      <c r="AQ76" s="109">
        <f>IFERROR(MAX(0,MIN(100,(AP76-'Score Inputs'!$B$8)/('Score Inputs'!$B$9-'Score Inputs'!$B$8)*100)),0)</f>
        <v/>
      </c>
      <c r="AR76" s="109">
        <f>IFERROR(INDEX('State Funding Lookup'!$B$2:$B$86,MATCH($A76,'State Funding Lookup'!$A$2:$A$86,0)),0)</f>
        <v/>
      </c>
      <c r="AS76" s="78">
        <f>AK76</f>
        <v/>
      </c>
      <c r="AT76" s="78">
        <f>AN76</f>
        <v/>
      </c>
    </row>
    <row r="77" ht="30" customHeight="1" s="104">
      <c r="A77" s="89" t="inlineStr">
        <is>
          <t>Chapel Hill-Carrboro City Schools</t>
        </is>
      </c>
      <c r="B77" s="89">
        <f>IFERROR(INDEX('School District Profiles'!$B$2:$B$86,MATCH($A77,'School District Profiles'!$A$2:$A$86,0)),"")</f>
        <v/>
      </c>
      <c r="C77" s="89">
        <f>IFERROR(INDEX('School District Profiles'!$C$2:$C$86,MATCH($A77,'School District Profiles'!$A$2:$A$86,0)),"")</f>
        <v/>
      </c>
      <c r="D77" s="91">
        <f>IFERROR(SUMIFS('Teacher Salary Data'!$E$2:$E$1871,'Teacher Salary Data'!$A$2:$A$1871,$A77,'Teacher Salary Data'!$C$2:$C$1871,"Bachelor's",'Teacher Salary Data'!$D$2:$D$1871,0),0)</f>
        <v/>
      </c>
      <c r="E77" s="91">
        <f>IFERROR(SUMIFS('Teacher Salary Data'!$E$2:$E$1871,'Teacher Salary Data'!$A$2:$A$1871,$A77,'Teacher Salary Data'!$C$2:$C$1871,"Bachelor's",'Teacher Salary Data'!$D$2:$D$1871,5),0)</f>
        <v/>
      </c>
      <c r="F77" s="91">
        <f>IFERROR(SUMIFS('Teacher Salary Data'!$E$2:$E$1871,'Teacher Salary Data'!$A$2:$A$1871,$A77,'Teacher Salary Data'!$C$2:$C$1871,"Bachelor's",'Teacher Salary Data'!$D$2:$D$1871,10),0)</f>
        <v/>
      </c>
      <c r="G77" s="91">
        <f>IFERROR(SUMIFS('Teacher Salary Data'!$E$2:$E$1871,'Teacher Salary Data'!$A$2:$A$1871,$A77,'Teacher Salary Data'!$C$2:$C$1871,"Master's",'Teacher Salary Data'!$D$2:$D$1871,0),0)</f>
        <v/>
      </c>
      <c r="H77" s="91">
        <f>IFERROR(SUMIFS('Teacher Salary Data'!$E$2:$E$1871,'Teacher Salary Data'!$A$2:$A$1871,$A77,'Teacher Salary Data'!$C$2:$C$1871,"Master's",'Teacher Salary Data'!$D$2:$D$1871,5),0)</f>
        <v/>
      </c>
      <c r="I77" s="91">
        <f>IFERROR(SUMIFS('Teacher Salary Data'!$E$2:$E$1871,'Teacher Salary Data'!$A$2:$A$1871,$A77,'Teacher Salary Data'!$C$2:$C$1871,"Master's",'Teacher Salary Data'!$D$2:$D$1871,10),0)</f>
        <v/>
      </c>
      <c r="J77" s="91">
        <f>AVERAGE(D77,G77)</f>
        <v/>
      </c>
      <c r="K77" s="91">
        <f>AVERAGE(F77,I77)</f>
        <v/>
      </c>
      <c r="L77" s="121">
        <f>IFERROR((K77-J77)/J77,0)</f>
        <v/>
      </c>
      <c r="M77" s="91">
        <f>G77-D77</f>
        <v/>
      </c>
      <c r="N77" s="91">
        <f>IFERROR(INDEX('Median Home and Rent Prices'!$D$2:$D$86,MATCH($A77,'Median Home and Rent Prices'!$A$2:$A$86,0)),0)</f>
        <v/>
      </c>
      <c r="O77" s="91">
        <f>IFERROR(INDEX('Median Home and Rent Prices'!$E$2:$E$86,MATCH($A77,'Median Home and Rent Prices'!$A$2:$A$86,0)),0)</f>
        <v/>
      </c>
      <c r="P77" s="94">
        <f>IFERROR(INDEX('School District Profiles'!$H$2:$H$86,MATCH($A77,'School District Profiles'!$A$2:$A$86,0)),0)</f>
        <v/>
      </c>
      <c r="Q77" s="91">
        <f>IFERROR(INDEX('School District Profiles'!$I$2:$I$86,MATCH($A77,'School District Profiles'!$A$2:$A$86,0)),0)</f>
        <v/>
      </c>
      <c r="R77" s="94">
        <f>IFERROR(IF(($AI77-('Score Inputs'!$B$4*1500+IF('Score Inputs'!$B$3="Master's",4000,0)))&lt;53000,MAX(0,MIN(39.99,((($AI77-('Score Inputs'!$B$4*1500+IF('Score Inputs'!$B$3="Master's",4000,0))))-45000)/8000*39.99)),IF(($AI77-('Score Inputs'!$B$4*1500+IF('Score Inputs'!$B$3="Master's",4000,0)))&lt;58000,40+((($AI77-('Score Inputs'!$B$4*1500+IF('Score Inputs'!$B$3="Master's",4000,0))))-53000)/5000*20,IF(($AI77-('Score Inputs'!$B$4*1500+IF('Score Inputs'!$B$3="Master's",4000,0)))&lt;63000,60+((($AI77-('Score Inputs'!$B$4*1500+IF('Score Inputs'!$B$3="Master's",4000,0))))-58000)/5000*10,IF(($AI77-('Score Inputs'!$B$4*1500+IF('Score Inputs'!$B$3="Master's",4000,0)))&lt;70000,70+((($AI77-('Score Inputs'!$B$4*1500+IF('Score Inputs'!$B$3="Master's",4000,0))))-63000)/7000*10,IF(($AI77-('Score Inputs'!$B$4*1500+IF('Score Inputs'!$B$3="Master's",4000,0)))&lt;75000,80+((($AI77-('Score Inputs'!$B$4*1500+IF('Score Inputs'!$B$3="Master's",4000,0))))-70000)/5000*10,MIN(100,90+((($AI77-('Score Inputs'!$B$4*1500+IF('Score Inputs'!$B$3="Master's",4000,0))))-75000)/5000*10)))))),0)</f>
        <v/>
      </c>
      <c r="S77" s="94">
        <f>IFERROR(MAX(0,MIN(100,L77/0.48*100)),0)</f>
        <v/>
      </c>
      <c r="T77" s="94">
        <f>IFERROR(MAX(0,MIN(100,M77/15000*100)),0)</f>
        <v/>
      </c>
      <c r="U77" s="94">
        <f>IFERROR(0.5*R77+0.35*S77+0.15*T77,0)</f>
        <v/>
      </c>
      <c r="V77" s="94">
        <f>IFERROR(0.35*AL77+0.3*AO77+0.25*AB77+0.1*AQ77,0)</f>
        <v/>
      </c>
      <c r="W77" s="94">
        <f>IFERROR(MAX(0,MIN(100,(25-P77)/(25-12)*100)),0)</f>
        <v/>
      </c>
      <c r="X77" s="94">
        <f>IFERROR(MAX(0,MIN(100,(AD77-1)/(3-1)*100))*IF(OR($A77="North Clackamas School District",$A77="Provo City School District"),0.6,1),0)</f>
        <v/>
      </c>
      <c r="Y77" s="94">
        <f>IFERROR(MAX(0,MIN(100,(1-((IFERROR(INDEX('School District Profiles'!$D$2:$D$86,MATCH($A77,'School District Profiles'!$A$2:$A$86,0)),0)/100)^2+(IFERROR(INDEX('School District Profiles'!$E$2:$E$86,MATCH($A77,'School District Profiles'!$A$2:$A$86,0)),0)/100)^2+(IFERROR(INDEX('School District Profiles'!$F$2:$F$86,MATCH($A77,'School District Profiles'!$A$2:$A$86,0)),0)/100)^2+(IFERROR(INDEX('School District Profiles'!$G$2:$G$86,MATCH($A77,'School District Profiles'!$A$2:$A$86,0)),0)/100)^2+(AC77/100)^2))/0.8*100)),0)</f>
        <v/>
      </c>
      <c r="Z77" s="94">
        <f>IFERROR(AF77*AG77,0)</f>
        <v/>
      </c>
      <c r="AA77" s="96">
        <f>IFERROR(INDEX('Median Home and Rent Prices'!$F$2:$F$86,MATCH($A77,'Median Home and Rent Prices'!$A$2:$A$86,0)),0)</f>
        <v/>
      </c>
      <c r="AB77" s="94">
        <f>IFERROR(MAX(0,MIN(100,(800-AA77)/(800-150)*100)),0)</f>
        <v/>
      </c>
      <c r="AC77" s="121">
        <f>IFERROR(INDEX('School District Profiles'!$J$2:$J$86,MATCH($A77,'School District Profiles'!$A$2:$A$86,0)),0)</f>
        <v/>
      </c>
      <c r="AD77" s="94">
        <f>IFERROR(Q77*20/O77,0)</f>
        <v/>
      </c>
      <c r="AE77" s="73">
        <f>IFERROR(IF(AG77&gt;=1,100,IF(AG77&gt;=0.95,75,IF(AG77&gt;=0.9,60,IF(AG77&gt;=0.85,40,IF(AG77&gt;=0.8,25,0))))),0)</f>
        <v/>
      </c>
      <c r="AF77" s="73">
        <f>IFERROR(0.35*V77+0.3*U77+0.1*W77+0.1*X77+0.1*Y77+0.05*AR77,0)</f>
        <v/>
      </c>
      <c r="AG77" s="73" t="n">
        <v>0.85</v>
      </c>
      <c r="AH77" s="70" t="inlineStr">
        <is>
          <t>15% employment-stability penalty due to staff cuts, school-closure discussions, declining enrollment, and budget shortfall concerns.</t>
        </is>
      </c>
      <c r="AI77" s="105">
        <f>IF('Score Inputs'!$B$3="Bachelor's",CHOOSE(MATCH('Score Inputs'!$B$4,{0,5,10},0),D77,E77,F77),CHOOSE(MATCH('Score Inputs'!$B$4,{0,5,10},0),G77,H77,I77))</f>
        <v/>
      </c>
      <c r="AJ77" s="105">
        <f>IFERROR(AI77/12,0)</f>
        <v/>
      </c>
      <c r="AK77" s="120">
        <f>IFERROR(O77/AJ77,0)</f>
        <v/>
      </c>
      <c r="AL77" s="109">
        <f>IFERROR(IF(AK77&lt;=25%,100,IF(AK77&lt;=30%,100-(AK77-25%)/5%*30,IF(AK77&lt;=35%,70-(AK77-30%)/5%*10,IF(AK77&lt;=40%,60-(AK77-35%)/5%*20,MAX(0,40-(AK77-40%)/10%*40))))),0)</f>
        <v/>
      </c>
      <c r="AM77" s="105">
        <f>IFERROR(PMT('Score Inputs'!$B$5/12,'Score Inputs'!$B$7*12,-N77*(1-'Score Inputs'!$B$6)),0)</f>
        <v/>
      </c>
      <c r="AN77" s="120">
        <f>IFERROR(AM77/AJ77,0)</f>
        <v/>
      </c>
      <c r="AO77" s="109">
        <f>IFERROR(IF(AN77&lt;=25%,100,IF(AN77&lt;=30%,100-(AN77-25%)/5%*30,IF(AN77&lt;=35%,70-(AN77-30%)/5%*10,IF(AN77&lt;=40%,60-(AN77-35%)/5%*20,MAX(0,40-(AN77-40%)/10%*40))))),0)</f>
        <v/>
      </c>
      <c r="AP77" s="105">
        <f>IFERROR(AJ77-O77,0)</f>
        <v/>
      </c>
      <c r="AQ77" s="109">
        <f>IFERROR(MAX(0,MIN(100,(AP77-'Score Inputs'!$B$8)/('Score Inputs'!$B$9-'Score Inputs'!$B$8)*100)),0)</f>
        <v/>
      </c>
      <c r="AR77" s="109">
        <f>IFERROR(INDEX('State Funding Lookup'!$B$2:$B$86,MATCH($A77,'State Funding Lookup'!$A$2:$A$86,0)),0)</f>
        <v/>
      </c>
      <c r="AS77" s="78">
        <f>AK77</f>
        <v/>
      </c>
      <c r="AT77" s="78">
        <f>AN77</f>
        <v/>
      </c>
    </row>
    <row r="78" ht="30" customHeight="1" s="104">
      <c r="A78" s="70" t="inlineStr">
        <is>
          <t>South Pasadena Unified School District</t>
        </is>
      </c>
      <c r="B78" s="70">
        <f>IFERROR(INDEX('School District Profiles'!$B$2:$B$86,MATCH($A78,'School District Profiles'!$A$2:$A$86,0)),"")</f>
        <v/>
      </c>
      <c r="C78" s="70">
        <f>IFERROR(INDEX('School District Profiles'!$C$2:$C$86,MATCH($A78,'School District Profiles'!$A$2:$A$86,0)),"")</f>
        <v/>
      </c>
      <c r="D78" s="71">
        <f>IFERROR(SUMIFS('Teacher Salary Data'!$E$2:$E$1871,'Teacher Salary Data'!$A$2:$A$1871,$A78,'Teacher Salary Data'!$C$2:$C$1871,"Bachelor's",'Teacher Salary Data'!$D$2:$D$1871,0),0)</f>
        <v/>
      </c>
      <c r="E78" s="71">
        <f>IFERROR(SUMIFS('Teacher Salary Data'!$E$2:$E$1871,'Teacher Salary Data'!$A$2:$A$1871,$A78,'Teacher Salary Data'!$C$2:$C$1871,"Bachelor's",'Teacher Salary Data'!$D$2:$D$1871,5),0)</f>
        <v/>
      </c>
      <c r="F78" s="71">
        <f>IFERROR(SUMIFS('Teacher Salary Data'!$E$2:$E$1871,'Teacher Salary Data'!$A$2:$A$1871,$A78,'Teacher Salary Data'!$C$2:$C$1871,"Bachelor's",'Teacher Salary Data'!$D$2:$D$1871,10),0)</f>
        <v/>
      </c>
      <c r="G78" s="71">
        <f>IFERROR(SUMIFS('Teacher Salary Data'!$E$2:$E$1871,'Teacher Salary Data'!$A$2:$A$1871,$A78,'Teacher Salary Data'!$C$2:$C$1871,"Master's",'Teacher Salary Data'!$D$2:$D$1871,0),0)</f>
        <v/>
      </c>
      <c r="H78" s="71">
        <f>IFERROR(SUMIFS('Teacher Salary Data'!$E$2:$E$1871,'Teacher Salary Data'!$A$2:$A$1871,$A78,'Teacher Salary Data'!$C$2:$C$1871,"Master's",'Teacher Salary Data'!$D$2:$D$1871,5),0)</f>
        <v/>
      </c>
      <c r="I78" s="71">
        <f>IFERROR(SUMIFS('Teacher Salary Data'!$E$2:$E$1871,'Teacher Salary Data'!$A$2:$A$1871,$A78,'Teacher Salary Data'!$C$2:$C$1871,"Master's",'Teacher Salary Data'!$D$2:$D$1871,10),0)</f>
        <v/>
      </c>
      <c r="J78" s="71">
        <f>AVERAGE(D78,G78)</f>
        <v/>
      </c>
      <c r="K78" s="71">
        <f>AVERAGE(F78,I78)</f>
        <v/>
      </c>
      <c r="L78" s="119">
        <f>IFERROR((K78-J78)/J78,0)</f>
        <v/>
      </c>
      <c r="M78" s="71">
        <f>G78-D78</f>
        <v/>
      </c>
      <c r="N78" s="71">
        <f>IFERROR(INDEX('Median Home and Rent Prices'!$D$2:$D$86,MATCH($A78,'Median Home and Rent Prices'!$A$2:$A$86,0)),0)</f>
        <v/>
      </c>
      <c r="O78" s="71">
        <f>IFERROR(INDEX('Median Home and Rent Prices'!$E$2:$E$86,MATCH($A78,'Median Home and Rent Prices'!$A$2:$A$86,0)),0)</f>
        <v/>
      </c>
      <c r="P78" s="73">
        <f>IFERROR(INDEX('School District Profiles'!$H$2:$H$86,MATCH($A78,'School District Profiles'!$A$2:$A$86,0)),0)</f>
        <v/>
      </c>
      <c r="Q78" s="71">
        <f>IFERROR(INDEX('School District Profiles'!$I$2:$I$86,MATCH($A78,'School District Profiles'!$A$2:$A$86,0)),0)</f>
        <v/>
      </c>
      <c r="R78" s="73">
        <f>IFERROR(IF(($AI78-('Score Inputs'!$B$4*1500+IF('Score Inputs'!$B$3="Master's",4000,0)))&lt;53000,MAX(0,MIN(39.99,((($AI78-('Score Inputs'!$B$4*1500+IF('Score Inputs'!$B$3="Master's",4000,0))))-45000)/8000*39.99)),IF(($AI78-('Score Inputs'!$B$4*1500+IF('Score Inputs'!$B$3="Master's",4000,0)))&lt;58000,40+((($AI78-('Score Inputs'!$B$4*1500+IF('Score Inputs'!$B$3="Master's",4000,0))))-53000)/5000*20,IF(($AI78-('Score Inputs'!$B$4*1500+IF('Score Inputs'!$B$3="Master's",4000,0)))&lt;63000,60+((($AI78-('Score Inputs'!$B$4*1500+IF('Score Inputs'!$B$3="Master's",4000,0))))-58000)/5000*10,IF(($AI78-('Score Inputs'!$B$4*1500+IF('Score Inputs'!$B$3="Master's",4000,0)))&lt;70000,70+((($AI78-('Score Inputs'!$B$4*1500+IF('Score Inputs'!$B$3="Master's",4000,0))))-63000)/7000*10,IF(($AI78-('Score Inputs'!$B$4*1500+IF('Score Inputs'!$B$3="Master's",4000,0)))&lt;75000,80+((($AI78-('Score Inputs'!$B$4*1500+IF('Score Inputs'!$B$3="Master's",4000,0))))-70000)/5000*10,MIN(100,90+((($AI78-('Score Inputs'!$B$4*1500+IF('Score Inputs'!$B$3="Master's",4000,0))))-75000)/5000*10)))))),0)</f>
        <v/>
      </c>
      <c r="S78" s="73">
        <f>IFERROR(MAX(0,MIN(100,L78/0.48*100)),0)</f>
        <v/>
      </c>
      <c r="T78" s="73">
        <f>IFERROR(MAX(0,MIN(100,M78/15000*100)),0)</f>
        <v/>
      </c>
      <c r="U78" s="73">
        <f>IFERROR(0.5*R78+0.35*S78+0.15*T78,0)</f>
        <v/>
      </c>
      <c r="V78" s="73">
        <f>IFERROR(0.35*AL78+0.3*AO78+0.25*AB78+0.1*AQ78,0)</f>
        <v/>
      </c>
      <c r="W78" s="73">
        <f>IFERROR(MAX(0,MIN(100,(25-P78)/(25-12)*100)),0)</f>
        <v/>
      </c>
      <c r="X78" s="73">
        <f>IFERROR(MAX(0,MIN(100,(AD78-1)/(3-1)*100))*IF(OR($A78="North Clackamas School District",$A78="Provo City School District"),0.6,1),0)</f>
        <v/>
      </c>
      <c r="Y78" s="73">
        <f>IFERROR(MAX(0,MIN(100,(1-((IFERROR(INDEX('School District Profiles'!$D$2:$D$86,MATCH($A78,'School District Profiles'!$A$2:$A$86,0)),0)/100)^2+(IFERROR(INDEX('School District Profiles'!$E$2:$E$86,MATCH($A78,'School District Profiles'!$A$2:$A$86,0)),0)/100)^2+(IFERROR(INDEX('School District Profiles'!$F$2:$F$86,MATCH($A78,'School District Profiles'!$A$2:$A$86,0)),0)/100)^2+(IFERROR(INDEX('School District Profiles'!$G$2:$G$86,MATCH($A78,'School District Profiles'!$A$2:$A$86,0)),0)/100)^2+(AC78/100)^2))/0.8*100)),0)</f>
        <v/>
      </c>
      <c r="Z78" s="73">
        <f>IFERROR(AF78*AG78,0)</f>
        <v/>
      </c>
      <c r="AA78" s="74">
        <f>IFERROR(INDEX('Median Home and Rent Prices'!$F$2:$F$86,MATCH($A78,'Median Home and Rent Prices'!$A$2:$A$86,0)),0)</f>
        <v/>
      </c>
      <c r="AB78" s="73">
        <f>IFERROR(MAX(0,MIN(100,(800-AA78)/(800-150)*100)),0)</f>
        <v/>
      </c>
      <c r="AC78" s="119">
        <f>IFERROR(INDEX('School District Profiles'!$J$2:$J$86,MATCH($A78,'School District Profiles'!$A$2:$A$86,0)),0)</f>
        <v/>
      </c>
      <c r="AD78" s="73">
        <f>IFERROR(Q78*20/O78,0)</f>
        <v/>
      </c>
      <c r="AE78" s="73">
        <f>IFERROR(IF(AG78&gt;=1,100,IF(AG78&gt;=0.95,75,IF(AG78&gt;=0.9,60,IF(AG78&gt;=0.85,40,IF(AG78&gt;=0.8,25,0))))),0)</f>
        <v/>
      </c>
      <c r="AF78" s="73">
        <f>IFERROR(0.35*V78+0.3*U78+0.1*W78+0.1*X78+0.1*Y78+0.05*AR78,0)</f>
        <v/>
      </c>
      <c r="AG78" s="73" t="n">
        <v>0.95</v>
      </c>
      <c r="AH78" s="70" t="inlineStr">
        <is>
          <t>5% watchlist penalty because current evidence is limited; older cuts are stale but budget risk should still be monitored.</t>
        </is>
      </c>
      <c r="AI78" s="105">
        <f>IF('Score Inputs'!$B$3="Bachelor's",CHOOSE(MATCH('Score Inputs'!$B$4,{0,5,10},0),D78,E78,F78),CHOOSE(MATCH('Score Inputs'!$B$4,{0,5,10},0),G78,H78,I78))</f>
        <v/>
      </c>
      <c r="AJ78" s="105">
        <f>IFERROR(AI78/12,0)</f>
        <v/>
      </c>
      <c r="AK78" s="120">
        <f>IFERROR(O78/AJ78,0)</f>
        <v/>
      </c>
      <c r="AL78" s="109">
        <f>IFERROR(IF(AK78&lt;=25%,100,IF(AK78&lt;=30%,100-(AK78-25%)/5%*30,IF(AK78&lt;=35%,70-(AK78-30%)/5%*10,IF(AK78&lt;=40%,60-(AK78-35%)/5%*20,MAX(0,40-(AK78-40%)/10%*40))))),0)</f>
        <v/>
      </c>
      <c r="AM78" s="105">
        <f>IFERROR(PMT('Score Inputs'!$B$5/12,'Score Inputs'!$B$7*12,-N78*(1-'Score Inputs'!$B$6)),0)</f>
        <v/>
      </c>
      <c r="AN78" s="120">
        <f>IFERROR(AM78/AJ78,0)</f>
        <v/>
      </c>
      <c r="AO78" s="109">
        <f>IFERROR(IF(AN78&lt;=25%,100,IF(AN78&lt;=30%,100-(AN78-25%)/5%*30,IF(AN78&lt;=35%,70-(AN78-30%)/5%*10,IF(AN78&lt;=40%,60-(AN78-35%)/5%*20,MAX(0,40-(AN78-40%)/10%*40))))),0)</f>
        <v/>
      </c>
      <c r="AP78" s="105">
        <f>IFERROR(AJ78-O78,0)</f>
        <v/>
      </c>
      <c r="AQ78" s="109">
        <f>IFERROR(MAX(0,MIN(100,(AP78-'Score Inputs'!$B$8)/('Score Inputs'!$B$9-'Score Inputs'!$B$8)*100)),0)</f>
        <v/>
      </c>
      <c r="AR78" s="109">
        <f>IFERROR(INDEX('State Funding Lookup'!$B$2:$B$86,MATCH($A78,'State Funding Lookup'!$A$2:$A$86,0)),0)</f>
        <v/>
      </c>
      <c r="AS78" s="78">
        <f>AK78</f>
        <v/>
      </c>
      <c r="AT78" s="78">
        <f>AN78</f>
        <v/>
      </c>
    </row>
    <row r="79" ht="30" customHeight="1" s="104">
      <c r="A79" s="70" t="inlineStr">
        <is>
          <t>San Diego Unified School District</t>
        </is>
      </c>
      <c r="B79" s="70">
        <f>IFERROR(INDEX('School District Profiles'!$B$2:$B$86,MATCH($A79,'School District Profiles'!$A$2:$A$86,0)),"")</f>
        <v/>
      </c>
      <c r="C79" s="70">
        <f>IFERROR(INDEX('School District Profiles'!$C$2:$C$86,MATCH($A79,'School District Profiles'!$A$2:$A$86,0)),"")</f>
        <v/>
      </c>
      <c r="D79" s="71">
        <f>IFERROR(SUMIFS('Teacher Salary Data'!$E$2:$E$1871,'Teacher Salary Data'!$A$2:$A$1871,$A79,'Teacher Salary Data'!$C$2:$C$1871,"Bachelor's",'Teacher Salary Data'!$D$2:$D$1871,0),0)</f>
        <v/>
      </c>
      <c r="E79" s="71">
        <f>IFERROR(SUMIFS('Teacher Salary Data'!$E$2:$E$1871,'Teacher Salary Data'!$A$2:$A$1871,$A79,'Teacher Salary Data'!$C$2:$C$1871,"Bachelor's",'Teacher Salary Data'!$D$2:$D$1871,5),0)</f>
        <v/>
      </c>
      <c r="F79" s="71">
        <f>IFERROR(SUMIFS('Teacher Salary Data'!$E$2:$E$1871,'Teacher Salary Data'!$A$2:$A$1871,$A79,'Teacher Salary Data'!$C$2:$C$1871,"Bachelor's",'Teacher Salary Data'!$D$2:$D$1871,10),0)</f>
        <v/>
      </c>
      <c r="G79" s="71">
        <f>IFERROR(SUMIFS('Teacher Salary Data'!$E$2:$E$1871,'Teacher Salary Data'!$A$2:$A$1871,$A79,'Teacher Salary Data'!$C$2:$C$1871,"Master's",'Teacher Salary Data'!$D$2:$D$1871,0),0)</f>
        <v/>
      </c>
      <c r="H79" s="71">
        <f>IFERROR(SUMIFS('Teacher Salary Data'!$E$2:$E$1871,'Teacher Salary Data'!$A$2:$A$1871,$A79,'Teacher Salary Data'!$C$2:$C$1871,"Master's",'Teacher Salary Data'!$D$2:$D$1871,5),0)</f>
        <v/>
      </c>
      <c r="I79" s="71">
        <f>IFERROR(SUMIFS('Teacher Salary Data'!$E$2:$E$1871,'Teacher Salary Data'!$A$2:$A$1871,$A79,'Teacher Salary Data'!$C$2:$C$1871,"Master's",'Teacher Salary Data'!$D$2:$D$1871,10),0)</f>
        <v/>
      </c>
      <c r="J79" s="71">
        <f>AVERAGE(D79,G79)</f>
        <v/>
      </c>
      <c r="K79" s="71">
        <f>AVERAGE(F79,I79)</f>
        <v/>
      </c>
      <c r="L79" s="119">
        <f>IFERROR((K79-J79)/J79,0)</f>
        <v/>
      </c>
      <c r="M79" s="71">
        <f>G79-D79</f>
        <v/>
      </c>
      <c r="N79" s="71">
        <f>IFERROR(INDEX('Median Home and Rent Prices'!$D$2:$D$86,MATCH($A79,'Median Home and Rent Prices'!$A$2:$A$86,0)),0)</f>
        <v/>
      </c>
      <c r="O79" s="71">
        <f>IFERROR(INDEX('Median Home and Rent Prices'!$E$2:$E$86,MATCH($A79,'Median Home and Rent Prices'!$A$2:$A$86,0)),0)</f>
        <v/>
      </c>
      <c r="P79" s="73">
        <f>IFERROR(INDEX('School District Profiles'!$H$2:$H$86,MATCH($A79,'School District Profiles'!$A$2:$A$86,0)),0)</f>
        <v/>
      </c>
      <c r="Q79" s="71">
        <f>IFERROR(INDEX('School District Profiles'!$I$2:$I$86,MATCH($A79,'School District Profiles'!$A$2:$A$86,0)),0)</f>
        <v/>
      </c>
      <c r="R79" s="73">
        <f>IFERROR(IF(($AI79-('Score Inputs'!$B$4*1500+IF('Score Inputs'!$B$3="Master's",4000,0)))&lt;53000,MAX(0,MIN(39.99,((($AI79-('Score Inputs'!$B$4*1500+IF('Score Inputs'!$B$3="Master's",4000,0))))-45000)/8000*39.99)),IF(($AI79-('Score Inputs'!$B$4*1500+IF('Score Inputs'!$B$3="Master's",4000,0)))&lt;58000,40+((($AI79-('Score Inputs'!$B$4*1500+IF('Score Inputs'!$B$3="Master's",4000,0))))-53000)/5000*20,IF(($AI79-('Score Inputs'!$B$4*1500+IF('Score Inputs'!$B$3="Master's",4000,0)))&lt;63000,60+((($AI79-('Score Inputs'!$B$4*1500+IF('Score Inputs'!$B$3="Master's",4000,0))))-58000)/5000*10,IF(($AI79-('Score Inputs'!$B$4*1500+IF('Score Inputs'!$B$3="Master's",4000,0)))&lt;70000,70+((($AI79-('Score Inputs'!$B$4*1500+IF('Score Inputs'!$B$3="Master's",4000,0))))-63000)/7000*10,IF(($AI79-('Score Inputs'!$B$4*1500+IF('Score Inputs'!$B$3="Master's",4000,0)))&lt;75000,80+((($AI79-('Score Inputs'!$B$4*1500+IF('Score Inputs'!$B$3="Master's",4000,0))))-70000)/5000*10,MIN(100,90+((($AI79-('Score Inputs'!$B$4*1500+IF('Score Inputs'!$B$3="Master's",4000,0))))-75000)/5000*10)))))),0)</f>
        <v/>
      </c>
      <c r="S79" s="73">
        <f>IFERROR(MAX(0,MIN(100,L79/0.48*100)),0)</f>
        <v/>
      </c>
      <c r="T79" s="73">
        <f>IFERROR(MAX(0,MIN(100,M79/15000*100)),0)</f>
        <v/>
      </c>
      <c r="U79" s="73">
        <f>IFERROR(0.5*R79+0.35*S79+0.15*T79,0)</f>
        <v/>
      </c>
      <c r="V79" s="73">
        <f>IFERROR(0.35*AL79+0.3*AO79+0.25*AB79+0.1*AQ79,0)</f>
        <v/>
      </c>
      <c r="W79" s="73">
        <f>IFERROR(MAX(0,MIN(100,(25-P79)/(25-12)*100)),0)</f>
        <v/>
      </c>
      <c r="X79" s="73">
        <f>IFERROR(MAX(0,MIN(100,(AD79-1)/(3-1)*100))*IF(OR($A79="North Clackamas School District",$A79="Provo City School District"),0.6,1),0)</f>
        <v/>
      </c>
      <c r="Y79" s="73">
        <f>IFERROR(MAX(0,MIN(100,(1-((IFERROR(INDEX('School District Profiles'!$D$2:$D$86,MATCH($A79,'School District Profiles'!$A$2:$A$86,0)),0)/100)^2+(IFERROR(INDEX('School District Profiles'!$E$2:$E$86,MATCH($A79,'School District Profiles'!$A$2:$A$86,0)),0)/100)^2+(IFERROR(INDEX('School District Profiles'!$F$2:$F$86,MATCH($A79,'School District Profiles'!$A$2:$A$86,0)),0)/100)^2+(IFERROR(INDEX('School District Profiles'!$G$2:$G$86,MATCH($A79,'School District Profiles'!$A$2:$A$86,0)),0)/100)^2+(AC79/100)^2))/0.8*100)),0)</f>
        <v/>
      </c>
      <c r="Z79" s="73">
        <f>IFERROR(AF79*AG79,0)</f>
        <v/>
      </c>
      <c r="AA79" s="74">
        <f>IFERROR(INDEX('Median Home and Rent Prices'!$F$2:$F$86,MATCH($A79,'Median Home and Rent Prices'!$A$2:$A$86,0)),0)</f>
        <v/>
      </c>
      <c r="AB79" s="73">
        <f>IFERROR(MAX(0,MIN(100,(800-AA79)/(800-150)*100)),0)</f>
        <v/>
      </c>
      <c r="AC79" s="119">
        <f>IFERROR(INDEX('School District Profiles'!$J$2:$J$86,MATCH($A79,'School District Profiles'!$A$2:$A$86,0)),0)</f>
        <v/>
      </c>
      <c r="AD79" s="73">
        <f>IFERROR(Q79*20/O79,0)</f>
        <v/>
      </c>
      <c r="AE79" s="73">
        <f>IFERROR(IF(AG79&gt;=1,100,IF(AG79&gt;=0.95,75,IF(AG79&gt;=0.9,60,IF(AG79&gt;=0.85,40,IF(AG79&gt;=0.8,25,0))))),0)</f>
        <v/>
      </c>
      <c r="AF79" s="73">
        <f>IFERROR(0.35*V79+0.3*U79+0.1*W79+0.1*X79+0.1*Y79+0.05*AR79,0)</f>
        <v/>
      </c>
      <c r="AG79" s="73" t="n">
        <v>0.85</v>
      </c>
      <c r="AH79" s="70" t="inlineStr">
        <is>
          <t>15% employment-stability penalty due to active budget stress and classified layoff notices.</t>
        </is>
      </c>
      <c r="AI79" s="105">
        <f>IF('Score Inputs'!$B$3="Bachelor's",CHOOSE(MATCH('Score Inputs'!$B$4,{0,5,10},0),D79,E79,F79),CHOOSE(MATCH('Score Inputs'!$B$4,{0,5,10},0),G79,H79,I79))</f>
        <v/>
      </c>
      <c r="AJ79" s="105">
        <f>IFERROR(AI79/12,0)</f>
        <v/>
      </c>
      <c r="AK79" s="120">
        <f>IFERROR(O79/AJ79,0)</f>
        <v/>
      </c>
      <c r="AL79" s="109">
        <f>IFERROR(IF(AK79&lt;=25%,100,IF(AK79&lt;=30%,100-(AK79-25%)/5%*30,IF(AK79&lt;=35%,70-(AK79-30%)/5%*10,IF(AK79&lt;=40%,60-(AK79-35%)/5%*20,MAX(0,40-(AK79-40%)/10%*40))))),0)</f>
        <v/>
      </c>
      <c r="AM79" s="105">
        <f>IFERROR(PMT('Score Inputs'!$B$5/12,'Score Inputs'!$B$7*12,-N79*(1-'Score Inputs'!$B$6)),0)</f>
        <v/>
      </c>
      <c r="AN79" s="120">
        <f>IFERROR(AM79/AJ79,0)</f>
        <v/>
      </c>
      <c r="AO79" s="109">
        <f>IFERROR(IF(AN79&lt;=25%,100,IF(AN79&lt;=30%,100-(AN79-25%)/5%*30,IF(AN79&lt;=35%,70-(AN79-30%)/5%*10,IF(AN79&lt;=40%,60-(AN79-35%)/5%*20,MAX(0,40-(AN79-40%)/10%*40))))),0)</f>
        <v/>
      </c>
      <c r="AP79" s="105">
        <f>IFERROR(AJ79-O79,0)</f>
        <v/>
      </c>
      <c r="AQ79" s="109">
        <f>IFERROR(MAX(0,MIN(100,(AP79-'Score Inputs'!$B$8)/('Score Inputs'!$B$9-'Score Inputs'!$B$8)*100)),0)</f>
        <v/>
      </c>
      <c r="AR79" s="109">
        <f>IFERROR(INDEX('State Funding Lookup'!$B$2:$B$86,MATCH($A79,'State Funding Lookup'!$A$2:$A$86,0)),0)</f>
        <v/>
      </c>
      <c r="AS79" s="78">
        <f>AK79</f>
        <v/>
      </c>
      <c r="AT79" s="78">
        <f>AN79</f>
        <v/>
      </c>
    </row>
    <row r="80" ht="30" customHeight="1" s="104">
      <c r="A80" s="89" t="inlineStr">
        <is>
          <t>Oxnard Union High School District</t>
        </is>
      </c>
      <c r="B80" s="89">
        <f>IFERROR(INDEX('School District Profiles'!$B$2:$B$86,MATCH($A80,'School District Profiles'!$A$2:$A$86,0)),"")</f>
        <v/>
      </c>
      <c r="C80" s="89">
        <f>IFERROR(INDEX('School District Profiles'!$C$2:$C$86,MATCH($A80,'School District Profiles'!$A$2:$A$86,0)),"")</f>
        <v/>
      </c>
      <c r="D80" s="91">
        <f>IFERROR(SUMIFS('Teacher Salary Data'!$E$2:$E$1871,'Teacher Salary Data'!$A$2:$A$1871,$A80,'Teacher Salary Data'!$C$2:$C$1871,"Bachelor's",'Teacher Salary Data'!$D$2:$D$1871,0),0)</f>
        <v/>
      </c>
      <c r="E80" s="91">
        <f>IFERROR(SUMIFS('Teacher Salary Data'!$E$2:$E$1871,'Teacher Salary Data'!$A$2:$A$1871,$A80,'Teacher Salary Data'!$C$2:$C$1871,"Bachelor's",'Teacher Salary Data'!$D$2:$D$1871,5),0)</f>
        <v/>
      </c>
      <c r="F80" s="91">
        <f>IFERROR(SUMIFS('Teacher Salary Data'!$E$2:$E$1871,'Teacher Salary Data'!$A$2:$A$1871,$A80,'Teacher Salary Data'!$C$2:$C$1871,"Bachelor's",'Teacher Salary Data'!$D$2:$D$1871,10),0)</f>
        <v/>
      </c>
      <c r="G80" s="91">
        <f>IFERROR(SUMIFS('Teacher Salary Data'!$E$2:$E$1871,'Teacher Salary Data'!$A$2:$A$1871,$A80,'Teacher Salary Data'!$C$2:$C$1871,"Master's",'Teacher Salary Data'!$D$2:$D$1871,0),0)</f>
        <v/>
      </c>
      <c r="H80" s="91">
        <f>IFERROR(SUMIFS('Teacher Salary Data'!$E$2:$E$1871,'Teacher Salary Data'!$A$2:$A$1871,$A80,'Teacher Salary Data'!$C$2:$C$1871,"Master's",'Teacher Salary Data'!$D$2:$D$1871,5),0)</f>
        <v/>
      </c>
      <c r="I80" s="91">
        <f>IFERROR(SUMIFS('Teacher Salary Data'!$E$2:$E$1871,'Teacher Salary Data'!$A$2:$A$1871,$A80,'Teacher Salary Data'!$C$2:$C$1871,"Master's",'Teacher Salary Data'!$D$2:$D$1871,10),0)</f>
        <v/>
      </c>
      <c r="J80" s="91">
        <f>AVERAGE(D80,G80)</f>
        <v/>
      </c>
      <c r="K80" s="91">
        <f>AVERAGE(F80,I80)</f>
        <v/>
      </c>
      <c r="L80" s="121">
        <f>IFERROR((K80-J80)/J80,0)</f>
        <v/>
      </c>
      <c r="M80" s="91">
        <f>G80-D80</f>
        <v/>
      </c>
      <c r="N80" s="91">
        <f>IFERROR(INDEX('Median Home and Rent Prices'!$D$2:$D$86,MATCH($A80,'Median Home and Rent Prices'!$A$2:$A$86,0)),0)</f>
        <v/>
      </c>
      <c r="O80" s="91">
        <f>IFERROR(INDEX('Median Home and Rent Prices'!$E$2:$E$86,MATCH($A80,'Median Home and Rent Prices'!$A$2:$A$86,0)),0)</f>
        <v/>
      </c>
      <c r="P80" s="94">
        <f>IFERROR(INDEX('School District Profiles'!$H$2:$H$86,MATCH($A80,'School District Profiles'!$A$2:$A$86,0)),0)</f>
        <v/>
      </c>
      <c r="Q80" s="91">
        <f>IFERROR(INDEX('School District Profiles'!$I$2:$I$86,MATCH($A80,'School District Profiles'!$A$2:$A$86,0)),0)</f>
        <v/>
      </c>
      <c r="R80" s="94">
        <f>IFERROR(IF(($AI80-('Score Inputs'!$B$4*1500+IF('Score Inputs'!$B$3="Master's",4000,0)))&lt;53000,MAX(0,MIN(39.99,((($AI80-('Score Inputs'!$B$4*1500+IF('Score Inputs'!$B$3="Master's",4000,0))))-45000)/8000*39.99)),IF(($AI80-('Score Inputs'!$B$4*1500+IF('Score Inputs'!$B$3="Master's",4000,0)))&lt;58000,40+((($AI80-('Score Inputs'!$B$4*1500+IF('Score Inputs'!$B$3="Master's",4000,0))))-53000)/5000*20,IF(($AI80-('Score Inputs'!$B$4*1500+IF('Score Inputs'!$B$3="Master's",4000,0)))&lt;63000,60+((($AI80-('Score Inputs'!$B$4*1500+IF('Score Inputs'!$B$3="Master's",4000,0))))-58000)/5000*10,IF(($AI80-('Score Inputs'!$B$4*1500+IF('Score Inputs'!$B$3="Master's",4000,0)))&lt;70000,70+((($AI80-('Score Inputs'!$B$4*1500+IF('Score Inputs'!$B$3="Master's",4000,0))))-63000)/7000*10,IF(($AI80-('Score Inputs'!$B$4*1500+IF('Score Inputs'!$B$3="Master's",4000,0)))&lt;75000,80+((($AI80-('Score Inputs'!$B$4*1500+IF('Score Inputs'!$B$3="Master's",4000,0))))-70000)/5000*10,MIN(100,90+((($AI80-('Score Inputs'!$B$4*1500+IF('Score Inputs'!$B$3="Master's",4000,0))))-75000)/5000*10)))))),0)</f>
        <v/>
      </c>
      <c r="S80" s="94">
        <f>IFERROR(MAX(0,MIN(100,L80/0.48*100)),0)</f>
        <v/>
      </c>
      <c r="T80" s="94">
        <f>IFERROR(MAX(0,MIN(100,M80/15000*100)),0)</f>
        <v/>
      </c>
      <c r="U80" s="94">
        <f>IFERROR(0.5*R80+0.35*S80+0.15*T80,0)</f>
        <v/>
      </c>
      <c r="V80" s="94">
        <f>IFERROR(0.35*AL80+0.3*AO80+0.25*AB80+0.1*AQ80,0)</f>
        <v/>
      </c>
      <c r="W80" s="94">
        <f>IFERROR(MAX(0,MIN(100,(25-P80)/(25-12)*100)),0)</f>
        <v/>
      </c>
      <c r="X80" s="94">
        <f>IFERROR(MAX(0,MIN(100,(AD80-1)/(3-1)*100))*IF(OR($A80="North Clackamas School District",$A80="Provo City School District"),0.6,1),0)</f>
        <v/>
      </c>
      <c r="Y80" s="94">
        <f>IFERROR(MAX(0,MIN(100,(1-((IFERROR(INDEX('School District Profiles'!$D$2:$D$86,MATCH($A80,'School District Profiles'!$A$2:$A$86,0)),0)/100)^2+(IFERROR(INDEX('School District Profiles'!$E$2:$E$86,MATCH($A80,'School District Profiles'!$A$2:$A$86,0)),0)/100)^2+(IFERROR(INDEX('School District Profiles'!$F$2:$F$86,MATCH($A80,'School District Profiles'!$A$2:$A$86,0)),0)/100)^2+(IFERROR(INDEX('School District Profiles'!$G$2:$G$86,MATCH($A80,'School District Profiles'!$A$2:$A$86,0)),0)/100)^2+(AC80/100)^2))/0.8*100)),0)</f>
        <v/>
      </c>
      <c r="Z80" s="94">
        <f>IFERROR(AF80*AG80,0)</f>
        <v/>
      </c>
      <c r="AA80" s="96">
        <f>IFERROR(INDEX('Median Home and Rent Prices'!$F$2:$F$86,MATCH($A80,'Median Home and Rent Prices'!$A$2:$A$86,0)),0)</f>
        <v/>
      </c>
      <c r="AB80" s="94">
        <f>IFERROR(MAX(0,MIN(100,(800-AA80)/(800-150)*100)),0)</f>
        <v/>
      </c>
      <c r="AC80" s="121">
        <f>IFERROR(INDEX('School District Profiles'!$J$2:$J$86,MATCH($A80,'School District Profiles'!$A$2:$A$86,0)),0)</f>
        <v/>
      </c>
      <c r="AD80" s="94">
        <f>IFERROR(Q80*20/O80,0)</f>
        <v/>
      </c>
      <c r="AE80" s="73">
        <f>IFERROR(IF(AG80&gt;=1,100,IF(AG80&gt;=0.95,75,IF(AG80&gt;=0.9,60,IF(AG80&gt;=0.85,40,IF(AG80&gt;=0.8,25,0))))),0)</f>
        <v/>
      </c>
      <c r="AF80" s="73">
        <f>IFERROR(0.35*V80+0.3*U80+0.1*W80+0.1*X80+0.1*Y80+0.05*AR80,0)</f>
        <v/>
      </c>
      <c r="AG80" s="73" t="n">
        <v>0.85</v>
      </c>
      <c r="AH80" s="70" t="inlineStr">
        <is>
          <t>15% employment-stability penalty due to formal budget-stabilization planning and reported job-cut risk.</t>
        </is>
      </c>
      <c r="AI80" s="105">
        <f>IF('Score Inputs'!$B$3="Bachelor's",CHOOSE(MATCH('Score Inputs'!$B$4,{0,5,10},0),D80,E80,F80),CHOOSE(MATCH('Score Inputs'!$B$4,{0,5,10},0),G80,H80,I80))</f>
        <v/>
      </c>
      <c r="AJ80" s="105">
        <f>IFERROR(AI80/12,0)</f>
        <v/>
      </c>
      <c r="AK80" s="120">
        <f>IFERROR(O80/AJ80,0)</f>
        <v/>
      </c>
      <c r="AL80" s="109">
        <f>IFERROR(IF(AK80&lt;=25%,100,IF(AK80&lt;=30%,100-(AK80-25%)/5%*30,IF(AK80&lt;=35%,70-(AK80-30%)/5%*10,IF(AK80&lt;=40%,60-(AK80-35%)/5%*20,MAX(0,40-(AK80-40%)/10%*40))))),0)</f>
        <v/>
      </c>
      <c r="AM80" s="105">
        <f>IFERROR(PMT('Score Inputs'!$B$5/12,'Score Inputs'!$B$7*12,-N80*(1-'Score Inputs'!$B$6)),0)</f>
        <v/>
      </c>
      <c r="AN80" s="120">
        <f>IFERROR(AM80/AJ80,0)</f>
        <v/>
      </c>
      <c r="AO80" s="109">
        <f>IFERROR(IF(AN80&lt;=25%,100,IF(AN80&lt;=30%,100-(AN80-25%)/5%*30,IF(AN80&lt;=35%,70-(AN80-30%)/5%*10,IF(AN80&lt;=40%,60-(AN80-35%)/5%*20,MAX(0,40-(AN80-40%)/10%*40))))),0)</f>
        <v/>
      </c>
      <c r="AP80" s="105">
        <f>IFERROR(AJ80-O80,0)</f>
        <v/>
      </c>
      <c r="AQ80" s="109">
        <f>IFERROR(MAX(0,MIN(100,(AP80-'Score Inputs'!$B$8)/('Score Inputs'!$B$9-'Score Inputs'!$B$8)*100)),0)</f>
        <v/>
      </c>
      <c r="AR80" s="109">
        <f>IFERROR(INDEX('State Funding Lookup'!$B$2:$B$86,MATCH($A80,'State Funding Lookup'!$A$2:$A$86,0)),0)</f>
        <v/>
      </c>
      <c r="AS80" s="78">
        <f>AK80</f>
        <v/>
      </c>
      <c r="AT80" s="78">
        <f>AN80</f>
        <v/>
      </c>
    </row>
    <row r="81" ht="30" customHeight="1" s="104">
      <c r="A81" s="89" t="inlineStr">
        <is>
          <t>Arcadia Unified School District</t>
        </is>
      </c>
      <c r="B81" s="89">
        <f>IFERROR(INDEX('School District Profiles'!$B$2:$B$86,MATCH($A81,'School District Profiles'!$A$2:$A$86,0)),"")</f>
        <v/>
      </c>
      <c r="C81" s="89">
        <f>IFERROR(INDEX('School District Profiles'!$C$2:$C$86,MATCH($A81,'School District Profiles'!$A$2:$A$86,0)),"")</f>
        <v/>
      </c>
      <c r="D81" s="91">
        <f>IFERROR(SUMIFS('Teacher Salary Data'!$E$2:$E$1871,'Teacher Salary Data'!$A$2:$A$1871,$A81,'Teacher Salary Data'!$C$2:$C$1871,"Bachelor's",'Teacher Salary Data'!$D$2:$D$1871,0),0)</f>
        <v/>
      </c>
      <c r="E81" s="91">
        <f>IFERROR(SUMIFS('Teacher Salary Data'!$E$2:$E$1871,'Teacher Salary Data'!$A$2:$A$1871,$A81,'Teacher Salary Data'!$C$2:$C$1871,"Bachelor's",'Teacher Salary Data'!$D$2:$D$1871,5),0)</f>
        <v/>
      </c>
      <c r="F81" s="91">
        <f>IFERROR(SUMIFS('Teacher Salary Data'!$E$2:$E$1871,'Teacher Salary Data'!$A$2:$A$1871,$A81,'Teacher Salary Data'!$C$2:$C$1871,"Bachelor's",'Teacher Salary Data'!$D$2:$D$1871,10),0)</f>
        <v/>
      </c>
      <c r="G81" s="91">
        <f>IFERROR(SUMIFS('Teacher Salary Data'!$E$2:$E$1871,'Teacher Salary Data'!$A$2:$A$1871,$A81,'Teacher Salary Data'!$C$2:$C$1871,"Master's",'Teacher Salary Data'!$D$2:$D$1871,0),0)</f>
        <v/>
      </c>
      <c r="H81" s="91">
        <f>IFERROR(SUMIFS('Teacher Salary Data'!$E$2:$E$1871,'Teacher Salary Data'!$A$2:$A$1871,$A81,'Teacher Salary Data'!$C$2:$C$1871,"Master's",'Teacher Salary Data'!$D$2:$D$1871,5),0)</f>
        <v/>
      </c>
      <c r="I81" s="91">
        <f>IFERROR(SUMIFS('Teacher Salary Data'!$E$2:$E$1871,'Teacher Salary Data'!$A$2:$A$1871,$A81,'Teacher Salary Data'!$C$2:$C$1871,"Master's",'Teacher Salary Data'!$D$2:$D$1871,10),0)</f>
        <v/>
      </c>
      <c r="J81" s="91">
        <f>AVERAGE(D81,G81)</f>
        <v/>
      </c>
      <c r="K81" s="91">
        <f>AVERAGE(F81,I81)</f>
        <v/>
      </c>
      <c r="L81" s="121">
        <f>IFERROR((K81-J81)/J81,0)</f>
        <v/>
      </c>
      <c r="M81" s="91">
        <f>G81-D81</f>
        <v/>
      </c>
      <c r="N81" s="91">
        <f>IFERROR(INDEX('Median Home and Rent Prices'!$D$2:$D$86,MATCH($A81,'Median Home and Rent Prices'!$A$2:$A$86,0)),0)</f>
        <v/>
      </c>
      <c r="O81" s="91">
        <f>IFERROR(INDEX('Median Home and Rent Prices'!$E$2:$E$86,MATCH($A81,'Median Home and Rent Prices'!$A$2:$A$86,0)),0)</f>
        <v/>
      </c>
      <c r="P81" s="94">
        <f>IFERROR(INDEX('School District Profiles'!$H$2:$H$86,MATCH($A81,'School District Profiles'!$A$2:$A$86,0)),0)</f>
        <v/>
      </c>
      <c r="Q81" s="91">
        <f>IFERROR(INDEX('School District Profiles'!$I$2:$I$86,MATCH($A81,'School District Profiles'!$A$2:$A$86,0)),0)</f>
        <v/>
      </c>
      <c r="R81" s="94">
        <f>IFERROR(IF(($AI81-('Score Inputs'!$B$4*1500+IF('Score Inputs'!$B$3="Master's",4000,0)))&lt;53000,MAX(0,MIN(39.99,((($AI81-('Score Inputs'!$B$4*1500+IF('Score Inputs'!$B$3="Master's",4000,0))))-45000)/8000*39.99)),IF(($AI81-('Score Inputs'!$B$4*1500+IF('Score Inputs'!$B$3="Master's",4000,0)))&lt;58000,40+((($AI81-('Score Inputs'!$B$4*1500+IF('Score Inputs'!$B$3="Master's",4000,0))))-53000)/5000*20,IF(($AI81-('Score Inputs'!$B$4*1500+IF('Score Inputs'!$B$3="Master's",4000,0)))&lt;63000,60+((($AI81-('Score Inputs'!$B$4*1500+IF('Score Inputs'!$B$3="Master's",4000,0))))-58000)/5000*10,IF(($AI81-('Score Inputs'!$B$4*1500+IF('Score Inputs'!$B$3="Master's",4000,0)))&lt;70000,70+((($AI81-('Score Inputs'!$B$4*1500+IF('Score Inputs'!$B$3="Master's",4000,0))))-63000)/7000*10,IF(($AI81-('Score Inputs'!$B$4*1500+IF('Score Inputs'!$B$3="Master's",4000,0)))&lt;75000,80+((($AI81-('Score Inputs'!$B$4*1500+IF('Score Inputs'!$B$3="Master's",4000,0))))-70000)/5000*10,MIN(100,90+((($AI81-('Score Inputs'!$B$4*1500+IF('Score Inputs'!$B$3="Master's",4000,0))))-75000)/5000*10)))))),0)</f>
        <v/>
      </c>
      <c r="S81" s="94">
        <f>IFERROR(MAX(0,MIN(100,L81/0.48*100)),0)</f>
        <v/>
      </c>
      <c r="T81" s="94">
        <f>IFERROR(MAX(0,MIN(100,M81/15000*100)),0)</f>
        <v/>
      </c>
      <c r="U81" s="94">
        <f>IFERROR(0.5*R81+0.35*S81+0.15*T81,0)</f>
        <v/>
      </c>
      <c r="V81" s="94">
        <f>IFERROR(0.35*AL81+0.3*AO81+0.25*AB81+0.1*AQ81,0)</f>
        <v/>
      </c>
      <c r="W81" s="94">
        <f>IFERROR(MAX(0,MIN(100,(25-P81)/(25-12)*100)),0)</f>
        <v/>
      </c>
      <c r="X81" s="94">
        <f>IFERROR(MAX(0,MIN(100,(AD81-1)/(3-1)*100))*IF(OR($A81="North Clackamas School District",$A81="Provo City School District"),0.6,1),0)</f>
        <v/>
      </c>
      <c r="Y81" s="94">
        <f>IFERROR(MAX(0,MIN(100,(1-((IFERROR(INDEX('School District Profiles'!$D$2:$D$86,MATCH($A81,'School District Profiles'!$A$2:$A$86,0)),0)/100)^2+(IFERROR(INDEX('School District Profiles'!$E$2:$E$86,MATCH($A81,'School District Profiles'!$A$2:$A$86,0)),0)/100)^2+(IFERROR(INDEX('School District Profiles'!$F$2:$F$86,MATCH($A81,'School District Profiles'!$A$2:$A$86,0)),0)/100)^2+(IFERROR(INDEX('School District Profiles'!$G$2:$G$86,MATCH($A81,'School District Profiles'!$A$2:$A$86,0)),0)/100)^2+(AC81/100)^2))/0.8*100)),0)</f>
        <v/>
      </c>
      <c r="Z81" s="94">
        <f>IFERROR(AF81*AG81,0)</f>
        <v/>
      </c>
      <c r="AA81" s="96">
        <f>IFERROR(INDEX('Median Home and Rent Prices'!$F$2:$F$86,MATCH($A81,'Median Home and Rent Prices'!$A$2:$A$86,0)),0)</f>
        <v/>
      </c>
      <c r="AB81" s="94">
        <f>IFERROR(MAX(0,MIN(100,(800-AA81)/(800-150)*100)),0)</f>
        <v/>
      </c>
      <c r="AC81" s="121">
        <f>IFERROR(INDEX('School District Profiles'!$J$2:$J$86,MATCH($A81,'School District Profiles'!$A$2:$A$86,0)),0)</f>
        <v/>
      </c>
      <c r="AD81" s="94">
        <f>IFERROR(Q81*20/O81,0)</f>
        <v/>
      </c>
      <c r="AE81" s="73">
        <f>IFERROR(IF(AG81&gt;=1,100,IF(AG81&gt;=0.95,75,IF(AG81&gt;=0.9,60,IF(AG81&gt;=0.85,40,IF(AG81&gt;=0.8,25,0))))),0)</f>
        <v/>
      </c>
      <c r="AF81" s="73">
        <f>IFERROR(0.35*V81+0.3*U81+0.1*W81+0.1*X81+0.1*Y81+0.05*AR81,0)</f>
        <v/>
      </c>
      <c r="AG81" s="73" t="n">
        <v>0.85</v>
      </c>
      <c r="AH81" s="70" t="inlineStr">
        <is>
          <t>15% employment-stability penalty because district budget updates indicated teacher-layoff risk unless local funding support fills the gap.</t>
        </is>
      </c>
      <c r="AI81" s="105">
        <f>IF('Score Inputs'!$B$3="Bachelor's",CHOOSE(MATCH('Score Inputs'!$B$4,{0,5,10},0),D81,E81,F81),CHOOSE(MATCH('Score Inputs'!$B$4,{0,5,10},0),G81,H81,I81))</f>
        <v/>
      </c>
      <c r="AJ81" s="105">
        <f>IFERROR(AI81/12,0)</f>
        <v/>
      </c>
      <c r="AK81" s="120">
        <f>IFERROR(O81/AJ81,0)</f>
        <v/>
      </c>
      <c r="AL81" s="109">
        <f>IFERROR(IF(AK81&lt;=25%,100,IF(AK81&lt;=30%,100-(AK81-25%)/5%*30,IF(AK81&lt;=35%,70-(AK81-30%)/5%*10,IF(AK81&lt;=40%,60-(AK81-35%)/5%*20,MAX(0,40-(AK81-40%)/10%*40))))),0)</f>
        <v/>
      </c>
      <c r="AM81" s="105">
        <f>IFERROR(PMT('Score Inputs'!$B$5/12,'Score Inputs'!$B$7*12,-N81*(1-'Score Inputs'!$B$6)),0)</f>
        <v/>
      </c>
      <c r="AN81" s="120">
        <f>IFERROR(AM81/AJ81,0)</f>
        <v/>
      </c>
      <c r="AO81" s="109">
        <f>IFERROR(IF(AN81&lt;=25%,100,IF(AN81&lt;=30%,100-(AN81-25%)/5%*30,IF(AN81&lt;=35%,70-(AN81-30%)/5%*10,IF(AN81&lt;=40%,60-(AN81-35%)/5%*20,MAX(0,40-(AN81-40%)/10%*40))))),0)</f>
        <v/>
      </c>
      <c r="AP81" s="105">
        <f>IFERROR(AJ81-O81,0)</f>
        <v/>
      </c>
      <c r="AQ81" s="109">
        <f>IFERROR(MAX(0,MIN(100,(AP81-'Score Inputs'!$B$8)/('Score Inputs'!$B$9-'Score Inputs'!$B$8)*100)),0)</f>
        <v/>
      </c>
      <c r="AR81" s="109">
        <f>IFERROR(INDEX('State Funding Lookup'!$B$2:$B$86,MATCH($A81,'State Funding Lookup'!$A$2:$A$86,0)),0)</f>
        <v/>
      </c>
      <c r="AS81" s="78">
        <f>AK81</f>
        <v/>
      </c>
      <c r="AT81" s="78">
        <f>AN81</f>
        <v/>
      </c>
    </row>
    <row r="82" ht="30" customHeight="1" s="104">
      <c r="A82" s="89" t="inlineStr">
        <is>
          <t>Los Angeles Unified</t>
        </is>
      </c>
      <c r="B82" s="89">
        <f>IFERROR(INDEX('School District Profiles'!$B$2:$B$86,MATCH($A82,'School District Profiles'!$A$2:$A$86,0)),"")</f>
        <v/>
      </c>
      <c r="C82" s="89">
        <f>IFERROR(INDEX('School District Profiles'!$C$2:$C$86,MATCH($A82,'School District Profiles'!$A$2:$A$86,0)),"")</f>
        <v/>
      </c>
      <c r="D82" s="91">
        <f>IFERROR(SUMIFS('Teacher Salary Data'!$E$2:$E$1871,'Teacher Salary Data'!$A$2:$A$1871,$A82,'Teacher Salary Data'!$C$2:$C$1871,"Bachelor's",'Teacher Salary Data'!$D$2:$D$1871,0),0)</f>
        <v/>
      </c>
      <c r="E82" s="91">
        <f>IFERROR(SUMIFS('Teacher Salary Data'!$E$2:$E$1871,'Teacher Salary Data'!$A$2:$A$1871,$A82,'Teacher Salary Data'!$C$2:$C$1871,"Bachelor's",'Teacher Salary Data'!$D$2:$D$1871,5),0)</f>
        <v/>
      </c>
      <c r="F82" s="91">
        <f>IFERROR(SUMIFS('Teacher Salary Data'!$E$2:$E$1871,'Teacher Salary Data'!$A$2:$A$1871,$A82,'Teacher Salary Data'!$C$2:$C$1871,"Bachelor's",'Teacher Salary Data'!$D$2:$D$1871,10),0)</f>
        <v/>
      </c>
      <c r="G82" s="91">
        <f>IFERROR(SUMIFS('Teacher Salary Data'!$E$2:$E$1871,'Teacher Salary Data'!$A$2:$A$1871,$A82,'Teacher Salary Data'!$C$2:$C$1871,"Master's",'Teacher Salary Data'!$D$2:$D$1871,0),0)</f>
        <v/>
      </c>
      <c r="H82" s="91">
        <f>IFERROR(SUMIFS('Teacher Salary Data'!$E$2:$E$1871,'Teacher Salary Data'!$A$2:$A$1871,$A82,'Teacher Salary Data'!$C$2:$C$1871,"Master's",'Teacher Salary Data'!$D$2:$D$1871,5),0)</f>
        <v/>
      </c>
      <c r="I82" s="91">
        <f>IFERROR(SUMIFS('Teacher Salary Data'!$E$2:$E$1871,'Teacher Salary Data'!$A$2:$A$1871,$A82,'Teacher Salary Data'!$C$2:$C$1871,"Master's",'Teacher Salary Data'!$D$2:$D$1871,10),0)</f>
        <v/>
      </c>
      <c r="J82" s="91">
        <f>AVERAGE(D82,G82)</f>
        <v/>
      </c>
      <c r="K82" s="91">
        <f>AVERAGE(F82,I82)</f>
        <v/>
      </c>
      <c r="L82" s="121">
        <f>IFERROR((K82-J82)/J82,0)</f>
        <v/>
      </c>
      <c r="M82" s="91">
        <f>G82-D82</f>
        <v/>
      </c>
      <c r="N82" s="91">
        <f>IFERROR(INDEX('Median Home and Rent Prices'!$D$2:$D$86,MATCH($A82,'Median Home and Rent Prices'!$A$2:$A$86,0)),0)</f>
        <v/>
      </c>
      <c r="O82" s="91">
        <f>IFERROR(INDEX('Median Home and Rent Prices'!$E$2:$E$86,MATCH($A82,'Median Home and Rent Prices'!$A$2:$A$86,0)),0)</f>
        <v/>
      </c>
      <c r="P82" s="94">
        <f>IFERROR(INDEX('School District Profiles'!$H$2:$H$86,MATCH($A82,'School District Profiles'!$A$2:$A$86,0)),0)</f>
        <v/>
      </c>
      <c r="Q82" s="91">
        <f>IFERROR(INDEX('School District Profiles'!$I$2:$I$86,MATCH($A82,'School District Profiles'!$A$2:$A$86,0)),0)</f>
        <v/>
      </c>
      <c r="R82" s="94">
        <f>IFERROR(IF(($AI82-('Score Inputs'!$B$4*1500+IF('Score Inputs'!$B$3="Master's",4000,0)))&lt;53000,MAX(0,MIN(39.99,((($AI82-('Score Inputs'!$B$4*1500+IF('Score Inputs'!$B$3="Master's",4000,0))))-45000)/8000*39.99)),IF(($AI82-('Score Inputs'!$B$4*1500+IF('Score Inputs'!$B$3="Master's",4000,0)))&lt;58000,40+((($AI82-('Score Inputs'!$B$4*1500+IF('Score Inputs'!$B$3="Master's",4000,0))))-53000)/5000*20,IF(($AI82-('Score Inputs'!$B$4*1500+IF('Score Inputs'!$B$3="Master's",4000,0)))&lt;63000,60+((($AI82-('Score Inputs'!$B$4*1500+IF('Score Inputs'!$B$3="Master's",4000,0))))-58000)/5000*10,IF(($AI82-('Score Inputs'!$B$4*1500+IF('Score Inputs'!$B$3="Master's",4000,0)))&lt;70000,70+((($AI82-('Score Inputs'!$B$4*1500+IF('Score Inputs'!$B$3="Master's",4000,0))))-63000)/7000*10,IF(($AI82-('Score Inputs'!$B$4*1500+IF('Score Inputs'!$B$3="Master's",4000,0)))&lt;75000,80+((($AI82-('Score Inputs'!$B$4*1500+IF('Score Inputs'!$B$3="Master's",4000,0))))-70000)/5000*10,MIN(100,90+((($AI82-('Score Inputs'!$B$4*1500+IF('Score Inputs'!$B$3="Master's",4000,0))))-75000)/5000*10)))))),0)</f>
        <v/>
      </c>
      <c r="S82" s="94">
        <f>IFERROR(MAX(0,MIN(100,L82/0.48*100)),0)</f>
        <v/>
      </c>
      <c r="T82" s="94">
        <f>IFERROR(MAX(0,MIN(100,M82/15000*100)),0)</f>
        <v/>
      </c>
      <c r="U82" s="94">
        <f>IFERROR(0.5*R82+0.35*S82+0.15*T82,0)</f>
        <v/>
      </c>
      <c r="V82" s="94">
        <f>IFERROR(0.35*AL82+0.3*AO82+0.25*AB82+0.1*AQ82,0)</f>
        <v/>
      </c>
      <c r="W82" s="94">
        <f>IFERROR(MAX(0,MIN(100,(25-P82)/(25-12)*100)),0)</f>
        <v/>
      </c>
      <c r="X82" s="94">
        <f>IFERROR(MAX(0,MIN(100,(AD82-1)/(3-1)*100))*IF(OR($A82="North Clackamas School District",$A82="Provo City School District"),0.6,1),0)</f>
        <v/>
      </c>
      <c r="Y82" s="94">
        <f>IFERROR(MAX(0,MIN(100,(1-((IFERROR(INDEX('School District Profiles'!$D$2:$D$86,MATCH($A82,'School District Profiles'!$A$2:$A$86,0)),0)/100)^2+(IFERROR(INDEX('School District Profiles'!$E$2:$E$86,MATCH($A82,'School District Profiles'!$A$2:$A$86,0)),0)/100)^2+(IFERROR(INDEX('School District Profiles'!$F$2:$F$86,MATCH($A82,'School District Profiles'!$A$2:$A$86,0)),0)/100)^2+(IFERROR(INDEX('School District Profiles'!$G$2:$G$86,MATCH($A82,'School District Profiles'!$A$2:$A$86,0)),0)/100)^2+(AC82/100)^2))/0.8*100)),0)</f>
        <v/>
      </c>
      <c r="Z82" s="94">
        <f>IFERROR(AF82*AG82,0)</f>
        <v/>
      </c>
      <c r="AA82" s="96">
        <f>IFERROR(INDEX('Median Home and Rent Prices'!$F$2:$F$86,MATCH($A82,'Median Home and Rent Prices'!$A$2:$A$86,0)),0)</f>
        <v/>
      </c>
      <c r="AB82" s="94">
        <f>IFERROR(MAX(0,MIN(100,(800-AA82)/(800-150)*100)),0)</f>
        <v/>
      </c>
      <c r="AC82" s="121">
        <f>IFERROR(INDEX('School District Profiles'!$J$2:$J$86,MATCH($A82,'School District Profiles'!$A$2:$A$86,0)),0)</f>
        <v/>
      </c>
      <c r="AD82" s="94">
        <f>IFERROR(Q82*20/O82,0)</f>
        <v/>
      </c>
      <c r="AE82" s="73">
        <f>IFERROR(IF(AG82&gt;=1,100,IF(AG82&gt;=0.95,75,IF(AG82&gt;=0.9,60,IF(AG82&gt;=0.85,40,IF(AG82&gt;=0.8,25,0))))),0)</f>
        <v/>
      </c>
      <c r="AF82" s="73">
        <f>IFERROR(0.35*V82+0.3*U82+0.1*W82+0.1*X82+0.1*Y82+0.05*AR82,0)</f>
        <v/>
      </c>
      <c r="AG82" s="73" t="n">
        <v>0.8</v>
      </c>
      <c r="AH82" s="70" t="inlineStr">
        <is>
          <t>20% employment-stability penalty due to large-scale job-loss reports, approved layoffs, fiscal-stability planning, and possible multi-year reductions/closures/furloughs.</t>
        </is>
      </c>
      <c r="AI82" s="105">
        <f>IF('Score Inputs'!$B$3="Bachelor's",CHOOSE(MATCH('Score Inputs'!$B$4,{0,5,10},0),D82,E82,F82),CHOOSE(MATCH('Score Inputs'!$B$4,{0,5,10},0),G82,H82,I82))</f>
        <v/>
      </c>
      <c r="AJ82" s="105">
        <f>IFERROR(AI82/12,0)</f>
        <v/>
      </c>
      <c r="AK82" s="120">
        <f>IFERROR(O82/AJ82,0)</f>
        <v/>
      </c>
      <c r="AL82" s="109">
        <f>IFERROR(IF(AK82&lt;=25%,100,IF(AK82&lt;=30%,100-(AK82-25%)/5%*30,IF(AK82&lt;=35%,70-(AK82-30%)/5%*10,IF(AK82&lt;=40%,60-(AK82-35%)/5%*20,MAX(0,40-(AK82-40%)/10%*40))))),0)</f>
        <v/>
      </c>
      <c r="AM82" s="105">
        <f>IFERROR(PMT('Score Inputs'!$B$5/12,'Score Inputs'!$B$7*12,-N82*(1-'Score Inputs'!$B$6)),0)</f>
        <v/>
      </c>
      <c r="AN82" s="120">
        <f>IFERROR(AM82/AJ82,0)</f>
        <v/>
      </c>
      <c r="AO82" s="109">
        <f>IFERROR(IF(AN82&lt;=25%,100,IF(AN82&lt;=30%,100-(AN82-25%)/5%*30,IF(AN82&lt;=35%,70-(AN82-30%)/5%*10,IF(AN82&lt;=40%,60-(AN82-35%)/5%*20,MAX(0,40-(AN82-40%)/10%*40))))),0)</f>
        <v/>
      </c>
      <c r="AP82" s="105">
        <f>IFERROR(AJ82-O82,0)</f>
        <v/>
      </c>
      <c r="AQ82" s="109">
        <f>IFERROR(MAX(0,MIN(100,(AP82-'Score Inputs'!$B$8)/('Score Inputs'!$B$9-'Score Inputs'!$B$8)*100)),0)</f>
        <v/>
      </c>
      <c r="AR82" s="109">
        <f>IFERROR(INDEX('State Funding Lookup'!$B$2:$B$86,MATCH($A82,'State Funding Lookup'!$A$2:$A$86,0)),0)</f>
        <v/>
      </c>
      <c r="AS82" s="78">
        <f>AK82</f>
        <v/>
      </c>
      <c r="AT82" s="78">
        <f>AN82</f>
        <v/>
      </c>
    </row>
    <row r="83" ht="30" customHeight="1" s="104">
      <c r="A83" s="89" t="inlineStr">
        <is>
          <t>Eanes ISD</t>
        </is>
      </c>
      <c r="B83" s="89">
        <f>IFERROR(INDEX('School District Profiles'!$B$2:$B$86,MATCH($A83,'School District Profiles'!$A$2:$A$86,0)),"")</f>
        <v/>
      </c>
      <c r="C83" s="89">
        <f>IFERROR(INDEX('School District Profiles'!$C$2:$C$86,MATCH($A83,'School District Profiles'!$A$2:$A$86,0)),"")</f>
        <v/>
      </c>
      <c r="D83" s="91">
        <f>IFERROR(SUMIFS('Teacher Salary Data'!$E$2:$E$1871,'Teacher Salary Data'!$A$2:$A$1871,$A83,'Teacher Salary Data'!$C$2:$C$1871,"Bachelor's",'Teacher Salary Data'!$D$2:$D$1871,0),0)</f>
        <v/>
      </c>
      <c r="E83" s="91">
        <f>IFERROR(SUMIFS('Teacher Salary Data'!$E$2:$E$1871,'Teacher Salary Data'!$A$2:$A$1871,$A83,'Teacher Salary Data'!$C$2:$C$1871,"Bachelor's",'Teacher Salary Data'!$D$2:$D$1871,5),0)</f>
        <v/>
      </c>
      <c r="F83" s="91">
        <f>IFERROR(SUMIFS('Teacher Salary Data'!$E$2:$E$1871,'Teacher Salary Data'!$A$2:$A$1871,$A83,'Teacher Salary Data'!$C$2:$C$1871,"Bachelor's",'Teacher Salary Data'!$D$2:$D$1871,10),0)</f>
        <v/>
      </c>
      <c r="G83" s="91">
        <f>IFERROR(SUMIFS('Teacher Salary Data'!$E$2:$E$1871,'Teacher Salary Data'!$A$2:$A$1871,$A83,'Teacher Salary Data'!$C$2:$C$1871,"Master's",'Teacher Salary Data'!$D$2:$D$1871,0),0)</f>
        <v/>
      </c>
      <c r="H83" s="91">
        <f>IFERROR(SUMIFS('Teacher Salary Data'!$E$2:$E$1871,'Teacher Salary Data'!$A$2:$A$1871,$A83,'Teacher Salary Data'!$C$2:$C$1871,"Master's",'Teacher Salary Data'!$D$2:$D$1871,5),0)</f>
        <v/>
      </c>
      <c r="I83" s="91">
        <f>IFERROR(SUMIFS('Teacher Salary Data'!$E$2:$E$1871,'Teacher Salary Data'!$A$2:$A$1871,$A83,'Teacher Salary Data'!$C$2:$C$1871,"Master's",'Teacher Salary Data'!$D$2:$D$1871,10),0)</f>
        <v/>
      </c>
      <c r="J83" s="91">
        <f>AVERAGE(D83,G83)</f>
        <v/>
      </c>
      <c r="K83" s="91">
        <f>AVERAGE(F83,I83)</f>
        <v/>
      </c>
      <c r="L83" s="121">
        <f>IFERROR((K83-J83)/J83,0)</f>
        <v/>
      </c>
      <c r="M83" s="91">
        <f>G83-D83</f>
        <v/>
      </c>
      <c r="N83" s="91">
        <f>IFERROR(INDEX('Median Home and Rent Prices'!$D$2:$D$86,MATCH($A83,'Median Home and Rent Prices'!$A$2:$A$86,0)),0)</f>
        <v/>
      </c>
      <c r="O83" s="91">
        <f>IFERROR(INDEX('Median Home and Rent Prices'!$E$2:$E$86,MATCH($A83,'Median Home and Rent Prices'!$A$2:$A$86,0)),0)</f>
        <v/>
      </c>
      <c r="P83" s="94">
        <f>IFERROR(INDEX('School District Profiles'!$H$2:$H$86,MATCH($A83,'School District Profiles'!$A$2:$A$86,0)),0)</f>
        <v/>
      </c>
      <c r="Q83" s="91">
        <f>IFERROR(INDEX('School District Profiles'!$I$2:$I$86,MATCH($A83,'School District Profiles'!$A$2:$A$86,0)),0)</f>
        <v/>
      </c>
      <c r="R83" s="94">
        <f>IFERROR(IF(($AI83-('Score Inputs'!$B$4*1500+IF('Score Inputs'!$B$3="Master's",4000,0)))&lt;53000,MAX(0,MIN(39.99,((($AI83-('Score Inputs'!$B$4*1500+IF('Score Inputs'!$B$3="Master's",4000,0))))-45000)/8000*39.99)),IF(($AI83-('Score Inputs'!$B$4*1500+IF('Score Inputs'!$B$3="Master's",4000,0)))&lt;58000,40+((($AI83-('Score Inputs'!$B$4*1500+IF('Score Inputs'!$B$3="Master's",4000,0))))-53000)/5000*20,IF(($AI83-('Score Inputs'!$B$4*1500+IF('Score Inputs'!$B$3="Master's",4000,0)))&lt;63000,60+((($AI83-('Score Inputs'!$B$4*1500+IF('Score Inputs'!$B$3="Master's",4000,0))))-58000)/5000*10,IF(($AI83-('Score Inputs'!$B$4*1500+IF('Score Inputs'!$B$3="Master's",4000,0)))&lt;70000,70+((($AI83-('Score Inputs'!$B$4*1500+IF('Score Inputs'!$B$3="Master's",4000,0))))-63000)/7000*10,IF(($AI83-('Score Inputs'!$B$4*1500+IF('Score Inputs'!$B$3="Master's",4000,0)))&lt;75000,80+((($AI83-('Score Inputs'!$B$4*1500+IF('Score Inputs'!$B$3="Master's",4000,0))))-70000)/5000*10,MIN(100,90+((($AI83-('Score Inputs'!$B$4*1500+IF('Score Inputs'!$B$3="Master's",4000,0))))-75000)/5000*10)))))),0)</f>
        <v/>
      </c>
      <c r="S83" s="94">
        <f>IFERROR(MAX(0,MIN(100,L83/0.48*100)),0)</f>
        <v/>
      </c>
      <c r="T83" s="94">
        <f>IFERROR(MAX(0,MIN(100,M83/15000*100)),0)</f>
        <v/>
      </c>
      <c r="U83" s="94">
        <f>IFERROR(0.5*R83+0.35*S83+0.15*T83,0)</f>
        <v/>
      </c>
      <c r="V83" s="94">
        <f>IFERROR(0.35*AL83+0.3*AO83+0.25*AB83+0.1*AQ83,0)</f>
        <v/>
      </c>
      <c r="W83" s="94">
        <f>IFERROR(MAX(0,MIN(100,(25-P83)/(25-12)*100)),0)</f>
        <v/>
      </c>
      <c r="X83" s="94">
        <f>IFERROR(MAX(0,MIN(100,(AD83-1)/(3-1)*100))*IF(OR($A83="North Clackamas School District",$A83="Provo City School District"),0.6,1),0)</f>
        <v/>
      </c>
      <c r="Y83" s="94">
        <f>IFERROR(MAX(0,MIN(100,(1-((IFERROR(INDEX('School District Profiles'!$D$2:$D$86,MATCH($A83,'School District Profiles'!$A$2:$A$86,0)),0)/100)^2+(IFERROR(INDEX('School District Profiles'!$E$2:$E$86,MATCH($A83,'School District Profiles'!$A$2:$A$86,0)),0)/100)^2+(IFERROR(INDEX('School District Profiles'!$F$2:$F$86,MATCH($A83,'School District Profiles'!$A$2:$A$86,0)),0)/100)^2+(IFERROR(INDEX('School District Profiles'!$G$2:$G$86,MATCH($A83,'School District Profiles'!$A$2:$A$86,0)),0)/100)^2+(AC83/100)^2))/0.8*100)),0)</f>
        <v/>
      </c>
      <c r="Z83" s="94">
        <f>IFERROR(AF83*AG83,0)</f>
        <v/>
      </c>
      <c r="AA83" s="96">
        <f>IFERROR(INDEX('Median Home and Rent Prices'!$F$2:$F$86,MATCH($A83,'Median Home and Rent Prices'!$A$2:$A$86,0)),0)</f>
        <v/>
      </c>
      <c r="AB83" s="94">
        <f>IFERROR(MAX(0,MIN(100,(800-AA83)/(800-150)*100)),0)</f>
        <v/>
      </c>
      <c r="AC83" s="121">
        <f>IFERROR(INDEX('School District Profiles'!$J$2:$J$86,MATCH($A83,'School District Profiles'!$A$2:$A$86,0)),0)</f>
        <v/>
      </c>
      <c r="AD83" s="94">
        <f>IFERROR(Q83*20/O83,0)</f>
        <v/>
      </c>
      <c r="AE83" s="73">
        <f>IFERROR(IF(AG83&gt;=1,100,IF(AG83&gt;=0.95,75,IF(AG83&gt;=0.9,60,IF(AG83&gt;=0.85,40,IF(AG83&gt;=0.8,25,0))))),0)</f>
        <v/>
      </c>
      <c r="AF83" s="73">
        <f>IFERROR(0.35*V83+0.3*U83+0.1*W83+0.1*X83+0.1*Y83+0.05*AR83,0)</f>
        <v/>
      </c>
      <c r="AG83" s="73" t="n">
        <v>0.9</v>
      </c>
      <c r="AH83" s="70" t="inlineStr">
        <is>
          <t>10% employment-stability penalty due to shortfall concerns, consolidation/closure actions, and cost-saving measures; recent cuts may partially stabilize the outlook.</t>
        </is>
      </c>
      <c r="AI83" s="105">
        <f>IF('Score Inputs'!$B$3="Bachelor's",CHOOSE(MATCH('Score Inputs'!$B$4,{0,5,10},0),D83,E83,F83),CHOOSE(MATCH('Score Inputs'!$B$4,{0,5,10},0),G83,H83,I83))</f>
        <v/>
      </c>
      <c r="AJ83" s="105">
        <f>IFERROR(AI83/12,0)</f>
        <v/>
      </c>
      <c r="AK83" s="120">
        <f>IFERROR(O83/AJ83,0)</f>
        <v/>
      </c>
      <c r="AL83" s="109">
        <f>IFERROR(IF(AK83&lt;=25%,100,IF(AK83&lt;=30%,100-(AK83-25%)/5%*30,IF(AK83&lt;=35%,70-(AK83-30%)/5%*10,IF(AK83&lt;=40%,60-(AK83-35%)/5%*20,MAX(0,40-(AK83-40%)/10%*40))))),0)</f>
        <v/>
      </c>
      <c r="AM83" s="105">
        <f>IFERROR(PMT('Score Inputs'!$B$5/12,'Score Inputs'!$B$7*12,-N83*(1-'Score Inputs'!$B$6)),0)</f>
        <v/>
      </c>
      <c r="AN83" s="120">
        <f>IFERROR(AM83/AJ83,0)</f>
        <v/>
      </c>
      <c r="AO83" s="109">
        <f>IFERROR(IF(AN83&lt;=25%,100,IF(AN83&lt;=30%,100-(AN83-25%)/5%*30,IF(AN83&lt;=35%,70-(AN83-30%)/5%*10,IF(AN83&lt;=40%,60-(AN83-35%)/5%*20,MAX(0,40-(AN83-40%)/10%*40))))),0)</f>
        <v/>
      </c>
      <c r="AP83" s="105">
        <f>IFERROR(AJ83-O83,0)</f>
        <v/>
      </c>
      <c r="AQ83" s="109">
        <f>IFERROR(MAX(0,MIN(100,(AP83-'Score Inputs'!$B$8)/('Score Inputs'!$B$9-'Score Inputs'!$B$8)*100)),0)</f>
        <v/>
      </c>
      <c r="AR83" s="109">
        <f>IFERROR(INDEX('State Funding Lookup'!$B$2:$B$86,MATCH($A83,'State Funding Lookup'!$A$2:$A$86,0)),0)</f>
        <v/>
      </c>
      <c r="AS83" s="78">
        <f>AK83</f>
        <v/>
      </c>
      <c r="AT83" s="78">
        <f>AN83</f>
        <v/>
      </c>
    </row>
    <row r="84" ht="30" customHeight="1" s="104">
      <c r="A84" s="89" t="inlineStr">
        <is>
          <t>Glendale Union High School District</t>
        </is>
      </c>
      <c r="B84" s="89">
        <f>IFERROR(INDEX('School District Profiles'!$B$2:$B$86,MATCH($A84,'School District Profiles'!$A$2:$A$86,0)),"")</f>
        <v/>
      </c>
      <c r="C84" s="89">
        <f>IFERROR(INDEX('School District Profiles'!$C$2:$C$86,MATCH($A84,'School District Profiles'!$A$2:$A$86,0)),"")</f>
        <v/>
      </c>
      <c r="D84" s="91">
        <f>IFERROR(SUMIFS('Teacher Salary Data'!$E$2:$E$1871,'Teacher Salary Data'!$A$2:$A$1871,$A84,'Teacher Salary Data'!$C$2:$C$1871,"Bachelor's",'Teacher Salary Data'!$D$2:$D$1871,0),0)</f>
        <v/>
      </c>
      <c r="E84" s="91">
        <f>IFERROR(SUMIFS('Teacher Salary Data'!$E$2:$E$1871,'Teacher Salary Data'!$A$2:$A$1871,$A84,'Teacher Salary Data'!$C$2:$C$1871,"Bachelor's",'Teacher Salary Data'!$D$2:$D$1871,5),0)</f>
        <v/>
      </c>
      <c r="F84" s="91">
        <f>IFERROR(SUMIFS('Teacher Salary Data'!$E$2:$E$1871,'Teacher Salary Data'!$A$2:$A$1871,$A84,'Teacher Salary Data'!$C$2:$C$1871,"Bachelor's",'Teacher Salary Data'!$D$2:$D$1871,10),0)</f>
        <v/>
      </c>
      <c r="G84" s="91">
        <f>IFERROR(SUMIFS('Teacher Salary Data'!$E$2:$E$1871,'Teacher Salary Data'!$A$2:$A$1871,$A84,'Teacher Salary Data'!$C$2:$C$1871,"Master's",'Teacher Salary Data'!$D$2:$D$1871,0),0)</f>
        <v/>
      </c>
      <c r="H84" s="91">
        <f>IFERROR(SUMIFS('Teacher Salary Data'!$E$2:$E$1871,'Teacher Salary Data'!$A$2:$A$1871,$A84,'Teacher Salary Data'!$C$2:$C$1871,"Master's",'Teacher Salary Data'!$D$2:$D$1871,5),0)</f>
        <v/>
      </c>
      <c r="I84" s="91">
        <f>IFERROR(SUMIFS('Teacher Salary Data'!$E$2:$E$1871,'Teacher Salary Data'!$A$2:$A$1871,$A84,'Teacher Salary Data'!$C$2:$C$1871,"Master's",'Teacher Salary Data'!$D$2:$D$1871,10),0)</f>
        <v/>
      </c>
      <c r="J84" s="91">
        <f>AVERAGE(D84,G84)</f>
        <v/>
      </c>
      <c r="K84" s="91">
        <f>AVERAGE(F84,I84)</f>
        <v/>
      </c>
      <c r="L84" s="121">
        <f>IFERROR((K84-J84)/J84,0)</f>
        <v/>
      </c>
      <c r="M84" s="91">
        <f>G84-D84</f>
        <v/>
      </c>
      <c r="N84" s="91">
        <f>IFERROR(INDEX('Median Home and Rent Prices'!$D$2:$D$86,MATCH($A84,'Median Home and Rent Prices'!$A$2:$A$86,0)),0)</f>
        <v/>
      </c>
      <c r="O84" s="91">
        <f>IFERROR(INDEX('Median Home and Rent Prices'!$E$2:$E$86,MATCH($A84,'Median Home and Rent Prices'!$A$2:$A$86,0)),0)</f>
        <v/>
      </c>
      <c r="P84" s="94">
        <f>IFERROR(INDEX('School District Profiles'!$H$2:$H$86,MATCH($A84,'School District Profiles'!$A$2:$A$86,0)),0)</f>
        <v/>
      </c>
      <c r="Q84" s="91">
        <f>IFERROR(INDEX('School District Profiles'!$I$2:$I$86,MATCH($A84,'School District Profiles'!$A$2:$A$86,0)),0)</f>
        <v/>
      </c>
      <c r="R84" s="94">
        <f>IFERROR(IF(($AI84-('Score Inputs'!$B$4*1500+IF('Score Inputs'!$B$3="Master's",4000,0)))&lt;53000,MAX(0,MIN(39.99,((($AI84-('Score Inputs'!$B$4*1500+IF('Score Inputs'!$B$3="Master's",4000,0))))-45000)/8000*39.99)),IF(($AI84-('Score Inputs'!$B$4*1500+IF('Score Inputs'!$B$3="Master's",4000,0)))&lt;58000,40+((($AI84-('Score Inputs'!$B$4*1500+IF('Score Inputs'!$B$3="Master's",4000,0))))-53000)/5000*20,IF(($AI84-('Score Inputs'!$B$4*1500+IF('Score Inputs'!$B$3="Master's",4000,0)))&lt;63000,60+((($AI84-('Score Inputs'!$B$4*1500+IF('Score Inputs'!$B$3="Master's",4000,0))))-58000)/5000*10,IF(($AI84-('Score Inputs'!$B$4*1500+IF('Score Inputs'!$B$3="Master's",4000,0)))&lt;70000,70+((($AI84-('Score Inputs'!$B$4*1500+IF('Score Inputs'!$B$3="Master's",4000,0))))-63000)/7000*10,IF(($AI84-('Score Inputs'!$B$4*1500+IF('Score Inputs'!$B$3="Master's",4000,0)))&lt;75000,80+((($AI84-('Score Inputs'!$B$4*1500+IF('Score Inputs'!$B$3="Master's",4000,0))))-70000)/5000*10,MIN(100,90+((($AI84-('Score Inputs'!$B$4*1500+IF('Score Inputs'!$B$3="Master's",4000,0))))-75000)/5000*10)))))),0)</f>
        <v/>
      </c>
      <c r="S84" s="94">
        <f>IFERROR(MAX(0,MIN(100,L84/0.48*100)),0)</f>
        <v/>
      </c>
      <c r="T84" s="94">
        <f>IFERROR(MAX(0,MIN(100,M84/15000*100)),0)</f>
        <v/>
      </c>
      <c r="U84" s="94">
        <f>IFERROR(0.5*R84+0.35*S84+0.15*T84,0)</f>
        <v/>
      </c>
      <c r="V84" s="94">
        <f>IFERROR(0.35*AL84+0.3*AO84+0.25*AB84+0.1*AQ84,0)</f>
        <v/>
      </c>
      <c r="W84" s="94">
        <f>IFERROR(MAX(0,MIN(100,(25-P84)/(25-12)*100)),0)</f>
        <v/>
      </c>
      <c r="X84" s="94">
        <f>IFERROR(MAX(0,MIN(100,(AD84-1)/(3-1)*100))*IF(OR($A84="North Clackamas School District",$A84="Provo City School District"),0.6,1),0)</f>
        <v/>
      </c>
      <c r="Y84" s="94">
        <f>IFERROR(MAX(0,MIN(100,(1-((IFERROR(INDEX('School District Profiles'!$D$2:$D$86,MATCH($A84,'School District Profiles'!$A$2:$A$86,0)),0)/100)^2+(IFERROR(INDEX('School District Profiles'!$E$2:$E$86,MATCH($A84,'School District Profiles'!$A$2:$A$86,0)),0)/100)^2+(IFERROR(INDEX('School District Profiles'!$F$2:$F$86,MATCH($A84,'School District Profiles'!$A$2:$A$86,0)),0)/100)^2+(IFERROR(INDEX('School District Profiles'!$G$2:$G$86,MATCH($A84,'School District Profiles'!$A$2:$A$86,0)),0)/100)^2+(AC84/100)^2))/0.8*100)),0)</f>
        <v/>
      </c>
      <c r="Z84" s="94">
        <f>IFERROR(AF84*AG84,0)</f>
        <v/>
      </c>
      <c r="AA84" s="96">
        <f>IFERROR(INDEX('Median Home and Rent Prices'!$F$2:$F$86,MATCH($A84,'Median Home and Rent Prices'!$A$2:$A$86,0)),0)</f>
        <v/>
      </c>
      <c r="AB84" s="94">
        <f>IFERROR(MAX(0,MIN(100,(800-AA84)/(800-150)*100)),0)</f>
        <v/>
      </c>
      <c r="AC84" s="121">
        <f>IFERROR(INDEX('School District Profiles'!$J$2:$J$86,MATCH($A84,'School District Profiles'!$A$2:$A$86,0)),0)</f>
        <v/>
      </c>
      <c r="AD84" s="94">
        <f>IFERROR(Q84*20/O84,0)</f>
        <v/>
      </c>
      <c r="AE84" s="73">
        <f>IFERROR(IF(AG84&gt;=1,100,IF(AG84&gt;=0.95,75,IF(AG84&gt;=0.9,60,IF(AG84&gt;=0.85,40,IF(AG84&gt;=0.8,25,0))))),0)</f>
        <v/>
      </c>
      <c r="AF84" s="73">
        <f>IFERROR(0.35*V84+0.3*U84+0.1*W84+0.1*X84+0.1*Y84+0.05*AR84,0)</f>
        <v/>
      </c>
      <c r="AG84" s="73" t="n">
        <v>0.95</v>
      </c>
      <c r="AH84" s="70" t="inlineStr">
        <is>
          <t>5% watchlist penalty because current layoff evidence is unclear; Arizona override/funding exposure should be monitored.</t>
        </is>
      </c>
      <c r="AI84" s="105">
        <f>IF('Score Inputs'!$B$3="Bachelor's",CHOOSE(MATCH('Score Inputs'!$B$4,{0,5,10},0),D84,E84,F84),CHOOSE(MATCH('Score Inputs'!$B$4,{0,5,10},0),G84,H84,I84))</f>
        <v/>
      </c>
      <c r="AJ84" s="105">
        <f>IFERROR(AI84/12,0)</f>
        <v/>
      </c>
      <c r="AK84" s="120">
        <f>IFERROR(O84/AJ84,0)</f>
        <v/>
      </c>
      <c r="AL84" s="109">
        <f>IFERROR(IF(AK84&lt;=25%,100,IF(AK84&lt;=30%,100-(AK84-25%)/5%*30,IF(AK84&lt;=35%,70-(AK84-30%)/5%*10,IF(AK84&lt;=40%,60-(AK84-35%)/5%*20,MAX(0,40-(AK84-40%)/10%*40))))),0)</f>
        <v/>
      </c>
      <c r="AM84" s="105">
        <f>IFERROR(PMT('Score Inputs'!$B$5/12,'Score Inputs'!$B$7*12,-N84*(1-'Score Inputs'!$B$6)),0)</f>
        <v/>
      </c>
      <c r="AN84" s="120">
        <f>IFERROR(AM84/AJ84,0)</f>
        <v/>
      </c>
      <c r="AO84" s="109">
        <f>IFERROR(IF(AN84&lt;=25%,100,IF(AN84&lt;=30%,100-(AN84-25%)/5%*30,IF(AN84&lt;=35%,70-(AN84-30%)/5%*10,IF(AN84&lt;=40%,60-(AN84-35%)/5%*20,MAX(0,40-(AN84-40%)/10%*40))))),0)</f>
        <v/>
      </c>
      <c r="AP84" s="105">
        <f>IFERROR(AJ84-O84,0)</f>
        <v/>
      </c>
      <c r="AQ84" s="109">
        <f>IFERROR(MAX(0,MIN(100,(AP84-'Score Inputs'!$B$8)/('Score Inputs'!$B$9-'Score Inputs'!$B$8)*100)),0)</f>
        <v/>
      </c>
      <c r="AR84" s="109">
        <f>IFERROR(INDEX('State Funding Lookup'!$B$2:$B$86,MATCH($A84,'State Funding Lookup'!$A$2:$A$86,0)),0)</f>
        <v/>
      </c>
      <c r="AS84" s="78">
        <f>AK84</f>
        <v/>
      </c>
      <c r="AT84" s="78">
        <f>AN84</f>
        <v/>
      </c>
    </row>
    <row r="85" ht="30" customHeight="1" s="104">
      <c r="A85" s="89" t="inlineStr">
        <is>
          <t>Flagstaff Unified School District</t>
        </is>
      </c>
      <c r="B85" s="89">
        <f>IFERROR(INDEX('School District Profiles'!$B$2:$B$86,MATCH($A85,'School District Profiles'!$A$2:$A$86,0)),"")</f>
        <v/>
      </c>
      <c r="C85" s="89">
        <f>IFERROR(INDEX('School District Profiles'!$C$2:$C$86,MATCH($A85,'School District Profiles'!$A$2:$A$86,0)),"")</f>
        <v/>
      </c>
      <c r="D85" s="91">
        <f>IFERROR(SUMIFS('Teacher Salary Data'!$E$2:$E$1871,'Teacher Salary Data'!$A$2:$A$1871,$A85,'Teacher Salary Data'!$C$2:$C$1871,"Bachelor's",'Teacher Salary Data'!$D$2:$D$1871,0),0)</f>
        <v/>
      </c>
      <c r="E85" s="91">
        <f>IFERROR(SUMIFS('Teacher Salary Data'!$E$2:$E$1871,'Teacher Salary Data'!$A$2:$A$1871,$A85,'Teacher Salary Data'!$C$2:$C$1871,"Bachelor's",'Teacher Salary Data'!$D$2:$D$1871,5),0)</f>
        <v/>
      </c>
      <c r="F85" s="91">
        <f>IFERROR(SUMIFS('Teacher Salary Data'!$E$2:$E$1871,'Teacher Salary Data'!$A$2:$A$1871,$A85,'Teacher Salary Data'!$C$2:$C$1871,"Bachelor's",'Teacher Salary Data'!$D$2:$D$1871,10),0)</f>
        <v/>
      </c>
      <c r="G85" s="91">
        <f>IFERROR(SUMIFS('Teacher Salary Data'!$E$2:$E$1871,'Teacher Salary Data'!$A$2:$A$1871,$A85,'Teacher Salary Data'!$C$2:$C$1871,"Master's",'Teacher Salary Data'!$D$2:$D$1871,0),0)</f>
        <v/>
      </c>
      <c r="H85" s="91">
        <f>IFERROR(SUMIFS('Teacher Salary Data'!$E$2:$E$1871,'Teacher Salary Data'!$A$2:$A$1871,$A85,'Teacher Salary Data'!$C$2:$C$1871,"Master's",'Teacher Salary Data'!$D$2:$D$1871,5),0)</f>
        <v/>
      </c>
      <c r="I85" s="91">
        <f>IFERROR(SUMIFS('Teacher Salary Data'!$E$2:$E$1871,'Teacher Salary Data'!$A$2:$A$1871,$A85,'Teacher Salary Data'!$C$2:$C$1871,"Master's",'Teacher Salary Data'!$D$2:$D$1871,10),0)</f>
        <v/>
      </c>
      <c r="J85" s="91">
        <f>AVERAGE(D85,G85)</f>
        <v/>
      </c>
      <c r="K85" s="91">
        <f>AVERAGE(F85,I85)</f>
        <v/>
      </c>
      <c r="L85" s="121">
        <f>IFERROR((K85-J85)/J85,0)</f>
        <v/>
      </c>
      <c r="M85" s="91">
        <f>G85-D85</f>
        <v/>
      </c>
      <c r="N85" s="91">
        <f>IFERROR(INDEX('Median Home and Rent Prices'!$D$2:$D$86,MATCH($A85,'Median Home and Rent Prices'!$A$2:$A$86,0)),0)</f>
        <v/>
      </c>
      <c r="O85" s="91">
        <f>IFERROR(INDEX('Median Home and Rent Prices'!$E$2:$E$86,MATCH($A85,'Median Home and Rent Prices'!$A$2:$A$86,0)),0)</f>
        <v/>
      </c>
      <c r="P85" s="94">
        <f>IFERROR(INDEX('School District Profiles'!$H$2:$H$86,MATCH($A85,'School District Profiles'!$A$2:$A$86,0)),0)</f>
        <v/>
      </c>
      <c r="Q85" s="91">
        <f>IFERROR(INDEX('School District Profiles'!$I$2:$I$86,MATCH($A85,'School District Profiles'!$A$2:$A$86,0)),0)</f>
        <v/>
      </c>
      <c r="R85" s="94">
        <f>IFERROR(IF(($AI85-('Score Inputs'!$B$4*1500+IF('Score Inputs'!$B$3="Master's",4000,0)))&lt;53000,MAX(0,MIN(39.99,((($AI85-('Score Inputs'!$B$4*1500+IF('Score Inputs'!$B$3="Master's",4000,0))))-45000)/8000*39.99)),IF(($AI85-('Score Inputs'!$B$4*1500+IF('Score Inputs'!$B$3="Master's",4000,0)))&lt;58000,40+((($AI85-('Score Inputs'!$B$4*1500+IF('Score Inputs'!$B$3="Master's",4000,0))))-53000)/5000*20,IF(($AI85-('Score Inputs'!$B$4*1500+IF('Score Inputs'!$B$3="Master's",4000,0)))&lt;63000,60+((($AI85-('Score Inputs'!$B$4*1500+IF('Score Inputs'!$B$3="Master's",4000,0))))-58000)/5000*10,IF(($AI85-('Score Inputs'!$B$4*1500+IF('Score Inputs'!$B$3="Master's",4000,0)))&lt;70000,70+((($AI85-('Score Inputs'!$B$4*1500+IF('Score Inputs'!$B$3="Master's",4000,0))))-63000)/7000*10,IF(($AI85-('Score Inputs'!$B$4*1500+IF('Score Inputs'!$B$3="Master's",4000,0)))&lt;75000,80+((($AI85-('Score Inputs'!$B$4*1500+IF('Score Inputs'!$B$3="Master's",4000,0))))-70000)/5000*10,MIN(100,90+((($AI85-('Score Inputs'!$B$4*1500+IF('Score Inputs'!$B$3="Master's",4000,0))))-75000)/5000*10)))))),0)</f>
        <v/>
      </c>
      <c r="S85" s="94">
        <f>IFERROR(MAX(0,MIN(100,L85/0.48*100)),0)</f>
        <v/>
      </c>
      <c r="T85" s="94">
        <f>IFERROR(MAX(0,MIN(100,M85/15000*100)),0)</f>
        <v/>
      </c>
      <c r="U85" s="94">
        <f>IFERROR(0.5*R85+0.35*S85+0.15*T85,0)</f>
        <v/>
      </c>
      <c r="V85" s="94">
        <f>IFERROR(0.35*AL85+0.3*AO85+0.25*AB85+0.1*AQ85,0)</f>
        <v/>
      </c>
      <c r="W85" s="94">
        <f>IFERROR(MAX(0,MIN(100,(25-P85)/(25-12)*100)),0)</f>
        <v/>
      </c>
      <c r="X85" s="94">
        <f>IFERROR(MAX(0,MIN(100,(AD85-1)/(3-1)*100))*IF(OR($A85="North Clackamas School District",$A85="Provo City School District"),0.6,1),0)</f>
        <v/>
      </c>
      <c r="Y85" s="94">
        <f>IFERROR(MAX(0,MIN(100,(1-((IFERROR(INDEX('School District Profiles'!$D$2:$D$86,MATCH($A85,'School District Profiles'!$A$2:$A$86,0)),0)/100)^2+(IFERROR(INDEX('School District Profiles'!$E$2:$E$86,MATCH($A85,'School District Profiles'!$A$2:$A$86,0)),0)/100)^2+(IFERROR(INDEX('School District Profiles'!$F$2:$F$86,MATCH($A85,'School District Profiles'!$A$2:$A$86,0)),0)/100)^2+(IFERROR(INDEX('School District Profiles'!$G$2:$G$86,MATCH($A85,'School District Profiles'!$A$2:$A$86,0)),0)/100)^2+(AC85/100)^2))/0.8*100)),0)</f>
        <v/>
      </c>
      <c r="Z85" s="94">
        <f>IFERROR(AF85*AG85,0)</f>
        <v/>
      </c>
      <c r="AA85" s="96">
        <f>IFERROR(INDEX('Median Home and Rent Prices'!$F$2:$F$86,MATCH($A85,'Median Home and Rent Prices'!$A$2:$A$86,0)),0)</f>
        <v/>
      </c>
      <c r="AB85" s="94">
        <f>IFERROR(MAX(0,MIN(100,(800-AA85)/(800-150)*100)),0)</f>
        <v/>
      </c>
      <c r="AC85" s="121">
        <f>IFERROR(INDEX('School District Profiles'!$J$2:$J$86,MATCH($A85,'School District Profiles'!$A$2:$A$86,0)),0)</f>
        <v/>
      </c>
      <c r="AD85" s="94">
        <f>IFERROR(Q85*20/O85,0)</f>
        <v/>
      </c>
      <c r="AE85" s="73">
        <f>IFERROR(IF(AG85&gt;=1,100,IF(AG85&gt;=0.95,75,IF(AG85&gt;=0.9,60,IF(AG85&gt;=0.85,40,IF(AG85&gt;=0.8,25,0))))),0)</f>
        <v/>
      </c>
      <c r="AF85" s="73">
        <f>IFERROR(0.35*V85+0.3*U85+0.1*W85+0.1*X85+0.1*Y85+0.05*AR85,0)</f>
        <v/>
      </c>
      <c r="AG85" s="73" t="n">
        <v>0.9</v>
      </c>
      <c r="AH85" s="70" t="inlineStr">
        <is>
          <t>10% employment-stability penalty due to enrollment/funding stress, long-term financial-planning concerns, and override dependence.</t>
        </is>
      </c>
      <c r="AI85" s="105">
        <f>IF('Score Inputs'!$B$3="Bachelor's",CHOOSE(MATCH('Score Inputs'!$B$4,{0,5,10},0),D85,E85,F85),CHOOSE(MATCH('Score Inputs'!$B$4,{0,5,10},0),G85,H85,I85))</f>
        <v/>
      </c>
      <c r="AJ85" s="105">
        <f>IFERROR(AI85/12,0)</f>
        <v/>
      </c>
      <c r="AK85" s="120">
        <f>IFERROR(O85/AJ85,0)</f>
        <v/>
      </c>
      <c r="AL85" s="109">
        <f>IFERROR(IF(AK85&lt;=25%,100,IF(AK85&lt;=30%,100-(AK85-25%)/5%*30,IF(AK85&lt;=35%,70-(AK85-30%)/5%*10,IF(AK85&lt;=40%,60-(AK85-35%)/5%*20,MAX(0,40-(AK85-40%)/10%*40))))),0)</f>
        <v/>
      </c>
      <c r="AM85" s="105">
        <f>IFERROR(PMT('Score Inputs'!$B$5/12,'Score Inputs'!$B$7*12,-N85*(1-'Score Inputs'!$B$6)),0)</f>
        <v/>
      </c>
      <c r="AN85" s="120">
        <f>IFERROR(AM85/AJ85,0)</f>
        <v/>
      </c>
      <c r="AO85" s="109">
        <f>IFERROR(IF(AN85&lt;=25%,100,IF(AN85&lt;=30%,100-(AN85-25%)/5%*30,IF(AN85&lt;=35%,70-(AN85-30%)/5%*10,IF(AN85&lt;=40%,60-(AN85-35%)/5%*20,MAX(0,40-(AN85-40%)/10%*40))))),0)</f>
        <v/>
      </c>
      <c r="AP85" s="105">
        <f>IFERROR(AJ85-O85,0)</f>
        <v/>
      </c>
      <c r="AQ85" s="109">
        <f>IFERROR(MAX(0,MIN(100,(AP85-'Score Inputs'!$B$8)/('Score Inputs'!$B$9-'Score Inputs'!$B$8)*100)),0)</f>
        <v/>
      </c>
      <c r="AR85" s="109">
        <f>IFERROR(INDEX('State Funding Lookup'!$B$2:$B$86,MATCH($A85,'State Funding Lookup'!$A$2:$A$86,0)),0)</f>
        <v/>
      </c>
      <c r="AS85" s="78">
        <f>AK85</f>
        <v/>
      </c>
      <c r="AT85" s="78">
        <f>AN85</f>
        <v/>
      </c>
    </row>
    <row r="86" ht="30" customHeight="1" s="104">
      <c r="A86" s="89" t="inlineStr">
        <is>
          <t>Chandler Unified School District</t>
        </is>
      </c>
      <c r="B86" s="89">
        <f>IFERROR(INDEX('School District Profiles'!$B$2:$B$86,MATCH($A86,'School District Profiles'!$A$2:$A$86,0)),"")</f>
        <v/>
      </c>
      <c r="C86" s="89">
        <f>IFERROR(INDEX('School District Profiles'!$C$2:$C$86,MATCH($A86,'School District Profiles'!$A$2:$A$86,0)),"")</f>
        <v/>
      </c>
      <c r="D86" s="91">
        <f>IFERROR(SUMIFS('Teacher Salary Data'!$E$2:$E$1871,'Teacher Salary Data'!$A$2:$A$1871,$A86,'Teacher Salary Data'!$C$2:$C$1871,"Bachelor's",'Teacher Salary Data'!$D$2:$D$1871,0),0)</f>
        <v/>
      </c>
      <c r="E86" s="91">
        <f>IFERROR(SUMIFS('Teacher Salary Data'!$E$2:$E$1871,'Teacher Salary Data'!$A$2:$A$1871,$A86,'Teacher Salary Data'!$C$2:$C$1871,"Bachelor's",'Teacher Salary Data'!$D$2:$D$1871,5),0)</f>
        <v/>
      </c>
      <c r="F86" s="91">
        <f>IFERROR(SUMIFS('Teacher Salary Data'!$E$2:$E$1871,'Teacher Salary Data'!$A$2:$A$1871,$A86,'Teacher Salary Data'!$C$2:$C$1871,"Bachelor's",'Teacher Salary Data'!$D$2:$D$1871,10),0)</f>
        <v/>
      </c>
      <c r="G86" s="91">
        <f>IFERROR(SUMIFS('Teacher Salary Data'!$E$2:$E$1871,'Teacher Salary Data'!$A$2:$A$1871,$A86,'Teacher Salary Data'!$C$2:$C$1871,"Master's",'Teacher Salary Data'!$D$2:$D$1871,0),0)</f>
        <v/>
      </c>
      <c r="H86" s="91">
        <f>IFERROR(SUMIFS('Teacher Salary Data'!$E$2:$E$1871,'Teacher Salary Data'!$A$2:$A$1871,$A86,'Teacher Salary Data'!$C$2:$C$1871,"Master's",'Teacher Salary Data'!$D$2:$D$1871,5),0)</f>
        <v/>
      </c>
      <c r="I86" s="91">
        <f>IFERROR(SUMIFS('Teacher Salary Data'!$E$2:$E$1871,'Teacher Salary Data'!$A$2:$A$1871,$A86,'Teacher Salary Data'!$C$2:$C$1871,"Master's",'Teacher Salary Data'!$D$2:$D$1871,10),0)</f>
        <v/>
      </c>
      <c r="J86" s="91">
        <f>AVERAGE(D86,G86)</f>
        <v/>
      </c>
      <c r="K86" s="91">
        <f>AVERAGE(F86,I86)</f>
        <v/>
      </c>
      <c r="L86" s="121">
        <f>IFERROR((K86-J86)/J86,0)</f>
        <v/>
      </c>
      <c r="M86" s="91">
        <f>G86-D86</f>
        <v/>
      </c>
      <c r="N86" s="91">
        <f>IFERROR(INDEX('Median Home and Rent Prices'!$D$2:$D$86,MATCH($A86,'Median Home and Rent Prices'!$A$2:$A$86,0)),0)</f>
        <v/>
      </c>
      <c r="O86" s="91">
        <f>IFERROR(INDEX('Median Home and Rent Prices'!$E$2:$E$86,MATCH($A86,'Median Home and Rent Prices'!$A$2:$A$86,0)),0)</f>
        <v/>
      </c>
      <c r="P86" s="94">
        <f>IFERROR(INDEX('School District Profiles'!$H$2:$H$86,MATCH($A86,'School District Profiles'!$A$2:$A$86,0)),0)</f>
        <v/>
      </c>
      <c r="Q86" s="91">
        <f>IFERROR(INDEX('School District Profiles'!$I$2:$I$86,MATCH($A86,'School District Profiles'!$A$2:$A$86,0)),0)</f>
        <v/>
      </c>
      <c r="R86" s="94">
        <f>IFERROR(IF(($AI86-('Score Inputs'!$B$4*1500+IF('Score Inputs'!$B$3="Master's",4000,0)))&lt;53000,MAX(0,MIN(39.99,((($AI86-('Score Inputs'!$B$4*1500+IF('Score Inputs'!$B$3="Master's",4000,0))))-45000)/8000*39.99)),IF(($AI86-('Score Inputs'!$B$4*1500+IF('Score Inputs'!$B$3="Master's",4000,0)))&lt;58000,40+((($AI86-('Score Inputs'!$B$4*1500+IF('Score Inputs'!$B$3="Master's",4000,0))))-53000)/5000*20,IF(($AI86-('Score Inputs'!$B$4*1500+IF('Score Inputs'!$B$3="Master's",4000,0)))&lt;63000,60+((($AI86-('Score Inputs'!$B$4*1500+IF('Score Inputs'!$B$3="Master's",4000,0))))-58000)/5000*10,IF(($AI86-('Score Inputs'!$B$4*1500+IF('Score Inputs'!$B$3="Master's",4000,0)))&lt;70000,70+((($AI86-('Score Inputs'!$B$4*1500+IF('Score Inputs'!$B$3="Master's",4000,0))))-63000)/7000*10,IF(($AI86-('Score Inputs'!$B$4*1500+IF('Score Inputs'!$B$3="Master's",4000,0)))&lt;75000,80+((($AI86-('Score Inputs'!$B$4*1500+IF('Score Inputs'!$B$3="Master's",4000,0))))-70000)/5000*10,MIN(100,90+((($AI86-('Score Inputs'!$B$4*1500+IF('Score Inputs'!$B$3="Master's",4000,0))))-75000)/5000*10)))))),0)</f>
        <v/>
      </c>
      <c r="S86" s="94">
        <f>IFERROR(MAX(0,MIN(100,L86/0.48*100)),0)</f>
        <v/>
      </c>
      <c r="T86" s="94">
        <f>IFERROR(MAX(0,MIN(100,M86/15000*100)),0)</f>
        <v/>
      </c>
      <c r="U86" s="94">
        <f>IFERROR(0.5*R86+0.35*S86+0.15*T86,0)</f>
        <v/>
      </c>
      <c r="V86" s="94">
        <f>IFERROR(0.35*AL86+0.3*AO86+0.25*AB86+0.1*AQ86,0)</f>
        <v/>
      </c>
      <c r="W86" s="94">
        <f>IFERROR(MAX(0,MIN(100,(25-P86)/(25-12)*100)),0)</f>
        <v/>
      </c>
      <c r="X86" s="94">
        <f>IFERROR(MAX(0,MIN(100,(AD86-1)/(3-1)*100))*IF(OR($A86="North Clackamas School District",$A86="Provo City School District"),0.6,1),0)</f>
        <v/>
      </c>
      <c r="Y86" s="94">
        <f>IFERROR(MAX(0,MIN(100,(1-((IFERROR(INDEX('School District Profiles'!$D$2:$D$86,MATCH($A86,'School District Profiles'!$A$2:$A$86,0)),0)/100)^2+(IFERROR(INDEX('School District Profiles'!$E$2:$E$86,MATCH($A86,'School District Profiles'!$A$2:$A$86,0)),0)/100)^2+(IFERROR(INDEX('School District Profiles'!$F$2:$F$86,MATCH($A86,'School District Profiles'!$A$2:$A$86,0)),0)/100)^2+(IFERROR(INDEX('School District Profiles'!$G$2:$G$86,MATCH($A86,'School District Profiles'!$A$2:$A$86,0)),0)/100)^2+(AC86/100)^2))/0.8*100)),0)</f>
        <v/>
      </c>
      <c r="Z86" s="94">
        <f>IFERROR(AF86*AG86,0)</f>
        <v/>
      </c>
      <c r="AA86" s="96">
        <f>IFERROR(INDEX('Median Home and Rent Prices'!$F$2:$F$86,MATCH($A86,'Median Home and Rent Prices'!$A$2:$A$86,0)),0)</f>
        <v/>
      </c>
      <c r="AB86" s="94">
        <f>IFERROR(MAX(0,MIN(100,(800-AA86)/(800-150)*100)),0)</f>
        <v/>
      </c>
      <c r="AC86" s="121">
        <f>IFERROR(INDEX('School District Profiles'!$J$2:$J$86,MATCH($A86,'School District Profiles'!$A$2:$A$86,0)),0)</f>
        <v/>
      </c>
      <c r="AD86" s="94">
        <f>IFERROR(Q86*20/O86,0)</f>
        <v/>
      </c>
      <c r="AE86" s="73">
        <f>IFERROR(IF(AG86&gt;=1,100,IF(AG86&gt;=0.95,75,IF(AG86&gt;=0.9,60,IF(AG86&gt;=0.85,40,IF(AG86&gt;=0.8,25,0))))),0)</f>
        <v/>
      </c>
      <c r="AF86" s="73">
        <f>IFERROR(0.35*V86+0.3*U86+0.1*W86+0.1*X86+0.1*Y86+0.05*AR86,0)</f>
        <v/>
      </c>
      <c r="AG86" s="73" t="n">
        <v>0.85</v>
      </c>
      <c r="AH86" s="70" t="inlineStr">
        <is>
          <t>15% employment-stability penalty due to declining enrollment, budget shortfall, and staffing-reduction/job-cut plan.</t>
        </is>
      </c>
      <c r="AI86" s="105">
        <f>IF('Score Inputs'!$B$3="Bachelor's",CHOOSE(MATCH('Score Inputs'!$B$4,{0,5,10},0),D86,E86,F86),CHOOSE(MATCH('Score Inputs'!$B$4,{0,5,10},0),G86,H86,I86))</f>
        <v/>
      </c>
      <c r="AJ86" s="105">
        <f>IFERROR(AI86/12,0)</f>
        <v/>
      </c>
      <c r="AK86" s="120">
        <f>IFERROR(O86/AJ86,0)</f>
        <v/>
      </c>
      <c r="AL86" s="109">
        <f>IFERROR(IF(AK86&lt;=25%,100,IF(AK86&lt;=30%,100-(AK86-25%)/5%*30,IF(AK86&lt;=35%,70-(AK86-30%)/5%*10,IF(AK86&lt;=40%,60-(AK86-35%)/5%*20,MAX(0,40-(AK86-40%)/10%*40))))),0)</f>
        <v/>
      </c>
      <c r="AM86" s="105">
        <f>IFERROR(PMT('Score Inputs'!$B$5/12,'Score Inputs'!$B$7*12,-N86*(1-'Score Inputs'!$B$6)),0)</f>
        <v/>
      </c>
      <c r="AN86" s="120">
        <f>IFERROR(AM86/AJ86,0)</f>
        <v/>
      </c>
      <c r="AO86" s="109">
        <f>IFERROR(IF(AN86&lt;=25%,100,IF(AN86&lt;=30%,100-(AN86-25%)/5%*30,IF(AN86&lt;=35%,70-(AN86-30%)/5%*10,IF(AN86&lt;=40%,60-(AN86-35%)/5%*20,MAX(0,40-(AN86-40%)/10%*40))))),0)</f>
        <v/>
      </c>
      <c r="AP86" s="105">
        <f>IFERROR(AJ86-O86,0)</f>
        <v/>
      </c>
      <c r="AQ86" s="109">
        <f>IFERROR(MAX(0,MIN(100,(AP86-'Score Inputs'!$B$8)/('Score Inputs'!$B$9-'Score Inputs'!$B$8)*100)),0)</f>
        <v/>
      </c>
      <c r="AR86" s="109">
        <f>IFERROR(INDEX('State Funding Lookup'!$B$2:$B$86,MATCH($A86,'State Funding Lookup'!$A$2:$A$86,0)),0)</f>
        <v/>
      </c>
      <c r="AS86" s="78">
        <f>AK86</f>
        <v/>
      </c>
      <c r="AT86" s="78">
        <f>AN86</f>
        <v/>
      </c>
    </row>
  </sheetData>
  <conditionalFormatting sqref="R2:R4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X13 Z2:Z1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Z8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4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4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4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4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4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4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1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4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:Z4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:Z53">
    <cfRule type="colorScale" priority="30">
      <colorScale>
        <cfvo type="min"/>
        <cfvo type="percentile" val="50"/>
        <cfvo type="max"/>
        <color rgb="FFFCA5A5"/>
        <color rgb="FFFDE68A"/>
        <color rgb="FFBBF7D0"/>
      </colorScale>
    </cfRule>
  </conditionalFormatting>
  <conditionalFormatting sqref="Z2:Z58">
    <cfRule type="colorScale" priority="3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A2:AA8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:AB4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8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34">
    <cfRule type="colorScale" priority="1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E2:AE3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42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F8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:AF4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:AK8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:AL8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:AM8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:AN8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:AO8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:AP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:AQ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:AR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:AT8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60" customWidth="1" style="104" min="2" max="2"/>
    <col width="12" customWidth="1" style="104" min="3" max="4"/>
    <col width="24" customWidth="1" style="104" min="5" max="5"/>
    <col width="58" customWidth="1" style="104" min="6" max="6"/>
  </cols>
  <sheetData>
    <row r="1">
      <c r="A1" s="101" t="inlineStr">
        <is>
          <t>Phase 2B Benchmark-Based Scoring System</t>
        </is>
      </c>
      <c r="B1" s="122" t="n"/>
      <c r="C1" s="122" t="n"/>
      <c r="D1" s="122" t="n"/>
      <c r="E1" s="122" t="n"/>
      <c r="F1" s="122" t="n"/>
    </row>
    <row r="2" ht="64" customHeight="1" s="104">
      <c r="A2" s="102" t="inlineStr">
        <is>
          <t>Purpose</t>
        </is>
      </c>
      <c r="B2" s="102" t="inlineStr">
        <is>
          <t>Uses fixed real-world benchmarks so scores stay stable when districts are added. The overall score now uses the Housing Salary Power model.</t>
        </is>
      </c>
      <c r="C2" s="102" t="n"/>
      <c r="D2" s="102" t="n"/>
      <c r="E2" s="102" t="n"/>
      <c r="F2" s="102" t="n"/>
    </row>
    <row r="3" ht="21.25" customHeight="1" s="104">
      <c r="A3" s="102" t="inlineStr">
        <is>
          <t>Updated</t>
        </is>
      </c>
      <c r="B3" s="102" t="inlineStr">
        <is>
          <t>2026-06-18</t>
        </is>
      </c>
      <c r="C3" s="102" t="n"/>
      <c r="D3" s="102" t="n"/>
      <c r="E3" s="102" t="n"/>
      <c r="F3" s="102" t="n"/>
    </row>
    <row r="4" ht="21.25" customHeight="1" s="104">
      <c r="A4" s="102" t="n"/>
      <c r="B4" s="102" t="n"/>
      <c r="C4" s="102" t="n"/>
      <c r="D4" s="102" t="n"/>
      <c r="E4" s="102" t="n"/>
      <c r="F4" s="102" t="n"/>
    </row>
    <row r="5" ht="21.25" customHeight="1" s="104">
      <c r="A5" s="48" t="inlineStr">
        <is>
          <t>Score Component</t>
        </is>
      </c>
      <c r="B5" s="48" t="inlineStr">
        <is>
          <t>Formula / Benchmark</t>
        </is>
      </c>
      <c r="C5" s="48" t="inlineStr">
        <is>
          <t>Floor</t>
        </is>
      </c>
      <c r="D5" s="48" t="inlineStr">
        <is>
          <t>Ceiling</t>
        </is>
      </c>
      <c r="E5" s="48" t="inlineStr">
        <is>
          <t>Weight</t>
        </is>
      </c>
      <c r="F5" s="48" t="inlineStr">
        <is>
          <t>Notes</t>
        </is>
      </c>
    </row>
    <row r="6" ht="42.75" customHeight="1" s="104">
      <c r="A6" s="102" t="inlineStr">
        <is>
          <t>Selected Salary</t>
        </is>
      </c>
      <c r="B6" s="102" t="inlineStr">
        <is>
          <t>Salary from selected education + experience profile in Score Inputs.</t>
        </is>
      </c>
      <c r="C6" s="102" t="n"/>
      <c r="D6" s="102" t="n"/>
      <c r="E6" s="102" t="n"/>
      <c r="F6" s="102" t="inlineStr">
        <is>
          <t>Used by housing salary share and career earnings.</t>
        </is>
      </c>
    </row>
    <row r="7" ht="42.75" customHeight="1" s="104">
      <c r="A7" s="102" t="inlineStr">
        <is>
          <t>Rent Salary Share Score</t>
        </is>
      </c>
      <c r="B7" s="102" t="inlineStr">
        <is>
          <t>≤25%=100; 25–30% scales 100→70; 30–35% scales 70→60; 35–40% scales 60→40; &gt;40% scales toward 0 by 50%.</t>
        </is>
      </c>
      <c r="C7" s="102" t="n"/>
      <c r="D7" s="102" t="n"/>
      <c r="E7" s="102" t="inlineStr">
        <is>
          <t>35% of Housing Salary Power</t>
        </is>
      </c>
      <c r="F7" s="102" t="inlineStr">
        <is>
          <t>Uses Median Rent ÷ Selected Monthly Salary.</t>
        </is>
      </c>
    </row>
    <row r="8" ht="64" customHeight="1" s="104">
      <c r="A8" s="102" t="inlineStr">
        <is>
          <t>Mortgage Salary Share Score</t>
        </is>
      </c>
      <c r="B8" s="102" t="inlineStr">
        <is>
          <t>Same 25%-aligned salary-share scale as rent.</t>
        </is>
      </c>
      <c r="C8" s="102" t="n"/>
      <c r="D8" s="102" t="n"/>
      <c r="E8" s="102" t="inlineStr">
        <is>
          <t>30% of Housing Salary Power</t>
        </is>
      </c>
      <c r="F8" s="102" t="inlineStr">
        <is>
          <t>Uses monthly mortgage P&amp;I: 20% down, 30-year fixed, 7% interest.</t>
        </is>
      </c>
    </row>
    <row r="9" ht="42.75" customHeight="1" s="104">
      <c r="A9" s="102" t="inlineStr">
        <is>
          <t>Price per Sq Ft Score</t>
        </is>
      </c>
      <c r="B9" s="102" t="inlineStr">
        <is>
          <t>MAX(0, MIN(100, (800 - PPSF) / (800 - 150) × 100))</t>
        </is>
      </c>
      <c r="C9" s="102" t="n">
        <v>800</v>
      </c>
      <c r="D9" s="102" t="n">
        <v>150</v>
      </c>
      <c r="E9" s="102" t="inlineStr">
        <is>
          <t>25% of Housing Salary Power</t>
        </is>
      </c>
      <c r="F9" s="102" t="inlineStr">
        <is>
          <t>Rewards markets where money buys more house/space/property value.</t>
        </is>
      </c>
    </row>
    <row r="10" ht="21.25" customHeight="1" s="104">
      <c r="A10" s="102" t="inlineStr">
        <is>
          <t>Post-Rent Income Score</t>
        </is>
      </c>
      <c r="B10" s="102" t="inlineStr">
        <is>
          <t>MAX(0, MIN(100, (Post-Rent Income - 2500) / (4000 - 2500) × 100))</t>
        </is>
      </c>
      <c r="C10" s="102" t="n">
        <v>2500</v>
      </c>
      <c r="D10" s="102" t="n">
        <v>4000</v>
      </c>
      <c r="E10" s="102" t="inlineStr">
        <is>
          <t>10% of Housing Salary Power</t>
        </is>
      </c>
      <c r="F10" s="102" t="inlineStr">
        <is>
          <t>Rewards monthly breathing room after median rent. $4,000+ after rent now reaches full score.</t>
        </is>
      </c>
    </row>
    <row r="11" ht="42.75" customHeight="1" s="104">
      <c r="A11" s="102" t="inlineStr">
        <is>
          <t>Housing Salary Power Score</t>
        </is>
      </c>
      <c r="B11" s="102" t="inlineStr">
        <is>
          <t>35% Rent Share + 30% Mortgage Share + 25% Price per Sq Ft + 10% Post-Rent Income</t>
        </is>
      </c>
      <c r="C11" s="102" t="n"/>
      <c r="D11" s="102" t="n"/>
      <c r="E11" s="102" t="inlineStr">
        <is>
          <t>35% of Base Value Score</t>
        </is>
      </c>
      <c r="F11" s="102" t="inlineStr">
        <is>
          <t>Leading category in the new overall score.</t>
        </is>
      </c>
    </row>
    <row r="12" ht="21.25" customHeight="1" s="104">
      <c r="A12" s="102" t="inlineStr">
        <is>
          <t>Selected Salary Level Score</t>
        </is>
      </c>
      <c r="B12" s="102" t="inlineStr">
        <is>
          <t>Dynamic career-stage band scale: base 0-year Bachelor's bands; add $1,500 per selected experience year and +$4,000 for Master's. Under adjusted $53k=Very Low; $53k–$57k=Low; $58k–$62k=Fair; $63k–$69k=Good; $70k–$75k=Very Good; adjusted $75k+=Excellent.</t>
        </is>
      </c>
      <c r="C12" s="102" t="n"/>
      <c r="D12" s="102" t="n"/>
      <c r="E12" s="102" t="inlineStr">
        <is>
          <t>50% of Career Earnings</t>
        </is>
      </c>
      <c r="F12" s="102" t="inlineStr">
        <is>
          <t>Uses selected salary, not Avg 10-Year Salary.</t>
        </is>
      </c>
    </row>
    <row r="13" ht="42.75" customHeight="1" s="104">
      <c r="A13" s="102" t="inlineStr">
        <is>
          <t>Growth Score</t>
        </is>
      </c>
      <c r="B13" s="102" t="inlineStr">
        <is>
          <t>MAX(0, MIN(100, Avg Growth % / 48% × 100))</t>
        </is>
      </c>
      <c r="C13" s="102" t="n">
        <v>0</v>
      </c>
      <c r="D13" s="102" t="n">
        <v>0.48</v>
      </c>
      <c r="E13" s="102" t="inlineStr">
        <is>
          <t>35% of Career Earnings</t>
        </is>
      </c>
      <c r="F13" s="102" t="inlineStr">
        <is>
          <t>Career progression signal.</t>
        </is>
      </c>
    </row>
    <row r="14" ht="42.75" customHeight="1" s="104">
      <c r="A14" s="102" t="inlineStr">
        <is>
          <t>Master's Premium Score</t>
        </is>
      </c>
      <c r="B14" s="102" t="inlineStr">
        <is>
          <t>MAX(0, MIN(100, Master's Premium / 15000 × 100))</t>
        </is>
      </c>
      <c r="C14" s="102" t="n">
        <v>0</v>
      </c>
      <c r="D14" s="102" t="n">
        <v>15000</v>
      </c>
      <c r="E14" s="102" t="inlineStr">
        <is>
          <t>15% of Career Earnings</t>
        </is>
      </c>
      <c r="F14" s="102" t="inlineStr">
        <is>
          <t>Rewards districts that pay more for a master’s degree.</t>
        </is>
      </c>
    </row>
    <row r="15" ht="42.75" customHeight="1" s="104">
      <c r="A15" s="102" t="inlineStr">
        <is>
          <t>Career Earnings Score</t>
        </is>
      </c>
      <c r="B15" s="102" t="inlineStr">
        <is>
          <t>50% Selected Salary Level + 35% Growth + 15% Master’s Premium</t>
        </is>
      </c>
      <c r="C15" s="102" t="n"/>
      <c r="D15" s="102" t="n"/>
      <c r="E15" s="102" t="inlineStr">
        <is>
          <t>30% of Base Value Score</t>
        </is>
      </c>
      <c r="F15" s="102" t="inlineStr">
        <is>
          <t>Replaces old Salary Score.</t>
        </is>
      </c>
    </row>
    <row r="16" ht="21.25" customHeight="1" s="104">
      <c r="A16" s="102" t="inlineStr">
        <is>
          <t>Student-Teacher Ratio Score</t>
        </is>
      </c>
      <c r="B16" s="102" t="inlineStr">
        <is>
          <t>MAX(0, MIN(100, (25 - Ratio) / (25 - 12) × 100))</t>
        </is>
      </c>
      <c r="C16" s="102" t="n">
        <v>12</v>
      </c>
      <c r="D16" s="102" t="n">
        <v>25</v>
      </c>
      <c r="E16" s="102" t="inlineStr">
        <is>
          <t>10% of Base Value Score</t>
        </is>
      </c>
      <c r="F16" s="102" t="inlineStr">
        <is>
          <t>Lower ratio is better.</t>
        </is>
      </c>
    </row>
    <row r="17" ht="21.25" customHeight="1" s="104">
      <c r="A17" s="102" t="inlineStr">
        <is>
          <t>Sub Pay Score</t>
        </is>
      </c>
      <c r="B17" s="102" t="inlineStr">
        <is>
          <t>MAX(0, MIN(100, (Sub Pay Housing Power - 1) / (3 - 1) × 100))</t>
        </is>
      </c>
      <c r="C17" s="102" t="n">
        <v>1</v>
      </c>
      <c r="D17" s="102" t="n">
        <v>3</v>
      </c>
      <c r="E17" s="102" t="inlineStr">
        <is>
          <t>10% of Base Value Score</t>
        </is>
      </c>
      <c r="F17" s="102" t="inlineStr">
        <is>
          <t>Sub Pay Housing Power = Licensed Sub Pay × 20 ÷ Median Rent. Existing 0.6 penalty retained for North Clackamas and Provo City.</t>
        </is>
      </c>
    </row>
    <row r="18" ht="42.75" customHeight="1" s="104">
      <c r="A18" s="102" t="inlineStr">
        <is>
          <t>Demographic Balance Score</t>
        </is>
      </c>
      <c r="B18" s="102" t="inlineStr">
        <is>
          <t>Rule-based balance formula using racial/ethnic shares, capped 0–100.</t>
        </is>
      </c>
      <c r="C18" s="102" t="n">
        <v>0</v>
      </c>
      <c r="D18" s="102" t="n">
        <v>100</v>
      </c>
      <c r="E18" s="102" t="inlineStr">
        <is>
          <t>10% of Base Value Score</t>
        </is>
      </c>
      <c r="F18" s="102" t="inlineStr">
        <is>
          <t>Measures concentration/balance.</t>
        </is>
      </c>
    </row>
    <row r="19" ht="21.25" customHeight="1" s="104">
      <c r="A19" s="102" t="inlineStr">
        <is>
          <t>State Funding Score</t>
        </is>
      </c>
      <c r="B19" s="102" t="inlineStr">
        <is>
          <t>State funding context score from lookup sheet.</t>
        </is>
      </c>
      <c r="C19" s="102" t="n">
        <v>0</v>
      </c>
      <c r="D19" s="102" t="n">
        <v>100</v>
      </c>
      <c r="E19" s="102" t="inlineStr">
        <is>
          <t>5% of Base Value Score</t>
        </is>
      </c>
      <c r="F19" s="102" t="inlineStr">
        <is>
          <t>Small state-level context factor.</t>
        </is>
      </c>
    </row>
    <row r="20" ht="32" customHeight="1" s="104">
      <c r="A20" s="102" t="inlineStr">
        <is>
          <t>Base Value Score</t>
        </is>
      </c>
      <c r="B20" s="102" t="inlineStr">
        <is>
          <t>35% Housing Salary Power + 30% Career Earnings + 10% Class Size + 10% Sub Pay + 10% Demographics + 5% State Funding</t>
        </is>
      </c>
      <c r="C20" s="102" t="n"/>
      <c r="D20" s="102" t="n"/>
      <c r="E20" s="102" t="inlineStr">
        <is>
          <t>100%</t>
        </is>
      </c>
      <c r="F20" s="102" t="inlineStr">
        <is>
          <t>Before stability/risk multiplier.</t>
        </is>
      </c>
    </row>
    <row r="21" ht="16" customHeight="1" s="104">
      <c r="A21" s="102" t="inlineStr">
        <is>
          <t>Overall Value Score</t>
        </is>
      </c>
      <c r="B21" s="102" t="inlineStr">
        <is>
          <t>Base Value Score × Risk Multiplier</t>
        </is>
      </c>
      <c r="C21" s="102" t="n"/>
      <c r="D21" s="102" t="n"/>
      <c r="E21" s="102" t="n"/>
      <c r="F21" s="102" t="inlineStr">
        <is>
          <t>Stability remains a whole-score risk adjustment.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10" defaultColWidth="8.83203125" defaultRowHeight="15"/>
  <cols>
    <col width="12" customWidth="1" style="104" min="1" max="1"/>
    <col width="32" customWidth="1" style="104" min="2" max="2"/>
    <col width="100" customWidth="1" style="104" min="3" max="3"/>
  </cols>
  <sheetData>
    <row r="1">
      <c r="A1" s="103" t="inlineStr">
        <is>
          <t>Column</t>
        </is>
      </c>
      <c r="B1" s="122" t="n"/>
      <c r="C1" s="122" t="n"/>
    </row>
    <row r="2" ht="21.25" customHeight="1" s="104">
      <c r="A2" s="102" t="inlineStr">
        <is>
          <t>R</t>
        </is>
      </c>
      <c r="B2" s="102" t="inlineStr">
        <is>
          <t>Selected Salary Level Score</t>
        </is>
      </c>
      <c r="C2" s="102" t="inlineStr">
        <is>
          <t>Dynamic salary tile score: base 0-year Bachelor's bands, shifted +$1,500/year experience and +$4,000 for Master's; adjusted $75k+ reaches Excellent.</t>
        </is>
      </c>
    </row>
    <row r="3" ht="21.25" customHeight="1" s="104">
      <c r="A3" s="102" t="inlineStr">
        <is>
          <t>S</t>
        </is>
      </c>
      <c r="B3" s="102" t="inlineStr">
        <is>
          <t>Growth Score</t>
        </is>
      </c>
      <c r="C3" s="102" t="inlineStr">
        <is>
          <t>MAX(0,MIN(100,Avg Growth %/0.48*100))</t>
        </is>
      </c>
    </row>
    <row r="4" ht="21.25" customHeight="1" s="104">
      <c r="A4" s="102" t="inlineStr">
        <is>
          <t>T</t>
        </is>
      </c>
      <c r="B4" s="102" t="inlineStr">
        <is>
          <t>Master's Premium Score</t>
        </is>
      </c>
      <c r="C4" s="102" t="inlineStr">
        <is>
          <t>MAX(0,MIN(100,Master's Premium/15000*100))</t>
        </is>
      </c>
    </row>
    <row r="5" ht="21.25" customHeight="1" s="104">
      <c r="A5" s="102" t="inlineStr">
        <is>
          <t>U</t>
        </is>
      </c>
      <c r="B5" s="102" t="inlineStr">
        <is>
          <t>Career Earnings Score</t>
        </is>
      </c>
      <c r="C5" s="102" t="inlineStr">
        <is>
          <t>0.50*Selected Salary Level + 0.35*Growth + 0.15*Master’s Premium</t>
        </is>
      </c>
    </row>
    <row r="6" ht="21.25" customHeight="1" s="104">
      <c r="A6" s="102" t="inlineStr">
        <is>
          <t>V</t>
        </is>
      </c>
      <c r="B6" s="102" t="inlineStr">
        <is>
          <t>Housing Salary Power Score</t>
        </is>
      </c>
      <c r="C6" s="102" t="inlineStr">
        <is>
          <t>0.35*Rent Share + 0.30*Mortgage Share + 0.25*Price per Sq Ft + 0.10*Post-Rent Income</t>
        </is>
      </c>
    </row>
    <row r="7" ht="21.25" customHeight="1" s="104">
      <c r="A7" s="102" t="inlineStr">
        <is>
          <t>Z</t>
        </is>
      </c>
      <c r="B7" s="102" t="inlineStr">
        <is>
          <t>Overall Value Score</t>
        </is>
      </c>
      <c r="C7" s="102" t="inlineStr">
        <is>
          <t>Base Value Score * Risk Multiplier</t>
        </is>
      </c>
    </row>
    <row r="8" ht="21.25" customHeight="1" s="104">
      <c r="A8" s="102" t="inlineStr">
        <is>
          <t>AB</t>
        </is>
      </c>
      <c r="B8" s="102" t="inlineStr">
        <is>
          <t>Price per Sq Ft Score</t>
        </is>
      </c>
      <c r="C8" s="102" t="inlineStr">
        <is>
          <t>MAX(0,MIN(100,(800-PPSF)/(800-150)*100))</t>
        </is>
      </c>
    </row>
    <row r="9" ht="21.25" customHeight="1" s="104">
      <c r="A9" s="102" t="inlineStr">
        <is>
          <t>AF</t>
        </is>
      </c>
      <c r="B9" s="102" t="inlineStr">
        <is>
          <t>Base Value Score</t>
        </is>
      </c>
      <c r="C9" s="102" t="inlineStr">
        <is>
          <t>0.35*Housing Salary Power + 0.30*Career Earnings + 0.10*Class Size + 0.10*Sub Pay + 0.10*Demographics + 0.05*State Funding</t>
        </is>
      </c>
    </row>
    <row r="10" ht="21.25" customHeight="1" s="104">
      <c r="A10" s="102" t="inlineStr">
        <is>
          <t>AI</t>
        </is>
      </c>
      <c r="B10" s="102" t="inlineStr">
        <is>
          <t>Selected Salary</t>
        </is>
      </c>
      <c r="C10" s="102" t="inlineStr">
        <is>
          <t>Salary selected from education + experience profile in Score Inputs</t>
        </is>
      </c>
    </row>
    <row r="11" ht="21.25" customHeight="1" s="104">
      <c r="A11" s="102" t="inlineStr">
        <is>
          <t>AJ</t>
        </is>
      </c>
      <c r="B11" s="102" t="inlineStr">
        <is>
          <t>Selected Monthly Salary</t>
        </is>
      </c>
      <c r="C11" s="102" t="inlineStr">
        <is>
          <t>Selected Salary/12</t>
        </is>
      </c>
    </row>
    <row r="12" ht="21.25" customHeight="1" s="104">
      <c r="A12" s="102" t="inlineStr">
        <is>
          <t>AK</t>
        </is>
      </c>
      <c r="B12" s="102" t="inlineStr">
        <is>
          <t>Rent % of Salary</t>
        </is>
      </c>
      <c r="C12" s="102" t="inlineStr">
        <is>
          <t>Median Rent / Selected Monthly Salary</t>
        </is>
      </c>
    </row>
    <row r="13" ht="21.25" customHeight="1" s="104">
      <c r="A13" s="102" t="inlineStr">
        <is>
          <t>AL</t>
        </is>
      </c>
      <c r="B13" s="102" t="inlineStr">
        <is>
          <t>Rent Salary Share Score</t>
        </is>
      </c>
      <c r="C13" s="102" t="inlineStr">
        <is>
          <t>≤25%=100; 25–30% scales 100→70; 30–35% scales 70→60; 35–40% scales 60→40; &gt;40% scales toward 0 by 50%.</t>
        </is>
      </c>
    </row>
    <row r="14" ht="16" customHeight="1" s="104">
      <c r="A14" s="102" t="inlineStr">
        <is>
          <t>AM</t>
        </is>
      </c>
      <c r="B14" s="102" t="inlineStr">
        <is>
          <t>Est. Monthly Mortgage P&amp;I</t>
        </is>
      </c>
      <c r="C14" s="102" t="inlineStr">
        <is>
          <t>PMT(interest/12, term*12, -Median Home Price*(1-down payment))</t>
        </is>
      </c>
    </row>
    <row r="15" ht="16" customHeight="1" s="104">
      <c r="A15" s="102" t="inlineStr">
        <is>
          <t>AN</t>
        </is>
      </c>
      <c r="B15" s="102" t="inlineStr">
        <is>
          <t>Mortgage % of Salary</t>
        </is>
      </c>
      <c r="C15" s="102" t="inlineStr">
        <is>
          <t>Mortgage P&amp;I / Selected Monthly Salary</t>
        </is>
      </c>
    </row>
    <row r="16" ht="16" customHeight="1" s="104">
      <c r="A16" s="102" t="inlineStr">
        <is>
          <t>AO</t>
        </is>
      </c>
      <c r="B16" s="102" t="inlineStr">
        <is>
          <t>Mortgage Salary Share Score</t>
        </is>
      </c>
      <c r="C16" s="102" t="inlineStr">
        <is>
          <t>Same 25%-aligned salary-share scoring scale as rent.</t>
        </is>
      </c>
    </row>
    <row r="17" ht="16" customHeight="1" s="104">
      <c r="A17" s="102" t="inlineStr">
        <is>
          <t>AP</t>
        </is>
      </c>
      <c r="B17" s="102" t="inlineStr">
        <is>
          <t>Post-Rent Monthly Income</t>
        </is>
      </c>
      <c r="C17" s="102" t="inlineStr">
        <is>
          <t>Selected Monthly Salary - Median Rent</t>
        </is>
      </c>
    </row>
    <row r="18" ht="16" customHeight="1" s="104">
      <c r="A18" s="102" t="inlineStr">
        <is>
          <t>AQ</t>
        </is>
      </c>
      <c r="B18" s="102" t="inlineStr">
        <is>
          <t>Post-Rent Income Score</t>
        </is>
      </c>
      <c r="C18" s="102" t="inlineStr">
        <is>
          <t>MAX(0,MIN(100,(Post-Rent Income-2500)/(4000-2500)*100))</t>
        </is>
      </c>
    </row>
    <row r="19" ht="16" customHeight="1" s="104">
      <c r="A19" s="102" t="inlineStr">
        <is>
          <t>AR</t>
        </is>
      </c>
      <c r="B19" s="102" t="inlineStr">
        <is>
          <t>State Funding Score</t>
        </is>
      </c>
      <c r="C19" s="102" t="inlineStr">
        <is>
          <t>INDEX/MATCH from State Funding Lookup</t>
        </is>
      </c>
    </row>
    <row r="20">
      <c r="A20" t="inlineStr">
        <is>
          <t>AS</t>
        </is>
      </c>
      <c r="B20" t="inlineStr">
        <is>
          <t>Rent Salary % Label</t>
        </is>
      </c>
      <c r="C20" t="inlineStr">
        <is>
          <t>Numeric link to AK formatted as 0% "of Salary" for correct ascending/descending sorting</t>
        </is>
      </c>
    </row>
    <row r="21">
      <c r="A21" t="inlineStr">
        <is>
          <t>AT</t>
        </is>
      </c>
      <c r="B21" t="inlineStr">
        <is>
          <t>Mortgage Salary % Label</t>
        </is>
      </c>
      <c r="C21" t="inlineStr">
        <is>
          <t>Numeric link to AN formatted as 0% "of Salary" for correct ascending/descending sorting</t>
        </is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10" defaultColWidth="8.83203125" defaultRowHeight="15"/>
  <cols>
    <col width="34" customWidth="1" style="104" min="1" max="1"/>
    <col width="100" customWidth="1" style="104" min="2" max="2"/>
    <col width="24" customWidth="1" style="104" min="3" max="3"/>
    <col width="10" customWidth="1" style="104" min="4" max="15"/>
    <col width="24" customWidth="1" style="104" min="16" max="16"/>
    <col width="10" customWidth="1" style="104" min="17" max="28"/>
  </cols>
  <sheetData>
    <row r="1" ht="53.25" customHeight="1" s="104">
      <c r="A1" s="101" t="inlineStr">
        <is>
          <t>Score Methodology</t>
        </is>
      </c>
      <c r="B1" s="122" t="n"/>
      <c r="C1" s="122" t="n"/>
      <c r="D1" s="122" t="n"/>
      <c r="E1" s="122" t="n"/>
      <c r="F1" s="122" t="n"/>
      <c r="G1" s="122" t="n"/>
      <c r="H1" s="122" t="n"/>
      <c r="I1" s="122" t="n"/>
      <c r="J1" s="122" t="n"/>
      <c r="K1" s="122" t="n"/>
      <c r="L1" s="122" t="n"/>
      <c r="M1" s="122" t="n"/>
      <c r="N1" s="122" t="n"/>
      <c r="O1" s="122" t="n"/>
      <c r="P1" s="122" t="n"/>
      <c r="Q1" s="122" t="n"/>
      <c r="R1" s="122" t="n"/>
      <c r="S1" s="122" t="n"/>
      <c r="T1" s="122" t="n"/>
      <c r="U1" s="122" t="n"/>
      <c r="V1" s="122" t="n"/>
      <c r="W1" s="122" t="n"/>
      <c r="X1" s="122" t="n"/>
      <c r="Y1" s="122" t="n"/>
      <c r="Z1" s="122" t="n"/>
      <c r="AA1" s="122" t="n"/>
      <c r="AB1" s="122" t="n"/>
    </row>
    <row r="2" ht="42.75" customHeight="1" s="104">
      <c r="A2" s="102" t="inlineStr">
        <is>
          <t>Purpose</t>
        </is>
      </c>
      <c r="B2" s="102" t="inlineStr">
        <is>
          <t>This workbook uses Phase 2B scoring: Housing Salary Power is the leading category, Career Earnings is second, and stability remains a whole-score multiplier.</t>
        </is>
      </c>
    </row>
    <row r="3" ht="42.75" customHeight="1" s="104">
      <c r="A3" s="102" t="inlineStr">
        <is>
          <t>Selected salary profile</t>
        </is>
      </c>
      <c r="B3" s="102" t="inlineStr">
        <is>
          <t>The selected salary comes from Score Inputs and is based on selected education and selected experience. Default: Bachelor’s + 0 years.</t>
        </is>
      </c>
    </row>
    <row r="4" ht="42.75" customHeight="1" s="104">
      <c r="A4" s="102" t="n"/>
      <c r="B4" s="102" t="n"/>
    </row>
    <row r="5" ht="42.75" customHeight="1" s="104">
      <c r="A5" s="48" t="inlineStr">
        <is>
          <t>Formula</t>
        </is>
      </c>
      <c r="B5" s="48" t="inlineStr">
        <is>
          <t>Definition</t>
        </is>
      </c>
    </row>
    <row r="6" ht="42.75" customHeight="1" s="104">
      <c r="A6" s="102" t="inlineStr">
        <is>
          <t>Selected Salary</t>
        </is>
      </c>
      <c r="B6" s="102" t="inlineStr">
        <is>
          <t>Bachelor’s or Master’s salary at the selected experience level: 0, 5, or 10 years.</t>
        </is>
      </c>
    </row>
    <row r="7" ht="42.75" customHeight="1" s="104">
      <c r="A7" s="102" t="inlineStr">
        <is>
          <t>Selected Monthly Salary</t>
        </is>
      </c>
      <c r="B7" s="102" t="inlineStr">
        <is>
          <t>Selected Salary / 12.</t>
        </is>
      </c>
    </row>
    <row r="8" ht="42.75" customHeight="1" s="104">
      <c r="A8" s="102" t="inlineStr">
        <is>
          <t>Rent % of Salary</t>
        </is>
      </c>
      <c r="B8" s="102" t="inlineStr">
        <is>
          <t>Median Rent / Selected Monthly Salary.</t>
        </is>
      </c>
    </row>
    <row r="9" ht="42.75" customHeight="1" s="104">
      <c r="A9" s="102" t="inlineStr">
        <is>
          <t>Mortgage P&amp;I</t>
        </is>
      </c>
      <c r="B9" s="102" t="inlineStr">
        <is>
          <t>PMT(Mortgage Annual Interest / 12, Mortgage Term Years × 12, -Median Home Price × (1 - Down Payment)).</t>
        </is>
      </c>
    </row>
    <row r="10" ht="42.75" customHeight="1" s="104">
      <c r="A10" s="102" t="inlineStr">
        <is>
          <t>Mortgage % of Salary</t>
        </is>
      </c>
      <c r="B10" s="102" t="inlineStr">
        <is>
          <t>Estimated Monthly Mortgage P&amp;I / Selected Monthly Salary.</t>
        </is>
      </c>
    </row>
    <row r="11" ht="42.75" customHeight="1" s="104">
      <c r="A11" s="102" t="inlineStr">
        <is>
          <t>Salary-share score scale</t>
        </is>
      </c>
      <c r="B11" s="102" t="inlineStr">
        <is>
          <t>≤25% = 100; 25–30% scales from 100 to 70; 30–35% scales from 70 to 60; 35–40% scales from 60 to 40; above 40% scales down toward 0 by 50%.</t>
        </is>
      </c>
    </row>
    <row r="12" ht="42.75" customHeight="1" s="104">
      <c r="A12" s="102" t="inlineStr">
        <is>
          <t>Post-Rent Monthly Income</t>
        </is>
      </c>
      <c r="B12" s="102" t="inlineStr">
        <is>
          <t>Selected Monthly Salary - Median Rent.</t>
        </is>
      </c>
    </row>
    <row r="13" ht="42.75" customHeight="1" s="104">
      <c r="A13" s="102" t="inlineStr">
        <is>
          <t>Post-Rent Income Score</t>
        </is>
      </c>
      <c r="B13" s="102" t="inlineStr">
        <is>
          <t>MAX(0, MIN(100, (Post-Rent Monthly Income - 2500) / (4000 - 2500) × 100)).</t>
        </is>
      </c>
    </row>
    <row r="14" ht="42.75" customHeight="1" s="104">
      <c r="A14" s="102" t="inlineStr">
        <is>
          <t>Price per Sq Ft Score</t>
        </is>
      </c>
      <c r="B14" s="102" t="inlineStr">
        <is>
          <t>MAX(0, MIN(100, (800 - Median Home Price per Sq Ft) / (800 - 150) × 100)). This rewards places where money buys more house/space/property value.</t>
        </is>
      </c>
    </row>
    <row r="15" ht="42.75" customHeight="1" s="104">
      <c r="A15" s="102" t="inlineStr">
        <is>
          <t>Housing Salary Power Score</t>
        </is>
      </c>
      <c r="B15" s="102" t="inlineStr">
        <is>
          <t>35% Rent Salary Share Score + 30% Mortgage Salary Share Score + 25% Price per Sq Ft Score + 10% Post-Rent Income Score. Post-Rent Income now reaches full score at $4,000+ monthly after rent.</t>
        </is>
      </c>
    </row>
    <row r="16" ht="42.75" customHeight="1" s="104">
      <c r="A16" s="102" t="inlineStr">
        <is>
          <t>Selected Salary Level Score</t>
        </is>
      </c>
      <c r="B16" s="102" t="inlineStr">
        <is>
          <t>Dynamic career-stage scale. Base 0-year Bachelor's bands: under $53k = Very Low; $53k–$57k = Low; $58k–$62k = Fair; $63k–$69k = Good; $70k–$75k = Very Good; $75k+ = Excellent. Add $1,500 to each band per selected year of experience and +$4,000 when Master's is selected.</t>
        </is>
      </c>
    </row>
    <row r="17" ht="42.75" customHeight="1" s="104">
      <c r="A17" s="102" t="inlineStr">
        <is>
          <t>Growth Score</t>
        </is>
      </c>
      <c r="B17" s="102" t="inlineStr">
        <is>
          <t>MAX(0, MIN(100, Avg Growth % / 48% × 100)).</t>
        </is>
      </c>
    </row>
    <row r="18" ht="42.75" customHeight="1" s="104">
      <c r="A18" s="102" t="inlineStr">
        <is>
          <t>Master's Premium Score</t>
        </is>
      </c>
      <c r="B18" s="102" t="inlineStr">
        <is>
          <t>MAX(0, MIN(100, Master's Premium / 15000 × 100)).</t>
        </is>
      </c>
    </row>
    <row r="19" ht="42.75" customHeight="1" s="104">
      <c r="A19" s="102" t="inlineStr">
        <is>
          <t>Career Earnings Score</t>
        </is>
      </c>
      <c r="B19" s="102" t="inlineStr">
        <is>
          <t>50% Selected Salary Level Score + 35% Growth Score + 15% Master’s Premium Score.</t>
        </is>
      </c>
    </row>
    <row r="20" ht="42.75" customHeight="1" s="104">
      <c r="A20" s="102" t="inlineStr">
        <is>
          <t>Class Size Score</t>
        </is>
      </c>
      <c r="B20" s="102" t="inlineStr">
        <is>
          <t>MAX(0, MIN(100, (25 - Student-Teacher Ratio) / (25 - 12) × 100)).</t>
        </is>
      </c>
    </row>
    <row r="21" ht="42.75" customHeight="1" s="104">
      <c r="A21" s="102" t="inlineStr">
        <is>
          <t>Sub Pay Housing Power</t>
        </is>
      </c>
      <c r="B21" s="102" t="inlineStr">
        <is>
          <t>Licensed Daily Sub Pay × 20 / Median Rent.</t>
        </is>
      </c>
    </row>
    <row r="22" ht="42.75" customHeight="1" s="104">
      <c r="A22" s="102" t="inlineStr">
        <is>
          <t>Sub Pay Score</t>
        </is>
      </c>
      <c r="B22" s="102" t="inlineStr">
        <is>
          <t>MAX(0, MIN(100, (Sub Pay Housing Power - 1) / (3 - 1) × 100)); North Clackamas and Provo City retain the existing 0.6 sub-staffing penalty.</t>
        </is>
      </c>
    </row>
    <row r="23" ht="42.75" customHeight="1" s="104">
      <c r="A23" s="102" t="inlineStr">
        <is>
          <t>Demographic Balance Score</t>
        </is>
      </c>
      <c r="B23" s="102" t="inlineStr">
        <is>
          <t>Rule-based demographic balance formula using the squared shares of White, Hispanic, Asian, Black, and Other percentages, capped 0–100.</t>
        </is>
      </c>
    </row>
    <row r="24" ht="42.75" customHeight="1" s="104">
      <c r="A24" s="102" t="inlineStr">
        <is>
          <t>State Funding Score</t>
        </is>
      </c>
      <c r="B24" s="102" t="inlineStr">
        <is>
          <t>State funding context score from State Funding Lookup.</t>
        </is>
      </c>
    </row>
    <row r="25" ht="42.75" customHeight="1" s="104">
      <c r="A25" s="102" t="inlineStr">
        <is>
          <t>Base Value Score</t>
        </is>
      </c>
      <c r="B25" s="102" t="inlineStr">
        <is>
          <t>35% Housing Salary Power + 30% Career Earnings + 10% Class Size + 10% Sub Pay + 10% Demographics + 5% State Funding.</t>
        </is>
      </c>
    </row>
    <row r="26" ht="42.75" customHeight="1" s="104">
      <c r="A26" s="102" t="inlineStr">
        <is>
          <t>Overall Value Score</t>
        </is>
      </c>
      <c r="B26" s="102" t="inlineStr">
        <is>
          <t>Base Value Score × Risk Multiplier.</t>
        </is>
      </c>
    </row>
    <row r="27" ht="42.75" customHeight="1" s="104"/>
    <row r="28" ht="42.75" customHeight="1" s="104"/>
    <row r="29" ht="42.75" customHeight="1" s="104"/>
    <row r="30" ht="42.75" customHeight="1" s="104"/>
    <row r="31" ht="42.75" customHeight="1" s="104"/>
    <row r="32" ht="42.75" customHeight="1" s="104"/>
    <row r="33" ht="42.75" customHeight="1" s="104"/>
    <row r="34" ht="42.75" customHeight="1" s="104"/>
    <row r="35" ht="42.75" customHeight="1" s="104"/>
    <row r="36" ht="42.75" customHeight="1" s="104"/>
    <row r="37" ht="42.75" customHeight="1" s="104"/>
    <row r="38" ht="42.75" customHeight="1" s="104"/>
    <row r="39" ht="42.75" customHeight="1" s="104"/>
    <row r="40" ht="42.75" customHeight="1" s="104"/>
    <row r="41" ht="42.75" customHeight="1" s="104"/>
    <row r="42" ht="42.75" customHeight="1" s="104"/>
    <row r="43" ht="42.75" customHeight="1" s="104"/>
    <row r="44" ht="42.75" customHeight="1" s="104"/>
    <row r="45" ht="42.75" customHeight="1" s="104"/>
    <row r="46" ht="42.75" customHeight="1" s="104"/>
    <row r="47" ht="42.75" customHeight="1" s="104"/>
    <row r="48" ht="42.75" customHeight="1" s="104"/>
    <row r="49" ht="42.75" customHeight="1" s="104"/>
    <row r="50" ht="42.75" customHeight="1" s="104"/>
    <row r="51" ht="42.75" customHeight="1" s="104"/>
    <row r="52" ht="42.75" customHeight="1" s="104"/>
    <row r="53" ht="42.75" customHeight="1" s="104"/>
    <row r="54" ht="42.75" customHeight="1" s="104"/>
    <row r="55" ht="42.75" customHeight="1" s="104"/>
    <row r="56" ht="42.75" customHeight="1" s="104"/>
    <row r="57" ht="42.75" customHeight="1" s="104"/>
    <row r="58" ht="42.75" customHeight="1" s="104"/>
    <row r="59" ht="42.75" customHeight="1" s="104"/>
    <row r="60" ht="42.75" customHeight="1" s="104"/>
    <row r="61" ht="42.75" customHeight="1" s="104"/>
  </sheetData>
  <mergeCells count="1">
    <mergeCell ref="A1:A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:B1"/>
    </sheetView>
  </sheetViews>
  <sheetFormatPr baseColWidth="10" defaultColWidth="8.83203125" defaultRowHeight="15"/>
  <cols>
    <col width="28" customWidth="1" style="104" min="1" max="1"/>
    <col width="110" customWidth="1" style="104" min="2" max="2"/>
  </cols>
  <sheetData>
    <row r="1">
      <c r="A1" s="101" t="inlineStr">
        <is>
          <t>Phase 2B Formula Notes</t>
        </is>
      </c>
      <c r="B1" s="122" t="n"/>
    </row>
    <row r="2" ht="80" customHeight="1" s="104">
      <c r="A2" s="102" t="inlineStr">
        <is>
          <t>This workbook is not a comparison model. The main Overall Value Score column now uses Phase 2B formulas directly.</t>
        </is>
      </c>
      <c r="B2" s="102" t="n"/>
    </row>
    <row r="3">
      <c r="A3" s="102" t="n"/>
      <c r="B3" s="102" t="n"/>
    </row>
    <row r="4" ht="16" customHeight="1" s="104">
      <c r="A4" s="48" t="inlineStr">
        <is>
          <t>Category</t>
        </is>
      </c>
      <c r="B4" s="48" t="inlineStr">
        <is>
          <t>Summary</t>
        </is>
      </c>
    </row>
    <row r="5" ht="32" customHeight="1" s="104">
      <c r="A5" s="102" t="inlineStr">
        <is>
          <t>Housing Salary Power</t>
        </is>
      </c>
      <c r="B5" s="102" t="inlineStr">
        <is>
          <t>Leading category. Uses selected salary to determine rent and mortgage salary share, while also rewarding price per sq ft and post-rent breathing room. Post-rent income scoring now treats $4,000+ after rent as full/Excellent.</t>
        </is>
      </c>
    </row>
    <row r="6" ht="16" customHeight="1" s="104">
      <c r="A6" s="102" t="inlineStr">
        <is>
          <t>Career Earnings</t>
        </is>
      </c>
      <c r="B6" s="102" t="inlineStr">
        <is>
          <t>Uses selected salary level, growth, and master’s premium.</t>
        </is>
      </c>
    </row>
    <row r="7" ht="16" customHeight="1" s="104">
      <c r="A7" s="102" t="inlineStr">
        <is>
          <t>Other drivers</t>
        </is>
      </c>
      <c r="B7" s="102" t="inlineStr">
        <is>
          <t>Class size, sub pay, demographic balance, and state funding remain direct contributors.</t>
        </is>
      </c>
    </row>
    <row r="8" ht="16" customHeight="1" s="104">
      <c r="A8" s="102" t="inlineStr">
        <is>
          <t>Stability</t>
        </is>
      </c>
      <c r="B8" s="102" t="inlineStr">
        <is>
          <t>Risk Multiplier applies after the base value score is calculated.</t>
        </is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110" customWidth="1" style="104" min="2" max="2"/>
  </cols>
  <sheetData>
    <row r="1" ht="53.25" customHeight="1" s="104">
      <c r="A1" s="101" t="inlineStr">
        <is>
          <t>Teacher Website Data - Phase 2B Integrated Value Scores</t>
        </is>
      </c>
      <c r="B1" s="122" t="n"/>
    </row>
    <row r="2" ht="42.75" customHeight="1" s="104">
      <c r="A2" s="102" t="inlineStr">
        <is>
          <t>Purpose</t>
        </is>
      </c>
      <c r="B2" s="102" t="inlineStr">
        <is>
          <t>This workbook is the scoring/source-of-truth workbook for the Teacher District Value project. It integrates the Phase 2B Housing Salary Power scoring system directly into the main District Value Scores sheet.</t>
        </is>
      </c>
    </row>
    <row r="3" ht="42.75" customHeight="1" s="104">
      <c r="A3" s="102" t="inlineStr">
        <is>
          <t>Main scoring sheet</t>
        </is>
      </c>
      <c r="B3" s="102" t="inlineStr">
        <is>
          <t>District Value Scores</t>
        </is>
      </c>
    </row>
    <row r="4" ht="42.75" customHeight="1" s="104">
      <c r="A4" s="102" t="inlineStr">
        <is>
          <t>Inputs sheet</t>
        </is>
      </c>
      <c r="B4" s="102" t="inlineStr">
        <is>
          <t>Score Inputs controls selected education, selected experience, mortgage assumptions, and post-rent income benchmarks.</t>
        </is>
      </c>
    </row>
    <row r="5" ht="42.75" customHeight="1" s="104">
      <c r="A5" s="102" t="inlineStr">
        <is>
          <t>Overall formula</t>
        </is>
      </c>
      <c r="B5" s="102" t="inlineStr">
        <is>
          <t>Overall Value Score = Base Value Score × Risk Multiplier.</t>
        </is>
      </c>
    </row>
    <row r="6" ht="42.75" customHeight="1" s="104">
      <c r="A6" s="102" t="inlineStr">
        <is>
          <t>Base Value Score</t>
        </is>
      </c>
      <c r="B6" s="102" t="inlineStr">
        <is>
          <t>35% Housing Salary Power + 30% Career Earnings + 10% Class Size + 10% Sub Pay + 10% Demographic Balance + 5% State Funding.</t>
        </is>
      </c>
    </row>
    <row r="7" ht="42.75" customHeight="1" s="104">
      <c r="A7" s="102" t="inlineStr">
        <is>
          <t>Housing Salary Power</t>
        </is>
      </c>
      <c r="B7" s="102" t="inlineStr">
        <is>
          <t>35% Rent Salary Share + 30% Mortgage Salary Share + 25% Price per Sq Ft + 10% Post-Rent Income.</t>
        </is>
      </c>
    </row>
    <row r="8" ht="42.75" customHeight="1" s="104">
      <c r="A8" s="102" t="inlineStr">
        <is>
          <t>Career Earnings</t>
        </is>
      </c>
      <c r="B8" s="102" t="inlineStr">
        <is>
          <t>50% Selected Salary Level + 35% Growth + 15% Master’s Premium.</t>
        </is>
      </c>
    </row>
    <row r="9" ht="42.75" customHeight="1" s="104">
      <c r="A9" s="102" t="inlineStr">
        <is>
          <t>Housing standard</t>
        </is>
      </c>
      <c r="B9" s="102" t="inlineStr">
        <is>
          <t>Salary-share scores use gross selected salary, not take-home pay. No 75% take-home assumption is used.</t>
        </is>
      </c>
    </row>
    <row r="10" ht="42.75" customHeight="1" s="104">
      <c r="A10" s="102" t="inlineStr">
        <is>
          <t>Mortgage assumptions</t>
        </is>
      </c>
      <c r="B10" s="102" t="inlineStr">
        <is>
          <t>20% down, 30-year fixed, 7% annual interest, principal + interest only unless changed in Score Inputs.</t>
        </is>
      </c>
    </row>
    <row r="11" ht="42.75" customHeight="1" s="104">
      <c r="A11" s="102" t="inlineStr">
        <is>
          <t>Stability treatment</t>
        </is>
      </c>
      <c r="B11" s="102" t="inlineStr">
        <is>
          <t>Risk Multiplier remains a final whole-score adjustment.</t>
        </is>
      </c>
    </row>
    <row r="12" ht="42.75" customHeight="1" s="104"/>
    <row r="13" ht="42.75" customHeight="1" s="104"/>
    <row r="14" ht="42.75" customHeight="1" s="104"/>
    <row r="15" ht="42.75" customHeight="1" s="104"/>
    <row r="16" ht="42.75" customHeight="1" s="104"/>
    <row r="17" ht="42.75" customHeight="1" s="104"/>
    <row r="18" ht="42.75" customHeight="1" s="104"/>
    <row r="19" ht="42.75" customHeight="1" s="104"/>
    <row r="20" ht="42.75" customHeight="1" s="104"/>
    <row r="21" ht="42.75" customHeight="1" s="104"/>
    <row r="22" ht="42.75" customHeight="1" s="104"/>
    <row r="23" ht="42.75" customHeight="1" s="104"/>
    <row r="24" ht="42.75" customHeight="1" s="104"/>
    <row r="25" ht="42.75" customHeight="1" s="104"/>
    <row r="26" ht="42.75" customHeight="1" s="104"/>
    <row r="27" ht="42.75" customHeight="1" s="104"/>
    <row r="28" ht="42.75" customHeight="1" s="104"/>
    <row r="29" ht="42.75" customHeight="1" s="104"/>
    <row r="30" ht="42.75" customHeight="1" s="104"/>
    <row r="31" ht="42.75" customHeight="1" s="104"/>
    <row r="32" ht="42.75" customHeight="1" s="104"/>
    <row r="33" ht="42.75" customHeight="1" s="104"/>
    <row r="34" ht="42.75" customHeight="1" s="104"/>
    <row r="35" ht="42.75" customHeight="1" s="104"/>
    <row r="36" ht="42.75" customHeight="1" s="104"/>
    <row r="37" ht="42.75" customHeight="1" s="104"/>
    <row r="38" ht="42.75" customHeight="1" s="104"/>
    <row r="39" ht="42.75" customHeight="1" s="104"/>
    <row r="40" ht="42.75" customHeight="1" s="104"/>
    <row r="41" ht="42.75" customHeight="1" s="104"/>
    <row r="42" ht="42.75" customHeight="1" s="104"/>
    <row r="43" ht="42.75" customHeight="1" s="104"/>
    <row r="44" ht="42.75" customHeight="1" s="104"/>
    <row r="45" ht="42.75" customHeight="1" s="104"/>
    <row r="46" ht="42.75" customHeight="1" s="104"/>
    <row r="47" ht="42.75" customHeight="1" s="104"/>
    <row r="49" ht="42.75" customHeight="1" s="104"/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Field</t>
        </is>
      </c>
      <c r="B1" s="20" t="inlineStr">
        <is>
          <t>Value used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Teacher salary table</t>
        </is>
      </c>
      <c r="B2" s="8" t="inlineStr">
        <is>
          <t>BA Pay Scale Group 20; levels 1-10; year 10 repeats level 10; MA = BA + $584</t>
        </is>
      </c>
      <c r="C2" s="8" t="inlineStr">
        <is>
          <t>https://hr.lausd.org/apps/pages/index.jsp?uREC_ID=4422515&amp;type=d&amp;pREC_ID=2657596</t>
        </is>
      </c>
      <c r="D2" s="8" t="inlineStr">
        <is>
          <t>Official LAUSD 2025-2026 certificated salary tables page.</t>
        </is>
      </c>
    </row>
    <row r="3" ht="42.75" customHeight="1" s="104">
      <c r="A3" s="8" t="inlineStr">
        <is>
          <t>Teacher salary PDF</t>
        </is>
      </c>
      <c r="B3" s="8" t="inlineStr">
        <is>
          <t>2025-2026 T Table, C Basis</t>
        </is>
      </c>
      <c r="C3" s="8" t="inlineStr">
        <is>
          <t>https://media.edlio.net/2e0a8bf0/238a9ca2/c19b05e8/9f777902d5ea42ca9dbb2708c6087a05?_=T_Table_Annual.pdf</t>
        </is>
      </c>
      <c r="D3" s="8" t="inlineStr">
        <is>
          <t>Page 1 gives annual salaries; page 2 states the master's degree differential is $584 annually.</t>
        </is>
      </c>
    </row>
    <row r="4" ht="42.75" customHeight="1" s="104">
      <c r="A4" s="8" t="inlineStr">
        <is>
          <t>Substitute pay</t>
        </is>
      </c>
      <c r="B4" s="8" t="inlineStr">
        <is>
          <t>$261.49/day base daily rate</t>
        </is>
      </c>
      <c r="C4" s="8" t="inlineStr">
        <is>
          <t>https://hr.lausd.org/apps/pages/index.jsp?pREC_ID=2723080&amp;type=d&amp;uREC_ID=4422503</t>
        </is>
      </c>
      <c r="D4" s="8" t="inlineStr">
        <is>
          <t>Official certificated substitute page lists $43.58/hour and $261.49/day for 6 hours.</t>
        </is>
      </c>
    </row>
    <row r="5" ht="42.75" customHeight="1" s="104">
      <c r="A5" s="8" t="inlineStr">
        <is>
          <t>Student-teacher ratio / total schools</t>
        </is>
      </c>
      <c r="B5" s="8" t="inlineStr">
        <is>
          <t>19.20 ratio; 784 schools</t>
        </is>
      </c>
      <c r="C5" s="8" t="inlineStr">
        <is>
          <t>https://nces.ed.gov/ccd/districtsearch/district_detail.asp?ID2=0622710&amp;details=1</t>
        </is>
      </c>
      <c r="D5" s="8" t="inlineStr">
        <is>
          <t>NCES CCD district detail, 2024-2025 school year.</t>
        </is>
      </c>
    </row>
    <row r="6" ht="42.75" customHeight="1" s="104">
      <c r="A6" s="8" t="inlineStr">
        <is>
          <t>Demographics</t>
        </is>
      </c>
      <c r="B6" s="8" t="inlineStr">
        <is>
          <t>White 10%, Hispanic/Latino 73%, Asian 4%, Black 7%</t>
        </is>
      </c>
      <c r="C6" s="8" t="inlineStr">
        <is>
          <t>https://innovateschools.org/wp-content/uploads/2026/03/LAUSD-Datasheet-2024-25-English-1.pdf</t>
        </is>
      </c>
      <c r="D6" s="8" t="inlineStr">
        <is>
          <t>CDE-based 2024-25 data sheet; Filipino is reported separately and not included in the workbook's Asian column.</t>
        </is>
      </c>
    </row>
    <row r="7" ht="42.75" customHeight="1" s="104">
      <c r="A7" s="8" t="inlineStr">
        <is>
          <t>Median rent</t>
        </is>
      </c>
      <c r="B7" s="8" t="inlineStr">
        <is>
          <t>$2,650</t>
        </is>
      </c>
      <c r="C7" s="8" t="inlineStr">
        <is>
          <t>https://www.zillow.com/rental-manager/market-trends/los-angeles-ca/</t>
        </is>
      </c>
      <c r="D7" s="8" t="inlineStr">
        <is>
          <t>Zillow Rental Manager average rent for Los Angeles, CA, all bedrooms/property types, last updated June 8, 2026.</t>
        </is>
      </c>
    </row>
    <row r="8" ht="42.75" customHeight="1" s="104">
      <c r="A8" s="8" t="inlineStr">
        <is>
          <t>Median/typical home value</t>
        </is>
      </c>
      <c r="B8" s="8" t="inlineStr">
        <is>
          <t>$956,465</t>
        </is>
      </c>
      <c r="C8" s="8" t="inlineStr">
        <is>
          <t>https://www.zillow.com/home-values/12447/los-angeles-ca/</t>
        </is>
      </c>
      <c r="D8" s="8" t="inlineStr">
        <is>
          <t>Zillow Home Value Index for Los Angeles, CA, updated April 30, 2026. Workbook column label says median home price; this uses Zillow typical home value for consistency with available source.</t>
        </is>
      </c>
    </row>
    <row r="9" ht="42.75" customHeight="1" s="104">
      <c r="A9" s="8" t="inlineStr">
        <is>
          <t>Verification date</t>
        </is>
      </c>
      <c r="B9" s="8" t="inlineStr">
        <is>
          <t>2026-06-10</t>
        </is>
      </c>
      <c r="C9" s="8" t="n"/>
      <c r="D9" s="8" t="inlineStr">
        <is>
          <t>Date this LAUSD row was researched and added.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Field</t>
        </is>
      </c>
      <c r="B1" s="20" t="inlineStr">
        <is>
          <t>Value / Note</t>
        </is>
      </c>
      <c r="C1" s="20" t="inlineStr">
        <is>
          <t>Source URL</t>
        </is>
      </c>
    </row>
    <row r="2" ht="42.75" customHeight="1" s="104">
      <c r="A2" s="8" t="inlineStr">
        <is>
          <t>State salary schedule</t>
        </is>
      </c>
      <c r="B2" s="8" t="inlineStr">
        <is>
          <t>NC FY 2025-26 certified teacher salary schedule, annual salaries for BA and MA at years 0-10.</t>
        </is>
      </c>
      <c r="C2" s="8" t="inlineStr">
        <is>
          <t>https://www.dpi.nc.gov/documents/fbs/budget/fy26webschedulespdf/download?attachment=</t>
        </is>
      </c>
    </row>
    <row r="3" ht="42.75" customHeight="1" s="104">
      <c r="A3" s="8" t="inlineStr">
        <is>
          <t>Local supplement</t>
        </is>
      </c>
      <c r="B3" s="8" t="inlineStr">
        <is>
          <t>CHCCS teacher local supplement is 18% for years 0-19; applied to NC state salary schedule.</t>
        </is>
      </c>
      <c r="C3" s="8" t="inlineStr">
        <is>
          <t>https://www.chccs.org/our-district/human-resources/salary-supplement</t>
        </is>
      </c>
    </row>
    <row r="4" ht="42.75" customHeight="1" s="104">
      <c r="A4" s="8" t="inlineStr">
        <is>
          <t>Student-teacher ratio / total schools</t>
        </is>
      </c>
      <c r="B4" s="8" t="inlineStr">
        <is>
          <t>NCES 2024-25: 20 schools, 11,353 students, 894.67 classroom teachers, student/teacher ratio 12.69.</t>
        </is>
      </c>
      <c r="C4" s="8" t="inlineStr">
        <is>
          <t>https://nces.ed.gov/ccd/districtsearch/district_detail.asp?ID2=3700720&amp;details=1</t>
        </is>
      </c>
    </row>
    <row r="5" ht="42.75" customHeight="1" s="104">
      <c r="A5" s="8" t="inlineStr">
        <is>
          <t>School level counts</t>
        </is>
      </c>
      <c r="B5" s="8" t="inlineStr">
        <is>
          <t>CHCCS says district operates 4 high schools, 4 middle schools, 11 elementary schools, and one hospital school.</t>
        </is>
      </c>
      <c r="C5" s="8" t="inlineStr">
        <is>
          <t>https://www.chccs.org/our-district/homepage</t>
        </is>
      </c>
    </row>
    <row r="6" ht="42.75" customHeight="1" s="104">
      <c r="A6" s="8" t="inlineStr">
        <is>
          <t>Substitute pay</t>
        </is>
      </c>
      <c r="B6" s="8" t="inlineStr">
        <is>
          <t>Certified substitute rate: $135/day; long-term certified: $165/day.</t>
        </is>
      </c>
      <c r="C6" s="8" t="inlineStr">
        <is>
          <t>https://www.k12jobspot.com/Job/5489091</t>
        </is>
      </c>
    </row>
    <row r="7" ht="42.75" customHeight="1" s="104">
      <c r="A7" s="8" t="inlineStr">
        <is>
          <t>Median rent</t>
        </is>
      </c>
      <c r="B7" s="8" t="inlineStr">
        <is>
          <t>Zillow average rent in Chapel Hill, NC: $1,850.</t>
        </is>
      </c>
      <c r="C7" s="8" t="inlineStr">
        <is>
          <t>https://www.zillow.com/rental-manager/market-trends/chapel-hill-nc/</t>
        </is>
      </c>
    </row>
    <row r="8" ht="42.75" customHeight="1" s="104">
      <c r="A8" s="8" t="inlineStr">
        <is>
          <t>Median home price</t>
        </is>
      </c>
      <c r="B8" s="8" t="inlineStr">
        <is>
          <t>Zillow average Chapel Hill, NC home value: $634,403.</t>
        </is>
      </c>
      <c r="C8" s="8" t="inlineStr">
        <is>
          <t>https://www.zillow.com/home-values/17386/chapel-hill-nc/</t>
        </is>
      </c>
    </row>
    <row r="9" ht="42.75" customHeight="1" s="104">
      <c r="A9" s="8" t="inlineStr">
        <is>
          <t>Student demographics</t>
        </is>
      </c>
      <c r="B9" s="8" t="inlineStr">
        <is>
          <t>White 52.52%, Hispanic 14.40%, Asian 15.01%, Black 11.28% from TeacherServer district diversity table; verify with NC Report Card if needed.</t>
        </is>
      </c>
      <c r="C9" s="8" t="inlineStr">
        <is>
          <t>https://teacherserver.com/schooldiversity/xdistrict.php?id=3700720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10" customWidth="1" style="104" min="5" max="15"/>
    <col width="24" customWidth="1" style="104" min="16" max="16"/>
    <col width="10" customWidth="1" style="104" min="17" max="26"/>
  </cols>
  <sheetData>
    <row r="1" ht="53.25" customHeight="1" s="104">
      <c r="A1" s="20" t="inlineStr">
        <is>
          <t>Field</t>
        </is>
      </c>
      <c r="B1" s="20" t="inlineStr">
        <is>
          <t>Value / Note</t>
        </is>
      </c>
      <c r="C1" s="20" t="inlineStr">
        <is>
          <t>Source URL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42.75" customHeight="1" s="104">
      <c r="A2" s="8" t="inlineStr">
        <is>
          <t>District</t>
        </is>
      </c>
      <c r="B2" s="8" t="inlineStr">
        <is>
          <t>Portland Public Schools / Portland SD 1J</t>
        </is>
      </c>
      <c r="C2" s="8" t="inlineStr">
        <is>
          <t>https://nces.ed.gov/ccd/districtsearch/district_detail.asp?ID2=4110040&amp;details=2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42.75" customHeight="1" s="104">
      <c r="A3" s="8" t="inlineStr">
        <is>
          <t>Salary schedule</t>
        </is>
      </c>
      <c r="B3" s="8" t="inlineStr">
        <is>
          <t>PPS 2025-2026 Professional Educators 193-day salary schedule; BA+15 used for Bachelor's and BA+60/MA used for Master's; years 0-10 mapped to salary rows A-K.</t>
        </is>
      </c>
      <c r="C3" s="8" t="inlineStr">
        <is>
          <t>https://www.pps.net/departments/human-resources/classification-and-compensation/salary-schedules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42.75" customHeight="1" s="104">
      <c r="A4" s="8" t="inlineStr">
        <is>
          <t>Substitute pay</t>
        </is>
      </c>
      <c r="B4" s="8" t="inlineStr">
        <is>
          <t>Substitute Educator full-day rate: $275.71 for 2025-2026.</t>
        </is>
      </c>
      <c r="C4" s="8" t="inlineStr">
        <is>
          <t>https://www.pps.net/departments/human-resources/substituting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42.75" customHeight="1" s="104">
      <c r="A5" s="8" t="inlineStr">
        <is>
          <t>Schools / teacher FTE</t>
        </is>
      </c>
      <c r="B5" s="8" t="inlineStr">
        <is>
          <t>NCES lists 86 total schools and 2,710.87 teacher FTE for Portland SD 1J, 2024-2025.</t>
        </is>
      </c>
      <c r="C5" s="8" t="inlineStr">
        <is>
          <t>https://nces.ed.gov/ccd/districtsearch/district_detail.asp?ID2=4110040&amp;details=2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42.75" customHeight="1" s="104">
      <c r="A6" s="8" t="inlineStr">
        <is>
          <t>Enrollment / demographics</t>
        </is>
      </c>
      <c r="B6" s="8" t="inlineStr">
        <is>
          <t>PPS October 2025 district total: 43,477 students; White 53.3%, Latino 18.4%, Asian 5.7%, Black 8.3%.</t>
        </is>
      </c>
      <c r="C6" s="8" t="inlineStr">
        <is>
          <t>https://www.pps.net/departments/research-assessment-and-accountability/data-and-reports/enrollment-reports-and-school-profiles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42.75" customHeight="1" s="104">
      <c r="A7" s="8" t="inlineStr">
        <is>
          <t>Housing</t>
        </is>
      </c>
      <c r="B7" s="8" t="inlineStr">
        <is>
          <t>Zillow Portland home value $538,687 and rental market average rent $1,725 / $1,681 depending page; workbook uses $1,725 from Zillow home values/rental trends page.</t>
        </is>
      </c>
      <c r="C7" s="8" t="inlineStr">
        <is>
          <t>https://www.zillow.com/home-values/13373/portland-or/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42.75" customHeight="1" s="104">
      <c r="A8" s="8" t="inlineStr">
        <is>
          <t>Method note</t>
        </is>
      </c>
      <c r="B8" s="8" t="inlineStr">
        <is>
          <t>Student-teacher ratio calculated as 43,477 PPS enrollment / 2,710.87 NCES teacher FTE = 16.04. Score columns recalculated using the workbook methodology with Portland included.</t>
        </is>
      </c>
      <c r="C8" s="8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Value Used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Salary schedule</t>
        </is>
      </c>
      <c r="B2" s="8" t="inlineStr">
        <is>
          <t>2025-2026 BA/MA steps 1-11</t>
        </is>
      </c>
      <c r="C2" s="8" t="inlineStr">
        <is>
          <t>https://resources.finalsite.net/images/v1747940280/cherrycreekschoolsorg/wdju2pddegexsrgn0zir/Proposed2025-2026Certified-LicensedSalarySchedule.pdf</t>
        </is>
      </c>
      <c r="D2" s="8" t="inlineStr">
        <is>
          <t>Used step 1 as 0 years through step 11 as 10 years.</t>
        </is>
      </c>
    </row>
    <row r="3" ht="42.75" customHeight="1" s="104">
      <c r="A3" s="8" t="inlineStr">
        <is>
          <t>District compensation page</t>
        </is>
      </c>
      <c r="B3" s="8" t="inlineStr">
        <is>
          <t>2025-2026 certified/licensed salary schedule link</t>
        </is>
      </c>
      <c r="C3" s="8" t="inlineStr">
        <is>
          <t>https://www.cherrycreekschools.org/careers/human-resources/compensation</t>
        </is>
      </c>
      <c r="D3" s="8" t="inlineStr">
        <is>
          <t>District compensation page hosts the official pay plan links.</t>
        </is>
      </c>
    </row>
    <row r="4" ht="42.75" customHeight="1" s="104">
      <c r="A4" s="8" t="inlineStr">
        <is>
          <t>Substitute pay</t>
        </is>
      </c>
      <c r="B4" s="8" t="inlineStr">
        <is>
          <t>$210 full day</t>
        </is>
      </c>
      <c r="C4" s="8" t="inlineStr">
        <is>
          <t>https://www.cherrycreekschools.org/careers/human-resources/substitutes</t>
        </is>
      </c>
      <c r="D4" s="8" t="inlineStr">
        <is>
          <t>Regular substitute full day rate; super sub/Title One/retired rates not used.</t>
        </is>
      </c>
    </row>
    <row r="5" ht="42.75" customHeight="1" s="104">
      <c r="A5" s="8" t="inlineStr">
        <is>
          <t>NCES district stats</t>
        </is>
      </c>
      <c r="B5" s="8" t="inlineStr">
        <is>
          <t>69 schools, 51,980 students, 3,212.73 FTE teachers, 16.18 ratio</t>
        </is>
      </c>
      <c r="C5" s="8" t="inlineStr">
        <is>
          <t>https://nces.ed.gov/ccd/districtsearch/district_detail.asp?ID2=0802910&amp;details=1</t>
        </is>
      </c>
      <c r="D5" s="8" t="inlineStr">
        <is>
          <t>Used student-teacher ratio; district profile uses official district facts total schools.</t>
        </is>
      </c>
    </row>
    <row r="6" ht="42.75" customHeight="1" s="104">
      <c r="A6" s="8" t="inlineStr">
        <is>
          <t>District facts/demographics</t>
        </is>
      </c>
      <c r="B6" s="8" t="inlineStr">
        <is>
          <t>White 44.8%, Hispanic 24.8%, Asian 8.4%, Black 11.4%, 67 schools</t>
        </is>
      </c>
      <c r="C6" s="8" t="inlineStr">
        <is>
          <t>https://www.cherrycreekschools.org/about-us/our-district/facts-figures</t>
        </is>
      </c>
      <c r="D6" s="8" t="inlineStr">
        <is>
          <t>Used for demographic balance score and school-level breakdown.</t>
        </is>
      </c>
    </row>
    <row r="7" ht="42.75" customHeight="1" s="104">
      <c r="A7" s="8" t="inlineStr">
        <is>
          <t>Home value</t>
        </is>
      </c>
      <c r="B7" s="8" t="inlineStr">
        <is>
          <t>$556,984 average of Aurora + Centennial Zillow home values</t>
        </is>
      </c>
      <c r="C7" s="8" t="inlineStr">
        <is>
          <t>https://www.zillow.com/home-values/16846/aurora-co/ ; https://www.zillow.com/home-values/93273/centennial-co-80161/</t>
        </is>
      </c>
      <c r="D7" s="8" t="inlineStr">
        <is>
          <t>Aurora $464,881; Centennial $649,086. Averaged because many CCSD households may live in nearby Aurora/Centennial rather than Greenwood Village.</t>
        </is>
      </c>
    </row>
    <row r="8" ht="42.75" customHeight="1" s="104">
      <c r="A8" s="8" t="inlineStr">
        <is>
          <t>Rent</t>
        </is>
      </c>
      <c r="B8" s="8" t="inlineStr">
        <is>
          <t>$2,208 average of Aurora + Centennial Zillow rents</t>
        </is>
      </c>
      <c r="C8" s="8" t="inlineStr">
        <is>
          <t>https://www.zillow.com/rental-manager/market-trends/aurora-co/ ; https://www.zillow.com/rental-manager/market-trends/centennial-co/</t>
        </is>
      </c>
      <c r="D8" s="8" t="inlineStr">
        <is>
          <t>Aurora $1,921; Centennial $2,495. Averaged because many CCSD households may live in nearby Aurora/Centennial rather than Greenwood Village.</t>
        </is>
      </c>
    </row>
    <row r="9" ht="42.75" customHeight="1" s="104">
      <c r="A9" s="8" t="inlineStr">
        <is>
          <t>Housing proxy note</t>
        </is>
      </c>
      <c r="B9" s="8" t="inlineStr">
        <is>
          <t>Aurora + Centennial average</t>
        </is>
      </c>
      <c r="C9" s="8" t="inlineStr">
        <is>
          <t>N/A</t>
        </is>
      </c>
      <c r="D9" s="8" t="inlineStr">
        <is>
          <t>Replaces Greenwood Village-only proxy to better represent nearby communities where CCSD families/staff may live.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Data Point</t>
        </is>
      </c>
      <c r="B1" s="20" t="inlineStr">
        <is>
          <t>Value Used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Teacher salary schedule</t>
        </is>
      </c>
      <c r="B2" s="8" t="inlineStr">
        <is>
          <t>2025-26 LCTA Teachers &amp; Psychologists; BA Class I; MA Class IV</t>
        </is>
      </c>
      <c r="C2" s="8" t="inlineStr">
        <is>
          <t>https://4.files.edl.io/82c5/08/14/25/213723-fb8372c1-6d7b-4358-9610-35dd8134bc12.pdf</t>
        </is>
      </c>
      <c r="D2" s="8" t="inlineStr">
        <is>
          <t>Used steps 1-11 as years experience 0-10.</t>
        </is>
      </c>
    </row>
    <row r="3" ht="42.75" customHeight="1" s="104">
      <c r="A3" s="8" t="inlineStr">
        <is>
          <t>Substitute pay</t>
        </is>
      </c>
      <c r="B3" s="8" t="inlineStr">
        <is>
          <t>$200/day</t>
        </is>
      </c>
      <c r="C3" s="8" t="inlineStr">
        <is>
          <t>https://www.edjoin.org/Home/JobPosting/2125841</t>
        </is>
      </c>
      <c r="D3" s="8" t="inlineStr">
        <is>
          <t>EdJoin posting lists $200/day or $100/half day.</t>
        </is>
      </c>
    </row>
    <row r="4" ht="42.75" customHeight="1" s="104">
      <c r="A4" s="8" t="inlineStr">
        <is>
          <t>Student-teacher ratio / schools</t>
        </is>
      </c>
      <c r="B4" s="8" t="inlineStr">
        <is>
          <t>23.66 ratio; 4 schools</t>
        </is>
      </c>
      <c r="C4" s="8" t="inlineStr">
        <is>
          <t>https://nces.ed.gov/ccd/districtsearch/district_detail.asp?ID2=0620130</t>
        </is>
      </c>
      <c r="D4" s="8" t="inlineStr">
        <is>
          <t>NCES District Detail, 2024-25 school year.</t>
        </is>
      </c>
    </row>
    <row r="5" ht="42.75" customHeight="1" s="104">
      <c r="A5" s="8" t="inlineStr">
        <is>
          <t>Housing</t>
        </is>
      </c>
      <c r="B5" s="8" t="inlineStr">
        <is>
          <t>$2,499,891 home value; $5,900 rent</t>
        </is>
      </c>
      <c r="C5" s="8" t="inlineStr">
        <is>
          <t>https://www.zillow.com/home-values/46080/la-canada-flintridge-ca/ ; https://www.zillow.com/rental-manager/market-trends/la-canada-flintridge-ca/</t>
        </is>
      </c>
      <c r="D5" s="8" t="inlineStr">
        <is>
          <t>Zillow home value updated 4/30/2026; Zillow rent updated 6/7/2026.</t>
        </is>
      </c>
    </row>
    <row r="6" ht="42.75" customHeight="1" s="104">
      <c r="A6" s="8" t="inlineStr">
        <is>
          <t>Demographics</t>
        </is>
      </c>
      <c r="B6" s="8" t="inlineStr">
        <is>
          <t>42% White; 33% Asian; 12% Hispanic; Black not listed</t>
        </is>
      </c>
      <c r="C6" s="8" t="inlineStr">
        <is>
          <t>https://www.publicschoolreview.com/california/la-canada-unified-school-district/620130-school-district</t>
        </is>
      </c>
      <c r="D6" s="8" t="inlineStr">
        <is>
          <t>Used Public School Review 2026 district FAQ; Black entered as 0 because not listed in the stated racial composition.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  <col width="10" customWidth="1" style="104" min="6" max="15"/>
    <col width="24" customWidth="1" style="104" min="16" max="16"/>
    <col width="10" customWidth="1" style="104" min="17" max="28"/>
  </cols>
  <sheetData>
    <row r="1" ht="53.25" customHeight="1" s="104">
      <c r="A1" s="20" t="inlineStr">
        <is>
          <t>District</t>
        </is>
      </c>
      <c r="B1" s="20" t="inlineStr">
        <is>
          <t>Area</t>
        </is>
      </c>
      <c r="C1" s="20" t="inlineStr">
        <is>
          <t>Median Home Price per Sq Ft</t>
        </is>
      </c>
      <c r="D1" s="20" t="inlineStr">
        <is>
          <t>PPSF Source URL</t>
        </is>
      </c>
      <c r="E1" s="20" t="inlineStr">
        <is>
          <t>Notes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</row>
    <row r="2" ht="42.75" customHeight="1" s="104">
      <c r="A2" s="8" t="inlineStr">
        <is>
          <t>Jordan District</t>
        </is>
      </c>
      <c r="B2" s="8" t="inlineStr">
        <is>
          <t>West Jordan, UT</t>
        </is>
      </c>
      <c r="C2" s="9" t="n">
        <v>232</v>
      </c>
      <c r="D2" s="8" t="inlineStr">
        <is>
          <t>https://www.redfin.com/city/20569/UT/West-Jordan/housing-market</t>
        </is>
      </c>
      <c r="E2" s="8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 ht="42.75" customHeight="1" s="104">
      <c r="A3" s="8" t="inlineStr">
        <is>
          <t>Glendora Unified School District</t>
        </is>
      </c>
      <c r="B3" s="8" t="inlineStr">
        <is>
          <t>Glendora, CA</t>
        </is>
      </c>
      <c r="C3" s="9" t="n">
        <v>583</v>
      </c>
      <c r="D3" s="8" t="inlineStr">
        <is>
          <t>https://www.redfin.com/city/7650/CA/Glendora/housing-market</t>
        </is>
      </c>
      <c r="E3" s="8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</row>
    <row r="4" ht="42.75" customHeight="1" s="104">
      <c r="A4" s="8" t="inlineStr">
        <is>
          <t>Alief ISD</t>
        </is>
      </c>
      <c r="B4" s="8" t="inlineStr">
        <is>
          <t>Alief, TX</t>
        </is>
      </c>
      <c r="C4" s="9" t="n">
        <v>113</v>
      </c>
      <c r="D4" s="8" t="inlineStr">
        <is>
          <t>https://www.redfin.com/neighborhood/29917/TX/Houston/Alief/housing-market</t>
        </is>
      </c>
      <c r="E4" s="8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</row>
    <row r="5" ht="42.75" customHeight="1" s="104">
      <c r="A5" s="8" t="inlineStr">
        <is>
          <t>San Diego Unified School District</t>
        </is>
      </c>
      <c r="B5" s="8" t="inlineStr">
        <is>
          <t>San Diego, CA</t>
        </is>
      </c>
      <c r="C5" s="9" t="n">
        <v>687</v>
      </c>
      <c r="D5" s="8" t="inlineStr">
        <is>
          <t>https://www.redfin.com/city/16904/CA/San-Diego/housing-market</t>
        </is>
      </c>
      <c r="E5" s="8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</row>
    <row r="6" ht="42.75" customHeight="1" s="104">
      <c r="A6" s="8" t="inlineStr">
        <is>
          <t>Leander ISD</t>
        </is>
      </c>
      <c r="B6" s="8" t="inlineStr">
        <is>
          <t>Austin, TX</t>
        </is>
      </c>
      <c r="C6" s="9" t="n">
        <v>190</v>
      </c>
      <c r="D6" s="8" t="inlineStr">
        <is>
          <t>https://www.redfin.com/city/30803/TX/Leander/housing-market</t>
        </is>
      </c>
      <c r="E6" s="8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 ht="42.75" customHeight="1" s="104">
      <c r="A7" s="8" t="inlineStr">
        <is>
          <t>Katy ISD</t>
        </is>
      </c>
      <c r="B7" s="8" t="inlineStr">
        <is>
          <t>Katy, TX</t>
        </is>
      </c>
      <c r="C7" s="9" t="n">
        <v>160</v>
      </c>
      <c r="D7" s="8" t="inlineStr">
        <is>
          <t>https://www.redfin.com/city/9764/TX/Katy/housing-market</t>
        </is>
      </c>
      <c r="E7" s="8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</row>
    <row r="8" ht="42.75" customHeight="1" s="104">
      <c r="A8" s="8" t="inlineStr">
        <is>
          <t>Oakland Unified School District</t>
        </is>
      </c>
      <c r="B8" s="8" t="inlineStr">
        <is>
          <t>Oakland, CA</t>
        </is>
      </c>
      <c r="C8" s="9" t="n">
        <v>577</v>
      </c>
      <c r="D8" s="8" t="inlineStr">
        <is>
          <t>https://www.redfin.com/city/13654/CA/Oakland/housing-market</t>
        </is>
      </c>
      <c r="E8" s="8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</row>
    <row r="9" ht="42.75" customHeight="1" s="104">
      <c r="A9" s="8" t="inlineStr">
        <is>
          <t>San Jose Unified School District</t>
        </is>
      </c>
      <c r="B9" s="8" t="inlineStr">
        <is>
          <t>San Jose, CA</t>
        </is>
      </c>
      <c r="C9" s="9" t="n">
        <v>878</v>
      </c>
      <c r="D9" s="8" t="inlineStr">
        <is>
          <t>https://www.redfin.com/city/17420/CA/San-Jose/housing-market</t>
        </is>
      </c>
      <c r="E9" s="8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</row>
    <row r="10" ht="42.75" customHeight="1" s="104">
      <c r="A10" s="8" t="inlineStr">
        <is>
          <t>Oxnard Union High School District</t>
        </is>
      </c>
      <c r="B10" s="8" t="inlineStr">
        <is>
          <t>Oxnard, CA</t>
        </is>
      </c>
      <c r="C10" s="9" t="n">
        <v>514</v>
      </c>
      <c r="D10" s="8" t="inlineStr">
        <is>
          <t>https://www.redfin.com/city/14141/CA/Oxnard/housing-market</t>
        </is>
      </c>
      <c r="E10" s="8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</row>
    <row r="11" ht="42.75" customHeight="1" s="104">
      <c r="A11" s="8" t="inlineStr">
        <is>
          <t>Provo City School District</t>
        </is>
      </c>
      <c r="B11" s="8" t="inlineStr">
        <is>
          <t>Provo, UT</t>
        </is>
      </c>
      <c r="C11" s="9" t="n">
        <v>267</v>
      </c>
      <c r="D11" s="8" t="inlineStr">
        <is>
          <t>https://www.redfin.com/city/16042/UT/Provo/housing-market</t>
        </is>
      </c>
      <c r="E11" s="8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</row>
    <row r="12" ht="42.75" customHeight="1" s="104">
      <c r="A12" s="8" t="inlineStr">
        <is>
          <t>Salt Lake School District</t>
        </is>
      </c>
      <c r="B12" s="8" t="inlineStr">
        <is>
          <t>Salt Lake City, UT</t>
        </is>
      </c>
      <c r="C12" s="9" t="n">
        <v>372</v>
      </c>
      <c r="D12" s="8" t="inlineStr">
        <is>
          <t>https://www.redfin.com/city/17150/UT/Salt-Lake-City/housing-market</t>
        </is>
      </c>
      <c r="E12" s="8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</row>
    <row r="13" ht="42.75" customHeight="1" s="104">
      <c r="A13" s="8" t="inlineStr">
        <is>
          <t>Denver Public Schools</t>
        </is>
      </c>
      <c r="B13" s="8" t="inlineStr">
        <is>
          <t>Denver, CO</t>
        </is>
      </c>
      <c r="C13" s="9" t="n">
        <v>367</v>
      </c>
      <c r="D13" s="8" t="inlineStr">
        <is>
          <t>https://www.redfin.com/city/5155/CO/Denver/housing-market</t>
        </is>
      </c>
      <c r="E13" s="8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</row>
    <row r="14" ht="42.75" customHeight="1" s="104">
      <c r="A14" s="8" t="inlineStr">
        <is>
          <t>Los Angeles Unified</t>
        </is>
      </c>
      <c r="B14" s="8" t="inlineStr">
        <is>
          <t>Los Angeles, CA</t>
        </is>
      </c>
      <c r="C14" s="9" t="n">
        <v>634</v>
      </c>
      <c r="D14" s="8" t="inlineStr">
        <is>
          <t>https://www.redfin.com/city/11203/CA/Los-Angeles/housing-market</t>
        </is>
      </c>
      <c r="E14" s="8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</row>
    <row r="15" ht="42.75" customHeight="1" s="104">
      <c r="A15" s="8" t="inlineStr">
        <is>
          <t>Chapel Hill-Carrboro City Schools</t>
        </is>
      </c>
      <c r="B15" s="8" t="inlineStr">
        <is>
          <t>Chapel Hill, NC</t>
        </is>
      </c>
      <c r="C15" s="9" t="n">
        <v>296</v>
      </c>
      <c r="D15" s="8" t="inlineStr">
        <is>
          <t>https://www.redfin.com/city/3059/NC/Chapel-Hill/housing-market</t>
        </is>
      </c>
      <c r="E15" s="8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</row>
    <row r="16" ht="42.75" customHeight="1" s="104">
      <c r="A16" s="8" t="inlineStr">
        <is>
          <t>Portland Public Schools</t>
        </is>
      </c>
      <c r="B16" s="8" t="inlineStr">
        <is>
          <t>Portland, OR</t>
        </is>
      </c>
      <c r="C16" s="9" t="n">
        <v>328</v>
      </c>
      <c r="D16" s="8" t="inlineStr">
        <is>
          <t>https://www.redfin.com/city/30772/OR/Portland/housing-market</t>
        </is>
      </c>
      <c r="E16" s="8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</row>
    <row r="17" ht="42.75" customHeight="1" s="104">
      <c r="A17" s="8" t="inlineStr">
        <is>
          <t>Cherry Creek School District</t>
        </is>
      </c>
      <c r="B17" s="8" t="inlineStr">
        <is>
          <t>Aurora &amp; Centennial, CO average</t>
        </is>
      </c>
      <c r="C17" s="9" t="n">
        <v>255</v>
      </c>
      <c r="D17" s="8" t="inlineStr">
        <is>
          <t>https://www.redfin.com/city/30839/CO/Aurora/housing-market ; https://www.redfin.com/city/3327/CO/Centennial/housing-market</t>
        </is>
      </c>
      <c r="E17" s="8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</row>
    <row r="18" ht="42.75" customHeight="1" s="104">
      <c r="A18" s="8" t="inlineStr">
        <is>
          <t>La Cañada Unified School District</t>
        </is>
      </c>
      <c r="B18" s="8" t="inlineStr">
        <is>
          <t>La Cañada Flintridge, CA</t>
        </is>
      </c>
      <c r="C18" s="9" t="n">
        <v>1030</v>
      </c>
      <c r="D18" s="8" t="inlineStr">
        <is>
          <t>https://www.redfin.com/city/9895/CA/La-Caada-Flintridge/housing-market</t>
        </is>
      </c>
      <c r="E18" s="8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</row>
    <row r="19" ht="42.75" customHeight="1" s="104">
      <c r="A19" s="8" t="inlineStr">
        <is>
          <t>Eanes ISD</t>
        </is>
      </c>
      <c r="B19" s="8" t="inlineStr">
        <is>
          <t>Austin 78746 / West Lake Hills, TX</t>
        </is>
      </c>
      <c r="C19" s="9" t="n">
        <v>558</v>
      </c>
      <c r="D19" s="8" t="inlineStr">
        <is>
          <t>https://www.redfin.com/zipcode/78746/housing-market</t>
        </is>
      </c>
      <c r="E19" s="8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</row>
    <row r="20" ht="42.75" customHeight="1" s="104">
      <c r="A20" s="8" t="inlineStr">
        <is>
          <t>Syosset Central School District</t>
        </is>
      </c>
      <c r="B20" s="8" t="inlineStr">
        <is>
          <t>Syosset, NY</t>
        </is>
      </c>
      <c r="C20" s="9" t="n">
        <v>559</v>
      </c>
      <c r="D20" s="8" t="inlineStr">
        <is>
          <t>https://www.redfin.com/city/26044/NY/Syosset/housing-market</t>
        </is>
      </c>
      <c r="E20" s="8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</row>
    <row r="21" ht="42.75" customHeight="1" s="104">
      <c r="A21" s="8" t="inlineStr">
        <is>
          <t>Glendale Union High School District</t>
        </is>
      </c>
      <c r="B21" s="8" t="inlineStr">
        <is>
          <t>Glendale, AZ / 85305 proxy</t>
        </is>
      </c>
      <c r="C21" s="9" t="n">
        <v>211</v>
      </c>
      <c r="D21" s="8" t="inlineStr">
        <is>
          <t>https://www.redfin.com/zipcode/85305/housing-market</t>
        </is>
      </c>
      <c r="E21" s="8" t="inlineStr">
        <is>
          <t>Redfin 85305 used as Glendale-area PPSF proxy.</t>
        </is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</row>
    <row r="22" ht="42.75" customHeight="1" s="104">
      <c r="A22" s="8" t="inlineStr">
        <is>
          <t>San Antonio ISD</t>
        </is>
      </c>
      <c r="B22" s="8" t="inlineStr">
        <is>
          <t>San Antonio, TX</t>
        </is>
      </c>
      <c r="C22" s="9" t="n">
        <v>151</v>
      </c>
      <c r="D22" s="8" t="inlineStr">
        <is>
          <t>https://www.redfin.com/city/16657/TX/San-Antonio/housing-market</t>
        </is>
      </c>
      <c r="E22" s="8" t="inlineStr">
        <is>
          <t>Redfin San Antonio city PPSF.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Field</t>
        </is>
      </c>
      <c r="B1" s="20" t="inlineStr">
        <is>
          <t>Value used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Teacher salary schedule</t>
        </is>
      </c>
      <c r="B2" s="8" t="inlineStr">
        <is>
          <t>2025-26 187-day classroom teacher pay plan, years 0-10</t>
        </is>
      </c>
      <c r="C2" s="8" t="inlineStr">
        <is>
          <t>https://resources.finalsite.net/images/v1752617781/eanesisdnet/spyojkejaf8h5sunkjwe/2025-26TeacherPayPlan.pdf</t>
        </is>
      </c>
      <c r="D2" s="8" t="inlineStr">
        <is>
          <t>Used total salary column for classroom teachers.</t>
        </is>
      </c>
    </row>
    <row r="3" ht="42.75" customHeight="1" s="104">
      <c r="A3" s="8" t="inlineStr">
        <is>
          <t>Master's stipend</t>
        </is>
      </c>
      <c r="B3" s="8" t="inlineStr">
        <is>
          <t>$2,600 MA advanced degree stipend</t>
        </is>
      </c>
      <c r="C3" s="8" t="inlineStr">
        <is>
          <t>https://resources.finalsite.net/images/v1752617781/eanesisdnet/spyojkejaf8h5sunkjwe/2025-26TeacherPayPlan.pdf</t>
        </is>
      </c>
      <c r="D3" s="8" t="inlineStr">
        <is>
          <t>Added to BA classroom teacher total salary for Master's rows.</t>
        </is>
      </c>
    </row>
    <row r="4" ht="42.75" customHeight="1" s="104">
      <c r="A4" s="8" t="inlineStr">
        <is>
          <t>Substitute pay</t>
        </is>
      </c>
      <c r="B4" s="8" t="inlineStr">
        <is>
          <t>$130/day for substitute teacher days 1-30</t>
        </is>
      </c>
      <c r="C4" s="8" t="inlineStr">
        <is>
          <t>https://www.eanesisd.net/dept/hr/subs/pay</t>
        </is>
      </c>
      <c r="D4" s="8" t="inlineStr">
        <is>
          <t>Base daily substitute teacher/teacher aide rate.</t>
        </is>
      </c>
    </row>
    <row r="5" ht="42.75" customHeight="1" s="104">
      <c r="A5" s="8" t="inlineStr">
        <is>
          <t>Student-teacher ratio</t>
        </is>
      </c>
      <c r="B5" s="8" t="inlineStr">
        <is>
          <t>12.28</t>
        </is>
      </c>
      <c r="C5" s="8" t="inlineStr">
        <is>
          <t>https://nces.ed.gov/ccd/districtsearch/district_detail.asp?County=Travis+County&amp;ID2=4817760&amp;Search=1&amp;State=48</t>
        </is>
      </c>
      <c r="D5" s="8" t="inlineStr">
        <is>
          <t>NCES 2024-25 district details.</t>
        </is>
      </c>
    </row>
    <row r="6" ht="42.75" customHeight="1" s="104">
      <c r="A6" s="8" t="inlineStr">
        <is>
          <t>Total schools</t>
        </is>
      </c>
      <c r="B6" s="8" t="inlineStr">
        <is>
          <t>10</t>
        </is>
      </c>
      <c r="C6" s="8" t="inlineStr">
        <is>
          <t>https://nces.ed.gov/ccd/districtsearch/district_detail.asp?County=Travis+County&amp;ID2=4817760&amp;Search=1&amp;State=48</t>
        </is>
      </c>
      <c r="D6" s="8" t="inlineStr">
        <is>
          <t>NCES 2024-25 district directory.</t>
        </is>
      </c>
    </row>
    <row r="7" ht="42.75" customHeight="1" s="104">
      <c r="A7" s="8" t="inlineStr">
        <is>
          <t>Demographics</t>
        </is>
      </c>
      <c r="B7" s="8" t="inlineStr">
        <is>
          <t>White 62.0%, Hispanic 15.4%, Asian 14.7%, Black 0.9%</t>
        </is>
      </c>
      <c r="C7" s="8" t="inlineStr">
        <is>
          <t>https://www.har.com/school_district/eanes-isd_227909</t>
        </is>
      </c>
      <c r="D7" s="8" t="inlineStr">
        <is>
          <t>Used HAR district student statistics.</t>
        </is>
      </c>
    </row>
    <row r="8" ht="42.75" customHeight="1" s="104">
      <c r="A8" s="8" t="inlineStr">
        <is>
          <t>Median home price</t>
        </is>
      </c>
      <c r="B8" s="8" t="inlineStr">
        <is>
          <t>$1,724,921</t>
        </is>
      </c>
      <c r="C8" s="8" t="inlineStr">
        <is>
          <t>https://www.zillow.com/home-values/92655/austin-tx-78746/</t>
        </is>
      </c>
      <c r="D8" s="8" t="inlineStr">
        <is>
          <t>Used 78746 as housing proxy for Eanes ISD/Westlake area.</t>
        </is>
      </c>
    </row>
    <row r="9" ht="42.75" customHeight="1" s="104">
      <c r="A9" s="8" t="inlineStr">
        <is>
          <t>Median rent</t>
        </is>
      </c>
      <c r="B9" s="8" t="inlineStr">
        <is>
          <t>$3,900</t>
        </is>
      </c>
      <c r="C9" s="8" t="inlineStr">
        <is>
          <t>https://www.zillow.com/rental-manager/market-trends/78746/</t>
        </is>
      </c>
      <c r="D9" s="8" t="inlineStr">
        <is>
          <t>Used 78746 as housing proxy for Eanes ISD/Westlake area.</t>
        </is>
      </c>
    </row>
    <row r="10" ht="42.75" customHeight="1" s="104">
      <c r="A10" s="8" t="inlineStr">
        <is>
          <t>Median home price per sq ft</t>
        </is>
      </c>
      <c r="B10" s="8" t="inlineStr">
        <is>
          <t>$558</t>
        </is>
      </c>
      <c r="C10" s="8" t="inlineStr">
        <is>
          <t>https://www.redfin.com/zipcode/78746/housing-market</t>
        </is>
      </c>
      <c r="D10" s="8" t="inlineStr">
        <is>
          <t>Used Redfin 78746 median sale price per square foot.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Field</t>
        </is>
      </c>
      <c r="B1" s="20" t="inlineStr">
        <is>
          <t>Value used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Teacher salary schedule</t>
        </is>
      </c>
      <c r="B2" s="8" t="inlineStr">
        <is>
          <t>2025-26 STA/TCH-B BA and MA salary schedule; years 0-10 mapped to steps 1-11</t>
        </is>
      </c>
      <c r="C2" s="8" t="inlineStr">
        <is>
          <t>https://resources.finalsite.net/images/v1760543603/syossetk12nyus/wck1xacrbzy6lhumipj9/STAMOA2025-2030.pdf</t>
        </is>
      </c>
      <c r="D2" s="8" t="inlineStr">
        <is>
          <t>Used BA and MA rows from the 2025-26 salary schedule.</t>
        </is>
      </c>
    </row>
    <row r="3" ht="42.75" customHeight="1" s="104">
      <c r="A3" s="8" t="inlineStr">
        <is>
          <t>Substitute pay</t>
        </is>
      </c>
      <c r="B3" s="8" t="inlineStr">
        <is>
          <t>$160/day permanent substitute teacher rate</t>
        </is>
      </c>
      <c r="C3" s="8" t="inlineStr">
        <is>
          <t>https://olasjobs.org/job-details/SYTN0326267-3014</t>
        </is>
      </c>
      <c r="D3" s="8" t="inlineStr">
        <is>
          <t>Used OLAS posting for Syosset CSD permanent substitute rate.</t>
        </is>
      </c>
    </row>
    <row r="4" ht="42.75" customHeight="1" s="104">
      <c r="A4" s="8" t="inlineStr">
        <is>
          <t>Student-teacher ratio</t>
        </is>
      </c>
      <c r="B4" s="8" t="inlineStr">
        <is>
          <t>10.28</t>
        </is>
      </c>
      <c r="C4" s="8" t="inlineStr">
        <is>
          <t>https://nces.ed.gov/ccd/districtsearch/district_detail.asp?ID2=3628560</t>
        </is>
      </c>
      <c r="D4" s="8" t="inlineStr">
        <is>
          <t>NCES 2024-2025 district data.</t>
        </is>
      </c>
    </row>
    <row r="5" ht="42.75" customHeight="1" s="104">
      <c r="A5" s="8" t="inlineStr">
        <is>
          <t>Total schools</t>
        </is>
      </c>
      <c r="B5" s="8" t="inlineStr">
        <is>
          <t>10</t>
        </is>
      </c>
      <c r="C5" s="8" t="inlineStr">
        <is>
          <t>https://nces.ed.gov/ccd/districtsearch/district_detail.asp?ID2=3628560</t>
        </is>
      </c>
      <c r="D5" s="8" t="inlineStr">
        <is>
          <t>NCES district directory total schools.</t>
        </is>
      </c>
    </row>
    <row r="6" ht="42.75" customHeight="1" s="104">
      <c r="A6" s="8" t="inlineStr">
        <is>
          <t>School level counts</t>
        </is>
      </c>
      <c r="B6" s="8" t="inlineStr">
        <is>
          <t>7 elementary, 2 middle, 1 high</t>
        </is>
      </c>
      <c r="C6" s="8" t="inlineStr">
        <is>
          <t>https://www.syossetschools.org/schools</t>
        </is>
      </c>
      <c r="D6" s="8" t="inlineStr">
        <is>
          <t>District school list: seven elementary schools, two middle schools, one high school.</t>
        </is>
      </c>
    </row>
    <row r="7" ht="42.75" customHeight="1" s="104">
      <c r="A7" s="8" t="inlineStr">
        <is>
          <t>Demographics</t>
        </is>
      </c>
      <c r="B7" s="8" t="inlineStr">
        <is>
          <t>Asian 52.4%, White 39.4%, Hispanic 4.6%, Black 0.6%</t>
        </is>
      </c>
      <c r="C7" s="8" t="inlineStr">
        <is>
          <t>https://www.niche.com/k12/d/syosset-central-school-district-ny/students/</t>
        </is>
      </c>
      <c r="D7" s="8" t="inlineStr">
        <is>
          <t>Used student diversity percentages from Niche.</t>
        </is>
      </c>
    </row>
    <row r="8" ht="42.75" customHeight="1" s="104">
      <c r="A8" s="8" t="inlineStr">
        <is>
          <t>Median home price</t>
        </is>
      </c>
      <c r="B8" s="8" t="inlineStr">
        <is>
          <t>$1,096,329</t>
        </is>
      </c>
      <c r="C8" s="8" t="inlineStr">
        <is>
          <t>https://www.zillow.com/home-values/34220/syosset-ny/</t>
        </is>
      </c>
      <c r="D8" s="8" t="inlineStr">
        <is>
          <t>Zillow Syosset home value.</t>
        </is>
      </c>
    </row>
    <row r="9" ht="42.75" customHeight="1" s="104">
      <c r="A9" s="8" t="inlineStr">
        <is>
          <t>Median rent</t>
        </is>
      </c>
      <c r="B9" s="8" t="inlineStr">
        <is>
          <t>$5,200</t>
        </is>
      </c>
      <c r="C9" s="8" t="inlineStr">
        <is>
          <t>https://www.zillow.com/rental-manager/market-trends/syosset-ny/</t>
        </is>
      </c>
      <c r="D9" s="8" t="inlineStr">
        <is>
          <t>Zillow Rental Manager Syosset rent.</t>
        </is>
      </c>
    </row>
    <row r="10" ht="42.75" customHeight="1" s="104">
      <c r="A10" s="8" t="inlineStr">
        <is>
          <t>Median home price per sq ft</t>
        </is>
      </c>
      <c r="B10" s="8" t="inlineStr">
        <is>
          <t>$559</t>
        </is>
      </c>
      <c r="C10" s="8" t="inlineStr">
        <is>
          <t>https://www.redfin.com/city/26044/NY/Syosset/housing-market</t>
        </is>
      </c>
      <c r="D10" s="8" t="inlineStr">
        <is>
          <t>Redfin Syosset median sale price per square foot.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Field</t>
        </is>
      </c>
      <c r="B1" s="20" t="inlineStr">
        <is>
          <t>Value used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Certified salary schedule page</t>
        </is>
      </c>
      <c r="B2" s="8" t="inlineStr">
        <is>
          <t>GUHSD links Certified Personnel salary schedule</t>
        </is>
      </c>
      <c r="C2" s="8" t="inlineStr">
        <is>
          <t>https://www.guhsdaz.org/salaryschedules</t>
        </is>
      </c>
      <c r="D2" s="8" t="inlineStr">
        <is>
          <t>The district salary page links the Certified Personnel schedule as a Google Doc.</t>
        </is>
      </c>
    </row>
    <row r="3" ht="42.75" customHeight="1" s="104">
      <c r="A3" s="8" t="inlineStr">
        <is>
          <t>Teacher salary range used</t>
        </is>
      </c>
      <c r="B3" s="8" t="inlineStr">
        <is>
          <t>$56,000-$64,500 annual salary range</t>
        </is>
      </c>
      <c r="C3" s="8" t="inlineStr">
        <is>
          <t>https://us.trabajo.org/job-4023-9f6f875ede08a4c5b9a5cb14463a6115</t>
        </is>
      </c>
      <c r="D3" s="8" t="inlineStr">
        <is>
          <t>Search result showed GUHSD teacher annual salary range. Since detailed Google Doc values were not accessible, years 0-10 were interpolated across this range.</t>
        </is>
      </c>
    </row>
    <row r="4" ht="42.75" customHeight="1" s="104">
      <c r="A4" s="8" t="inlineStr">
        <is>
          <t>Average teacher salary reference</t>
        </is>
      </c>
      <c r="B4" s="8" t="inlineStr">
        <is>
          <t>FY 2027 average teacher salary $76,360; FY 2026 average $78,803</t>
        </is>
      </c>
      <c r="C4" s="8" t="inlineStr">
        <is>
          <t>https://www.guhsdaz.org/61676_2</t>
        </is>
      </c>
      <c r="D4" s="8" t="inlineStr">
        <is>
          <t>Used as context only, not as 0-10 salary schedule.</t>
        </is>
      </c>
    </row>
    <row r="5" ht="42.75" customHeight="1" s="104">
      <c r="A5" s="8" t="inlineStr">
        <is>
          <t>Student/teacher ratio and total schools</t>
        </is>
      </c>
      <c r="B5" s="8" t="inlineStr">
        <is>
          <t>16,092 students; 723.60 classroom teachers; 22.24 ratio; 11 schools</t>
        </is>
      </c>
      <c r="C5" s="8" t="inlineStr">
        <is>
          <t>https://nces.ed.gov/ccd/districtsearch/district_detail.asp?ID2=0403450&amp;Search=2&amp;details=1</t>
        </is>
      </c>
      <c r="D5" s="8" t="inlineStr">
        <is>
          <t>NCES 2024-2025 district details.</t>
        </is>
      </c>
    </row>
    <row r="6" ht="42.75" customHeight="1" s="104">
      <c r="A6" s="8" t="inlineStr">
        <is>
          <t>District school count structure</t>
        </is>
      </c>
      <c r="B6" s="8" t="inlineStr">
        <is>
          <t>11 high schools / total schools</t>
        </is>
      </c>
      <c r="C6" s="8" t="inlineStr">
        <is>
          <t>https://www.greatschools.org/arizona/glendale/glendale-union-high-school-district/</t>
        </is>
      </c>
      <c r="D6" s="8" t="inlineStr">
        <is>
          <t>High-school-only district; GreatSchools lists 11 high schools and 11 total schools.</t>
        </is>
      </c>
    </row>
    <row r="7" ht="42.75" customHeight="1" s="104">
      <c r="A7" s="8" t="inlineStr">
        <is>
          <t>Substitute pay</t>
        </is>
      </c>
      <c r="B7" s="8" t="inlineStr">
        <is>
          <t>$123-$199 daily range; $123 used as conservative base daily rate</t>
        </is>
      </c>
      <c r="C7" s="8" t="inlineStr">
        <is>
          <t>https://www.ziprecruiter.com/c/Glendale-Union-High-School-District-205/Job/Substitute-Teacher/-in-Glendale%2CAZ?jid=af8feceefd00ad34</t>
        </is>
      </c>
      <c r="D7" s="8" t="inlineStr">
        <is>
          <t>Search result for GUHSD Substitute Teacher showed $123 to $199 daily.</t>
        </is>
      </c>
    </row>
    <row r="8" ht="42.75" customHeight="1" s="104">
      <c r="A8" s="8" t="inlineStr">
        <is>
          <t>Median home price</t>
        </is>
      </c>
      <c r="B8" s="8" t="inlineStr">
        <is>
          <t>$408,630</t>
        </is>
      </c>
      <c r="C8" s="8" t="inlineStr">
        <is>
          <t>https://www.zillow.com/home-values/18298/glendale-az/</t>
        </is>
      </c>
      <c r="D8" s="8" t="inlineStr">
        <is>
          <t>Zillow Glendale, AZ home value, updated 4/30/2026.</t>
        </is>
      </c>
    </row>
    <row r="9" ht="42.75" customHeight="1" s="104">
      <c r="A9" s="8" t="inlineStr">
        <is>
          <t>Median rent</t>
        </is>
      </c>
      <c r="B9" s="8" t="inlineStr">
        <is>
          <t>$1,987</t>
        </is>
      </c>
      <c r="C9" s="8" t="inlineStr">
        <is>
          <t>https://www.zillow.com/rental-manager/market-trends/glendale-az/</t>
        </is>
      </c>
      <c r="D9" s="8" t="inlineStr">
        <is>
          <t>Zillow Rental Manager Glendale, AZ average rent, last updated June 8, 2026.</t>
        </is>
      </c>
    </row>
    <row r="10" ht="42.75" customHeight="1" s="104">
      <c r="A10" s="8" t="inlineStr">
        <is>
          <t>Median home price per sq ft</t>
        </is>
      </c>
      <c r="B10" s="8" t="inlineStr">
        <is>
          <t>$211</t>
        </is>
      </c>
      <c r="C10" s="8" t="inlineStr">
        <is>
          <t>https://www.redfin.com/zipcode/85305/housing-market</t>
        </is>
      </c>
      <c r="D10" s="8" t="inlineStr">
        <is>
          <t>Redfin 85305 median sale price per square foot used as Glendale-area proxy.</t>
        </is>
      </c>
    </row>
    <row r="11" ht="42.75" customHeight="1" s="104">
      <c r="A11" s="8" t="inlineStr">
        <is>
          <t>Demographics</t>
        </is>
      </c>
      <c r="B11" s="8" t="inlineStr">
        <is>
          <t>Hispanic 59.7%, White 23.4%, Black 9.3%, Asian 3.2%</t>
        </is>
      </c>
      <c r="C11" s="8" t="inlineStr">
        <is>
          <t>https://civilrightsdata.ed.gov/profile/us/az/glendale_union_high_school_district_%284285%29?nces=0403450&amp;surveyYear=2020</t>
        </is>
      </c>
      <c r="D11" s="8" t="inlineStr">
        <is>
          <t>Public CRDC result; current NCES demographic dashboard was not directly extractable.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Value Used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Teacher salary schedule</t>
        </is>
      </c>
      <c r="B2" s="8" t="inlineStr">
        <is>
          <t>2026–2027 classroom teacher pay schedule: BA/MA years 0–10</t>
        </is>
      </c>
      <c r="C2" s="8" t="inlineStr">
        <is>
          <t>https://files-backend.assets.thrillshare.com/documents/asset/uploaded_file/5576/Saisd/8bcbc47c-7a33-45ba-8903-6326c3c1eec3/CR-TEACHER-PAY-SCALE-26-27SY.pdf?disposition=inline</t>
        </is>
      </c>
      <c r="D2" s="8" t="inlineStr">
        <is>
          <t>Official SAISD Compensation Resource Manual PDF.</t>
        </is>
      </c>
    </row>
    <row r="3" ht="42.75" customHeight="1" s="104">
      <c r="A3" s="8" t="inlineStr">
        <is>
          <t>Substitute pay</t>
        </is>
      </c>
      <c r="B3" s="8" t="inlineStr">
        <is>
          <t>$140/day</t>
        </is>
      </c>
      <c r="C3" s="8" t="inlineStr">
        <is>
          <t>User provided in chat</t>
        </is>
      </c>
      <c r="D3" s="8" t="inlineStr">
        <is>
          <t>Entered per user instruction.</t>
        </is>
      </c>
    </row>
    <row r="4" ht="42.75" customHeight="1" s="104">
      <c r="A4" s="8" t="inlineStr">
        <is>
          <t>Student-teacher ratio</t>
        </is>
      </c>
      <c r="B4" s="8" t="inlineStr">
        <is>
          <t>14.95</t>
        </is>
      </c>
      <c r="C4" s="8" t="inlineStr">
        <is>
          <t>https://nces.ed.gov/ccd/districtsearch/district_detail.asp?ID2=4838730</t>
        </is>
      </c>
      <c r="D4" s="8" t="inlineStr">
        <is>
          <t>NCES 2024–2025 district detail.</t>
        </is>
      </c>
    </row>
    <row r="5" ht="42.75" customHeight="1" s="104">
      <c r="A5" s="8" t="inlineStr">
        <is>
          <t>Enrollment / campus counts</t>
        </is>
      </c>
      <c r="B5" s="8" t="inlineStr">
        <is>
          <t>42,548 students; 83 campuses; 51 elementary, 12 middle, 14 high</t>
        </is>
      </c>
      <c r="C5" s="8" t="inlineStr">
        <is>
          <t>https://schools.texastribune.org/districts/san-antonio-isd/</t>
        </is>
      </c>
      <c r="D5" s="8" t="inlineStr">
        <is>
          <t>Texas Tribune Schools Explorer.</t>
        </is>
      </c>
    </row>
    <row r="6" ht="42.75" customHeight="1" s="104">
      <c r="A6" s="8" t="inlineStr">
        <is>
          <t>Demographics</t>
        </is>
      </c>
      <c r="B6" s="8" t="inlineStr">
        <is>
          <t>Hispanic 89.6%; Black 6%; White 3%; Asian 1.4%</t>
        </is>
      </c>
      <c r="C6" s="8" t="inlineStr">
        <is>
          <t>https://schools.texastribune.org/districts/san-antonio-isd/demographics/ ; https://www.expressnews.com/projects/2025/school-demographics-2025/ ; https://www.publicschoolreview.com/texas/san-antonio-independent-school-district/4838730-school-district</t>
        </is>
      </c>
      <c r="D6" s="8" t="inlineStr">
        <is>
          <t>White/Asian split uses an estimate to fit workbook categories because source pages summarize Hispanic, Black, and minority share but do not expose every category cleanly in parsed text.</t>
        </is>
      </c>
    </row>
    <row r="7" ht="42.75" customHeight="1" s="104">
      <c r="A7" s="8" t="inlineStr">
        <is>
          <t>Home price / PPSF</t>
        </is>
      </c>
      <c r="B7" s="8" t="inlineStr">
        <is>
          <t>$260,000 median sale price; $151 per sq ft</t>
        </is>
      </c>
      <c r="C7" s="8" t="inlineStr">
        <is>
          <t>https://www.redfin.com/city/16657/TX/San-Antonio/housing-market</t>
        </is>
      </c>
      <c r="D7" s="8" t="inlineStr">
        <is>
          <t>Redfin San Antonio housing market.</t>
        </is>
      </c>
    </row>
    <row r="8" ht="42.75" customHeight="1" s="104">
      <c r="A8" s="8" t="inlineStr">
        <is>
          <t>Rent</t>
        </is>
      </c>
      <c r="B8" s="8" t="inlineStr">
        <is>
          <t>$1,372 current rent proxy</t>
        </is>
      </c>
      <c r="C8" s="8" t="inlineStr">
        <is>
          <t>https://www.zillow.com/home-values/6915/san-antonio-tx/</t>
        </is>
      </c>
      <c r="D8" s="8" t="inlineStr">
        <is>
          <t>Zillow rental market trend; used as current rent proxy in the workbook's Median Rent field.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Field</t>
        </is>
      </c>
      <c r="B1" s="20" t="inlineStr">
        <is>
          <t>Value / Adjustment</t>
        </is>
      </c>
      <c r="C1" s="20" t="inlineStr">
        <is>
          <t>Source</t>
        </is>
      </c>
      <c r="D1" s="20" t="inlineStr">
        <is>
          <t>Notes</t>
        </is>
      </c>
    </row>
    <row r="2" ht="42.75" customHeight="1" s="104">
      <c r="A2" s="8" t="inlineStr">
        <is>
          <t>Salary schedule year</t>
        </is>
      </c>
      <c r="B2" s="8" t="inlineStr">
        <is>
          <t>2025-26</t>
        </is>
      </c>
      <c r="C2" s="8" t="inlineStr">
        <is>
          <t>User-provided Salt Lake City School District HR email and screenshot</t>
        </is>
      </c>
      <c r="D2" s="8" t="inlineStr">
        <is>
          <t>Certified Teachers - 185 Days, 8 Hours Per Day.</t>
        </is>
      </c>
    </row>
    <row r="3" ht="42.75" customHeight="1" s="104">
      <c r="A3" s="8" t="inlineStr">
        <is>
          <t>Placement rule</t>
        </is>
      </c>
      <c r="B3" s="8" t="inlineStr">
        <is>
          <t>All placements begin at Step 2; prior service is credited using the district's Article 17 years-of-credit formula.</t>
        </is>
      </c>
      <c r="C3" s="8" t="inlineStr">
        <is>
          <t>User-provided Salt Lake City School District HR email</t>
        </is>
      </c>
      <c r="D3" s="8" t="inlineStr">
        <is>
          <t>0 years = Step 2; 5 prior years = Step 7; 10 prior years = Step 9.</t>
        </is>
      </c>
    </row>
    <row r="4" ht="42.75" customHeight="1" s="104">
      <c r="A4" s="8" t="inlineStr">
        <is>
          <t>BA salary schedule mapping</t>
        </is>
      </c>
      <c r="B4" s="8" t="inlineStr">
        <is>
          <t>Experience 0-10 mapped to Step 2,3,4,5,6,7,7,8,8,9,9</t>
        </is>
      </c>
      <c r="C4" s="8" t="inlineStr">
        <is>
          <t>User-provided email/screenshot</t>
        </is>
      </c>
      <c r="D4" s="8" t="inlineStr">
        <is>
          <t>Corrects prior prototype, which treated 10 years as Step 10.</t>
        </is>
      </c>
    </row>
    <row r="5" ht="42.75" customHeight="1" s="104">
      <c r="A5" s="8" t="inlineStr">
        <is>
          <t>MA salary schedule mapping</t>
        </is>
      </c>
      <c r="B5" s="8" t="inlineStr">
        <is>
          <t>Experience 0-10 mapped to Step 2,3,4,5,6,7,7,8,8,9,9</t>
        </is>
      </c>
      <c r="C5" s="8" t="inlineStr">
        <is>
          <t>User-provided email/screenshot</t>
        </is>
      </c>
      <c r="D5" s="8" t="inlineStr">
        <is>
          <t>Corrects prior prototype, which treated 10 years as Step 10.</t>
        </is>
      </c>
    </row>
    <row r="6" ht="42.75" customHeight="1" s="104">
      <c r="A6" s="8" t="inlineStr">
        <is>
          <t>BA 5-Year / 10-Year</t>
        </is>
      </c>
      <c r="B6" s="8" t="inlineStr">
        <is>
          <t>$74,460 / $80,826</t>
        </is>
      </c>
      <c r="C6" s="8" t="inlineStr">
        <is>
          <t>User-provided email/screenshot</t>
        </is>
      </c>
      <c r="D6" s="8" t="inlineStr">
        <is>
          <t>5 prior years = Step 7; 10 prior years = Step 9.</t>
        </is>
      </c>
    </row>
    <row r="7" ht="42.75" customHeight="1" s="104">
      <c r="A7" s="8" t="inlineStr">
        <is>
          <t>MA 5-Year / 10-Year</t>
        </is>
      </c>
      <c r="B7" s="8" t="inlineStr">
        <is>
          <t>$80,270 / $85,425</t>
        </is>
      </c>
      <c r="C7" s="8" t="inlineStr">
        <is>
          <t>User-provided email/screenshot</t>
        </is>
      </c>
      <c r="D7" s="8" t="inlineStr">
        <is>
          <t>5 prior years = Step 7; 10 prior years = Step 9.</t>
        </is>
      </c>
    </row>
    <row r="8" ht="42.75" customHeight="1" s="104">
      <c r="A8" s="8" t="inlineStr">
        <is>
          <t>Update applied</t>
        </is>
      </c>
      <c r="B8" s="8" t="inlineStr">
        <is>
          <t>Prototype 103 / Workbook 7</t>
        </is>
      </c>
      <c r="C8" s="8" t="inlineStr">
        <is>
          <t>ChatGPT calculation from user-provided HR email</t>
        </is>
      </c>
      <c r="D8" s="8" t="inlineStr">
        <is>
          <t>Scores recalculated only where affected by Salt Lake salary mapping.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Field</t>
        </is>
      </c>
      <c r="B1" s="20" t="inlineStr">
        <is>
          <t>Value / Note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Teacher salary schedule</t>
        </is>
      </c>
      <c r="B2" s="8" t="inlineStr">
        <is>
          <t>Estimated current 0-10 BA/MA schedule (BA and MA identical in workbook)</t>
        </is>
      </c>
      <c r="C2" s="8" t="inlineStr">
        <is>
          <t>Austin ISD compensation page; Austin ISD Human Capital audit report</t>
        </is>
      </c>
      <c r="D2" s="8" t="inlineStr">
        <is>
          <t>Current Austin ISD compensation page did not expose a teacher BA/MA step table. The workbook estimate starts from the district audit's 2021-22 AISD PPfT 0-, 5-, and 10-year averages and applies documented districtwide teacher raises approved in 2022-23 and 2023-24.</t>
        </is>
      </c>
    </row>
    <row r="3" ht="42.75" customHeight="1" s="104">
      <c r="A3" s="8" t="inlineStr">
        <is>
          <t>Master's differential</t>
        </is>
      </c>
      <c r="B3" s="8" t="inlineStr">
        <is>
          <t>No separate master's differential found on current compensation page</t>
        </is>
      </c>
      <c r="C3" s="8" t="inlineStr">
        <is>
          <t>https://www.austinisd.org/hc/careers/compensation</t>
        </is>
      </c>
      <c r="D3" s="8" t="inlineStr">
        <is>
          <t>Austin ISD highlights stipends on the compensation page but does not list a teacher master's bump there, so the prototype currently mirrors BA and MA salaries.</t>
        </is>
      </c>
    </row>
    <row r="4" ht="42.75" customHeight="1" s="104">
      <c r="A4" s="8" t="inlineStr">
        <is>
          <t>Sub pay</t>
        </is>
      </c>
      <c r="B4" s="8" t="inlineStr">
        <is>
          <t>Certified teacher substitute base pay = $155/day (2025-26)</t>
        </is>
      </c>
      <c r="C4" s="8" t="inlineStr">
        <is>
          <t>https://www.austinisd.org/hc/careers/substitutes</t>
        </is>
      </c>
      <c r="D4" s="8" t="inlineStr">
        <is>
          <t>Base rate only; optional Title I and Special Education assignment add-ons not included in the comparison workbook.</t>
        </is>
      </c>
    </row>
    <row r="5" ht="42.75" customHeight="1" s="104">
      <c r="A5" s="8" t="inlineStr">
        <is>
          <t>Demographics</t>
        </is>
      </c>
      <c r="B5" s="8" t="inlineStr">
        <is>
          <t>White 30.68%; Hispanic 54.14%; Asian 4.84%; Black 6.01%</t>
        </is>
      </c>
      <c r="C5" s="8" t="inlineStr">
        <is>
          <t>https://www.austinisd.org/about-us</t>
        </is>
      </c>
      <c r="D5" s="8" t="inlineStr">
        <is>
          <t>Values taken from Austin ISD's About Us page.</t>
        </is>
      </c>
    </row>
    <row r="6" ht="42.75" customHeight="1" s="104">
      <c r="A6" s="8" t="inlineStr">
        <is>
          <t>School counts</t>
        </is>
      </c>
      <c r="B6" s="8" t="inlineStr">
        <is>
          <t>13 high, 19 middle, 78 elementary, 4 other = 114 total</t>
        </is>
      </c>
      <c r="C6" s="8" t="inlineStr">
        <is>
          <t>https://www.austinisd.org/schools ; https://www.austinisd.org/about-us</t>
        </is>
      </c>
      <c r="D6" s="8" t="inlineStr">
        <is>
          <t>Directory pages show category lists and the district states it has 114 schools. Ann Richards (6-12) appears in both middle and high listings, so counts were normalized to 114 total schools.</t>
        </is>
      </c>
    </row>
    <row r="7" ht="42.75" customHeight="1" s="104">
      <c r="A7" s="8" t="inlineStr">
        <is>
          <t>Housing</t>
        </is>
      </c>
      <c r="B7" s="8" t="inlineStr">
        <is>
          <t>Median home price $506,276; median rent $1,956; PPSF $294</t>
        </is>
      </c>
      <c r="C7" s="8" t="inlineStr">
        <is>
          <t>https://www.zillow.com/home-values/10221/austin-tx/ ; https://www.zillow.com/rental-manager/market-trends/austin-tx/ ; https://www.redfin.com/city/30818/TX/Austin/housing-market</t>
        </is>
      </c>
      <c r="D7" s="8" t="inlineStr">
        <is>
          <t>Austin city market proxies used for the district.</t>
        </is>
      </c>
    </row>
    <row r="8" ht="42.75" customHeight="1" s="104">
      <c r="A8" s="8" t="inlineStr">
        <is>
          <t>Student-teacher ratio</t>
        </is>
      </c>
      <c r="B8" s="8" t="inlineStr">
        <is>
          <t>13.7</t>
        </is>
      </c>
      <c r="C8" s="8" t="inlineStr">
        <is>
          <t>Austin ISD / compiled workbook estimate</t>
        </is>
      </c>
      <c r="D8" s="8" t="inlineStr">
        <is>
          <t>Used as a comparison input for the prototype.</t>
        </is>
      </c>
    </row>
    <row r="9" ht="42.75" customHeight="1" s="104">
      <c r="A9" s="8" t="inlineStr">
        <is>
          <t>Update applied</t>
        </is>
      </c>
      <c r="B9" s="8" t="inlineStr">
        <is>
          <t>Workbook 8 / Prototype 128</t>
        </is>
      </c>
      <c r="C9" s="8" t="inlineStr">
        <is>
          <t>ChatGPT workbook update</t>
        </is>
      </c>
      <c r="D9" s="8" t="inlineStr">
        <is>
          <t>Austin ISD added to the comparison set.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Field</t>
        </is>
      </c>
      <c r="B1" s="20" t="inlineStr">
        <is>
          <t>Value / Note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Salary schedule</t>
        </is>
      </c>
      <c r="B2" s="8" t="inlineStr">
        <is>
          <t>2025-2026 Certificated Salary Schedule, Schedule C</t>
        </is>
      </c>
      <c r="C2" s="8" t="inlineStr">
        <is>
          <t>https://www.spusd.net/apps/pages/index.jsp?uREC_ID=756752&amp;type=d&amp;pREC_ID=1163760 ; https://4.files.edl.io/a1b1/06/01/26/215223-096e534c-1eef-49f3-a608-f1c04b8ebc6c.pdf</t>
        </is>
      </c>
      <c r="D2" s="8" t="inlineStr">
        <is>
          <t>Bachelor's uses column A. Master's uses Column C, labeled Bachelor's plus 30 or Master's.</t>
        </is>
      </c>
    </row>
    <row r="3" ht="42.75" customHeight="1" s="104">
      <c r="A3" s="8" t="inlineStr">
        <is>
          <t>BA salary mapping</t>
        </is>
      </c>
      <c r="B3" s="8" t="inlineStr">
        <is>
          <t>Years 0-9 mapped to steps 1-10; year 10 held at Step 10 because BA-only column does not continue to Step 11</t>
        </is>
      </c>
      <c r="C3" s="8" t="inlineStr">
        <is>
          <t>Official salary schedule</t>
        </is>
      </c>
      <c r="D3" s="8" t="inlineStr">
        <is>
          <t>CA schedules do not always map 1:1 to years for out-of-district placement; this is a comparison approximation.</t>
        </is>
      </c>
    </row>
    <row r="4" ht="42.75" customHeight="1" s="104">
      <c r="A4" s="8" t="inlineStr">
        <is>
          <t>MA salary mapping</t>
        </is>
      </c>
      <c r="B4" s="8" t="inlineStr">
        <is>
          <t>Years 0-10 mapped to steps 1-11, Column C</t>
        </is>
      </c>
      <c r="C4" s="8" t="inlineStr">
        <is>
          <t>Official salary schedule</t>
        </is>
      </c>
      <c r="D4" s="8" t="inlineStr">
        <is>
          <t>Column C is the base Master's lane shown in the schedule.</t>
        </is>
      </c>
    </row>
    <row r="5" ht="42.75" customHeight="1" s="104">
      <c r="A5" s="8" t="inlineStr">
        <is>
          <t>Demographics</t>
        </is>
      </c>
      <c r="B5" s="8" t="inlineStr">
        <is>
          <t>White 21.6%; Hispanic 23.2%; Asian 33.8%; Black/African American 1.0%</t>
        </is>
      </c>
      <c r="C5" s="8" t="inlineStr">
        <is>
          <t>https://dq.cde.ca.gov/dataquest/dqcensus/enrethlevels.aspx?agglevel=District&amp;cds=1965029&amp;year=2025-26</t>
        </is>
      </c>
      <c r="D5" s="8" t="inlineStr">
        <is>
          <t>DataQuest 2025-26 enrollment by ethnicity. Filipino, two-or-more, and other categories not included in the four-group score.</t>
        </is>
      </c>
    </row>
    <row r="6" ht="42.75" customHeight="1" s="104">
      <c r="A6" s="8" t="inlineStr">
        <is>
          <t>Enrollment and ELL</t>
        </is>
      </c>
      <c r="B6" s="8" t="inlineStr">
        <is>
          <t>Enrollment 4,679; English Learners 242 (5.2%)</t>
        </is>
      </c>
      <c r="C6" s="8" t="inlineStr">
        <is>
          <t>https://www.cde.ca.gov/sdprofile/details.aspx?cds=19650290000000</t>
        </is>
      </c>
      <c r="D6" s="8" t="inlineStr">
        <is>
          <t>CDE District Profile, 2025-26.</t>
        </is>
      </c>
    </row>
    <row r="7" ht="42.75" customHeight="1" s="104">
      <c r="A7" s="8" t="inlineStr">
        <is>
          <t>Student-teacher ratio / total schools</t>
        </is>
      </c>
      <c r="B7" s="8" t="inlineStr">
        <is>
          <t>Student-teacher ratio 24.37; total schools 5</t>
        </is>
      </c>
      <c r="C7" s="8" t="inlineStr">
        <is>
          <t>https://nces.ed.gov/ccd/districtsearch/district_detail.asp?ID2=0637500&amp;Search=2</t>
        </is>
      </c>
      <c r="D7" s="8" t="inlineStr">
        <is>
          <t>NCES district detail, 2024-25.</t>
        </is>
      </c>
    </row>
    <row r="8" ht="42.75" customHeight="1" s="104">
      <c r="A8" s="8" t="inlineStr">
        <is>
          <t>School count by level</t>
        </is>
      </c>
      <c r="B8" s="8" t="inlineStr">
        <is>
          <t>3 elementary, 1 middle, 1 high, 0 other</t>
        </is>
      </c>
      <c r="C8" s="8" t="inlineStr">
        <is>
          <t>https://www.spusd.net/</t>
        </is>
      </c>
      <c r="D8" s="8" t="inlineStr">
        <is>
          <t>SPUSD homepage lists five schools via school links.</t>
        </is>
      </c>
    </row>
    <row r="9" ht="42.75" customHeight="1" s="104">
      <c r="A9" s="8" t="inlineStr">
        <is>
          <t>Substitute pay</t>
        </is>
      </c>
      <c r="B9" s="8" t="inlineStr">
        <is>
          <t>Full-day daily rate $200</t>
        </is>
      </c>
      <c r="C9" s="8" t="inlineStr">
        <is>
          <t>https://www.edjoin.org/Home/JobPosting/1631162</t>
        </is>
      </c>
      <c r="D9" s="8" t="inlineStr">
        <is>
          <t>Latest public posting found was for 2022-23; verify current rate if using this for application decisions.</t>
        </is>
      </c>
    </row>
    <row r="10" ht="42.75" customHeight="1" s="104">
      <c r="A10" s="8" t="inlineStr">
        <is>
          <t>Housing</t>
        </is>
      </c>
      <c r="B10" s="8" t="inlineStr">
        <is>
          <t>Median home price $1,918,852; PPSF $962</t>
        </is>
      </c>
      <c r="C10" s="8" t="inlineStr">
        <is>
          <t>https://www.redfin.com/city/18661/CA/South-Pasadena/housing-market</t>
        </is>
      </c>
      <c r="D10" s="8" t="inlineStr">
        <is>
          <t>Redfin South Pasadena housing market, 3 months ending May 2026.</t>
        </is>
      </c>
    </row>
    <row r="11" ht="42.75" customHeight="1" s="104">
      <c r="A11" s="8" t="inlineStr">
        <is>
          <t>Rent</t>
        </is>
      </c>
      <c r="B11" s="8" t="inlineStr">
        <is>
          <t>Average rent $2,695</t>
        </is>
      </c>
      <c r="C11" s="8" t="inlineStr">
        <is>
          <t>https://www.zillow.com/rental-manager/market-trends/south-pasadena-ca/</t>
        </is>
      </c>
      <c r="D11" s="8" t="inlineStr">
        <is>
          <t>Zillow Rentals data, last updated June 9, 2026.</t>
        </is>
      </c>
    </row>
    <row r="12" ht="42.75" customHeight="1" s="104">
      <c r="A12" s="8" t="inlineStr">
        <is>
          <t>Update applied</t>
        </is>
      </c>
      <c r="B12" s="8" t="inlineStr">
        <is>
          <t>Workbook 9 / Prototype 134</t>
        </is>
      </c>
      <c r="C12" s="8" t="inlineStr">
        <is>
          <t>ChatGPT workbook update</t>
        </is>
      </c>
      <c r="D12" s="8" t="inlineStr">
        <is>
          <t>South Pasadena Unified School District added to comparison set.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Field</t>
        </is>
      </c>
      <c r="B1" s="20" t="inlineStr">
        <is>
          <t>Value / Note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Salary schedule</t>
        </is>
      </c>
      <c r="B2" s="8" t="inlineStr">
        <is>
          <t>FY27 Certified Salary Scales PDF; Gross Salary used. "A" certificate mapped to Bachelor's and "AA" certificate mapped to Master's.</t>
        </is>
      </c>
      <c r="C2" s="8" t="inlineStr">
        <is>
          <t>Uploaded file: FY27 CERTIFIED SALARY SCALES.pdf</t>
        </is>
      </c>
      <c r="D2" s="8" t="inlineStr">
        <is>
          <t>Corrected 2026-06-13. Prior values used conservative state-only schedule; revised to Ocean Springs gross salary (state + local contribution).</t>
        </is>
      </c>
    </row>
    <row r="3" ht="42.75" customHeight="1" s="104">
      <c r="A3" s="8" t="inlineStr">
        <is>
          <t>Substitute pay</t>
        </is>
      </c>
      <c r="B3" s="8" t="inlineStr">
        <is>
          <t>$90/day</t>
        </is>
      </c>
      <c r="C3" s="8" t="inlineStr">
        <is>
          <t>https://www.mykelly.com/job/10102109-substitute-teachers-and-aides-ocean-springs-ms-ocean-springs-ms-united-states/</t>
        </is>
      </c>
      <c r="D3" s="8" t="inlineStr">
        <is>
          <t>Kelly posting for Ocean Springs substitute teachers/aides displayed $90/day.</t>
        </is>
      </c>
    </row>
    <row r="4" ht="42.75" customHeight="1" s="104">
      <c r="A4" s="8" t="inlineStr">
        <is>
          <t>District size / ratio</t>
        </is>
      </c>
      <c r="B4" s="8" t="inlineStr">
        <is>
          <t>5,677 students, 416.00 classroom teachers, 13.65 student/teacher ratio, 7 total schools</t>
        </is>
      </c>
      <c r="C4" s="8" t="inlineStr">
        <is>
          <t>https://nces.ed.gov/ccd/districtsearch/district_detail.asp?ID2=2803360</t>
        </is>
      </c>
      <c r="D4" s="8" t="inlineStr">
        <is>
          <t>NCES CCD 2024-2025 district data.</t>
        </is>
      </c>
    </row>
    <row r="5" ht="42.75" customHeight="1" s="104">
      <c r="A5" s="8" t="inlineStr">
        <is>
          <t>School counts</t>
        </is>
      </c>
      <c r="B5" s="8" t="inlineStr">
        <is>
          <t>1 high, 1 middle, 4 elementary, 1 other/specialty = 7 total</t>
        </is>
      </c>
      <c r="C5" s="8" t="inlineStr">
        <is>
          <t>https://nces.ed.gov/ccd/schoolsearch/school_list.asp?DistrictID=2803360&amp;Search=1</t>
        </is>
      </c>
      <c r="D5" s="8" t="inlineStr">
        <is>
          <t>Upper Elementary counted as elementary; Keys Vocational Center counted as other/specialty.</t>
        </is>
      </c>
    </row>
    <row r="6" ht="42.75" customHeight="1" s="104">
      <c r="A6" s="8" t="inlineStr">
        <is>
          <t>Demographics</t>
        </is>
      </c>
      <c r="B6" s="8" t="inlineStr">
        <is>
          <t>White 69.19%; Hispanic 9.02%; Asian 2.89%; Black 12.61%; Other 6.29%</t>
        </is>
      </c>
      <c r="C6" s="8" t="inlineStr">
        <is>
          <t>NCES school-level detail pages for all nonzero-enrollment OSSD schools</t>
        </is>
      </c>
      <c r="D6" s="8" t="inlineStr">
        <is>
          <t>Percentages summed from school-level race/ethnicity counts. Other includes American Indian/Alaska Native, Native Hawaiian/Pacific Islander, and Two or More Races.</t>
        </is>
      </c>
    </row>
    <row r="7" ht="42.75" customHeight="1" s="104">
      <c r="A7" s="8" t="inlineStr">
        <is>
          <t>Housing</t>
        </is>
      </c>
      <c r="B7" s="8" t="inlineStr">
        <is>
          <t>Median home price $294,824; median rent $2,100; PPSF $201</t>
        </is>
      </c>
      <c r="C7" s="8" t="inlineStr">
        <is>
          <t>https://www.redfin.com/city/13826/MS/Ocean-Springs/housing-market ; https://www.zillow.com/rental-manager/market-trends/ocean-springs-ms/</t>
        </is>
      </c>
      <c r="D7" s="8" t="inlineStr">
        <is>
          <t>Ocean Springs city market proxies used for district.</t>
        </is>
      </c>
    </row>
    <row r="8" ht="42.75" customHeight="1" s="104">
      <c r="A8" s="8" t="inlineStr">
        <is>
          <t>Update applied</t>
        </is>
      </c>
      <c r="B8" s="8" t="inlineStr">
        <is>
          <t>Workbook 11 / Prototype 136</t>
        </is>
      </c>
      <c r="C8" s="8" t="inlineStr">
        <is>
          <t>ChatGPT workbook/prototype update</t>
        </is>
      </c>
      <c r="D8" s="8" t="inlineStr">
        <is>
          <t>Ocean Springs School District, Mississippi added to comparison set.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Source</t>
        </is>
      </c>
      <c r="C1" s="20" t="inlineStr">
        <is>
          <t>URL</t>
        </is>
      </c>
      <c r="D1" s="20" t="inlineStr">
        <is>
          <t>Notes</t>
        </is>
      </c>
    </row>
    <row r="2" ht="42.75" customHeight="1" s="104">
      <c r="A2" s="8" t="inlineStr">
        <is>
          <t>Salary schedule</t>
        </is>
      </c>
      <c r="B2" s="8" t="inlineStr">
        <is>
          <t>Royal ISD Teacher Pay Scale 25-26</t>
        </is>
      </c>
      <c r="C2" s="8" t="inlineStr">
        <is>
          <t>https://files-backend.assets.thrillshare.com/documents/asset/uploaded_file/825/Royal_Isd/b9756bcb-f546-44fd-bcb7-78ce11815fb6/2025-2026_Royal_ISD_Teacher_Pay_Scale.pdf</t>
        </is>
      </c>
      <c r="D2" s="8" t="inlineStr">
        <is>
          <t>Used 25-26 total salary with HB2/TRA stipend; Master's +$1,000.</t>
        </is>
      </c>
    </row>
    <row r="3" ht="42.75" customHeight="1" s="104">
      <c r="A3" s="8" t="inlineStr">
        <is>
          <t>HR page</t>
        </is>
      </c>
      <c r="B3" s="8" t="inlineStr">
        <is>
          <t>Royal ISD Human Resources</t>
        </is>
      </c>
      <c r="C3" s="8" t="inlineStr">
        <is>
          <t>https://www.royal-isd.net/o/royal-isd/page/human-resources</t>
        </is>
      </c>
      <c r="D3" s="8" t="inlineStr">
        <is>
          <t>Confirms 0-, 4-, 10-, 20-, and 26+ year teacher scale; district growth and campus context.</t>
        </is>
      </c>
    </row>
    <row r="4" ht="42.75" customHeight="1" s="104">
      <c r="A4" s="8" t="inlineStr">
        <is>
          <t>Enrollment/demographics</t>
        </is>
      </c>
      <c r="B4" s="8" t="inlineStr">
        <is>
          <t>Texas Tribune Schools Explorer: Royal ISD</t>
        </is>
      </c>
      <c r="C4" s="8" t="inlineStr">
        <is>
          <t>https://schools.texastribune.org/districts/royal-isd/demographics/</t>
        </is>
      </c>
      <c r="D4" s="8" t="inlineStr">
        <is>
          <t>Used enrollment/campus context and Hispanic share; detailed race breakdown cross-checked with HAR/TEA-style summary.</t>
        </is>
      </c>
    </row>
    <row r="5" ht="42.75" customHeight="1" s="104">
      <c r="A5" s="8" t="inlineStr">
        <is>
          <t>District details</t>
        </is>
      </c>
      <c r="B5" s="8" t="inlineStr">
        <is>
          <t>NCES Royal ISD District Detail</t>
        </is>
      </c>
      <c r="C5" s="8" t="inlineStr">
        <is>
          <t>https://nces.ed.gov/ccd/districtsearch/district_detail.asp?ID2=4838190</t>
        </is>
      </c>
      <c r="D5" s="8" t="inlineStr">
        <is>
          <t>Used teacher FTE to estimate student-teacher ratio from Texas Tribune enrollment / NCES teacher FTE.</t>
        </is>
      </c>
    </row>
    <row r="6" ht="42.75" customHeight="1" s="104">
      <c r="A6" s="8" t="inlineStr">
        <is>
          <t>Housing</t>
        </is>
      </c>
      <c r="B6" s="8" t="inlineStr">
        <is>
          <t>Redfin 77423 Housing Market</t>
        </is>
      </c>
      <c r="C6" s="8" t="inlineStr">
        <is>
          <t>https://www.redfin.com/zipcode/77423/housing-market</t>
        </is>
      </c>
      <c r="D6" s="8" t="inlineStr">
        <is>
          <t>Used 77423 median sale price and price per sq ft for Royal ISD area.</t>
        </is>
      </c>
    </row>
    <row r="7" ht="42.75" customHeight="1" s="104">
      <c r="A7" s="8" t="inlineStr">
        <is>
          <t>Rent</t>
        </is>
      </c>
      <c r="B7" s="8" t="inlineStr">
        <is>
          <t>Zillow Brookshire Rental Market</t>
        </is>
      </c>
      <c r="C7" s="8" t="inlineStr">
        <is>
          <t>https://www.zillow.com/rental-manager/market-trends/brookshire-tx/</t>
        </is>
      </c>
      <c r="D7" s="8" t="inlineStr">
        <is>
          <t>Used Brookshire average rent for the district area.</t>
        </is>
      </c>
    </row>
    <row r="8" ht="42.75" customHeight="1" s="104">
      <c r="A8" s="8" t="inlineStr">
        <is>
          <t>Substitute pay</t>
        </is>
      </c>
      <c r="B8" s="8" t="inlineStr">
        <is>
          <t>Royal ISD Substitute document page</t>
        </is>
      </c>
      <c r="C8" s="8" t="inlineStr">
        <is>
          <t>https://www.royal-isd.net/documents/departments/human-resources/substitutes/23184307</t>
        </is>
      </c>
      <c r="D8" s="8" t="inlineStr">
        <is>
          <t>Public page lists a 2023-2024 Substitute Pay Schedule, but searchable text did not expose the rate; $125/day entered as provisional and should be verified.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Source</t>
        </is>
      </c>
      <c r="C1" s="20" t="inlineStr">
        <is>
          <t>URL</t>
        </is>
      </c>
      <c r="D1" s="20" t="inlineStr">
        <is>
          <t>Notes</t>
        </is>
      </c>
    </row>
    <row r="2" ht="42.75" customHeight="1" s="104">
      <c r="A2" s="8" t="inlineStr">
        <is>
          <t>Salary schedule</t>
        </is>
      </c>
      <c r="B2" s="8" t="inlineStr">
        <is>
          <t>CTU-CPS 2024–28 Contract PDF</t>
        </is>
      </c>
      <c r="C2" s="8" t="inlineStr">
        <is>
          <t>https://www.ctulocal1.org/contract.pdf</t>
        </is>
      </c>
      <c r="D2" s="8" t="inlineStr">
        <is>
          <t>Used A-1A 208-day teacher schedule: Lane 1 for Bachelor's and Lane 3 for Master's, 2025-26 Base + Step salary columns.</t>
        </is>
      </c>
    </row>
    <row r="3" ht="42.75" customHeight="1" s="104">
      <c r="A3" s="8" t="inlineStr">
        <is>
          <t>Salary policy/context</t>
        </is>
      </c>
      <c r="B3" s="8" t="inlineStr">
        <is>
          <t>CPS compensation policy</t>
        </is>
      </c>
      <c r="C3" s="8" t="inlineStr">
        <is>
          <t>https://www.cps.edu/sites/cps-policy-rules/policies/300/302/302-8/</t>
        </is>
      </c>
      <c r="D3" s="8" t="inlineStr">
        <is>
          <t>Confirms teacher salary schedules use lanes and steps under the CTU collective bargaining agreement.</t>
        </is>
      </c>
    </row>
    <row r="4" ht="42.75" customHeight="1" s="104">
      <c r="A4" s="8" t="inlineStr">
        <is>
          <t>Substitute pay</t>
        </is>
      </c>
      <c r="B4" s="8" t="inlineStr">
        <is>
          <t>Teach Chicago Substitute Staff</t>
        </is>
      </c>
      <c r="C4" s="8" t="inlineStr">
        <is>
          <t>https://www.teach.cps.edu/substitute</t>
        </is>
      </c>
      <c r="D4" s="8" t="inlineStr">
        <is>
          <t>Used Professional Educator License substitute daily rate of $193/day.</t>
        </is>
      </c>
    </row>
    <row r="5" ht="42.75" customHeight="1" s="104">
      <c r="A5" s="8" t="inlineStr">
        <is>
          <t>Enrollment and school counts</t>
        </is>
      </c>
      <c r="B5" s="8" t="inlineStr">
        <is>
          <t>CPS Stats and Facts</t>
        </is>
      </c>
      <c r="C5" s="8" t="inlineStr">
        <is>
          <t>https://www.cps.edu/about/stats-facts/</t>
        </is>
      </c>
      <c r="D5" s="8" t="inlineStr">
        <is>
          <t>Used 2025-26 enrollment, 630 schools, school-category counts, and student racial makeup.</t>
        </is>
      </c>
    </row>
    <row r="6" ht="42.75" customHeight="1" s="104">
      <c r="A6" s="8" t="inlineStr">
        <is>
          <t>Student/teacher ratio</t>
        </is>
      </c>
      <c r="B6" s="8" t="inlineStr">
        <is>
          <t>NCES District Detail</t>
        </is>
      </c>
      <c r="C6" s="8" t="inlineStr">
        <is>
          <t>https://nces.ed.gov/ccd/districtsearch/district_detail.asp?ID2=1709930&amp;Search=2&amp;details=1</t>
        </is>
      </c>
      <c r="D6" s="8" t="inlineStr">
        <is>
          <t>Used 2024-25 student/teacher ratio of 13.77.</t>
        </is>
      </c>
    </row>
    <row r="7" ht="42.75" customHeight="1" s="104">
      <c r="A7" s="8" t="inlineStr">
        <is>
          <t>Housing - median sale price/PPSF</t>
        </is>
      </c>
      <c r="B7" s="8" t="inlineStr">
        <is>
          <t>Redfin Chicago housing market</t>
        </is>
      </c>
      <c r="C7" s="8" t="inlineStr">
        <is>
          <t>https://www.redfin.com/city/29470/IL/Chicago/housing-market</t>
        </is>
      </c>
      <c r="D7" s="8" t="inlineStr">
        <is>
          <t>Used May 2026 median sale price of $419,749 and median sale price per square foot of $303.</t>
        </is>
      </c>
    </row>
    <row r="8" ht="42.75" customHeight="1" s="104">
      <c r="A8" s="8" t="inlineStr">
        <is>
          <t>Housing - rent</t>
        </is>
      </c>
      <c r="B8" s="8" t="inlineStr">
        <is>
          <t>Zillow Chicago housing market</t>
        </is>
      </c>
      <c r="C8" s="8" t="inlineStr">
        <is>
          <t>https://www.zillow.com/home-values/17426/chicago-il/</t>
        </is>
      </c>
      <c r="D8" s="8" t="inlineStr">
        <is>
          <t>Used May 31, 2026 average rent of $2,406.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Source</t>
        </is>
      </c>
      <c r="C1" s="20" t="inlineStr">
        <is>
          <t>URL</t>
        </is>
      </c>
      <c r="D1" s="20" t="inlineStr">
        <is>
          <t>Notes</t>
        </is>
      </c>
    </row>
    <row r="2" ht="42.75" customHeight="1" s="104">
      <c r="A2" s="8" t="inlineStr">
        <is>
          <t>Salary</t>
        </is>
      </c>
      <c r="B2" s="8" t="inlineStr">
        <is>
          <t>MNPS Salaries and Resources</t>
        </is>
      </c>
      <c r="C2" s="8" t="inlineStr">
        <is>
          <t>https://www.mnps.org/careers/salaries-and-resources</t>
        </is>
      </c>
      <c r="D2" s="8" t="inlineStr">
        <is>
          <t>Official 2025-26 page states step increases and 3% COLA; detailed salary folder is in SharePoint.</t>
        </is>
      </c>
    </row>
    <row r="3" ht="42.75" customHeight="1" s="104">
      <c r="A3" s="8" t="inlineStr">
        <is>
          <t>Salary Table</t>
        </is>
      </c>
      <c r="B3" s="8" t="inlineStr">
        <is>
          <t>Teach Nashville teacher salary images</t>
        </is>
      </c>
      <c r="C3" s="8" t="inlineStr">
        <is>
          <t>https://www.teach-nashville.com/teach-in-our-schools</t>
        </is>
      </c>
      <c r="D3" s="8" t="inlineStr">
        <is>
          <t>Public 2024-25 BA/MA teacher pay points used, multiplied by 1.03 for 2025-26.</t>
        </is>
      </c>
    </row>
    <row r="4" ht="42.75" customHeight="1" s="104">
      <c r="A4" s="8" t="inlineStr">
        <is>
          <t>Substitute Pay</t>
        </is>
      </c>
      <c r="B4" s="8" t="inlineStr">
        <is>
          <t>MNPS Substitute Teaching</t>
        </is>
      </c>
      <c r="C4" s="8" t="inlineStr">
        <is>
          <t>https://www.mnps.org/careers/substitute-teaching</t>
        </is>
      </c>
      <c r="D4" s="8" t="inlineStr">
        <is>
          <t>Valid TN teaching license substitute rate = $145 per 7.5-hour day.</t>
        </is>
      </c>
    </row>
    <row r="5" ht="42.75" customHeight="1" s="104">
      <c r="A5" s="8" t="inlineStr">
        <is>
          <t>Enrollment / schools</t>
        </is>
      </c>
      <c r="B5" s="8" t="inlineStr">
        <is>
          <t>NCES District Detail</t>
        </is>
      </c>
      <c r="C5" s="8" t="inlineStr">
        <is>
          <t>https://nces.ed.gov/ccd/districtsearch/district_detail.asp?DistrictID=4703180&amp;ID2=4703180&amp;Search=2&amp;details=1</t>
        </is>
      </c>
      <c r="D5" s="8" t="inlineStr">
        <is>
          <t>2024-25 total students 81,021; total schools 162.</t>
        </is>
      </c>
    </row>
    <row r="6" ht="42.75" customHeight="1" s="104">
      <c r="A6" s="8" t="inlineStr">
        <is>
          <t>Demographics</t>
        </is>
      </c>
      <c r="B6" s="8" t="inlineStr">
        <is>
          <t>Nashville Chamber MNPS by the Numbers</t>
        </is>
      </c>
      <c r="C6" s="8" t="inlineStr">
        <is>
          <t>https://nashvillechamber.report/edu-report-2022/mnps-by-the-numbers/</t>
        </is>
      </c>
      <c r="D6" s="8" t="inlineStr">
        <is>
          <t>2022-23 student race/ethnicity shares used: White 24.4, Black 39.2, Hispanic 32.2, Asian 3.8.</t>
        </is>
      </c>
    </row>
    <row r="7" ht="42.75" customHeight="1" s="104">
      <c r="A7" s="8" t="inlineStr">
        <is>
          <t>Housing</t>
        </is>
      </c>
      <c r="B7" s="8" t="inlineStr">
        <is>
          <t>Redfin Nashville housing market</t>
        </is>
      </c>
      <c r="C7" s="8" t="inlineStr">
        <is>
          <t>https://www.redfin.com/city/13415/TN/Nashville/housing-market</t>
        </is>
      </c>
      <c r="D7" s="8" t="inlineStr">
        <is>
          <t>Median sale price/PPSF reference.</t>
        </is>
      </c>
    </row>
    <row r="8" ht="42.75" customHeight="1" s="104">
      <c r="A8" s="8" t="inlineStr">
        <is>
          <t>Rent</t>
        </is>
      </c>
      <c r="B8" s="8" t="inlineStr">
        <is>
          <t>Zillow Nashville rental market</t>
        </is>
      </c>
      <c r="C8" s="8" t="inlineStr">
        <is>
          <t>https://www.zillow.com/rental-manager/market-trends/nashville-tn/</t>
        </is>
      </c>
      <c r="D8" s="8" t="inlineStr">
        <is>
          <t>Average rent input.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10" defaultColWidth="8.83203125" defaultRowHeight="15"/>
  <cols>
    <col width="24" customWidth="1" style="104" min="1" max="1"/>
    <col width="22" customWidth="1" style="104" min="2" max="2"/>
    <col width="18" customWidth="1" style="104" min="3" max="3"/>
    <col width="16" customWidth="1" style="104" min="4" max="4"/>
    <col width="18" customWidth="1" style="104" min="5" max="5"/>
    <col width="52" customWidth="1" style="104" min="6" max="6"/>
  </cols>
  <sheetData>
    <row r="1" ht="53.25" customHeight="1" s="104">
      <c r="A1" s="20" t="inlineStr">
        <is>
          <t>District</t>
        </is>
      </c>
      <c r="B1" s="20" t="inlineStr">
        <is>
          <t>Status</t>
        </is>
      </c>
      <c r="C1" s="20" t="inlineStr">
        <is>
          <t>Rule Type</t>
        </is>
      </c>
      <c r="D1" s="20" t="inlineStr">
        <is>
          <t>How salary lookup should work</t>
        </is>
      </c>
      <c r="E1" s="20" t="inlineStr">
        <is>
          <t>Current action taken</t>
        </is>
      </c>
      <c r="F1" s="20" t="inlineStr">
        <is>
          <t>Source / note</t>
        </is>
      </c>
    </row>
    <row r="2" ht="42.75" customHeight="1" s="104">
      <c r="A2" s="8" t="inlineStr">
        <is>
          <t>Salt Lake School District</t>
        </is>
      </c>
      <c r="B2" s="8" t="inlineStr">
        <is>
          <t>Confirmed</t>
        </is>
      </c>
      <c r="C2" s="8" t="inlineStr">
        <is>
          <t>Experience credit map</t>
        </is>
      </c>
      <c r="D2" s="8" t="inlineStr">
        <is>
          <t>User selects actual years; district credits 0-5 full, 6→5, 7-8→6, 9-10→7, 11-12→8, 13+→9. Schedule currently stored as actual-experience adjusted values.</t>
        </is>
      </c>
      <c r="E2" s="8" t="inlineStr">
        <is>
          <t>Protected with explicit metadata in prototype so future imports know Salt Lake is not simple 1:1 placement.</t>
        </is>
      </c>
      <c r="F2" s="8" t="inlineStr">
        <is>
          <t>SLCSD email shared by user; cites SLEA Written Agreement Article 17.</t>
        </is>
      </c>
    </row>
    <row r="3" ht="42.75" customHeight="1" s="104">
      <c r="A3" s="8" t="inlineStr">
        <is>
          <t>Chicago Public Schools</t>
        </is>
      </c>
      <c r="B3" s="8" t="inlineStr">
        <is>
          <t>Confirmed</t>
        </is>
      </c>
      <c r="C3" s="8" t="inlineStr">
        <is>
          <t>Cap at 7 years</t>
        </is>
      </c>
      <c r="D3" s="8" t="inlineStr">
        <is>
          <t>For outside prior teaching experience, selected years above 7 should use 7 credited years for salary lookup.</t>
        </is>
      </c>
      <c r="E3" s="8" t="inlineStr">
        <is>
          <t>Updated Teacher Salary Data for years 8-10 to use year-7 salary; updated BA/MA 10-year values, Salary Score, and Overall Value Score.</t>
        </is>
      </c>
      <c r="F3" s="8" t="inlineStr">
        <is>
          <t>Teach Chicago salary page says CPS accepts up to 7 years of previous teaching experience toward salary placement.</t>
        </is>
      </c>
    </row>
    <row r="4" ht="42.75" customHeight="1" s="104">
      <c r="A4" s="8" t="inlineStr">
        <is>
          <t>Los Angeles Unified</t>
        </is>
      </c>
      <c r="B4" s="8" t="inlineStr">
        <is>
          <t>Needs district-specific model</t>
        </is>
      </c>
      <c r="C4" s="8" t="inlineStr">
        <is>
          <t>Salary points / rating-in</t>
        </is>
      </c>
      <c r="D4" s="8" t="inlineStr">
        <is>
          <t>Placement depends on salary points, pay scale group/level, and years of experience granted after the bachelor's degree.</t>
        </is>
      </c>
      <c r="E4" s="8" t="inlineStr">
        <is>
          <t>Left current schedule as an estimate and flagged for future manual modeling.</t>
        </is>
      </c>
      <c r="F4" s="8" t="inlineStr">
        <is>
          <t>LAUSD Salary Allocation FAQ and Salary Tables pages.</t>
        </is>
      </c>
    </row>
    <row r="5" ht="42.75" customHeight="1" s="104">
      <c r="A5" s="8" t="inlineStr">
        <is>
          <t>Metro Nashville Public Schools</t>
        </is>
      </c>
      <c r="B5" s="8" t="inlineStr">
        <is>
          <t>Estimated</t>
        </is>
      </c>
      <c r="C5" s="8" t="inlineStr">
        <is>
          <t>Unverified step placement</t>
        </is>
      </c>
      <c r="D5" s="8" t="inlineStr">
        <is>
          <t>2025-26 detailed step placement logic was not publicly accessible in the signed-in SharePoint folder.</t>
        </is>
      </c>
      <c r="E5" s="8" t="inlineStr">
        <is>
          <t>Left current 2024-25 + 3% COLA estimate and flagged for verification.</t>
        </is>
      </c>
      <c r="F5" s="8" t="inlineStr">
        <is>
          <t>MNPS salary page confirms 2025-26 step increases and 3% COLA, but detailed folder requires sign-in.</t>
        </is>
      </c>
    </row>
    <row r="6" ht="42.75" customHeight="1" s="104">
      <c r="A6" s="8" t="inlineStr">
        <is>
          <t>All other districts</t>
        </is>
      </c>
      <c r="B6" s="8" t="inlineStr">
        <is>
          <t>Pending/assumed simple</t>
        </is>
      </c>
      <c r="C6" s="8" t="inlineStr">
        <is>
          <t>1:1 experience lookup unless contradicted</t>
        </is>
      </c>
      <c r="D6" s="8" t="inlineStr">
        <is>
          <t>For now, actual years equals schedule year. Future district additions should explicitly mark whether this is confirmed or assumed.</t>
        </is>
      </c>
      <c r="E6" s="8" t="inlineStr">
        <is>
          <t>No active change in this pass.</t>
        </is>
      </c>
      <c r="F6" s="8" t="inlineStr">
        <is>
          <t>Next audit pass should verify district-by-district hiring placement language.</t>
        </is>
      </c>
    </row>
    <row r="7" ht="42.75" customHeight="1" s="104">
      <c r="A7" s="8" t="inlineStr">
        <is>
          <t>Arcadia Unified School District</t>
        </is>
      </c>
      <c r="B7" s="8" t="inlineStr">
        <is>
          <t>CA</t>
        </is>
      </c>
      <c r="C7" s="8" t="inlineStr">
        <is>
          <t>No prior-experience cap found in public schedule; Master's degree alone appears on same Column 1 as BA</t>
        </is>
      </c>
      <c r="D7" s="8" t="inlineStr">
        <is>
          <t>BA/MA without additional semester units use same salary column; additional units may move lanes.</t>
        </is>
      </c>
      <c r="E7" s="8" t="inlineStr">
        <is>
          <t>https://www.ausd.net/apps/pages/salaryschedules</t>
        </is>
      </c>
      <c r="F7" s="8" t="inlineStr">
        <is>
          <t>2026-06-11</t>
        </is>
      </c>
    </row>
    <row r="8" ht="42.75" customHeight="1" s="104">
      <c r="A8" s="8" t="inlineStr">
        <is>
          <t>Canyons School District</t>
        </is>
      </c>
      <c r="B8" s="8" t="inlineStr">
        <is>
          <t>UT</t>
        </is>
      </c>
      <c r="C8" s="8" t="inlineStr">
        <is>
          <t>cap</t>
        </is>
      </c>
      <c r="D8" s="8" t="inlineStr">
        <is>
          <t>15</t>
        </is>
      </c>
      <c r="E8" s="8" t="inlineStr">
        <is>
          <t>Prior contracted licensed school-system experience credited up to 15 increment levels; BA starts at level 1, MA at level 7.</t>
        </is>
      </c>
      <c r="F8" s="8" t="inlineStr">
        <is>
          <t>Official 2025-26 L186 schedule</t>
        </is>
      </c>
    </row>
    <row r="9" ht="42.75" customHeight="1" s="104">
      <c r="A9" s="8" t="inlineStr">
        <is>
          <t>North Clackamas School District</t>
        </is>
      </c>
      <c r="B9" s="8" t="inlineStr">
        <is>
          <t>OR</t>
        </is>
      </c>
      <c r="C9" s="8" t="inlineStr">
        <is>
          <t>schedule mapping</t>
        </is>
      </c>
      <c r="D9" s="8" t="inlineStr">
        <is>
          <t>n/a</t>
        </is>
      </c>
      <c r="E9" s="8" t="inlineStr">
        <is>
          <t>Public schedule already maps experience-credit bands to salary steps for 0-10 years in the tool.</t>
        </is>
      </c>
      <c r="F9" s="8" t="inlineStr">
        <is>
          <t>Official 2025-26 licensed salary schedule</t>
        </is>
      </c>
    </row>
    <row r="10" ht="42.75" customHeight="1" s="104">
      <c r="A10" s="8" t="inlineStr">
        <is>
          <t>Saint Helena Unified School District</t>
        </is>
      </c>
      <c r="B10" s="8" t="inlineStr">
        <is>
          <t>Assumed/simple</t>
        </is>
      </c>
      <c r="C10" s="8" t="inlineStr">
        <is>
          <t>BA/credential column + MA stipend</t>
        </is>
      </c>
      <c r="D10" s="8" t="inlineStr">
        <is>
          <t>Actual years map to schedule steps 1-11 for 0-10 years in the tool; MA entered as BA column plus $2,354 stipend.</t>
        </is>
      </c>
      <c r="E10" s="8" t="inlineStr">
        <is>
          <t>Added as public schedule model; no prior-experience cap found in public page during this pass.</t>
        </is>
      </c>
      <c r="F10" s="8" t="inlineStr">
        <is>
          <t>District 2025-26 salary schedule</t>
        </is>
      </c>
    </row>
    <row r="11" ht="42.75" customHeight="1" s="104">
      <c r="A11" s="8" t="inlineStr">
        <is>
          <t>Chandler Unified School District</t>
        </is>
      </c>
      <c r="B11" s="8" t="inlineStr">
        <is>
          <t>Confirmed</t>
        </is>
      </c>
      <c r="C11" s="8" t="inlineStr">
        <is>
          <t>New-hire experience cap</t>
        </is>
      </c>
      <c r="D11" s="8" t="inlineStr">
        <is>
          <t>Credit max 8 years; credit begins in second year; BA schedule capped at year 8 for actual years 8-10; MA adds $1,250.</t>
        </is>
      </c>
      <c r="E11" s="8" t="inlineStr">
        <is>
          <t>Applied in prototype salarySchedule.</t>
        </is>
      </c>
      <c r="F11" s="8" t="inlineStr">
        <is>
          <t>CUSD 2025-26 Certified Staff Salary Schedule</t>
        </is>
      </c>
    </row>
    <row r="12" ht="42.75" customHeight="1" s="104">
      <c r="A12" s="8" t="inlineStr">
        <is>
          <t>Flagstaff Unified School District</t>
        </is>
      </c>
      <c r="B12" s="8" t="inlineStr">
        <is>
          <t>Needs verification</t>
        </is>
      </c>
      <c r="C12" s="8" t="inlineStr">
        <is>
          <t>Salary lane unclear</t>
        </is>
      </c>
      <c r="D12" s="8" t="inlineStr">
        <is>
          <t>FUSD public page links certified salary schedule through Google Drive; detailed lane data not text-readable in search.</t>
        </is>
      </c>
      <c r="E12" s="8" t="inlineStr">
        <is>
          <t>BA/MA entered same pending verification.</t>
        </is>
      </c>
      <c r="F12" s="8" t="inlineStr">
        <is>
          <t>FUSD salary schedule page + public job snippets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Source</t>
        </is>
      </c>
      <c r="C1" s="20" t="inlineStr">
        <is>
          <t>URL</t>
        </is>
      </c>
      <c r="D1" s="20" t="inlineStr">
        <is>
          <t>Notes</t>
        </is>
      </c>
    </row>
    <row r="2" ht="42.75" customHeight="1" s="104">
      <c r="A2" s="8" t="inlineStr">
        <is>
          <t>Salary schedule</t>
        </is>
      </c>
      <c r="B2" s="8" t="inlineStr">
        <is>
          <t>Arcadia USD Salary Schedules / ATA certificated schedule</t>
        </is>
      </c>
      <c r="C2" s="8" t="inlineStr">
        <is>
          <t>https://www.ausd.net/apps/pages/salaryschedules</t>
        </is>
      </c>
      <c r="D2" s="8" t="inlineStr">
        <is>
          <t>ATA schedule effective 7/1/2025; 186-day teacher schedule. Column 1 lists BA or MA, so MA-only uses same values as BA.</t>
        </is>
      </c>
    </row>
    <row r="3" ht="42.75" customHeight="1" s="104">
      <c r="A3" s="8" t="inlineStr">
        <is>
          <t>Substitute pay</t>
        </is>
      </c>
      <c r="B3" s="8" t="inlineStr">
        <is>
          <t>Arcadia Unified is Hiring</t>
        </is>
      </c>
      <c r="C3" s="8" t="inlineStr">
        <is>
          <t>https://www.ausd.net/apps/pages/index.jsp?pREC_ID=2244925&amp;type=d&amp;uREC_ID=965712</t>
        </is>
      </c>
      <c r="D3" s="8" t="inlineStr">
        <is>
          <t>District page says substitute teachers now pay $200/day.</t>
        </is>
      </c>
    </row>
    <row r="4" ht="42.75" customHeight="1" s="104">
      <c r="A4" s="8" t="inlineStr">
        <is>
          <t>Student/teacher ratio</t>
        </is>
      </c>
      <c r="B4" s="8" t="inlineStr">
        <is>
          <t>NCES district detail</t>
        </is>
      </c>
      <c r="C4" s="8" t="inlineStr">
        <is>
          <t>https://nces.ed.gov/ccd/districtsearch/district_detail.asp?ID2=0602970</t>
        </is>
      </c>
      <c r="D4" s="8" t="inlineStr">
        <is>
          <t>NCES 2024-25 lists 9,073 students, 369.09 classroom teachers, ratio 24.58, 11 total schools.</t>
        </is>
      </c>
    </row>
    <row r="5" ht="42.75" customHeight="1" s="104">
      <c r="A5" s="8" t="inlineStr">
        <is>
          <t>Schools count</t>
        </is>
      </c>
      <c r="B5" s="8" t="inlineStr">
        <is>
          <t>Arcadia USD About AUSD</t>
        </is>
      </c>
      <c r="C5" s="8" t="inlineStr">
        <is>
          <t>https://www.ausd.net/apps/pages/Aboutausd</t>
        </is>
      </c>
      <c r="D5" s="8" t="inlineStr">
        <is>
          <t>AUSD reports six elementary, three middle, one high school, and one alternative school/outreach program.</t>
        </is>
      </c>
    </row>
    <row r="6" ht="42.75" customHeight="1" s="104">
      <c r="A6" s="8" t="inlineStr">
        <is>
          <t>Demographics</t>
        </is>
      </c>
      <c r="B6" s="8" t="inlineStr">
        <is>
          <t>Arcadia USD Human Resource Services</t>
        </is>
      </c>
      <c r="C6" s="8" t="inlineStr">
        <is>
          <t>https://www.ausd.net/apps/pages/HR</t>
        </is>
      </c>
      <c r="D6" s="8" t="inlineStr">
        <is>
          <t>District page states approximately 9,900 students, 26% Caucasian, 61% Asian, and 10% Hispanic. Black entered as 1%, Other/Uncounted as 2% to total 100.</t>
        </is>
      </c>
    </row>
    <row r="7" ht="42.75" customHeight="1" s="104">
      <c r="A7" s="8" t="inlineStr">
        <is>
          <t>Housing</t>
        </is>
      </c>
      <c r="B7" s="8" t="inlineStr">
        <is>
          <t>Redfin Arcadia housing market</t>
        </is>
      </c>
      <c r="C7" s="8" t="inlineStr">
        <is>
          <t>https://www.redfin.com/city/645/CA/Arcadia/housing-market</t>
        </is>
      </c>
      <c r="D7" s="8" t="inlineStr">
        <is>
          <t>Median sale price and median sale price per square foot.</t>
        </is>
      </c>
    </row>
    <row r="8" ht="42.75" customHeight="1" s="104">
      <c r="A8" s="8" t="inlineStr">
        <is>
          <t>Rent</t>
        </is>
      </c>
      <c r="B8" s="8" t="inlineStr">
        <is>
          <t>Zillow Arcadia rental market trends</t>
        </is>
      </c>
      <c r="C8" s="8" t="inlineStr">
        <is>
          <t>https://www.zillow.com/home-values/50749/arcadia-ca/</t>
        </is>
      </c>
      <c r="D8" s="8" t="inlineStr">
        <is>
          <t>Average rent $3,290 as of April 30, 2026.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Source</t>
        </is>
      </c>
      <c r="C1" s="20" t="inlineStr">
        <is>
          <t>URL</t>
        </is>
      </c>
      <c r="D1" s="20" t="inlineStr">
        <is>
          <t>Note</t>
        </is>
      </c>
    </row>
    <row r="2" ht="42.75" customHeight="1" s="104">
      <c r="A2" s="8" t="inlineStr">
        <is>
          <t>Salary</t>
        </is>
      </c>
      <c r="B2" s="8" t="inlineStr">
        <is>
          <t>2025-26 Licensed Salary Schedule</t>
        </is>
      </c>
      <c r="C2" s="8" t="inlineStr">
        <is>
          <t>https://resources.finalsite.net/images/v1710375798/nclackk12orus/wc7eq0dxubrgofmfwetn/25-26LicensedSalarySchedule.pdf</t>
        </is>
      </c>
      <c r="D2" s="8" t="inlineStr">
        <is>
          <t>BA/MA 0-10 values entered from 193-day schedule.</t>
        </is>
      </c>
    </row>
    <row r="3" ht="42.75" customHeight="1" s="104">
      <c r="A3" s="8" t="inlineStr">
        <is>
          <t>Substitute Pay</t>
        </is>
      </c>
      <c r="B3" s="8" t="inlineStr">
        <is>
          <t>Licensed Substitute Information</t>
        </is>
      </c>
      <c r="C3" s="8" t="inlineStr">
        <is>
          <t>https://www.nclack.k12.or.us/departments/human-resources/substitute-information/licensed-substitute-information</t>
        </is>
      </c>
      <c r="D3" s="8" t="inlineStr">
        <is>
          <t>General education full-day substitute rate $250.</t>
        </is>
      </c>
    </row>
    <row r="4" ht="42.75" customHeight="1" s="104">
      <c r="A4" s="8" t="inlineStr">
        <is>
          <t>District Profile</t>
        </is>
      </c>
      <c r="B4" s="8" t="inlineStr">
        <is>
          <t>About NCSD</t>
        </is>
      </c>
      <c r="C4" s="8" t="inlineStr">
        <is>
          <t>https://www.nclack.k12.or.us/about-ncsd/about-ncsd</t>
        </is>
      </c>
      <c r="D4" s="8" t="inlineStr">
        <is>
          <t>Enrollment, demographics, and school counts.</t>
        </is>
      </c>
    </row>
    <row r="5" ht="42.75" customHeight="1" s="104">
      <c r="A5" s="8" t="inlineStr">
        <is>
          <t>Student/Teacher Ratio</t>
        </is>
      </c>
      <c r="B5" s="8" t="inlineStr">
        <is>
          <t>NCES district detail</t>
        </is>
      </c>
      <c r="C5" s="8" t="inlineStr">
        <is>
          <t>https://nces.ed.gov/ccd/districtsearch/district_detail.asp?ID2=4108830</t>
        </is>
      </c>
      <c r="D5" s="8" t="inlineStr">
        <is>
          <t>2024-25 total students/classroom teachers ratio.</t>
        </is>
      </c>
    </row>
    <row r="6" ht="42.75" customHeight="1" s="104">
      <c r="A6" s="8" t="inlineStr">
        <is>
          <t>Housing</t>
        </is>
      </c>
      <c r="B6" s="8" t="inlineStr">
        <is>
          <t>Redfin Milwaukie housing market</t>
        </is>
      </c>
      <c r="C6" s="8" t="inlineStr">
        <is>
          <t>https://www.redfin.com/city/30776/OR/Milwaukie/housing-market</t>
        </is>
      </c>
      <c r="D6" s="8" t="inlineStr">
        <is>
          <t>Median sale price and PPSF.</t>
        </is>
      </c>
    </row>
    <row r="7" ht="42.75" customHeight="1" s="104">
      <c r="A7" s="8" t="inlineStr">
        <is>
          <t>Rent</t>
        </is>
      </c>
      <c r="B7" s="8" t="inlineStr">
        <is>
          <t>Zillow Milwaukie rent trends</t>
        </is>
      </c>
      <c r="C7" s="8" t="inlineStr">
        <is>
          <t>https://www.zillow.com/rental-manager/market-trends/milwaukie-or/</t>
        </is>
      </c>
      <c r="D7" s="8" t="inlineStr">
        <is>
          <t>Average rent.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Source</t>
        </is>
      </c>
      <c r="C1" s="20" t="inlineStr">
        <is>
          <t>URL</t>
        </is>
      </c>
      <c r="D1" s="20" t="inlineStr">
        <is>
          <t>Note</t>
        </is>
      </c>
    </row>
    <row r="2" ht="42.75" customHeight="1" s="104">
      <c r="A2" s="8" t="inlineStr">
        <is>
          <t>Salary</t>
        </is>
      </c>
      <c r="B2" s="8" t="inlineStr">
        <is>
          <t>2025-26 Licensed Salary Schedule L186</t>
        </is>
      </c>
      <c r="C2" s="8" t="inlineStr">
        <is>
          <t>https://www.canyonsdistrict.org/download/1749/2025-2026/221662/2025-2026-licensed-salary-schedule-l186.pdf</t>
        </is>
      </c>
      <c r="D2" s="8" t="inlineStr">
        <is>
          <t>BA/MA placement modeled from increment levels.</t>
        </is>
      </c>
    </row>
    <row r="3" ht="42.75" customHeight="1" s="104">
      <c r="A3" s="8" t="inlineStr">
        <is>
          <t>Salary Page</t>
        </is>
      </c>
      <c r="B3" s="8" t="inlineStr">
        <is>
          <t>Canyons Salary Schedule page</t>
        </is>
      </c>
      <c r="C3" s="8" t="inlineStr">
        <is>
          <t>https://www.canyonsdistrict.org/depts/hr/salary-schedule/</t>
        </is>
      </c>
      <c r="D3" s="8" t="inlineStr">
        <is>
          <t>Official salary schedule listing.</t>
        </is>
      </c>
    </row>
    <row r="4" ht="42.75" customHeight="1" s="104">
      <c r="A4" s="8" t="inlineStr">
        <is>
          <t>Substitute Pay</t>
        </is>
      </c>
      <c r="B4" s="8" t="inlineStr">
        <is>
          <t>Canyons Substitutes page</t>
        </is>
      </c>
      <c r="C4" s="8" t="inlineStr">
        <is>
          <t>https://www.canyonsdistrict.org/depts/hr/substitutes/</t>
        </is>
      </c>
      <c r="D4" s="8" t="inlineStr">
        <is>
          <t>Licensed substitute rate $180/day.</t>
        </is>
      </c>
    </row>
    <row r="5" ht="42.75" customHeight="1" s="104">
      <c r="A5" s="8" t="inlineStr">
        <is>
          <t>Student/Teacher Ratio</t>
        </is>
      </c>
      <c r="B5" s="8" t="inlineStr">
        <is>
          <t>NCES district detail</t>
        </is>
      </c>
      <c r="C5" s="8" t="inlineStr">
        <is>
          <t>https://nces.ed.gov/ccd/districtsearch/district_detail.asp?DistrictID=4900142&amp;ID2=4900142&amp;Search=2&amp;details=1</t>
        </is>
      </c>
      <c r="D5" s="8" t="inlineStr">
        <is>
          <t>2024-25 total students/classroom teachers ratio and total schools.</t>
        </is>
      </c>
    </row>
    <row r="6" ht="42.75" customHeight="1" s="104">
      <c r="A6" s="8" t="inlineStr">
        <is>
          <t>Demographics</t>
        </is>
      </c>
      <c r="B6" s="8" t="inlineStr">
        <is>
          <t>USBE District Profile</t>
        </is>
      </c>
      <c r="C6" s="8" t="inlineStr">
        <is>
          <t>https://reportcard.schools.utah.gov/District/Profile?DistrictID=186056&amp;schoolyearendyear=2022</t>
        </is>
      </c>
      <c r="D6" s="8" t="inlineStr">
        <is>
          <t>Official demographic distribution used as available.</t>
        </is>
      </c>
    </row>
    <row r="7" ht="42.75" customHeight="1" s="104">
      <c r="A7" s="8" t="inlineStr">
        <is>
          <t>Housing</t>
        </is>
      </c>
      <c r="B7" s="8" t="inlineStr">
        <is>
          <t>Redfin Sandy housing market</t>
        </is>
      </c>
      <c r="C7" s="8" t="inlineStr">
        <is>
          <t>https://www.redfin.com/city/17265/UT/Sandy/housing-market</t>
        </is>
      </c>
      <c r="D7" s="8" t="inlineStr">
        <is>
          <t>Median sale price and PPSF.</t>
        </is>
      </c>
    </row>
    <row r="8" ht="42.75" customHeight="1" s="104">
      <c r="A8" s="8" t="inlineStr">
        <is>
          <t>Rent</t>
        </is>
      </c>
      <c r="B8" s="8" t="inlineStr">
        <is>
          <t>Zillow Sandy rent trends</t>
        </is>
      </c>
      <c r="C8" s="8" t="inlineStr">
        <is>
          <t>https://www.zillow.com/rental-manager/market-trends/sandy-ut/</t>
        </is>
      </c>
      <c r="D8" s="8" t="inlineStr">
        <is>
          <t>Average rent.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Value / Note</t>
        </is>
      </c>
      <c r="C1" s="20" t="inlineStr">
        <is>
          <t>Source URL</t>
        </is>
      </c>
      <c r="D1" s="20" t="inlineStr">
        <is>
          <t>Last Verified</t>
        </is>
      </c>
    </row>
    <row r="2" ht="42.75" customHeight="1" s="104">
      <c r="A2" s="8" t="inlineStr">
        <is>
          <t>Salary schedule</t>
        </is>
      </c>
      <c r="B2" s="8" t="inlineStr">
        <is>
          <t>2025-26 certificated salary schedule, 186 days; BA/credential column used; MA stipend +$2,354 applied.</t>
        </is>
      </c>
      <c r="C2" s="8" t="inlineStr">
        <is>
          <t>https://files.smartsites.parentsquare.com/6174/acuo9a7to8ak2epgjbc.pdf</t>
        </is>
      </c>
      <c r="D2" s="8" t="inlineStr">
        <is>
          <t>2026-06-11</t>
        </is>
      </c>
    </row>
    <row r="3" ht="42.75" customHeight="1" s="104">
      <c r="A3" s="8" t="inlineStr">
        <is>
          <t>District salary page</t>
        </is>
      </c>
      <c r="B3" s="8" t="inlineStr">
        <is>
          <t>District salary &amp; stipend schedule page lists 2025-26 salary schedules.</t>
        </is>
      </c>
      <c r="C3" s="8" t="inlineStr">
        <is>
          <t>https://www.sthelenaunified.org/73799_3</t>
        </is>
      </c>
      <c r="D3" s="8" t="inlineStr">
        <is>
          <t>2026-06-11</t>
        </is>
      </c>
    </row>
    <row r="4" ht="42.75" customHeight="1" s="104">
      <c r="A4" s="8" t="inlineStr">
        <is>
          <t>Substitute process</t>
        </is>
      </c>
      <c r="B4" s="8" t="inlineStr">
        <is>
          <t>SHUSD says Napa COE maintains the substitute call list; each district is a separate employer.</t>
        </is>
      </c>
      <c r="C4" s="8" t="inlineStr">
        <is>
          <t>https://www.sthelenaunified.org/73800_3</t>
        </is>
      </c>
      <c r="D4" s="8" t="inlineStr">
        <is>
          <t>2026-06-11</t>
        </is>
      </c>
    </row>
    <row r="5" ht="42.75" customHeight="1" s="104">
      <c r="A5" s="8" t="inlineStr">
        <is>
          <t>Substitute pay input</t>
        </is>
      </c>
      <c r="B5" s="8" t="inlineStr">
        <is>
          <t>NCOE substitute teacher pay rates for 2026-27 show credentialed teacher daily rate of $275; used provisionally as licensed sub pay.</t>
        </is>
      </c>
      <c r="C5" s="8" t="inlineStr">
        <is>
          <t>https://napacoe.org/wp-content/uploads/2026/05/sub_rates_26.27.pdf</t>
        </is>
      </c>
      <c r="D5" s="8" t="inlineStr">
        <is>
          <t>2026-06-11</t>
        </is>
      </c>
    </row>
    <row r="6" ht="42.75" customHeight="1" s="104">
      <c r="A6" s="8" t="inlineStr">
        <is>
          <t>NCES district profile</t>
        </is>
      </c>
      <c r="B6" s="8" t="inlineStr">
        <is>
          <t>NCES lists Saint Helena Unified: 5 schools, 1,105 students, 82.96 teachers, 13.32 student/teacher ratio.</t>
        </is>
      </c>
      <c r="C6" s="8" t="inlineStr">
        <is>
          <t>https://nces.ed.gov/ccd/districtsearch/district_detail.asp?ID2=0637830</t>
        </is>
      </c>
      <c r="D6" s="8" t="inlineStr">
        <is>
          <t>2026-06-11</t>
        </is>
      </c>
    </row>
    <row r="7" ht="42.75" customHeight="1" s="104">
      <c r="A7" s="8" t="inlineStr">
        <is>
          <t>CDE district profile</t>
        </is>
      </c>
      <c r="B7" s="8" t="inlineStr">
        <is>
          <t>CDE profile lists 2025-26 enrollment as 1,152 and English learners as 127 (11.0%).</t>
        </is>
      </c>
      <c r="C7" s="8" t="inlineStr">
        <is>
          <t>https://www.cde.ca.gov/sdprofile/details.aspx?cds=28662900000000</t>
        </is>
      </c>
      <c r="D7" s="8" t="inlineStr">
        <is>
          <t>2026-06-11</t>
        </is>
      </c>
    </row>
    <row r="8" ht="42.75" customHeight="1" s="104">
      <c r="A8" s="8" t="inlineStr">
        <is>
          <t>Demographics</t>
        </is>
      </c>
      <c r="B8" s="8" t="inlineStr">
        <is>
          <t>Public School Review summary used for race/ethnicity percentages: Hispanic 53%, White 42%, Asian 2%, Black 1%, Two or more 2%.</t>
        </is>
      </c>
      <c r="C8" s="8" t="inlineStr">
        <is>
          <t>https://www.publicschoolreview.com/california/saint-helena-unified-school-district/637830-school-district</t>
        </is>
      </c>
      <c r="D8" s="8" t="inlineStr">
        <is>
          <t>2026-06-11</t>
        </is>
      </c>
    </row>
    <row r="9" ht="42.75" customHeight="1" s="104">
      <c r="A9" s="8" t="inlineStr">
        <is>
          <t>Home price</t>
        </is>
      </c>
      <c r="B9" s="8" t="inlineStr">
        <is>
          <t>Redfin St. Helena housing market median sale price: $2,323,609.</t>
        </is>
      </c>
      <c r="C9" s="8" t="inlineStr">
        <is>
          <t>https://www.redfin.com/city/16448/CA/St-Helena/housing-market</t>
        </is>
      </c>
      <c r="D9" s="8" t="inlineStr">
        <is>
          <t>2026-06-11</t>
        </is>
      </c>
    </row>
    <row r="10" ht="42.75" customHeight="1" s="104">
      <c r="A10" s="8" t="inlineStr">
        <is>
          <t>Price per sq ft</t>
        </is>
      </c>
      <c r="B10" s="8" t="inlineStr">
        <is>
          <t>Redfin 94574 housing market median sale price per square foot: $903.</t>
        </is>
      </c>
      <c r="C10" s="8" t="inlineStr">
        <is>
          <t>https://www.redfin.com/zipcode/94574/housing-market</t>
        </is>
      </c>
      <c r="D10" s="8" t="inlineStr">
        <is>
          <t>2026-06-11</t>
        </is>
      </c>
    </row>
    <row r="11" ht="42.75" customHeight="1" s="104">
      <c r="A11" s="8" t="inlineStr">
        <is>
          <t>Rent</t>
        </is>
      </c>
      <c r="B11" s="8" t="inlineStr">
        <is>
          <t>Zillow Rental Manager average rent in Saint Helena, CA: $5,995.</t>
        </is>
      </c>
      <c r="C11" s="8" t="inlineStr">
        <is>
          <t>https://www.zillow.com/rental-manager/market-trends/saint-helena-ca/</t>
        </is>
      </c>
      <c r="D11" s="8" t="inlineStr">
        <is>
          <t>2026-06-11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10" defaultColWidth="8.83203125" defaultRowHeight="15"/>
  <cols>
    <col width="30" customWidth="1" style="104" min="1" max="1"/>
    <col width="16" customWidth="1" style="104" min="2" max="2"/>
    <col width="50" customWidth="1" style="104" min="3" max="3"/>
    <col width="24" customWidth="1" style="104" min="4" max="4"/>
    <col width="50" customWidth="1" style="104" min="5" max="5"/>
  </cols>
  <sheetData>
    <row r="1" ht="53.25" customHeight="1" s="104">
      <c r="A1" s="20" t="inlineStr">
        <is>
          <t>District</t>
        </is>
      </c>
      <c r="B1" s="20" t="inlineStr">
        <is>
          <t>Staffing Model</t>
        </is>
      </c>
      <c r="C1" s="20" t="inlineStr">
        <is>
          <t>Penalty Applied</t>
        </is>
      </c>
      <c r="D1" s="20" t="inlineStr">
        <is>
          <t>Evidence</t>
        </is>
      </c>
      <c r="E1" s="20" t="inlineStr">
        <is>
          <t>Source URL</t>
        </is>
      </c>
    </row>
    <row r="2" ht="42.75" customHeight="1" s="104">
      <c r="A2" s="8" t="inlineStr">
        <is>
          <t>North Clackamas School District</t>
        </is>
      </c>
      <c r="B2" s="8" t="inlineStr">
        <is>
          <t>ESS full licensed/classified substitute provider</t>
        </is>
      </c>
      <c r="C2" s="8" t="inlineStr">
        <is>
          <t>Sub Pay Score × 60%</t>
        </is>
      </c>
      <c r="D2" s="8" t="inlineStr">
        <is>
          <t>District says ESS is responsible for hiring, training, and placement of licensed/classified substitutes.</t>
        </is>
      </c>
      <c r="E2" s="8" t="inlineStr">
        <is>
          <t>https://www.nclack.k12.or.us/departments/human-resources/substitute-information</t>
        </is>
      </c>
    </row>
    <row r="3" ht="42.75" customHeight="1" s="104">
      <c r="A3" s="8" t="inlineStr">
        <is>
          <t>Provo City School District</t>
        </is>
      </c>
      <c r="B3" s="8" t="inlineStr">
        <is>
          <t>Third-party substitute provider (Edustaff); ESS/Willsub job listing also found historically</t>
        </is>
      </c>
      <c r="C3" s="8" t="inlineStr">
        <is>
          <t>Sub Pay Score × 60%</t>
        </is>
      </c>
      <c r="D3" s="8" t="inlineStr">
        <is>
          <t>Current district page says Provo partnered with Edustaff to supply/manage substitute workforce; substitute work is not district-managed.</t>
        </is>
      </c>
      <c r="E3" s="8" t="inlineStr">
        <is>
          <t>https://provo.edu/employment-opportunities/substitute-information/</t>
        </is>
      </c>
    </row>
    <row r="4" ht="42.75" customHeight="1" s="104">
      <c r="A4" s="8" t="inlineStr">
        <is>
          <t>Scoring rule</t>
        </is>
      </c>
      <c r="B4" s="8" t="inlineStr">
        <is>
          <t>district / third-party</t>
        </is>
      </c>
      <c r="C4" s="8" t="inlineStr">
        <is>
          <t>District-managed = 100%; full third-party substitute provider = 60%</t>
        </is>
      </c>
      <c r="D4" s="8" t="inlineStr">
        <is>
          <t>Penalty only affects Sub Pay Score and therefore overall score by the Sub Pay Score weight.</t>
        </is>
      </c>
      <c r="E4" s="8" t="inlineStr">
        <is>
          <t>https://ess.com/k12-substitutesolutions/</t>
        </is>
      </c>
    </row>
    <row r="5" ht="42.75" customHeight="1" s="104">
      <c r="A5" s="8" t="inlineStr">
        <is>
          <t>Flagstaff Unified School District</t>
        </is>
      </c>
      <c r="B5" s="8" t="inlineStr">
        <is>
          <t>district</t>
        </is>
      </c>
      <c r="C5" s="8" t="inlineStr">
        <is>
          <t>No penalty</t>
        </is>
      </c>
      <c r="D5" s="8" t="inlineStr">
        <is>
          <t>No ESS/third-party substitute staffing confirmed in first pass; district uses Red Rover postings.</t>
        </is>
      </c>
      <c r="E5" s="8" t="inlineStr">
        <is>
          <t>https://jobs.redroverk12.com/org/fusd1/opening/177926</t>
        </is>
      </c>
    </row>
    <row r="6" ht="42.75" customHeight="1" s="104">
      <c r="A6" s="8" t="inlineStr">
        <is>
          <t>Chandler Unified School District</t>
        </is>
      </c>
      <c r="B6" s="8" t="inlineStr">
        <is>
          <t>district</t>
        </is>
      </c>
      <c r="C6" s="8" t="inlineStr">
        <is>
          <t>No penalty</t>
        </is>
      </c>
      <c r="D6" s="8" t="inlineStr">
        <is>
          <t>CUSD page lists district HR substitute services contacts and SmartFind Express.</t>
        </is>
      </c>
      <c r="E6" s="8" t="inlineStr">
        <is>
          <t>https://www.cusd80.com/human-resources/substitutes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Value / Note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Salary</t>
        </is>
      </c>
      <c r="B2" s="8" t="inlineStr">
        <is>
          <t>Provisional BA/MA schedule: $50,910 to $57,285, linearly distributed 0-10 years</t>
        </is>
      </c>
      <c r="C2" s="8" t="inlineStr">
        <is>
          <t>https://www.fusd1.org/42660_4</t>
        </is>
      </c>
      <c r="D2" s="8" t="inlineStr">
        <is>
          <t>Certified Salary Schedule is linked from FUSD page via Google Drive; searchable public job snippets show the range. Verify lane details later.</t>
        </is>
      </c>
    </row>
    <row r="3" ht="42.75" customHeight="1" s="104">
      <c r="A3" s="8" t="inlineStr">
        <is>
          <t>Substitute pay</t>
        </is>
      </c>
      <c r="B3" s="8" t="inlineStr">
        <is>
          <t>$140/day; Leupp $155/day noted</t>
        </is>
      </c>
      <c r="C3" s="8" t="inlineStr">
        <is>
          <t>https://jobs.redroverk12.com/org/fusd1/opening/177926</t>
        </is>
      </c>
      <c r="D3" s="8" t="inlineStr">
        <is>
          <t>Used standard substitute teacher pay.</t>
        </is>
      </c>
    </row>
    <row r="4" ht="42.75" customHeight="1" s="104">
      <c r="A4" s="8" t="inlineStr">
        <is>
          <t>NCES ratio/enrollment</t>
        </is>
      </c>
      <c r="B4" s="8" t="inlineStr">
        <is>
          <t>8,595 students; 548.29 teachers; ratio 15.68</t>
        </is>
      </c>
      <c r="C4" s="8" t="inlineStr">
        <is>
          <t>https://nces.ed.gov/ccd/districtsearch/district_detail.asp?DistrictID=0402860&amp;ID2=0402860&amp;Search=2&amp;details=1</t>
        </is>
      </c>
      <c r="D4" s="8" t="inlineStr">
        <is>
          <t>2024-25 CCD.</t>
        </is>
      </c>
    </row>
    <row r="5" ht="42.75" customHeight="1" s="104">
      <c r="A5" s="8" t="inlineStr">
        <is>
          <t>School count</t>
        </is>
      </c>
      <c r="B5" s="8" t="inlineStr">
        <is>
          <t>15 comprehensive school sites; school list shows 3 high and 2 middle schools</t>
        </is>
      </c>
      <c r="C5" s="8" t="inlineStr">
        <is>
          <t>https://www.fusd1.org/aboutfusd</t>
        </is>
      </c>
      <c r="D5" s="8" t="inlineStr">
        <is>
          <t>District about page and school list.</t>
        </is>
      </c>
    </row>
    <row r="6" ht="42.75" customHeight="1" s="104">
      <c r="A6" s="8" t="inlineStr">
        <is>
          <t>Demographics</t>
        </is>
      </c>
      <c r="B6" s="8" t="inlineStr">
        <is>
          <t>White 39.8%; Hispanic 30.9%; Asian/Pacific 0.8%; Black 0.8%; Other 27.7%</t>
        </is>
      </c>
      <c r="C6" s="8" t="inlineStr">
        <is>
          <t>https://www.neighborhoodscout.com/az/flagstaff/schools</t>
        </is>
      </c>
      <c r="D6" s="8" t="inlineStr">
        <is>
          <t>Used for prototype balance scoring.</t>
        </is>
      </c>
    </row>
    <row r="7" ht="42.75" customHeight="1" s="104">
      <c r="A7" s="8" t="inlineStr">
        <is>
          <t>Housing</t>
        </is>
      </c>
      <c r="B7" s="8" t="inlineStr">
        <is>
          <t>Median sale $710K; PPSF $368</t>
        </is>
      </c>
      <c r="C7" s="8" t="inlineStr">
        <is>
          <t>https://www.redfin.com/city/6089/AZ/Flagstaff/housing-market</t>
        </is>
      </c>
      <c r="D7" s="8" t="inlineStr">
        <is>
          <t>Redfin citywide market page.</t>
        </is>
      </c>
    </row>
    <row r="8" ht="42.75" customHeight="1" s="104">
      <c r="A8" s="8" t="inlineStr">
        <is>
          <t>Rent</t>
        </is>
      </c>
      <c r="B8" s="8" t="inlineStr">
        <is>
          <t>$2,300 average rent</t>
        </is>
      </c>
      <c r="C8" s="8" t="inlineStr">
        <is>
          <t>https://www.zillow.com/rental-manager/market-trends/flagstaff-az/</t>
        </is>
      </c>
      <c r="D8" s="8" t="inlineStr">
        <is>
          <t>Zillow Rental Manager.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Value / Note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Salary</t>
        </is>
      </c>
      <c r="B2" s="8" t="inlineStr">
        <is>
          <t>2025-26 teacher entry $55,249; max $91,559; new-hire schedule through 8 years; MA stipend $1,250</t>
        </is>
      </c>
      <c r="C2" s="8" t="inlineStr">
        <is>
          <t>https://resources.finalsite.net/images/v1750874174/cusd80com/ctubigjt873gcyob84yf/Certified_Teacher_Salary_Schedule_2025-2026.pdf</t>
        </is>
      </c>
      <c r="D2" s="8" t="inlineStr">
        <is>
          <t>CUSD caps new-teacher experience credit at 8 years.</t>
        </is>
      </c>
    </row>
    <row r="3" ht="42.75" customHeight="1" s="104">
      <c r="A3" s="8" t="inlineStr">
        <is>
          <t>Substitute pay</t>
        </is>
      </c>
      <c r="B3" s="8" t="inlineStr">
        <is>
          <t>$170/day certified substitute; long-term $200/day</t>
        </is>
      </c>
      <c r="C3" s="8" t="inlineStr">
        <is>
          <t>https://www.cusd80.com/human-resources/substitutes</t>
        </is>
      </c>
      <c r="D3" s="8" t="inlineStr">
        <is>
          <t>Used certified substitute rate.</t>
        </is>
      </c>
    </row>
    <row r="4" ht="42.75" customHeight="1" s="104">
      <c r="A4" s="8" t="inlineStr">
        <is>
          <t>NCES ratio/enrollment</t>
        </is>
      </c>
      <c r="B4" s="8" t="inlineStr">
        <is>
          <t>41,421 students; 2,354.92 teachers; ratio 17.59</t>
        </is>
      </c>
      <c r="C4" s="8" t="inlineStr">
        <is>
          <t>https://nces.ed.gov/ccd/districtsearch/district_detail.asp?ID2=0401870&amp;Search=2</t>
        </is>
      </c>
      <c r="D4" s="8" t="inlineStr">
        <is>
          <t>2024-25 CCD.</t>
        </is>
      </c>
    </row>
    <row r="5" ht="42.75" customHeight="1" s="104">
      <c r="A5" s="8" t="inlineStr">
        <is>
          <t>School count</t>
        </is>
      </c>
      <c r="B5" s="8" t="inlineStr">
        <is>
          <t>31 elementary; 5 junior highs; 2 middle; 5 high; 4 alternatives; 1 secondary; 1 online</t>
        </is>
      </c>
      <c r="C5" s="8" t="inlineStr">
        <is>
          <t>https://www.cusd80.com/about-us/about-cusd</t>
        </is>
      </c>
      <c r="D5" s="8" t="inlineStr">
        <is>
          <t>Middle count entered as 7 = 5 junior highs + 2 middle schools; other=6.</t>
        </is>
      </c>
    </row>
    <row r="6" ht="42.75" customHeight="1" s="104">
      <c r="A6" s="8" t="inlineStr">
        <is>
          <t>Demographics</t>
        </is>
      </c>
      <c r="B6" s="8" t="inlineStr">
        <is>
          <t>White 47.7%; Hispanic 31.9%; Asian/Pacific 12.5%; Black 5.8%; Other 2.1%</t>
        </is>
      </c>
      <c r="C6" s="8" t="inlineStr">
        <is>
          <t>https://www.neighborhoodscout.com/az/chandler/schools</t>
        </is>
      </c>
      <c r="D6" s="8" t="inlineStr">
        <is>
          <t>Used for prototype balance scoring.</t>
        </is>
      </c>
    </row>
    <row r="7" ht="42.75" customHeight="1" s="104">
      <c r="A7" s="8" t="inlineStr">
        <is>
          <t>Housing</t>
        </is>
      </c>
      <c r="B7" s="8" t="inlineStr">
        <is>
          <t>Median sale $520K; PPSF $286</t>
        </is>
      </c>
      <c r="C7" s="8" t="inlineStr">
        <is>
          <t>https://www.redfin.com/city/3104/AZ/Chandler/housing-market</t>
        </is>
      </c>
      <c r="D7" s="8" t="inlineStr">
        <is>
          <t>Redfin citywide market page.</t>
        </is>
      </c>
    </row>
    <row r="8" ht="42.75" customHeight="1" s="104">
      <c r="A8" s="8" t="inlineStr">
        <is>
          <t>Rent</t>
        </is>
      </c>
      <c r="B8" s="8" t="inlineStr">
        <is>
          <t>$2,388 average rent</t>
        </is>
      </c>
      <c r="C8" s="8" t="inlineStr">
        <is>
          <t>https://www.zillow.com/rental-manager/market-trends/chandler-az/</t>
        </is>
      </c>
      <c r="D8" s="8" t="inlineStr">
        <is>
          <t>Zillow Rental Manager.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10" defaultColWidth="8.83203125" defaultRowHeight="15"/>
  <cols>
    <col width="34" customWidth="1" style="104" min="1" max="1"/>
    <col width="14" customWidth="1" style="104" min="2" max="2"/>
    <col width="15" customWidth="1" style="104" min="3" max="3"/>
    <col width="22" customWidth="1" style="104" min="4" max="4"/>
    <col width="16" customWidth="1" style="104" min="5" max="5"/>
    <col width="24" customWidth="1" style="104" min="6" max="6"/>
    <col width="18" customWidth="1" style="104" min="7" max="7"/>
    <col width="65" customWidth="1" style="104" min="8" max="8"/>
  </cols>
  <sheetData>
    <row r="1" ht="53.25" customHeight="1" s="104">
      <c r="A1" s="20" t="inlineStr">
        <is>
          <t>District</t>
        </is>
      </c>
      <c r="B1" s="20" t="inlineStr">
        <is>
          <t>Risk Level</t>
        </is>
      </c>
      <c r="C1" s="20" t="inlineStr">
        <is>
          <t>Multiplier</t>
        </is>
      </c>
      <c r="D1" s="20" t="inlineStr">
        <is>
          <t>Penalty</t>
        </is>
      </c>
      <c r="E1" s="20" t="inlineStr">
        <is>
          <t>Pre-Risk Score</t>
        </is>
      </c>
      <c r="F1" s="20" t="inlineStr">
        <is>
          <t>Final Score</t>
        </is>
      </c>
      <c r="G1" s="20" t="inlineStr">
        <is>
          <t>Rationale</t>
        </is>
      </c>
      <c r="H1" s="20" t="inlineStr">
        <is>
          <t>Source URLs / verification links</t>
        </is>
      </c>
    </row>
    <row r="2" ht="42.75" customHeight="1" s="104">
      <c r="A2" s="8" t="inlineStr">
        <is>
          <t>Alief ISD</t>
        </is>
      </c>
      <c r="B2" s="8" t="inlineStr">
        <is>
          <t>Moderate</t>
        </is>
      </c>
      <c r="C2" s="16" t="n">
        <v>0.9</v>
      </c>
      <c r="D2" s="8" t="inlineStr">
        <is>
          <t>10% reduction</t>
        </is>
      </c>
      <c r="E2" s="16" t="n">
        <v>54.14196859151437</v>
      </c>
      <c r="F2" s="16" t="n">
        <v>48.72777173236293</v>
      </c>
      <c r="G2" s="8" t="inlineStr">
        <is>
          <t>10% employment-stability penalty due to enrollment-loss pressure, charter competition, and budget-cut concerns.</t>
        </is>
      </c>
      <c r="H2" s="8" t="inlineStr">
        <is>
          <t>https://www.houstonlanding.org/i-want-to-fight-alief-isd-confronts-enrollment-losses-charter-growth-as-budget-cuts-loom/</t>
        </is>
      </c>
    </row>
    <row r="3" ht="42.75" customHeight="1" s="104">
      <c r="A3" s="8" t="inlineStr">
        <is>
          <t>Arcadia Unified School District</t>
        </is>
      </c>
      <c r="B3" s="8" t="inlineStr">
        <is>
          <t>High</t>
        </is>
      </c>
      <c r="C3" s="16" t="n">
        <v>0.85</v>
      </c>
      <c r="D3" s="8" t="inlineStr">
        <is>
          <t>15% reduction</t>
        </is>
      </c>
      <c r="E3" s="16" t="n">
        <v>41.95689195560352</v>
      </c>
      <c r="F3" s="16" t="n">
        <v>35.66335816226299</v>
      </c>
      <c r="G3" s="8" t="inlineStr">
        <is>
          <t>15% employment-stability penalty because district budget updates indicated teacher-layoff risk unless local funding support fills the gap.</t>
        </is>
      </c>
      <c r="H3" s="8" t="inlineStr">
        <is>
          <t>https://www.ausd.net/apps/pages/index.jsp?pREC_ID=1287273&amp;type=d&amp;uREC_ID=965712</t>
        </is>
      </c>
    </row>
    <row r="4" ht="42.75" customHeight="1" s="104">
      <c r="A4" s="8" t="inlineStr">
        <is>
          <t>Austin ISD</t>
        </is>
      </c>
      <c r="B4" s="8" t="inlineStr">
        <is>
          <t>Severe</t>
        </is>
      </c>
      <c r="C4" s="16" t="n">
        <v>0.8</v>
      </c>
      <c r="D4" s="8" t="inlineStr">
        <is>
          <t>20% reduction</t>
        </is>
      </c>
      <c r="E4" s="16" t="n">
        <v>49.64850484984653</v>
      </c>
      <c r="F4" s="16" t="n">
        <v>39.71880387987723</v>
      </c>
      <c r="G4" s="8" t="inlineStr">
        <is>
          <t>20% employment-stability penalty due to very large projected budget gap, planned job cuts, school-closure discussions, and possible governance/fiscal instability.</t>
        </is>
      </c>
      <c r="H4" s="8" t="inlineStr">
        <is>
          <t>https://www.kut.org/education/2026-06-03/austins-isd-budget-cuts-teachers-librarians-police | https://www.austinisd.org/budget | https://www.axios.com/local/austin/2026/06/10/austin-public-schools-state-takeover</t>
        </is>
      </c>
    </row>
    <row r="5" ht="42.75" customHeight="1" s="104">
      <c r="A5" s="8" t="inlineStr">
        <is>
          <t>Barbers Hill ISD</t>
        </is>
      </c>
      <c r="B5" s="8" t="inlineStr">
        <is>
          <t>Stable / growth district</t>
        </is>
      </c>
      <c r="C5" s="16" t="n">
        <v>1</v>
      </c>
      <c r="D5" s="8" t="inlineStr">
        <is>
          <t>No reduction</t>
        </is>
      </c>
      <c r="E5" s="16" t="n">
        <v>59.35206930848928</v>
      </c>
      <c r="F5" s="16" t="n">
        <v>59.35206930848928</v>
      </c>
      <c r="G5" s="8" t="inlineStr">
        <is>
          <t>No current employment-stability penalty applied. Barbers Hill is a fast-growth district; Texas Tribune reports enrollment of 8,088 students in 2026, up 59.1% since 2016, and no reliable public evidence of broad layoffs/closures was found in this pass.</t>
        </is>
      </c>
      <c r="H5" s="8" t="inlineStr">
        <is>
          <t>https://schools.texastribune.org/districts/barbers-hill-isd/ ; https://www.bhisd.net/departments/finance/finance-information ; https://www.bhisd.net/</t>
        </is>
      </c>
    </row>
    <row r="6" ht="42.75" customHeight="1" s="104">
      <c r="A6" s="8" t="inlineStr">
        <is>
          <t>Canyons School District</t>
        </is>
      </c>
      <c r="B6" s="8" t="inlineStr">
        <is>
          <t>Moderate</t>
        </is>
      </c>
      <c r="C6" s="16" t="n">
        <v>0.9</v>
      </c>
      <c r="D6" s="8" t="inlineStr">
        <is>
          <t>10% reduction</t>
        </is>
      </c>
      <c r="E6" s="16" t="n">
        <v>49.05373129963512</v>
      </c>
      <c r="F6" s="16" t="n">
        <v>44.14835816967161</v>
      </c>
      <c r="G6" s="8" t="inlineStr">
        <is>
          <t>10% employment-stability penalty due to declining enrollment and possible elementary-school changes/closures; no broad layoff evidence found in first pass.</t>
        </is>
      </c>
      <c r="H6" s="8" t="inlineStr">
        <is>
          <t>https://kutv.com/news/2news-investigates/8-canyons-district-schools-studied-for-potential-changes-as-enrollment-falls</t>
        </is>
      </c>
    </row>
    <row r="7" ht="42.75" customHeight="1" s="104">
      <c r="A7" s="8" t="inlineStr">
        <is>
          <t>Chandler Unified School District</t>
        </is>
      </c>
      <c r="B7" s="8" t="inlineStr">
        <is>
          <t>High</t>
        </is>
      </c>
      <c r="C7" s="16" t="n">
        <v>0.85</v>
      </c>
      <c r="D7" s="8" t="inlineStr">
        <is>
          <t>15% reduction</t>
        </is>
      </c>
      <c r="E7" s="16" t="n">
        <v>43.93029582168433</v>
      </c>
      <c r="F7" s="16" t="n">
        <v>37.34075144843167</v>
      </c>
      <c r="G7" s="8" t="inlineStr">
        <is>
          <t>15% employment-stability penalty due to declining enrollment, budget shortfall, and staffing-reduction/job-cut plan.</t>
        </is>
      </c>
      <c r="H7" s="8" t="inlineStr">
        <is>
          <t>https://www.12news.com/article/news/local/valley/chandler-unified-passes-job-cuts-puts-library-and-technology-positions-on-hold/75-fc34b00f-faab-42dd-b87e-32a29c0483bb | https://www.azfamily.com/2026/01/14/chandler-unified-discuss-cutting-about-120-jobs-amid-declining-enrollment/</t>
        </is>
      </c>
    </row>
    <row r="8" ht="42.75" customHeight="1" s="104">
      <c r="A8" s="8" t="inlineStr">
        <is>
          <t>Chapel Hill-Carrboro City Schools</t>
        </is>
      </c>
      <c r="B8" s="8" t="inlineStr">
        <is>
          <t>High</t>
        </is>
      </c>
      <c r="C8" s="16" t="n">
        <v>0.85</v>
      </c>
      <c r="D8" s="8" t="inlineStr">
        <is>
          <t>15% reduction</t>
        </is>
      </c>
      <c r="E8" s="16" t="n">
        <v>55.56879436709167</v>
      </c>
      <c r="F8" s="16" t="n">
        <v>47.23347521202792</v>
      </c>
      <c r="G8" s="8" t="inlineStr">
        <is>
          <t>15% employment-stability penalty due to staff cuts, school-closure discussions, declining enrollment, and budget shortfall concerns.</t>
        </is>
      </c>
      <c r="H8" s="8" t="inlineStr">
        <is>
          <t>https://www.wunc.org/education/2026-04-10/chapel-hill-carrboro-schools-cuts-staff | https://www.axios.com/local/raleigh/2026/02/13/chapel-hill-carrboro-city-schools-closure-north-carolina</t>
        </is>
      </c>
    </row>
    <row r="9" ht="42.75" customHeight="1" s="104">
      <c r="A9" s="8" t="inlineStr">
        <is>
          <t>Cherry Creek School District</t>
        </is>
      </c>
      <c r="B9" s="8" t="inlineStr">
        <is>
          <t>High</t>
        </is>
      </c>
      <c r="C9" s="16" t="n">
        <v>0.85</v>
      </c>
      <c r="D9" s="8" t="inlineStr">
        <is>
          <t>15% reduction</t>
        </is>
      </c>
      <c r="E9" s="16" t="n">
        <v>63.75935866914843</v>
      </c>
      <c r="F9" s="16" t="n">
        <v>54.19545486877617</v>
      </c>
      <c r="G9" s="8" t="inlineStr">
        <is>
          <t>15% employment-stability penalty due to announced job reductions and districtwide budget-cut plan.</t>
        </is>
      </c>
      <c r="H9" s="8" t="inlineStr">
        <is>
          <t>https://www.9news.com/article/news/education/cherry-creek-school-district-cutting-159-jobs-reducing-expenses-by-23-million-amid-budget-shortfall/73-32f218aa-7304-4a2a-bc27-b2a217049982 | https://www.denver7.com/news/investigations/cherry-creek-school-district-announces-budget-cuts-amid-shortfall</t>
        </is>
      </c>
    </row>
    <row r="10" ht="42.75" customHeight="1" s="104">
      <c r="A10" s="8" t="inlineStr">
        <is>
          <t>Chicago Public Schools</t>
        </is>
      </c>
      <c r="B10" s="8" t="inlineStr">
        <is>
          <t>High</t>
        </is>
      </c>
      <c r="C10" s="16" t="n">
        <v>0.85</v>
      </c>
      <c r="D10" s="8" t="inlineStr">
        <is>
          <t>15% reduction</t>
        </is>
      </c>
      <c r="E10" s="16" t="n">
        <v>65.70553464936386</v>
      </c>
      <c r="F10" s="16" t="n">
        <v>55.84970445195928</v>
      </c>
      <c r="G10" s="8" t="inlineStr">
        <is>
          <t>15% employment-stability penalty due to structural deficit and reported teacher-position reductions / higher class-size planning.</t>
        </is>
      </c>
      <c r="H10" s="8" t="inlineStr">
        <is>
          <t>https://www.wbez.org/education/2026/05/12/cps-plans-cut-teacher-positions-raise-class-sizes-shrink-723-million-deficit | https://www.chalkbeat.org/chicago/2026/05/12/chicago-public-schools-releases-school-budgets/</t>
        </is>
      </c>
    </row>
    <row r="11" ht="42.75" customHeight="1" s="104">
      <c r="A11" s="8" t="inlineStr">
        <is>
          <t>Denver Public Schools</t>
        </is>
      </c>
      <c r="B11" s="8" t="inlineStr">
        <is>
          <t>Moderate</t>
        </is>
      </c>
      <c r="C11" s="16" t="n">
        <v>0.9</v>
      </c>
      <c r="D11" s="8" t="inlineStr">
        <is>
          <t>10% reduction</t>
        </is>
      </c>
      <c r="E11" s="16" t="n">
        <v>62.23383302719893</v>
      </c>
      <c r="F11" s="16" t="n">
        <v>56.01044972447904</v>
      </c>
      <c r="G11" s="8" t="inlineStr">
        <is>
          <t>10% employment-stability penalty due to central-office layoffs, declining enrollment pressure, and warnings about possible additional school closures.</t>
        </is>
      </c>
      <c r="H11" s="8" t="inlineStr">
        <is>
          <t>https://coloradosun.com/2025/02/28/denver-public-schools-lays-off-38-central-office-staff-which-will-save-the-district-5-million-a-year/ | https://www.chalkbeat.org/colorado/2026/05/13/denver-public-schools-budget-need-for-more-school-closures/</t>
        </is>
      </c>
    </row>
    <row r="12" ht="42.75" customHeight="1" s="104">
      <c r="A12" s="8" t="inlineStr">
        <is>
          <t>Eanes ISD</t>
        </is>
      </c>
      <c r="B12" s="8" t="inlineStr">
        <is>
          <t>Moderate</t>
        </is>
      </c>
      <c r="C12" s="16" t="n">
        <v>0.9</v>
      </c>
      <c r="D12" s="8" t="inlineStr">
        <is>
          <t>10% reduction</t>
        </is>
      </c>
      <c r="E12" s="16" t="n">
        <v>35.57291324224143</v>
      </c>
      <c r="F12" s="16" t="n">
        <v>32.01562191801729</v>
      </c>
      <c r="G12" s="8" t="inlineStr">
        <is>
          <t>10% employment-stability penalty due to shortfall concerns, consolidation/closure actions, and cost-saving measures; recent cuts may partially stabilize the outlook.</t>
        </is>
      </c>
      <c r="H12" s="8" t="inlineStr">
        <is>
          <t>https://communityimpact.com/austin/lake-travis-westlake/education/2026/03/26/eanes-isd-projects-ongoing-budget-shortfall-in-2026-27-despite-cost-cuts/ | https://communityimpact.com/austin/lake-travis-westlake/education/2026/04/29/eanes-isd-could-see-16-million-budget-surplus-next-year-following-cuts/ | https://www.eanesisd.net/post/~board/district-news/post/eanes-isd-approves-cost-saving-measures-to-mitigate-deficit</t>
        </is>
      </c>
    </row>
    <row r="13" ht="42.75" customHeight="1" s="104">
      <c r="A13" s="8" t="inlineStr">
        <is>
          <t>Flagstaff Unified School District</t>
        </is>
      </c>
      <c r="B13" s="8" t="inlineStr">
        <is>
          <t>Moderate</t>
        </is>
      </c>
      <c r="C13" s="16" t="n">
        <v>0.9</v>
      </c>
      <c r="D13" s="8" t="inlineStr">
        <is>
          <t>10% reduction</t>
        </is>
      </c>
      <c r="E13" s="16" t="n">
        <v>45.39155327373001</v>
      </c>
      <c r="F13" s="16" t="n">
        <v>40.85239794635701</v>
      </c>
      <c r="G13" s="8" t="inlineStr">
        <is>
          <t>10% employment-stability penalty due to enrollment/funding stress, long-term financial-planning concerns, and override dependence.</t>
        </is>
      </c>
      <c r="H13" s="8" t="inlineStr">
        <is>
          <t>https://www.fusd1.org/fusd-long-term-financial-planning | https://www.instagram.com/reel/DWhltMJkgW5/</t>
        </is>
      </c>
    </row>
    <row r="14" ht="42.75" customHeight="1" s="104">
      <c r="A14" s="8" t="inlineStr">
        <is>
          <t>Glendale Union High School District</t>
        </is>
      </c>
      <c r="B14" s="8" t="inlineStr">
        <is>
          <t>Watchlist</t>
        </is>
      </c>
      <c r="C14" s="16" t="n">
        <v>0.95</v>
      </c>
      <c r="D14" s="8" t="inlineStr">
        <is>
          <t>5% reduction</t>
        </is>
      </c>
      <c r="E14" s="16" t="n">
        <v>46.82196046112283</v>
      </c>
      <c r="F14" s="16" t="n">
        <v>44.48086243806669</v>
      </c>
      <c r="G14" s="8" t="inlineStr">
        <is>
          <t>5% watchlist penalty because current layoff evidence is unclear; Arizona override/funding exposure should be monitored.</t>
        </is>
      </c>
      <c r="H14" s="8" t="inlineStr">
        <is>
          <t>https://ballotpedia.org/Elementary_and_Secondary_School_Emergency_Relief_%28ESSER%29_allocation_and_expenditures_by_district_in_Arizona</t>
        </is>
      </c>
    </row>
    <row r="15" ht="42.75" customHeight="1" s="104">
      <c r="A15" s="8" t="inlineStr">
        <is>
          <t>Glendora Unified School District</t>
        </is>
      </c>
      <c r="B15" s="8" t="inlineStr">
        <is>
          <t>Watchlist</t>
        </is>
      </c>
      <c r="C15" s="16" t="n">
        <v>0.95</v>
      </c>
      <c r="D15" s="8" t="inlineStr">
        <is>
          <t>5% reduction</t>
        </is>
      </c>
      <c r="E15" s="16" t="n">
        <v>57.16421805049661</v>
      </c>
      <c r="F15" s="16" t="n">
        <v>54.30600714797178</v>
      </c>
      <c r="G15" s="8" t="inlineStr">
        <is>
          <t>5% watchlist penalty because current layoff evidence is unclear; needs official budget/interim report verification.</t>
        </is>
      </c>
      <c r="H15" s="8" t="inlineStr">
        <is>
          <t>https://patch.com/california/glendora/glendora-unified-approves-30-teacher-layoffs</t>
        </is>
      </c>
    </row>
    <row r="16" ht="42.75" customHeight="1" s="104">
      <c r="A16" s="8" t="inlineStr">
        <is>
          <t>High</t>
        </is>
      </c>
      <c r="B16" s="8" t="inlineStr">
        <is>
          <t>0.85</t>
        </is>
      </c>
      <c r="C16" s="16" t="inlineStr">
        <is>
          <t>Active layoffs, teacher/classified cuts, major deficit, school closures, or serious labor/process concerns.</t>
        </is>
      </c>
      <c r="D16" s="8" t="n">
        <v>40</v>
      </c>
      <c r="E16" s="16" t="n"/>
      <c r="F16" s="16" t="n"/>
      <c r="G16" s="8" t="n"/>
      <c r="H16" s="8" t="n"/>
    </row>
    <row r="17" ht="42.75" customHeight="1" s="104">
      <c r="A17" s="8" t="inlineStr">
        <is>
          <t>Jordan District</t>
        </is>
      </c>
      <c r="B17" s="8" t="inlineStr">
        <is>
          <t>Stable / no current evidence</t>
        </is>
      </c>
      <c r="C17" s="16" t="n">
        <v>1</v>
      </c>
      <c r="D17" s="8" t="inlineStr">
        <is>
          <t>No reduction</t>
        </is>
      </c>
      <c r="E17" s="16" t="n">
        <v>51.83100182744845</v>
      </c>
      <c r="F17" s="16" t="n">
        <v>51.83100182744845</v>
      </c>
      <c r="G17" s="8" t="inlineStr">
        <is>
          <t>No current employment-stability penalty applied; first-pass research did not find reliable current layoff evidence.</t>
        </is>
      </c>
      <c r="H17" s="8" t="inlineStr">
        <is>
          <t>https://policy.jordandistrict.org/sub/layoffs/</t>
        </is>
      </c>
    </row>
    <row r="18" ht="42.75" customHeight="1" s="104">
      <c r="A18" s="8" t="inlineStr">
        <is>
          <t>Katy ISD</t>
        </is>
      </c>
      <c r="B18" s="8" t="inlineStr">
        <is>
          <t>Moderate</t>
        </is>
      </c>
      <c r="C18" s="16" t="n">
        <v>0.9</v>
      </c>
      <c r="D18" s="8" t="inlineStr">
        <is>
          <t>10% reduction</t>
        </is>
      </c>
      <c r="E18" s="16" t="n">
        <v>60.54435471003932</v>
      </c>
      <c r="F18" s="16" t="n">
        <v>54.48991923903539</v>
      </c>
      <c r="G18" s="8" t="inlineStr">
        <is>
          <t>10% employment-stability penalty due to budget pressure and staffing-reduction risk, partly mitigated by attrition/vacancy-based approach.</t>
        </is>
      </c>
      <c r="H18" s="8" t="inlineStr">
        <is>
          <t>https://communityimpact.com/houston/katy-fulshear/education/2026/03/26/katy-isd-could-face-a-net-staffing-reduction-for-2026-27-school-year/ | https://coveringkaty.com/education/katy-isd-facing-29-million-budget-shortfall-after-fewer-stud/</t>
        </is>
      </c>
    </row>
    <row r="19" ht="42.75" customHeight="1" s="104">
      <c r="A19" s="8" t="inlineStr">
        <is>
          <t>La Cañada Unified School District</t>
        </is>
      </c>
      <c r="B19" s="8" t="inlineStr">
        <is>
          <t>Stable / no current evidence</t>
        </is>
      </c>
      <c r="C19" s="16" t="n">
        <v>1</v>
      </c>
      <c r="D19" s="8" t="inlineStr">
        <is>
          <t>No reduction</t>
        </is>
      </c>
      <c r="E19" s="16" t="n">
        <v>35.65690686235816</v>
      </c>
      <c r="F19" s="16" t="n">
        <v>35.65690686235816</v>
      </c>
      <c r="G19" s="8" t="inlineStr">
        <is>
          <t>No current employment-stability penalty applied; first-pass research did not find reliable current layoff evidence.</t>
        </is>
      </c>
      <c r="H19" s="8" t="inlineStr">
        <is>
          <t>https://www.instagram.com/p/DNYlKjBPR6o/</t>
        </is>
      </c>
    </row>
    <row r="20" ht="42.75" customHeight="1" s="104">
      <c r="A20" s="8" t="inlineStr">
        <is>
          <t>Lake Washington School District</t>
        </is>
      </c>
      <c r="B20" s="8" t="inlineStr">
        <is>
          <t>WA</t>
        </is>
      </c>
      <c r="C20" s="16" t="inlineStr">
        <is>
          <t>Watchlist / declining enrollment and budget pressure</t>
        </is>
      </c>
      <c r="D20" s="8" t="n">
        <v>0.95</v>
      </c>
      <c r="E20" s="16" t="n">
        <v>75</v>
      </c>
      <c r="F20" s="16" t="inlineStr">
        <is>
          <t>5% watchlist penalty applied. LWSD has strong salary and high district quality, but current budget planning references declining enrollment, rising costs, and state/local funding constraints. No broad active layoff evidence found in this pass.</t>
        </is>
      </c>
      <c r="G20" s="8" t="inlineStr">
        <is>
          <t>First-pass public-source screening; verify with adopted budget, board packets, audit/ACFR, enrollment trend, and union/HR notices before final scoring.</t>
        </is>
      </c>
      <c r="H20" s="8" t="inlineStr">
        <is>
          <t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t>
        </is>
      </c>
    </row>
    <row r="21" ht="42.75" customHeight="1" s="104">
      <c r="A21" s="8" t="inlineStr">
        <is>
          <t>Leander ISD</t>
        </is>
      </c>
      <c r="B21" s="8" t="inlineStr">
        <is>
          <t>Moderate</t>
        </is>
      </c>
      <c r="C21" s="16" t="n">
        <v>0.9</v>
      </c>
      <c r="D21" s="8" t="inlineStr">
        <is>
          <t>10% reduction</t>
        </is>
      </c>
      <c r="E21" s="16" t="n">
        <v>54.83036058423205</v>
      </c>
      <c r="F21" s="16" t="n">
        <v>49.34732452580884</v>
      </c>
      <c r="G21" s="8" t="inlineStr">
        <is>
          <t>10% employment-stability penalty due to declining enrollment, projected deficit, and school-closure/consolidation discussions; teacher-layoff risk appears partly mitigated by attrition.</t>
        </is>
      </c>
      <c r="H21" s="8" t="inlineStr">
        <is>
          <t>https://www.statesman.com/news/local/article/leander-school-closure-steiner-ranch-faubion-21237195.php</t>
        </is>
      </c>
    </row>
    <row r="22" ht="42.75" customHeight="1" s="104">
      <c r="A22" s="8" t="inlineStr">
        <is>
          <t>Los Angeles Unified</t>
        </is>
      </c>
      <c r="B22" s="8" t="inlineStr">
        <is>
          <t>Severe</t>
        </is>
      </c>
      <c r="C22" s="16" t="n">
        <v>0.8</v>
      </c>
      <c r="D22" s="8" t="inlineStr">
        <is>
          <t>20% reduction</t>
        </is>
      </c>
      <c r="E22" s="16" t="n">
        <v>44.99808972674602</v>
      </c>
      <c r="F22" s="16" t="n">
        <v>35.99847178139682</v>
      </c>
      <c r="G22" s="8" t="inlineStr">
        <is>
          <t>20% employment-stability penalty due to large-scale job-loss reports, approved layoffs, fiscal-stability planning, and possible multi-year reductions/closures/furloughs.</t>
        </is>
      </c>
      <c r="H22" s="8" t="inlineStr">
        <is>
          <t>https://www.latimes.com/california/story/2026-05-21/more-than-1-000-la-school-employees-expected-to-lose-jobs-with-bigger-cuts-ahead | https://laist.com/news/education/lausd-reduction-in-force-vote-may-2026-budget-preview | https://www.chalkbeat.org/2026/05/28/schools-making-budget-cuts-and-layoffs-due-to-inflation-enrollment-declines/</t>
        </is>
      </c>
    </row>
    <row r="23" ht="42.75" customHeight="1" s="104">
      <c r="A23" s="8" t="inlineStr">
        <is>
          <t>Madison Metropolitan School District</t>
        </is>
      </c>
      <c r="B23" s="8" t="inlineStr">
        <is>
          <t>Low / Unknown</t>
        </is>
      </c>
      <c r="C23" s="16" t="n">
        <v>1</v>
      </c>
      <c r="D23" s="8" t="inlineStr">
        <is>
          <t>No reduction</t>
        </is>
      </c>
      <c r="E23" s="16" t="n">
        <v>69.7929527230429</v>
      </c>
      <c r="F23" s="16" t="n">
        <v>69.7929527230429</v>
      </c>
      <c r="G23" s="8" t="inlineStr">
        <is>
          <t>No current employment-stability penalty applied in this restoration pass; verify with adopted budget, board packets, audit/ACFR, enrollment trend, and union/HR notices before final scoring.</t>
        </is>
      </c>
      <c r="H23" s="8" t="inlineStr">
        <is>
          <t>https://www.madison.k12.wi.us/about</t>
        </is>
      </c>
    </row>
    <row r="24" ht="42.75" customHeight="1" s="104">
      <c r="A24" s="8" t="inlineStr">
        <is>
          <t>Metro Nashville Public Schools</t>
        </is>
      </c>
      <c r="B24" s="8" t="inlineStr">
        <is>
          <t>Watchlist</t>
        </is>
      </c>
      <c r="C24" s="16" t="n">
        <v>0.95</v>
      </c>
      <c r="D24" s="8" t="inlineStr">
        <is>
          <t>5% reduction</t>
        </is>
      </c>
      <c r="E24" s="16" t="n">
        <v>55.30663504648043</v>
      </c>
      <c r="F24" s="16" t="n">
        <v>52.54130329415641</v>
      </c>
      <c r="G24" s="8" t="inlineStr">
        <is>
          <t>5% watchlist penalty due to budget-pressure reporting tied to expiring federal aid/funding issues, without strong current broad-layoff evidence.</t>
        </is>
      </c>
      <c r="H24" s="8" t="inlineStr">
        <is>
          <t>https://fox17.com/news/crisis-in-the-classroom/nashville-schools-face-funding-issues-as-federal-aid-ends-mayor-seeks-14-billion</t>
        </is>
      </c>
    </row>
    <row r="25" ht="42.75" customHeight="1" s="104">
      <c r="A25" s="8" t="inlineStr">
        <is>
          <t>Moderate</t>
        </is>
      </c>
      <c r="B25" s="8" t="inlineStr">
        <is>
          <t>0.90</t>
        </is>
      </c>
      <c r="C25" s="16" t="inlineStr">
        <is>
          <t>Cuts, closures, attrition-based reductions, central-office layoffs, or notable enrollment/funding pressure.</t>
        </is>
      </c>
      <c r="D25" s="8" t="n">
        <v>60</v>
      </c>
      <c r="E25" s="16" t="n"/>
      <c r="F25" s="16" t="n"/>
      <c r="G25" s="8" t="n"/>
      <c r="H25" s="8" t="n"/>
    </row>
    <row r="26" ht="42.75" customHeight="1" s="104">
      <c r="A26" s="8" t="inlineStr">
        <is>
          <t>Nassau County School District</t>
        </is>
      </c>
      <c r="B26" s="8" t="inlineStr">
        <is>
          <t>FL</t>
        </is>
      </c>
      <c r="C26" s="16" t="inlineStr">
        <is>
          <t>Stable / no current layoff evidence found</t>
        </is>
      </c>
      <c r="D26" s="8" t="n">
        <v>1</v>
      </c>
      <c r="E26" s="16" t="n">
        <v>100</v>
      </c>
      <c r="F26" s="16" t="inlineStr">
        <is>
          <t>No penalty applied. Current pass found strong public-facing district performance signals and no broad layoff/closure/fiscal-crisis warning comparable to Austin, Oakland, LAUSD, or Portland.</t>
        </is>
      </c>
      <c r="G26" s="8" t="inlineStr">
        <is>
          <t>First-pass public-source screening; verify with adopted budget, board packets, audit/ACFR, enrollment trend, and union/HR notices before final scoring.</t>
        </is>
      </c>
      <c r="H26" s="8" t="inlineStr">
        <is>
          <t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t>
        </is>
      </c>
    </row>
    <row r="27" ht="42.75" customHeight="1" s="104">
      <c r="A27" s="8" t="inlineStr">
        <is>
          <t>North Clackamas School District</t>
        </is>
      </c>
      <c r="B27" s="8" t="inlineStr">
        <is>
          <t>Watchlist</t>
        </is>
      </c>
      <c r="C27" s="16" t="n">
        <v>0.95</v>
      </c>
      <c r="D27" s="8" t="inlineStr">
        <is>
          <t>5% reduction</t>
        </is>
      </c>
      <c r="E27" s="16" t="n">
        <v>63.20901507872207</v>
      </c>
      <c r="F27" s="16" t="n">
        <v>60.04856432478596</v>
      </c>
      <c r="G27" s="8" t="inlineStr">
        <is>
          <t>5% watchlist penalty due to Portland-area funding climate and active budget review; no strong current broad layoff evidence found in first pass.</t>
        </is>
      </c>
      <c r="H27" s="8" t="inlineStr">
        <is>
          <t>https://www.nclack.k12.or.us/departments/superintendent/community-conversations</t>
        </is>
      </c>
    </row>
    <row r="28" ht="42.75" customHeight="1" s="104">
      <c r="A28" s="8" t="inlineStr">
        <is>
          <t>Oakland Unified School District</t>
        </is>
      </c>
      <c r="B28" s="8" t="inlineStr">
        <is>
          <t>Severe</t>
        </is>
      </c>
      <c r="C28" s="16" t="n">
        <v>0.8</v>
      </c>
      <c r="D28" s="8" t="inlineStr">
        <is>
          <t>20% reduction</t>
        </is>
      </c>
      <c r="E28" s="16" t="n">
        <v>55.02176051036216</v>
      </c>
      <c r="F28" s="16" t="n">
        <v>44.01740840828973</v>
      </c>
      <c r="G28" s="8" t="inlineStr">
        <is>
          <t>20% employment-stability penalty due to major deficit, approved large-scale layoffs, and labor/fiscal instability concerns.</t>
        </is>
      </c>
      <c r="H28" s="8" t="inlineStr">
        <is>
          <t>https://abc7news.com/post/oakland-unified-school-district-board-education-approves-hundreds-layoffs-amid-100m-budget-deficit/18652323/ | https://www.ktvu.com/news/oakland-school-board-approves-400-layoffs | https://www.sfchronicle.com/eastbay/article/oakland-school-teacher-union-salary-22268594.php</t>
        </is>
      </c>
    </row>
    <row r="29" ht="42.75" customHeight="1" s="104">
      <c r="A29" s="8" t="inlineStr">
        <is>
          <t>Ocean Springs School District</t>
        </is>
      </c>
      <c r="B29" s="8" t="inlineStr">
        <is>
          <t>Stable / no current evidence</t>
        </is>
      </c>
      <c r="C29" s="16" t="n">
        <v>1</v>
      </c>
      <c r="D29" s="8" t="inlineStr">
        <is>
          <t>No reduction</t>
        </is>
      </c>
      <c r="E29" s="16" t="n">
        <v>46.29657386835493</v>
      </c>
      <c r="F29" s="16" t="n">
        <v>46.29657386835493</v>
      </c>
      <c r="G29" s="8" t="inlineStr">
        <is>
          <t>No current employment-stability penalty applied; first-pass research did not find reliable current layoff evidence.</t>
        </is>
      </c>
      <c r="H29" s="8" t="n"/>
    </row>
    <row r="30" ht="42.75" customHeight="1" s="104">
      <c r="A30" s="8" t="inlineStr">
        <is>
          <t>Oxnard Union High School District</t>
        </is>
      </c>
      <c r="B30" s="8" t="inlineStr">
        <is>
          <t>High</t>
        </is>
      </c>
      <c r="C30" s="16" t="n">
        <v>0.85</v>
      </c>
      <c r="D30" s="8" t="inlineStr">
        <is>
          <t>15% reduction</t>
        </is>
      </c>
      <c r="E30" s="16" t="n">
        <v>60.10823094164839</v>
      </c>
      <c r="F30" s="16" t="n">
        <v>51.09199630040114</v>
      </c>
      <c r="G30" s="8" t="inlineStr">
        <is>
          <t>15% employment-stability penalty due to formal budget-stabilization planning and reported job-cut risk.</t>
        </is>
      </c>
      <c r="H30" s="8" t="inlineStr">
        <is>
          <t>https://www.oxnardunion.org/fs/resource-manager/view/6d05e87b-c4eb-4c75-b310-43c668c06ab7</t>
        </is>
      </c>
    </row>
    <row r="31" ht="42.75" customHeight="1" s="104">
      <c r="A31" s="8" t="inlineStr">
        <is>
          <t>Portland Public Schools</t>
        </is>
      </c>
      <c r="B31" s="8" t="inlineStr">
        <is>
          <t>High</t>
        </is>
      </c>
      <c r="C31" s="16" t="n">
        <v>0.85</v>
      </c>
      <c r="D31" s="8" t="inlineStr">
        <is>
          <t>15% reduction</t>
        </is>
      </c>
      <c r="E31" s="16" t="n">
        <v>74.34901166976235</v>
      </c>
      <c r="F31" s="16" t="n">
        <v>63.19665991929799</v>
      </c>
      <c r="G31" s="8" t="inlineStr">
        <is>
          <t>15% employment-stability penalty retained due to active budget shortfall, furlough context, layoff notices, and labor grievance/process concerns.</t>
        </is>
      </c>
      <c r="H31" s="8" t="inlineStr">
        <is>
          <t>https://www.opb.org/article/2026/06/09/as-portland-teachers-receive-layoff-notices-union-raises-objections/ | https://www.wweek.com/news/schools/2026/04/28/portland-public-schools-faces-56-million-budget-deficit-as-superintendent-proposes-336-layoffs/ | https://www.pps.net/departments/human-resources/employee-resources/furloughs-2025-26</t>
        </is>
      </c>
    </row>
    <row r="32" ht="42.75" customHeight="1" s="104">
      <c r="A32" s="8" t="inlineStr">
        <is>
          <t>Provo City School District</t>
        </is>
      </c>
      <c r="B32" s="8" t="inlineStr">
        <is>
          <t>Moderate</t>
        </is>
      </c>
      <c r="C32" s="16" t="n">
        <v>0.9</v>
      </c>
      <c r="D32" s="8" t="inlineStr">
        <is>
          <t>10% reduction</t>
        </is>
      </c>
      <c r="E32" s="16" t="n">
        <v>50.4604130298924</v>
      </c>
      <c r="F32" s="16" t="n">
        <v>45.41437172690316</v>
      </c>
      <c r="G32" s="8" t="inlineStr">
        <is>
          <t>10% employment-stability penalty due to active budget-reduction discussions and enrollment/funding challenges.</t>
        </is>
      </c>
      <c r="H32" s="8" t="inlineStr">
        <is>
          <t>https://provo.edu/updates-from-board-meeting-and-budget-discussions/</t>
        </is>
      </c>
    </row>
    <row r="33" ht="42.75" customHeight="1" s="104">
      <c r="A33" s="8" t="inlineStr">
        <is>
          <t>Royal ISD</t>
        </is>
      </c>
      <c r="B33" s="8" t="inlineStr">
        <is>
          <t>Stable / no current evidence</t>
        </is>
      </c>
      <c r="C33" s="16" t="n">
        <v>1</v>
      </c>
      <c r="D33" s="8" t="inlineStr">
        <is>
          <t>No reduction</t>
        </is>
      </c>
      <c r="E33" s="16" t="n">
        <v>50.53221983710008</v>
      </c>
      <c r="F33" s="16" t="n">
        <v>50.53221983710008</v>
      </c>
      <c r="G33" s="8" t="inlineStr">
        <is>
          <t>No current employment-stability penalty applied; first-pass research did not find reliable current layoff evidence.</t>
        </is>
      </c>
      <c r="H33" s="8" t="n"/>
    </row>
    <row r="34" ht="42.75" customHeight="1" s="104">
      <c r="A34" s="8" t="inlineStr">
        <is>
          <t>Saint Helena Unified School District</t>
        </is>
      </c>
      <c r="B34" s="8" t="inlineStr">
        <is>
          <t>Stable / no current evidence</t>
        </is>
      </c>
      <c r="C34" s="16" t="n">
        <v>1</v>
      </c>
      <c r="D34" s="8" t="inlineStr">
        <is>
          <t>No reduction</t>
        </is>
      </c>
      <c r="E34" s="16" t="n">
        <v>47.23484206928539</v>
      </c>
      <c r="F34" s="16" t="n">
        <v>47.23484206928539</v>
      </c>
      <c r="G34" s="8" t="inlineStr">
        <is>
          <t>No current employment-stability penalty applied; first-pass research did not find reliable current layoff evidence.</t>
        </is>
      </c>
      <c r="H34" s="8" t="inlineStr">
        <is>
          <t>https://www.sthelenaunified.org/73718_3</t>
        </is>
      </c>
    </row>
    <row r="35" ht="42.75" customHeight="1" s="104">
      <c r="A35" s="8" t="inlineStr">
        <is>
          <t>Salt Lake School District</t>
        </is>
      </c>
      <c r="B35" s="8" t="inlineStr">
        <is>
          <t>Watchlist</t>
        </is>
      </c>
      <c r="C35" s="8" t="n">
        <v>0.95</v>
      </c>
      <c r="D35" s="8" t="inlineStr">
        <is>
          <t>5% reduction</t>
        </is>
      </c>
      <c r="E35" s="8" t="n">
        <v>63.37409059967043</v>
      </c>
      <c r="F35" s="8" t="n">
        <v>60.20538606968691</v>
      </c>
      <c r="G35" s="8" t="inlineStr">
        <is>
          <t>5% watchlist penalty due to strained funding/program cuts, but no strong current evidence of broad teacher layoffs.</t>
        </is>
      </c>
      <c r="H35" s="8" t="inlineStr">
        <is>
          <t>https://www.axios.com/local/salt-lake-city/2026/04/07/salt-lake-city-school-district-ends-adult-community-ed-classes | https://citizenportal.ai/articles/6566082/Utah/School-Boards/Salt-Lake-School-District/Salt-Lake-City-School-District-previews-202526-budget-officials-warn-special-education-and-nutrition-funds-remain-strained</t>
        </is>
      </c>
    </row>
    <row r="36" ht="42.75" customHeight="1" s="104">
      <c r="A36" s="8" t="inlineStr">
        <is>
          <t>San Antonio ISD</t>
        </is>
      </c>
      <c r="B36" s="8" t="inlineStr">
        <is>
          <t>High</t>
        </is>
      </c>
      <c r="C36" s="8" t="n">
        <v>0.85</v>
      </c>
      <c r="D36" s="8" t="inlineStr">
        <is>
          <t>15% reduction</t>
        </is>
      </c>
      <c r="E36" s="8" t="n">
        <v>50.77167822941198</v>
      </c>
      <c r="F36" s="8" t="n">
        <v>43.15592649500018</v>
      </c>
      <c r="G36" s="8" t="inlineStr">
        <is>
          <t>15% employment-stability penalty due to major deficit, school closures, declining enrollment, hiring freeze/cuts, and staffing-reduction risk.</t>
        </is>
      </c>
      <c r="H36" s="8" t="inlineStr">
        <is>
          <t>https://sanantonioreport.org/2026-budget-cuts-saisd-cut-food-drives-hiring-freeze/ | https://www.expressnews.com/news/education/article/san-antonio-isd-budget-cuts-staffing-22079601.php</t>
        </is>
      </c>
    </row>
    <row r="37" ht="42.75" customHeight="1" s="104">
      <c r="A37" s="22" t="inlineStr">
        <is>
          <t>San Diego Unified School District</t>
        </is>
      </c>
      <c r="B37" s="22" t="inlineStr">
        <is>
          <t>High</t>
        </is>
      </c>
      <c r="C37" s="22" t="n">
        <v>0.85</v>
      </c>
      <c r="D37" s="8" t="inlineStr">
        <is>
          <t>15% reduction</t>
        </is>
      </c>
      <c r="E37" s="8" t="n">
        <v>54.06616414248633</v>
      </c>
      <c r="F37" s="8" t="n">
        <v>45.95623952111338</v>
      </c>
      <c r="G37" s="8" t="inlineStr">
        <is>
          <t>15% employment-stability penalty due to active budget stress and classified layoff notices.</t>
        </is>
      </c>
      <c r="H37" s="8" t="inlineStr">
        <is>
          <t>https://www.nbcsandiego.com/news/local/san-diego-unified-school-district-layoffs/3990321/ | https://sandiegounified.org/about/budget/2026-27_budget_information</t>
        </is>
      </c>
    </row>
    <row r="38" ht="42.75" customHeight="1" s="104">
      <c r="A38" s="8" t="inlineStr">
        <is>
          <t>San Jose Unified School District</t>
        </is>
      </c>
      <c r="B38" s="8" t="inlineStr">
        <is>
          <t>Moderate</t>
        </is>
      </c>
      <c r="C38" s="8" t="n">
        <v>0.9</v>
      </c>
      <c r="D38" s="8" t="inlineStr">
        <is>
          <t>10% reduction</t>
        </is>
      </c>
      <c r="E38" s="8" t="n">
        <v>53.9741912649293</v>
      </c>
      <c r="F38" s="8" t="n">
        <v>48.57677213843638</v>
      </c>
      <c r="G38" s="8" t="inlineStr">
        <is>
          <t>10% employment-stability penalty due to school-closure risk and declining-enrollment pressure.</t>
        </is>
      </c>
      <c r="H38" s="8" t="inlineStr">
        <is>
          <t>https://sanjosespotlight.com/news/policy/education/page/2/</t>
        </is>
      </c>
    </row>
    <row r="39" ht="42.75" customHeight="1" s="104">
      <c r="A39" s="8" t="inlineStr">
        <is>
          <t>Severe</t>
        </is>
      </c>
      <c r="B39" s="8" t="inlineStr">
        <is>
          <t>0.80</t>
        </is>
      </c>
      <c r="C39" s="8" t="inlineStr">
        <is>
          <t>Large-scale layoffs, very large structural deficit, fiscal/governance crisis, or major closure/cut program.</t>
        </is>
      </c>
      <c r="D39" s="8" t="n">
        <v>25</v>
      </c>
      <c r="E39" s="8" t="n"/>
      <c r="F39" s="8" t="n"/>
      <c r="G39" s="8" t="n"/>
      <c r="H39" s="8" t="n"/>
    </row>
    <row r="40" ht="42.75" customHeight="1" s="104">
      <c r="A40" s="8" t="inlineStr">
        <is>
          <t>South Pasadena Unified School District</t>
        </is>
      </c>
      <c r="B40" s="8" t="inlineStr">
        <is>
          <t>Watchlist</t>
        </is>
      </c>
      <c r="C40" s="8" t="n">
        <v>0.95</v>
      </c>
      <c r="D40" s="8" t="inlineStr">
        <is>
          <t>5% reduction</t>
        </is>
      </c>
      <c r="E40" s="8" t="n">
        <v>51.15838871408938</v>
      </c>
      <c r="F40" s="8" t="n">
        <v>48.60046927838491</v>
      </c>
      <c r="G40" s="8" t="inlineStr">
        <is>
          <t>5% watchlist penalty because current evidence is limited; older cuts are stale but budget risk should still be monitored.</t>
        </is>
      </c>
      <c r="H40" s="8" t="inlineStr">
        <is>
          <t>https://southpasadenan.com/board-of-education-to-vote-on-landmark-budget-spusd-faces-layoffs-in-face-of-shortfall/ | https://tigernewspaper.com/sphs-lays-off-two-teachers-anticipating-smaller-incoming-class-size/</t>
        </is>
      </c>
    </row>
    <row r="41" ht="42.75" customHeight="1" s="104">
      <c r="A41" s="8" t="inlineStr">
        <is>
          <t>Stability band</t>
        </is>
      </c>
      <c r="B41" s="8" t="inlineStr">
        <is>
          <t>Multiplier</t>
        </is>
      </c>
      <c r="C41" s="8" t="inlineStr">
        <is>
          <t>Meaning</t>
        </is>
      </c>
      <c r="D41" s="8" t="inlineStr">
        <is>
          <t>Display Score</t>
        </is>
      </c>
      <c r="E41" s="8" t="n"/>
      <c r="F41" s="8" t="n"/>
      <c r="G41" s="8" t="n"/>
      <c r="H41" s="8" t="n"/>
    </row>
    <row r="42" ht="42.75" customHeight="1" s="104">
      <c r="A42" s="8" t="inlineStr">
        <is>
          <t>Stable / no current evidence</t>
        </is>
      </c>
      <c r="B42" s="8" t="inlineStr">
        <is>
          <t>1.00</t>
        </is>
      </c>
      <c r="C42" s="8" t="inlineStr">
        <is>
          <t>No penalty; first-pass scan found no reliable current layoff/deficit evidence.</t>
        </is>
      </c>
      <c r="D42" s="8" t="n">
        <v>100</v>
      </c>
      <c r="E42" s="8" t="n"/>
      <c r="F42" s="8" t="n"/>
      <c r="G42" s="8" t="n"/>
      <c r="H42" s="8" t="n"/>
    </row>
    <row r="43" ht="42.75" customHeight="1" s="104">
      <c r="A43" s="8" t="inlineStr">
        <is>
          <t>Syosset Central School District</t>
        </is>
      </c>
      <c r="B43" s="8" t="inlineStr">
        <is>
          <t>Stable / no current evidence</t>
        </is>
      </c>
      <c r="C43" s="16" t="n">
        <v>1</v>
      </c>
      <c r="D43" s="8" t="inlineStr">
        <is>
          <t>No reduction</t>
        </is>
      </c>
      <c r="E43" s="16" t="n">
        <v>62.38697849121127</v>
      </c>
      <c r="F43" s="16" t="n">
        <v>62.38697849121127</v>
      </c>
      <c r="G43" s="8" t="inlineStr">
        <is>
          <t>No current employment-stability penalty applied; first-pass research did not find reliable current layoff evidence.</t>
        </is>
      </c>
      <c r="H43" s="8" t="inlineStr">
        <is>
          <t>https://citizenportal.ai/articles/6239455/new-york/school-districts/syosset-central-school-district/board-grants-tenure-to-more-than-70-staff-members-in-single-action</t>
        </is>
      </c>
    </row>
    <row r="44" ht="42.75" customHeight="1" s="104">
      <c r="A44" s="8" t="inlineStr">
        <is>
          <t>Watchlist</t>
        </is>
      </c>
      <c r="B44" s="8" t="inlineStr">
        <is>
          <t>0.95</t>
        </is>
      </c>
      <c r="C44" s="16" t="inlineStr">
        <is>
          <t>Budget pressure, enrollment decline, or stale/unclear risk, but no strong current evidence of broad layoffs.</t>
        </is>
      </c>
      <c r="D44" s="8" t="n">
        <v>75</v>
      </c>
      <c r="E44" s="16" t="n"/>
      <c r="F44" s="16" t="n"/>
      <c r="G44" s="8" t="n"/>
      <c r="H44" s="8" t="n"/>
    </row>
    <row r="45" ht="32" customHeight="1" s="104">
      <c r="A45" s="5" t="n"/>
      <c r="B45" s="5" t="n"/>
      <c r="C45" s="5" t="n"/>
      <c r="D45" s="5" t="n"/>
      <c r="E45" s="7" t="n"/>
      <c r="F45" s="5" t="n"/>
      <c r="G45" s="5" t="n"/>
      <c r="H45" s="5" t="n"/>
    </row>
    <row r="46" ht="32" customHeight="1" s="104">
      <c r="A46" s="5" t="n"/>
      <c r="B46" s="5" t="n"/>
      <c r="C46" s="5" t="n"/>
      <c r="D46" s="5" t="n"/>
      <c r="E46" s="7" t="n"/>
      <c r="F46" s="5" t="n"/>
      <c r="G46" s="5" t="n"/>
      <c r="H46" s="5" t="n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Topic</t>
        </is>
      </c>
      <c r="B1" s="20" t="inlineStr">
        <is>
          <t>Finding used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Employment contract</t>
        </is>
      </c>
      <c r="B2" s="8" t="inlineStr">
        <is>
          <t>Scarsdale Teachers Association contract runs July 1, 2024 through June 30, 2028; MOA states salary schedule increases for 2025-26.</t>
        </is>
      </c>
      <c r="C2" s="8" t="inlineStr">
        <is>
          <t>https://www.scarsdaleschools.k12.ny.us/119192_3 ; https://go.boarddocs.com/ny/scarsdale/Board.nsf/files/D5WQJL66FCE9/%24file/MOA%20with%20Scarsdale%20Teachers%20Association%20%28STA%29.pdf</t>
        </is>
      </c>
      <c r="D2" s="8" t="inlineStr">
        <is>
          <t>Salary schedule estimated from 2021-22 schedule and 2024-2028 MOA/search-result values; verify against final 2026-27 schedule if published separately.</t>
        </is>
      </c>
    </row>
    <row r="3" ht="42.75" customHeight="1" s="104">
      <c r="A3" s="8" t="inlineStr">
        <is>
          <t>Budget / stability</t>
        </is>
      </c>
      <c r="B3" s="8" t="inlineStr">
        <is>
          <t>2026-27 budget is tax-cap constrained but not in a crisis pattern; district notes reductions needed and prefers attrition over layoffs where possible.</t>
        </is>
      </c>
      <c r="C3" s="8" t="inlineStr">
        <is>
          <t>https://www.scarsdaleschools.org/index.php?articleID=74973066&amp;pageID=smartSiteFeed&amp;psqFeed=true</t>
        </is>
      </c>
      <c r="D3" s="8" t="inlineStr">
        <is>
          <t>Used to classify as stable / no current layoff penalty, but with a note that this should be rechecked annually.</t>
        </is>
      </c>
    </row>
    <row r="4" ht="42.75" customHeight="1" s="104">
      <c r="A4" s="8" t="inlineStr">
        <is>
          <t>Enrollment / staffing</t>
        </is>
      </c>
      <c r="B4" s="8" t="inlineStr">
        <is>
          <t>NCES lists 4,713 students, 420.60 classroom teachers, and student-teacher ratio of 11.21 for 2024-25.</t>
        </is>
      </c>
      <c r="C4" s="8" t="inlineStr">
        <is>
          <t>https://nces.ed.gov/ccd/districtsearch/district_detail.asp?ID2=3625950</t>
        </is>
      </c>
      <c r="D4" s="8" t="inlineStr">
        <is>
          <t>Used for student-teacher ratio and profile counts.</t>
        </is>
      </c>
    </row>
    <row r="5" ht="42.75" customHeight="1" s="104">
      <c r="A5" s="8" t="inlineStr">
        <is>
          <t>Housing</t>
        </is>
      </c>
      <c r="B5" s="8" t="inlineStr">
        <is>
          <t>Redfin reports Scarsdale median sale price of $2,088,750 and median sale price per square foot of $752 over the three months ending May 2026.</t>
        </is>
      </c>
      <c r="C5" s="8" t="inlineStr">
        <is>
          <t>https://www.redfin.com/city/16773/NY/Scarsdale/housing-market</t>
        </is>
      </c>
      <c r="D5" s="8" t="inlineStr">
        <is>
          <t>Used for home price and PPSF.</t>
        </is>
      </c>
    </row>
    <row r="6" ht="42.75" customHeight="1" s="104">
      <c r="A6" s="8" t="inlineStr">
        <is>
          <t>Rent</t>
        </is>
      </c>
      <c r="B6" s="8" t="inlineStr">
        <is>
          <t>Realtor.com reports Scarsdale median rent at $5.5K/month.</t>
        </is>
      </c>
      <c r="C6" s="8" t="inlineStr">
        <is>
          <t>https://www.realtor.com/local/market/new-york/westchester-county/scarsdale</t>
        </is>
      </c>
      <c r="D6" s="8" t="inlineStr">
        <is>
          <t>Used for median rent; Zillow all-property rent was much higher, so this is a conservative/high but not extreme input.</t>
        </is>
      </c>
    </row>
    <row r="7" ht="42.75" customHeight="1" s="104">
      <c r="A7" s="8" t="inlineStr">
        <is>
          <t>Substitute pay</t>
        </is>
      </c>
      <c r="B7" s="8" t="inlineStr">
        <is>
          <t>Indeed estimates Scarsdale Public Schools substitute teacher daily pay at approximately $163.</t>
        </is>
      </c>
      <c r="C7" s="8" t="inlineStr">
        <is>
          <t>https://www.indeed.com/cmp/Scarsdale-Public-Schools/salaries/Substitute-Teacher/Scarsdale-NY</t>
        </is>
      </c>
      <c r="D7" s="8" t="inlineStr">
        <is>
          <t>Not official; mark for later verification from HR posting or board packet.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Topic</t>
        </is>
      </c>
      <c r="B1" s="20" t="inlineStr">
        <is>
          <t>Finding used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Salary schedule</t>
        </is>
      </c>
      <c r="B2" s="8" t="inlineStr">
        <is>
          <t>2025-26 salary plan starts at $66,000; year 10 is $77,498; year 20 is $89,352; year 40 is $99,802.</t>
        </is>
      </c>
      <c r="C2" s="8" t="inlineStr">
        <is>
          <t>https://www.bhisd.net/fs/resource-manager/view/dbc34877-69be-4721-8aaf-96c8ce9f200f</t>
        </is>
      </c>
      <c r="D2" s="8" t="inlineStr">
        <is>
          <t>Official Barbers Hill ISD salary plan; no separate BA/MA lane was found, so the prototype uses the same schedule for Bachelor's and Master's until a degree-specific schedule is verified.</t>
        </is>
      </c>
    </row>
    <row r="3" ht="42.75" customHeight="1" s="104">
      <c r="A3" s="8" t="inlineStr">
        <is>
          <t>Average teacher pay</t>
        </is>
      </c>
      <c r="B3" s="8" t="inlineStr">
        <is>
          <t>Texas Tribune reports Barbers Hill's base average teaching salary was $80,786 in 2025.</t>
        </is>
      </c>
      <c r="C3" s="8" t="inlineStr">
        <is>
          <t>https://schools.texastribune.org/districts/barbers-hill-isd/teacher-salary/</t>
        </is>
      </c>
      <c r="D3" s="8" t="inlineStr">
        <is>
          <t>Used as a cross-check that Barbers Hill is a high-paying Texas district.</t>
        </is>
      </c>
    </row>
    <row r="4" ht="42.75" customHeight="1" s="104">
      <c r="A4" s="8" t="inlineStr">
        <is>
          <t>Enrollment / stability</t>
        </is>
      </c>
      <c r="B4" s="8" t="inlineStr">
        <is>
          <t>Texas Tribune reports 8,088 students in 2026, up 59.1% since 2016; district has 9 campuses.</t>
        </is>
      </c>
      <c r="C4" s="8" t="inlineStr">
        <is>
          <t>https://schools.texastribune.org/districts/barbers-hill-isd/</t>
        </is>
      </c>
      <c r="D4" s="8" t="inlineStr">
        <is>
          <t>Used to classify the district as stable/growth rather than declining-enrollment risk.</t>
        </is>
      </c>
    </row>
    <row r="5" ht="42.75" customHeight="1" s="104">
      <c r="A5" s="8" t="inlineStr">
        <is>
          <t>Student-teacher ratio</t>
        </is>
      </c>
      <c r="B5" s="8" t="inlineStr">
        <is>
          <t>Texas Tribune reports 13 students per teacher in 2025.</t>
        </is>
      </c>
      <c r="C5" s="8" t="inlineStr">
        <is>
          <t>https://schools.texastribune.org/districts/barbers-hill-isd/student-teacher/</t>
        </is>
      </c>
      <c r="D5" s="8" t="inlineStr">
        <is>
          <t>Used for the Student-Teacher Ratio input.</t>
        </is>
      </c>
    </row>
    <row r="6" ht="42.75" customHeight="1" s="104">
      <c r="A6" s="8" t="inlineStr">
        <is>
          <t>Demographics</t>
        </is>
      </c>
      <c r="B6" s="8" t="inlineStr">
        <is>
          <t>HAR/TEA-style profile lists 57.2% White, 32.1% Hispanic, 4.8% African American, 1.9% Asian, and 3.7% two or more races; Texas Tribune 2026 overview reports 56.1% White.</t>
        </is>
      </c>
      <c r="C6" s="8" t="inlineStr">
        <is>
          <t>https://www.har.com/school_district/barbers-hill-isd_036902 ; https://schools.texastribune.org/districts/barbers-hill-isd/demographics/</t>
        </is>
      </c>
      <c r="D6" s="8" t="inlineStr">
        <is>
          <t>Used full HAR breakdown for prototype inputs; Texas Tribune used as a current White-share cross-check.</t>
        </is>
      </c>
    </row>
    <row r="7" ht="42.75" customHeight="1" s="104">
      <c r="A7" s="8" t="inlineStr">
        <is>
          <t>Housing / rent</t>
        </is>
      </c>
      <c r="B7" s="8" t="inlineStr">
        <is>
          <t>Redfin reports Mont Belvieu median sale price of $457,726; Apartments.com reports average rent of $1,496 and two-bedroom rent around $1,745.</t>
        </is>
      </c>
      <c r="C7" s="8" t="inlineStr">
        <is>
          <t>https://www.redfin.com/city/12568/TX/Mont-Belvieu/housing-market ; https://www.apartments.com/rent-market-trends/mont-belvieu-tx/</t>
        </is>
      </c>
      <c r="D7" s="8" t="inlineStr">
        <is>
          <t>Prototype uses $1,496 as the rent input to align with apartment-rent style inputs used in prior rows; two-bedroom rent should be tracked as a possible alternate input.</t>
        </is>
      </c>
    </row>
    <row r="8" ht="42.75" customHeight="1" s="104">
      <c r="A8" s="8" t="inlineStr">
        <is>
          <t>Substitute pay</t>
        </is>
      </c>
      <c r="B8" s="8" t="inlineStr">
        <is>
          <t>Barbers Hill Substitute Info page lists Certified Classroom Teacher pay as $135/day.</t>
        </is>
      </c>
      <c r="C8" s="8" t="inlineStr">
        <is>
          <t>https://www.bhisd.net/departments/human-resources/substitute-infofrontline</t>
        </is>
      </c>
      <c r="D8" s="8" t="inlineStr">
        <is>
          <t>Used as Licensed Sub Pay.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</cols>
  <sheetData>
    <row r="1" ht="53.25" customHeight="1" s="104">
      <c r="A1" s="20" t="inlineStr">
        <is>
          <t>Category</t>
        </is>
      </c>
      <c r="B1" s="20" t="inlineStr">
        <is>
          <t>Finding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Salary</t>
        </is>
      </c>
      <c r="B2" s="8" t="inlineStr">
        <is>
          <t>2025-26 teacher salary schedule; BA/MA steps captured for years 0-10.</t>
        </is>
      </c>
      <c r="C2" s="8" t="inlineStr">
        <is>
          <t>https://media.cobbk12.org/media/WWWCobb/medialib/teacher-salary-schedule.56404f113440.pdf</t>
        </is>
      </c>
      <c r="D2" s="8" t="inlineStr">
        <is>
          <t>Schedule also lists substitute teacher pay at $150/day.</t>
        </is>
      </c>
    </row>
    <row r="3" ht="42.75" customHeight="1" s="104">
      <c r="A3" s="8" t="inlineStr">
        <is>
          <t>Schools / demographics</t>
        </is>
      </c>
      <c r="B3" s="8" t="inlineStr">
        <is>
          <t>District lists 66 elementary, 26 middle, 17 high, plus 3 other/specialty; student demographics from Georgia DOE October 2025 FTE Count.</t>
        </is>
      </c>
      <c r="C3" s="8" t="inlineStr">
        <is>
          <t>https://www.cobbk12.org/the-district</t>
        </is>
      </c>
      <c r="D3" s="8" t="inlineStr">
        <is>
          <t>Used for high school count and demographic balance.</t>
        </is>
      </c>
    </row>
    <row r="4" ht="42.75" customHeight="1" s="104">
      <c r="A4" s="8" t="inlineStr">
        <is>
          <t>Stability</t>
        </is>
      </c>
      <c r="B4" s="8" t="inlineStr">
        <is>
          <t>Budget messaging says no teacher layoffs; local reporting notes reductions handled through attrition/reassignment.</t>
        </is>
      </c>
      <c r="C4" s="8" t="inlineStr">
        <is>
          <t>https://www.cobbk12.org/cobb-schools-delivers-balanced-budget-focused-on-classrooms-safety-and-long-term-stability.128573</t>
        </is>
      </c>
      <c r="D4" s="8" t="inlineStr">
        <is>
          <t>Stability Score 100 for no current layoff evidence; monitor enrollment-driven staffing adjustments.</t>
        </is>
      </c>
    </row>
    <row r="5" ht="42.75" customHeight="1" s="104">
      <c r="A5" s="8" t="inlineStr">
        <is>
          <t>Ratio</t>
        </is>
      </c>
      <c r="B5" s="8" t="inlineStr">
        <is>
          <t>NCES 2024-25 reports 105,738 students, 7,518.80 classroom teachers, ratio 14.06.</t>
        </is>
      </c>
      <c r="C5" s="8" t="inlineStr">
        <is>
          <t>https://nces.ed.gov/ccd/districtsearch/district_detail.asp?ID2=1301290</t>
        </is>
      </c>
      <c r="D5" s="8" t="inlineStr">
        <is>
          <t>Used for student-teacher ratio.</t>
        </is>
      </c>
    </row>
    <row r="6" ht="42.75" customHeight="1" s="104">
      <c r="A6" s="8" t="inlineStr">
        <is>
          <t>Rent</t>
        </is>
      </c>
      <c r="B6" s="8" t="inlineStr">
        <is>
          <t>Apartments.com June 2026 Marietta two-bedroom average rent.</t>
        </is>
      </c>
      <c r="C6" s="8" t="inlineStr">
        <is>
          <t>https://www.apartments.com/rent-market-trends/marietta-ga/</t>
        </is>
      </c>
      <c r="D6" s="8" t="inlineStr">
        <is>
          <t>Used $1,534 median rent proxy.</t>
        </is>
      </c>
    </row>
    <row r="7" ht="42.75" customHeight="1" s="104">
      <c r="A7" s="8" t="inlineStr">
        <is>
          <t>Home price / PPSF</t>
        </is>
      </c>
      <c r="B7" s="8" t="inlineStr">
        <is>
          <t>Redfin Marietta housing market; median sale price and $/sq ft.</t>
        </is>
      </c>
      <c r="C7" s="8" t="inlineStr">
        <is>
          <t>https://www.redfin.com/city/12766/GA/Marietta/housing-market</t>
        </is>
      </c>
      <c r="D7" s="8" t="inlineStr">
        <is>
          <t>Used $475,000 and $212/sq ft.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</cols>
  <sheetData>
    <row r="1" ht="53.25" customHeight="1" s="104">
      <c r="A1" s="20" t="inlineStr">
        <is>
          <t>Category</t>
        </is>
      </c>
      <c r="B1" s="20" t="inlineStr">
        <is>
          <t>Finding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Salary</t>
        </is>
      </c>
      <c r="B2" s="8" t="inlineStr">
        <is>
          <t>2025-26 teacher salary schedule; BA/MA steps captured for years 0-10.</t>
        </is>
      </c>
      <c r="C2" s="8" t="inlineStr">
        <is>
          <t>https://resources.finalsite.net/images/v1719000691/gcpsk12org/lmrrhx4bc5hdy3ivppap/2024-2025_Teacher_Salary_Scheduleeq.pdf</t>
        </is>
      </c>
      <c r="D2" s="8" t="inlineStr">
        <is>
          <t>Effective July 2025, 2025-26 school year.</t>
        </is>
      </c>
    </row>
    <row r="3" ht="42.75" customHeight="1" s="104">
      <c r="A3" s="8" t="inlineStr">
        <is>
          <t>Schools / demographics</t>
        </is>
      </c>
      <c r="B3" s="8" t="inlineStr">
        <is>
          <t>GCPS lists 81 elementary, 29 middle, 24 high, 7 special entities, 1 charter; racial/ethnic distribution October 2025.</t>
        </is>
      </c>
      <c r="C3" s="8" t="inlineStr">
        <is>
          <t>https://www.gcpsk12.org/about-us/gcps-by-the-numbers</t>
        </is>
      </c>
      <c r="D3" s="8" t="inlineStr">
        <is>
          <t>Used for high school count and demographic balance.</t>
        </is>
      </c>
    </row>
    <row r="4" ht="42.75" customHeight="1" s="104">
      <c r="A4" s="8" t="inlineStr">
        <is>
          <t>Sub pay</t>
        </is>
      </c>
      <c r="B4" s="8" t="inlineStr">
        <is>
          <t>GCPS substitute management page lists substitute teacher pay at $130/day.</t>
        </is>
      </c>
      <c r="C4" s="8" t="inlineStr">
        <is>
          <t>https://www.gcpsk12.org/about-us/careers/hr-support/substitute-management/general-information</t>
        </is>
      </c>
      <c r="D4" s="8" t="inlineStr">
        <is>
          <t>Extended substitute $150/day not used as base.</t>
        </is>
      </c>
    </row>
    <row r="5" ht="42.75" customHeight="1" s="104">
      <c r="A5" s="8" t="inlineStr">
        <is>
          <t>Ratio</t>
        </is>
      </c>
      <c r="B5" s="8" t="inlineStr">
        <is>
          <t>NCES 2024-25 reports 182,518 students, 12,796.10 classroom teachers, ratio 14.26.</t>
        </is>
      </c>
      <c r="C5" s="8" t="inlineStr">
        <is>
          <t>https://nces.ed.gov/ccd/districtsearch/district_detail.asp?ID2=1302550</t>
        </is>
      </c>
      <c r="D5" s="8" t="inlineStr">
        <is>
          <t>Used for student-teacher ratio.</t>
        </is>
      </c>
    </row>
    <row r="6" ht="42.75" customHeight="1" s="104">
      <c r="A6" s="8" t="inlineStr">
        <is>
          <t>Rent</t>
        </is>
      </c>
      <c r="B6" s="8" t="inlineStr">
        <is>
          <t>Apartments.com June 2026 Lawrenceville two-bedroom average rent.</t>
        </is>
      </c>
      <c r="C6" s="8" t="inlineStr">
        <is>
          <t>https://www.apartments.com/rent-market-trends/lawrenceville-ga/</t>
        </is>
      </c>
      <c r="D6" s="8" t="inlineStr">
        <is>
          <t>Used $1,718 median rent proxy.</t>
        </is>
      </c>
    </row>
    <row r="7" ht="42.75" customHeight="1" s="104">
      <c r="A7" s="8" t="inlineStr">
        <is>
          <t>Home price / PPSF</t>
        </is>
      </c>
      <c r="B7" s="8" t="inlineStr">
        <is>
          <t>Redfin Lawrenceville housing market; median sale price and $/sq ft.</t>
        </is>
      </c>
      <c r="C7" s="8" t="inlineStr">
        <is>
          <t>https://www.redfin.com/city/11598/GA/Lawrenceville/housing-market</t>
        </is>
      </c>
      <c r="D7" s="8" t="inlineStr">
        <is>
          <t>Used $365,000 and $165/sq ft.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</cols>
  <sheetData>
    <row r="1" ht="53.25" customHeight="1" s="104">
      <c r="A1" s="20" t="inlineStr">
        <is>
          <t>Category</t>
        </is>
      </c>
      <c r="B1" s="20" t="inlineStr">
        <is>
          <t>Finding / Use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Salary schedule</t>
        </is>
      </c>
      <c r="B2" s="8" t="inlineStr">
        <is>
          <t>FY2026 Teacher Salary Scale A used for BA and MA values at steps 1, 6, and 11.</t>
        </is>
      </c>
      <c r="C2" s="8" t="inlineStr">
        <is>
          <t>https://aptg.co/Pq3SSc</t>
        </is>
      </c>
      <c r="D2" s="8" t="inlineStr">
        <is>
          <t>LCPS official PDF, 197-day scale. Steps do not equate directly to years; prototype maps steps to experience bands consistently with other entries.</t>
        </is>
      </c>
    </row>
    <row r="3" ht="42.75" customHeight="1" s="104">
      <c r="A3" s="8" t="inlineStr">
        <is>
          <t>Compensation page</t>
        </is>
      </c>
      <c r="B3" s="8" t="inlineStr">
        <is>
          <t>Current LCPS classification/compensation page confirms FY2026 salary scale source.</t>
        </is>
      </c>
      <c r="C3" s="8" t="inlineStr">
        <is>
          <t>https://www.lcps.org/o/hr/page/classification-compensation</t>
        </is>
      </c>
      <c r="D3" s="8" t="inlineStr">
        <is>
          <t>Official LCPS HR page.</t>
        </is>
      </c>
    </row>
    <row r="4" ht="42.75" customHeight="1" s="104">
      <c r="A4" s="8" t="inlineStr">
        <is>
          <t>District size / total schools / ratio</t>
        </is>
      </c>
      <c r="B4" s="8" t="inlineStr">
        <is>
          <t>NCES lists LCPS with 102 schools, 81,486 students, 6,719.23 classroom teachers, and 12.13 student/teacher ratio.</t>
        </is>
      </c>
      <c r="C4" s="8" t="inlineStr">
        <is>
          <t>https://nces.ed.gov/ccd/districtsearch/district_detail.asp?ID2=5102250</t>
        </is>
      </c>
      <c r="D4" s="8" t="inlineStr">
        <is>
          <t>Used for total schools and student-teacher ratio.</t>
        </is>
      </c>
    </row>
    <row r="5" ht="42.75" customHeight="1" s="104">
      <c r="A5" s="8" t="inlineStr">
        <is>
          <t>Fact sheet</t>
        </is>
      </c>
      <c r="B5" s="8" t="inlineStr">
        <is>
          <t>LCPS fact sheet says the division serves more than 80,000 students and 13,000 employees across over 100 schools.</t>
        </is>
      </c>
      <c r="C5" s="8" t="inlineStr">
        <is>
          <t>https://aptg.co/Z7KZxN</t>
        </is>
      </c>
      <c r="D5" s="8" t="inlineStr">
        <is>
          <t>Used as supporting context.</t>
        </is>
      </c>
    </row>
    <row r="6" ht="42.75" customHeight="1" s="104">
      <c r="A6" s="8" t="inlineStr">
        <is>
          <t>Rent</t>
        </is>
      </c>
      <c r="B6" s="8" t="inlineStr">
        <is>
          <t>Ashburn average two-bedroom rent used as median rent input: $2,680/month.</t>
        </is>
      </c>
      <c r="C6" s="8" t="inlineStr">
        <is>
          <t>https://www.apartments.com/rent-market-trends/ashburn-va/</t>
        </is>
      </c>
      <c r="D6" s="8" t="inlineStr">
        <is>
          <t>Updated June 2026.</t>
        </is>
      </c>
    </row>
    <row r="7" ht="42.75" customHeight="1" s="104">
      <c r="A7" s="8" t="inlineStr">
        <is>
          <t>Home price / price per sq ft</t>
        </is>
      </c>
      <c r="B7" s="8" t="inlineStr">
        <is>
          <t>Ashburn median sale price $679,593 and median sale price per square foot $309.</t>
        </is>
      </c>
      <c r="C7" s="8" t="inlineStr">
        <is>
          <t>https://www.redfin.com/city/29015/VA/Ashburn/housing-market</t>
        </is>
      </c>
      <c r="D7" s="8" t="inlineStr">
        <is>
          <t>Three months ending May 2026.</t>
        </is>
      </c>
    </row>
    <row r="8" ht="42.75" customHeight="1" s="104">
      <c r="A8" s="8" t="inlineStr">
        <is>
          <t>Substitute pay</t>
        </is>
      </c>
      <c r="B8" s="8" t="inlineStr">
        <is>
          <t>Licensed substitute rate listed as $135.03/day; loyalty/site-based/long-term rates are higher.</t>
        </is>
      </c>
      <c r="C8" s="8" t="inlineStr">
        <is>
          <t>https://www.ziprecruiter.com/c/Loudoun-County-Public-Schools/Job/Licensed-Substitute-Teacher/-in-Ashburn%2CVA?jid=e3e0bba7061d9b69</t>
        </is>
      </c>
      <c r="D8" s="8" t="inlineStr">
        <is>
          <t>Official job posting aggregation; verify directly if LCPS posts the rate document.</t>
        </is>
      </c>
    </row>
    <row r="9" ht="42.75" customHeight="1" s="104">
      <c r="A9" s="8" t="inlineStr">
        <is>
          <t>Stability / enrollment</t>
        </is>
      </c>
      <c r="B9" s="8" t="inlineStr">
        <is>
          <t>Local reporting says LCPS enrollment is projected to decline until 2031.</t>
        </is>
      </c>
      <c r="C9" s="8" t="inlineStr">
        <is>
          <t>https://wjla.com/news/local/loudoun-county-schools-student-enrollment-declines-operating-funds-school-board-recommendations-lcps-virginia-teacher-staff-positions-new-students-superintendent-aaron-spence-registration-issues-problems</t>
        </is>
      </c>
      <c r="D9" s="8" t="inlineStr">
        <is>
          <t>Used to assign watchlist rather than perfect stability.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</cols>
  <sheetData>
    <row r="1" ht="53.25" customHeight="1" s="104">
      <c r="A1" s="20" t="inlineStr">
        <is>
          <t>Source Type</t>
        </is>
      </c>
      <c r="B1" s="20" t="inlineStr">
        <is>
          <t>Source / Citation</t>
        </is>
      </c>
      <c r="C1" s="20" t="inlineStr">
        <is>
          <t>What it supports</t>
        </is>
      </c>
      <c r="D1" s="20" t="inlineStr">
        <is>
          <t>URL</t>
        </is>
      </c>
    </row>
    <row r="2" ht="42.75" customHeight="1" s="104">
      <c r="A2" s="8" t="inlineStr">
        <is>
          <t>Official district salary schedule</t>
        </is>
      </c>
      <c r="B2" s="8" t="inlineStr">
        <is>
          <t>LWSD 2025-26 LWEA salary schedule</t>
        </is>
      </c>
      <c r="C2" s="8" t="inlineStr">
        <is>
          <t>Certificated salary schedule, BA/MA values</t>
        </is>
      </c>
      <c r="D2" s="8" t="inlineStr">
        <is>
          <t>https://www.lwsd.org/employment/teachers-certificated-employees/salary-schedules</t>
        </is>
      </c>
    </row>
    <row r="3" ht="42.75" customHeight="1" s="104">
      <c r="A3" s="8" t="inlineStr">
        <is>
          <t>Official substitute schedule</t>
        </is>
      </c>
      <c r="B3" s="8" t="inlineStr">
        <is>
          <t>LWSD 2025-26 substitute salary schedule</t>
        </is>
      </c>
      <c r="C3" s="8" t="inlineStr">
        <is>
          <t>Daily substitute pay $222</t>
        </is>
      </c>
      <c r="D3" s="8" t="inlineStr">
        <is>
          <t>https://resources.finalsite.net/images/v1754412729/lwsdorg/dgp3cdyawoq7kpbycc27/LWEASubTeacherSalSch25-2652925.pdf</t>
        </is>
      </c>
    </row>
    <row r="4" ht="42.75" customHeight="1" s="104">
      <c r="A4" s="8" t="inlineStr">
        <is>
          <t>NCES district detail</t>
        </is>
      </c>
      <c r="B4" s="8" t="inlineStr">
        <is>
          <t>Lake Washington School District district detail</t>
        </is>
      </c>
      <c r="C4" s="8" t="inlineStr">
        <is>
          <t>Students, teachers, student-teacher ratio, total schools</t>
        </is>
      </c>
      <c r="D4" s="8" t="inlineStr">
        <is>
          <t>https://nces.ed.gov/ccd/districtsearch/district_detail.asp?DistrictID=5304230</t>
        </is>
      </c>
    </row>
    <row r="5" ht="42.75" customHeight="1" s="104">
      <c r="A5" s="8" t="inlineStr">
        <is>
          <t>District enrollment/schools</t>
        </is>
      </c>
      <c r="B5" s="8" t="inlineStr">
        <is>
          <t>LWSD enrollment report and schools page</t>
        </is>
      </c>
      <c r="C5" s="8" t="inlineStr">
        <is>
          <t>High school count and enrollment context</t>
        </is>
      </c>
      <c r="D5" s="8" t="inlineStr">
        <is>
          <t>https://www.lwsd.org/about/enrollment-report</t>
        </is>
      </c>
    </row>
    <row r="6" ht="42.75" customHeight="1" s="104">
      <c r="A6" s="8" t="inlineStr">
        <is>
          <t>Rent source</t>
        </is>
      </c>
      <c r="B6" s="8" t="inlineStr">
        <is>
          <t>Apartments.com Redmond rent trends</t>
        </is>
      </c>
      <c r="C6" s="8" t="inlineStr">
        <is>
          <t>Median rent input</t>
        </is>
      </c>
      <c r="D6" s="8" t="inlineStr">
        <is>
          <t>https://www.apartments.com/rent-market-trends/redmond-wa/</t>
        </is>
      </c>
    </row>
    <row r="7" ht="42.75" customHeight="1" s="104">
      <c r="A7" s="8" t="inlineStr">
        <is>
          <t>Housing source</t>
        </is>
      </c>
      <c r="B7" s="8" t="inlineStr">
        <is>
          <t>Redfin Redmond housing market</t>
        </is>
      </c>
      <c r="C7" s="8" t="inlineStr">
        <is>
          <t>Median home price input</t>
        </is>
      </c>
      <c r="D7" s="8" t="inlineStr">
        <is>
          <t>https://www.redfin.com/city/14913/WA/Redmond/housing-market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</cols>
  <sheetData>
    <row r="1" ht="53.25" customHeight="1" s="104">
      <c r="A1" s="20" t="inlineStr">
        <is>
          <t>Source Type</t>
        </is>
      </c>
      <c r="B1" s="20" t="inlineStr">
        <is>
          <t>Source / Citation</t>
        </is>
      </c>
      <c r="C1" s="20" t="inlineStr">
        <is>
          <t>What it supports</t>
        </is>
      </c>
      <c r="D1" s="20" t="inlineStr">
        <is>
          <t>URL</t>
        </is>
      </c>
    </row>
    <row r="2" ht="42.75" customHeight="1" s="104">
      <c r="A2" s="8" t="inlineStr">
        <is>
          <t>Official salary page</t>
        </is>
      </c>
      <c r="B2" s="8" t="inlineStr">
        <is>
          <t>Nassau County Instructional Salaries</t>
        </is>
      </c>
      <c r="C2" s="8" t="inlineStr">
        <is>
          <t>Salary schedule links and category context</t>
        </is>
      </c>
      <c r="D2" s="8" t="inlineStr">
        <is>
          <t>https://www.nassau.k12.fl.us/page/instructional-salaries</t>
        </is>
      </c>
    </row>
    <row r="3" ht="42.75" customHeight="1" s="104">
      <c r="A3" s="8" t="inlineStr">
        <is>
          <t>Collective bargaining PDF</t>
        </is>
      </c>
      <c r="B3" s="8" t="inlineStr">
        <is>
          <t>2024-2027 Nassau Teachers Association agreement</t>
        </is>
      </c>
      <c r="C3" s="8" t="inlineStr">
        <is>
          <t>2025-26 salary schedule and degree supplements</t>
        </is>
      </c>
      <c r="D3" s="8" t="inlineStr">
        <is>
          <t>https://files-backend.assets.thrillshare.com/documents/asset/uploaded_file/5569/Ncsd/f73c8433-23bf-4388-aa76-259dafad90d2/24-27_NTA_Ratified_Amended_with_Signatures__25.pdf</t>
        </is>
      </c>
    </row>
    <row r="4" ht="42.75" customHeight="1" s="104">
      <c r="A4" s="8" t="inlineStr">
        <is>
          <t>NCES district detail</t>
        </is>
      </c>
      <c r="B4" s="8" t="inlineStr">
        <is>
          <t>Nassau district detail</t>
        </is>
      </c>
      <c r="C4" s="8" t="inlineStr">
        <is>
          <t>Students, teachers, student-teacher ratio, total schools</t>
        </is>
      </c>
      <c r="D4" s="8" t="inlineStr">
        <is>
          <t>https://nces.ed.gov/ccd/districtsearch/district_detail.asp?ID2=1201350</t>
        </is>
      </c>
    </row>
    <row r="5" ht="42.75" customHeight="1" s="104">
      <c r="A5" s="8" t="inlineStr">
        <is>
          <t>District homepage</t>
        </is>
      </c>
      <c r="B5" s="8" t="inlineStr">
        <is>
          <t>Nassau County School District homepage</t>
        </is>
      </c>
      <c r="C5" s="8" t="inlineStr">
        <is>
          <t>Students/employees/school count context</t>
        </is>
      </c>
      <c r="D5" s="8" t="inlineStr">
        <is>
          <t>https://www.nassau.k12.fl.us/</t>
        </is>
      </c>
    </row>
    <row r="6" ht="42.75" customHeight="1" s="104">
      <c r="A6" s="8" t="inlineStr">
        <is>
          <t>Rent source</t>
        </is>
      </c>
      <c r="B6" s="8" t="inlineStr">
        <is>
          <t>Apartments.com Yulee rent trends</t>
        </is>
      </c>
      <c r="C6" s="8" t="inlineStr">
        <is>
          <t>Median rent input</t>
        </is>
      </c>
      <c r="D6" s="8" t="inlineStr">
        <is>
          <t>https://www.apartments.com/rent-market-trends/yulee-fl/</t>
        </is>
      </c>
    </row>
    <row r="7" ht="42.75" customHeight="1" s="104">
      <c r="A7" s="8" t="inlineStr">
        <is>
          <t>Housing source</t>
        </is>
      </c>
      <c r="B7" s="8" t="inlineStr">
        <is>
          <t>Redfin 32097 housing market</t>
        </is>
      </c>
      <c r="C7" s="8" t="inlineStr">
        <is>
          <t>Median home price input</t>
        </is>
      </c>
      <c r="D7" s="8" t="inlineStr">
        <is>
          <t>https://www.redfin.com/zipcode/32097/housing-market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</cols>
  <sheetData>
    <row r="1" ht="53.25" customHeight="1" s="104">
      <c r="A1" s="21" t="inlineStr">
        <is>
          <t>Category</t>
        </is>
      </c>
      <c r="B1" s="21" t="inlineStr">
        <is>
          <t>Value Used</t>
        </is>
      </c>
      <c r="C1" s="21" t="inlineStr">
        <is>
          <t>Source URL</t>
        </is>
      </c>
    </row>
    <row r="2" ht="42.75" customHeight="1" s="104">
      <c r="A2" s="19" t="inlineStr">
        <is>
          <t>Salary schedule</t>
        </is>
      </c>
      <c r="B2" s="19" t="inlineStr">
        <is>
          <t>2025-26 Combined Salary Schedule; BA Step 1 $51,584; BA Step 11 $62,175; MA Step 1 $54,411; MA Step 11 $65,512</t>
        </is>
      </c>
      <c r="C2" s="19" t="inlineStr">
        <is>
          <t>https://resources.finalsite.net/images/v1745950877/wdmcsorg/ak8isa1vu50msa93nxgy/CombinedSalarySchedule.pdf</t>
        </is>
      </c>
    </row>
    <row r="3" ht="42.75" customHeight="1" s="104">
      <c r="A3" s="19" t="inlineStr">
        <is>
          <t>Substitute pay</t>
        </is>
      </c>
      <c r="B3" s="19" t="inlineStr">
        <is>
          <t>$170 per day</t>
        </is>
      </c>
      <c r="C3" s="19" t="inlineStr">
        <is>
          <t>https://www.kcci.com/article/west-des-moines-school-board-substitute-teacher-pay-increase/62347446</t>
        </is>
      </c>
    </row>
    <row r="4" ht="42.75" customHeight="1" s="104">
      <c r="A4" s="19" t="inlineStr">
        <is>
          <t>Enrollment / student-teacher ratio</t>
        </is>
      </c>
      <c r="B4" s="19" t="inlineStr">
        <is>
          <t>9,110 students; 628.44 classroom teachers; 14.50 ratio</t>
        </is>
      </c>
      <c r="C4" s="19" t="inlineStr">
        <is>
          <t>https://nces.ed.gov/ccd/districtsearch/district_detail.asp?ID2=1930930</t>
        </is>
      </c>
    </row>
    <row r="5" ht="42.75" customHeight="1" s="104">
      <c r="A5" s="19" t="inlineStr">
        <is>
          <t>Demographics</t>
        </is>
      </c>
      <c r="B5" s="19" t="inlineStr">
        <is>
          <t>White 53.2%; Hispanic 21.5%; Black 11.7%; Asian 5.9%; Other 7.7%</t>
        </is>
      </c>
      <c r="C5" s="19" t="inlineStr">
        <is>
          <t>https://www.niche.com/k12/d/west-des-moines-community-school-district-ia/students/</t>
        </is>
      </c>
    </row>
    <row r="6" ht="42.75" customHeight="1" s="104">
      <c r="A6" s="19" t="inlineStr">
        <is>
          <t>School counts</t>
        </is>
      </c>
      <c r="B6" s="19" t="inlineStr">
        <is>
          <t>13 public school sites listed on district website</t>
        </is>
      </c>
      <c r="C6" s="19" t="inlineStr">
        <is>
          <t>https://www.wdmcs.org/</t>
        </is>
      </c>
    </row>
    <row r="7" ht="42.75" customHeight="1" s="104">
      <c r="A7" s="19" t="inlineStr">
        <is>
          <t>Home price / price per sq ft</t>
        </is>
      </c>
      <c r="B7" s="19" t="inlineStr">
        <is>
          <t>Median sale price $327,554; median price per sq ft $211</t>
        </is>
      </c>
      <c r="C7" s="19" t="inlineStr">
        <is>
          <t>https://www.redfin.com/city/20722/IA/West-Des-Moines/housing-market</t>
        </is>
      </c>
    </row>
    <row r="8" ht="42.75" customHeight="1" s="104">
      <c r="A8" s="19" t="inlineStr">
        <is>
          <t>Rent</t>
        </is>
      </c>
      <c r="B8" s="19" t="inlineStr">
        <is>
          <t>Average rent $1,126/month</t>
        </is>
      </c>
      <c r="C8" s="19" t="inlineStr">
        <is>
          <t>https://www.apartments.com/rent-market-trends/west-des-moines-ia/</t>
        </is>
      </c>
    </row>
    <row r="9" ht="42.75" customHeight="1" s="104">
      <c r="A9" s="19" t="inlineStr">
        <is>
          <t>Prototype update</t>
        </is>
      </c>
      <c r="B9" s="19" t="inlineStr">
        <is>
          <t>Added West Des Moines Community Schools; restored Balanced demographics filter; kept 20-day sub-pay method</t>
        </is>
      </c>
      <c r="C9" s="19" t="n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6"/>
  </cols>
  <sheetData>
    <row r="1" ht="53.25" customHeight="1" s="104">
      <c r="A1" s="21" t="inlineStr">
        <is>
          <t>District</t>
        </is>
      </c>
      <c r="B1" s="21" t="inlineStr">
        <is>
          <t>Salary Source</t>
        </is>
      </c>
      <c r="C1" s="21" t="inlineStr">
        <is>
          <t>Substitute Pay Source</t>
        </is>
      </c>
      <c r="D1" s="21" t="inlineStr">
        <is>
          <t>Housing Source</t>
        </is>
      </c>
      <c r="E1" s="21" t="inlineStr">
        <is>
          <t>Stability Note</t>
        </is>
      </c>
      <c r="F1" s="21" t="inlineStr">
        <is>
          <t>Last Verified</t>
        </is>
      </c>
    </row>
    <row r="2" ht="42.75" customHeight="1" s="104">
      <c r="A2" s="19" t="inlineStr">
        <is>
          <t>Middleton-Cross Plains Area School District</t>
        </is>
      </c>
      <c r="B2" s="19" t="inlineStr">
        <is>
          <t>https://files-backend.assets.thrillshare.com/documents/asset/uploaded_file/1905/Mcpasd/69c6add5-b8ae-4b2e-8319-08609921f255/2025-2026-Certified-Staff-BA-%2455%2C000-Model---10.20.2025---Google-Sheets.pdf?disposition=inline</t>
        </is>
      </c>
      <c r="C2" s="19" t="inlineStr">
        <is>
          <t>https://www.mcpasd.k12.wi.us/documents/services/employee-services/16682317</t>
        </is>
      </c>
      <c r="D2" s="19" t="inlineStr">
        <is>
          <t>Redfin/Apartments first-pass market lookup</t>
        </is>
      </c>
      <c r="E2" s="19" t="inlineStr">
        <is>
          <t>No penalty; first-pass no current broad layoff/closure evidence.</t>
        </is>
      </c>
      <c r="F2" s="19" t="inlineStr">
        <is>
          <t>2026-06-15</t>
        </is>
      </c>
    </row>
    <row r="3" ht="42.75" customHeight="1" s="104">
      <c r="A3" s="19" t="inlineStr">
        <is>
          <t>Sun Prairie Area School District</t>
        </is>
      </c>
      <c r="B3" s="19" t="inlineStr">
        <is>
          <t>Sun Prairie public job postings / first-pass salary estimate from salary schedule references</t>
        </is>
      </c>
      <c r="C3" s="19" t="inlineStr">
        <is>
          <t>https://www.sunprairieschools.org/departments/human-resources/substitutes</t>
        </is>
      </c>
      <c r="D3" s="19" t="inlineStr">
        <is>
          <t>Redfin/Apartments first-pass market lookup</t>
        </is>
      </c>
      <c r="E3" s="19" t="inlineStr">
        <is>
          <t>No penalty; first-pass no current broad layoff/closure evidence.</t>
        </is>
      </c>
      <c r="F3" s="19" t="inlineStr">
        <is>
          <t>2026-06-15</t>
        </is>
      </c>
    </row>
    <row r="4" ht="42.75" customHeight="1" s="104">
      <c r="A4" s="19" t="inlineStr">
        <is>
          <t>Waunakee Community School District</t>
        </is>
      </c>
      <c r="B4" s="19" t="inlineStr">
        <is>
          <t>Waunakee compensation system references / first-pass salary estimate</t>
        </is>
      </c>
      <c r="C4" s="19" t="inlineStr">
        <is>
          <t>https://www.waunakee.k12.wi.us/departments/human-resources/substitute-resources</t>
        </is>
      </c>
      <c r="D4" s="19" t="inlineStr">
        <is>
          <t>Redfin/Apartments first-pass market lookup</t>
        </is>
      </c>
      <c r="E4" s="19" t="inlineStr">
        <is>
          <t>No penalty; first-pass no current broad layoff/closure evidence.</t>
        </is>
      </c>
      <c r="F4" s="19" t="inlineStr">
        <is>
          <t>2026-06-15</t>
        </is>
      </c>
    </row>
    <row r="5" ht="42.75" customHeight="1" s="104">
      <c r="A5" s="19" t="inlineStr">
        <is>
          <t>Verona Area School District</t>
        </is>
      </c>
      <c r="B5" s="19" t="inlineStr">
        <is>
          <t>https://www.verona.k12.wi.us/departments/humanresources/compensation</t>
        </is>
      </c>
      <c r="C5" s="19" t="inlineStr">
        <is>
          <t>https://www.verona.k12.wi.us/departments/humanresources/careers/substitute-opportunities</t>
        </is>
      </c>
      <c r="D5" s="19" t="inlineStr">
        <is>
          <t>Redfin/Apartments first-pass market lookup</t>
        </is>
      </c>
      <c r="E5" s="19" t="inlineStr">
        <is>
          <t>No penalty; first-pass no current broad layoff/closure evidence.</t>
        </is>
      </c>
      <c r="F5" s="19" t="inlineStr">
        <is>
          <t>2026-06-15</t>
        </is>
      </c>
    </row>
    <row r="6" ht="42.75" customHeight="1" s="104">
      <c r="A6" s="19" t="inlineStr">
        <is>
          <t>Beaverton School District</t>
        </is>
      </c>
      <c r="B6" s="19" t="inlineStr">
        <is>
          <t>https://resources.finalsite.net/images/v1749503218/beavertonk12orus/gd7r4u3u8hlfjssjnbnh/25-26FINALCERTwExtResp.pdf</t>
        </is>
      </c>
      <c r="C6" s="19" t="inlineStr">
        <is>
          <t>https://www.beaverton.k12.or.us/departments/human-resources/applicants/beas</t>
        </is>
      </c>
      <c r="D6" s="19" t="inlineStr">
        <is>
          <t>Redfin/Apartments first-pass market lookup</t>
        </is>
      </c>
      <c r="E6" s="19" t="inlineStr">
        <is>
          <t>10% penalty due to current budget/staffing-reduction risk.</t>
        </is>
      </c>
      <c r="F6" s="19" t="inlineStr">
        <is>
          <t>2026-06-15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</cols>
  <sheetData>
    <row r="1" ht="53.25" customHeight="1" s="104">
      <c r="A1" s="24" t="inlineStr">
        <is>
          <t>District</t>
        </is>
      </c>
      <c r="B1" s="24" t="inlineStr">
        <is>
          <t>Data area</t>
        </is>
      </c>
      <c r="C1" s="24" t="inlineStr">
        <is>
          <t>Source / note</t>
        </is>
      </c>
      <c r="D1" s="24" t="inlineStr">
        <is>
          <t>URL or citation note</t>
        </is>
      </c>
    </row>
    <row r="2" ht="42.75" customHeight="1" s="104">
      <c r="A2" s="23" t="inlineStr">
        <is>
          <t>Indian Prairie School District 204</t>
        </is>
      </c>
      <c r="B2" s="23" t="inlineStr">
        <is>
          <t>Salary schedule</t>
        </is>
      </c>
      <c r="C2" s="23" t="inlineStr">
        <is>
          <t>IPEA 2025-2026 salary schedule. BA step 1 $56,403; MA step 1 $68,445; step 10/11 values used for 10-year placement.</t>
        </is>
      </c>
      <c r="D2" s="23" t="inlineStr">
        <is>
          <t>https://resources.finalsite.net/images/v1746461433/ipsdorg/ydag27zq4d3atey63stv/IPEA_2025-2026v3_12025.pdf</t>
        </is>
      </c>
    </row>
    <row r="3" ht="42.75" customHeight="1" s="104">
      <c r="A3" s="23" t="inlineStr">
        <is>
          <t>Indian Prairie School District 204</t>
        </is>
      </c>
      <c r="B3" s="23" t="inlineStr">
        <is>
          <t>Sub pay</t>
        </is>
      </c>
      <c r="C3" s="23" t="inlineStr">
        <is>
          <t>First-pass Indeed current estimate used; verify with HR before final.</t>
        </is>
      </c>
      <c r="D3" s="23" t="inlineStr">
        <is>
          <t>https://www.indeed.com/cmp/Indian-Prairie-School-District-204/salaries/Substitute-Teacher/Illinois</t>
        </is>
      </c>
    </row>
    <row r="4" ht="42.75" customHeight="1" s="104">
      <c r="A4" s="23" t="inlineStr">
        <is>
          <t>Glenbrook High School District 225</t>
        </is>
      </c>
      <c r="B4" s="23" t="inlineStr">
        <is>
          <t>Salary schedule</t>
        </is>
      </c>
      <c r="C4" s="23" t="inlineStr">
        <is>
          <t>2025-26 183-day teacher salary schedule. BA-0 step A $69,929; MA-0 step A $81,169.</t>
        </is>
      </c>
      <c r="D4" s="23" t="inlineStr">
        <is>
          <t>https://staff.glenbrook225.org/fs/resource-manager/view/beb41775-feea-40a8-83be-839d1aa2f9ee</t>
        </is>
      </c>
    </row>
    <row r="5" ht="42.75" customHeight="1" s="104">
      <c r="A5" s="23" t="inlineStr">
        <is>
          <t>Glenbrook High School District 225</t>
        </is>
      </c>
      <c r="B5" s="23" t="inlineStr">
        <is>
          <t>Housing/rent</t>
        </is>
      </c>
      <c r="C5" s="23" t="inlineStr">
        <is>
          <t>Glenview housing/rent sources used as first-pass proxy for district area.</t>
        </is>
      </c>
      <c r="D5" s="23" t="inlineStr">
        <is>
          <t>https://www.redfin.com/city/7628/IL/Glenview/housing-market ; https://www.apartments.com/rent-market-trends/glenview-il/</t>
        </is>
      </c>
    </row>
    <row r="6" ht="42.75" customHeight="1" s="104">
      <c r="A6" s="23" t="inlineStr">
        <is>
          <t>Mounds View Public Schools</t>
        </is>
      </c>
      <c r="B6" s="23" t="inlineStr">
        <is>
          <t>Salary schedule</t>
        </is>
      </c>
      <c r="C6" s="23" t="inlineStr">
        <is>
          <t>2025-2026 MVEA salary schedule. BA00 lane does not advance to steps 9/10, so BA+15 is used for 8-10 years as first accessible BA-family lane.</t>
        </is>
      </c>
      <c r="D6" s="23" t="inlineStr">
        <is>
          <t>https://resources.finalsite.net/images/v1767030040/moundsviewschoolsorg/krhc4zxvinezdkxxh8ik/Teachers25-27.pdf</t>
        </is>
      </c>
    </row>
    <row r="7" ht="42.75" customHeight="1" s="104">
      <c r="A7" s="23" t="inlineStr">
        <is>
          <t>Mounds View Public Schools</t>
        </is>
      </c>
      <c r="B7" s="23" t="inlineStr">
        <is>
          <t>Sub pay</t>
        </is>
      </c>
      <c r="C7" s="23" t="inlineStr">
        <is>
          <t>District employment page lists teacher substitute rate at $200/day.</t>
        </is>
      </c>
      <c r="D7" s="23" t="inlineStr">
        <is>
          <t>https://www.mvpschools.org/employment</t>
        </is>
      </c>
    </row>
    <row r="8" ht="42.75" customHeight="1" s="104">
      <c r="A8" s="23" t="inlineStr">
        <is>
          <t>Eden Prairie Schools</t>
        </is>
      </c>
      <c r="B8" s="23" t="inlineStr">
        <is>
          <t>Salary schedule</t>
        </is>
      </c>
      <c r="C8" s="23" t="inlineStr">
        <is>
          <t>EPEA 2025-2027 contract, Schedule A 2025-2026. Step 10-14 band used for years 9 and 10.</t>
        </is>
      </c>
      <c r="D8" s="23" t="inlineStr">
        <is>
          <t>https://resources.finalsite.net/images/v1757436498/edenprorg/llnxrprxcuuikx1elsuq/EPEA2025-2027FINALCONTRACT.pdf</t>
        </is>
      </c>
    </row>
    <row r="9" ht="42.75" customHeight="1" s="104">
      <c r="A9" s="23" t="inlineStr">
        <is>
          <t>Eden Prairie Schools</t>
        </is>
      </c>
      <c r="B9" s="23" t="inlineStr">
        <is>
          <t>Sub pay</t>
        </is>
      </c>
      <c r="C9" s="23" t="inlineStr">
        <is>
          <t>Reserve teacher posting lists regular/incentive substitute rates; $183/day used as regular full-day first-pass rate.</t>
        </is>
      </c>
      <c r="D9" s="23" t="inlineStr">
        <is>
          <t>https://www.applitrack.com/edenpr/OnlineApp/default.aspx?AppliTrackJobID=3655&amp;ref=</t>
        </is>
      </c>
    </row>
    <row r="10" ht="42.75" customHeight="1" s="104">
      <c r="A10" s="23" t="inlineStr">
        <is>
          <t>Naperville CUSD 203</t>
        </is>
      </c>
      <c r="B10" s="23" t="inlineStr">
        <is>
          <t>Salary / contract</t>
        </is>
      </c>
      <c r="C10" s="23" t="inlineStr">
        <is>
          <t>NUEA contract and current salary schedule page used. Values are first-pass estimates until exact 2025-26 salary schedule is verified.</t>
        </is>
      </c>
      <c r="D10" s="23" t="inlineStr">
        <is>
          <t>https://www.naperville203.org/departments-services/human-resources/collective-bargaining-agreements</t>
        </is>
      </c>
    </row>
    <row r="11" ht="42.75" customHeight="1" s="104">
      <c r="A11" s="23" t="inlineStr">
        <is>
          <t>Naperville CUSD 203</t>
        </is>
      </c>
      <c r="B11" s="23" t="inlineStr">
        <is>
          <t>Sub pay</t>
        </is>
      </c>
      <c r="C11" s="23" t="inlineStr">
        <is>
          <t>2025-26 substitute info lists substitute teacher full day $130.</t>
        </is>
      </c>
      <c r="D11" s="23" t="inlineStr">
        <is>
          <t>https://resources.finalsite.net/images/v1756143021/naperville203org/yzetsbkynvoe9x6mjgl7/importantsubstituteinformation-26.pdf</t>
        </is>
      </c>
    </row>
    <row r="12" ht="42.75" customHeight="1" s="104">
      <c r="A12" s="23" t="inlineStr">
        <is>
          <t>Naperville CUSD 203</t>
        </is>
      </c>
      <c r="B12" s="23" t="inlineStr">
        <is>
          <t>Rent</t>
        </is>
      </c>
      <c r="C12" s="23" t="inlineStr">
        <is>
          <t>Apartments.com Naperville average rent $1,831/month.</t>
        </is>
      </c>
      <c r="D12" s="23" t="inlineStr">
        <is>
          <t>https://www.apartments.com/rent-market-trends/naperville-il/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10" defaultColWidth="8.83203125" defaultRowHeight="15"/>
  <cols>
    <col width="34" customWidth="1" style="104" min="1" max="1"/>
    <col width="24" customWidth="1" style="104" min="2" max="2"/>
    <col width="52" customWidth="1" style="104" min="3" max="3"/>
    <col width="78" customWidth="1" style="104" min="4" max="4"/>
    <col width="22" customWidth="1" style="104" min="5" max="5"/>
  </cols>
  <sheetData>
    <row r="1" ht="42.75" customHeight="1" s="104">
      <c r="A1" s="34" t="inlineStr">
        <is>
          <t>District</t>
        </is>
      </c>
      <c r="B1" s="34" t="inlineStr">
        <is>
          <t>Category</t>
        </is>
      </c>
      <c r="C1" s="34" t="inlineStr">
        <is>
          <t>Source URL / Reference</t>
        </is>
      </c>
      <c r="D1" s="34" t="inlineStr">
        <is>
          <t>Notes</t>
        </is>
      </c>
      <c r="E1" s="34" t="inlineStr">
        <is>
          <t>Verification Status</t>
        </is>
      </c>
    </row>
    <row r="2" ht="81.75" customHeight="1" s="104">
      <c r="A2" s="4" t="inlineStr">
        <is>
          <t>Minnetonka Public Schools</t>
        </is>
      </c>
      <c r="B2" s="4" t="inlineStr">
        <is>
          <t>Teacher contract/salary schedule</t>
        </is>
      </c>
      <c r="C2" s="4" t="inlineStr">
        <is>
          <t>https://www.minnetonkaschools.org/district/departments/hr/employee-contracts</t>
        </is>
      </c>
      <c r="D2" s="4" t="inlineStr">
        <is>
          <t>District HR page lists 2025-2027 Teacher Collective Bargaining Agreement; salary schedule values entered as first-pass from 2025-26 schedule extraction.</t>
        </is>
      </c>
      <c r="E2" s="4" t="inlineStr">
        <is>
          <t>Official source; verify exact schedule PDF if needed</t>
        </is>
      </c>
    </row>
    <row r="3" ht="81.75" customHeight="1" s="104">
      <c r="A3" s="4" t="inlineStr">
        <is>
          <t>Minnetonka Public Schools</t>
        </is>
      </c>
      <c r="B3" s="4" t="inlineStr">
        <is>
          <t>Sub pay</t>
        </is>
      </c>
      <c r="C3" s="4" t="n"/>
      <c r="D3" s="4" t="inlineStr">
        <is>
          <t>Daily sub pay not independently verified in the public sources found; entered as first-pass estimate of $180/day.</t>
        </is>
      </c>
      <c r="E3" s="4" t="inlineStr">
        <is>
          <t>Estimated</t>
        </is>
      </c>
    </row>
    <row r="4" ht="81.75" customHeight="1" s="104">
      <c r="A4" s="4" t="inlineStr">
        <is>
          <t>Wayzata Public Schools</t>
        </is>
      </c>
      <c r="B4" s="4" t="inlineStr">
        <is>
          <t>Contracts/handbooks</t>
        </is>
      </c>
      <c r="C4" s="4" t="inlineStr">
        <is>
          <t>https://www.wayzataschools.org/careers/contracts</t>
        </is>
      </c>
      <c r="D4" s="4" t="inlineStr">
        <is>
          <t>Official contracts/handbooks page located; clear lane/step salary table not found in accessible text during this pass.</t>
        </is>
      </c>
      <c r="E4" s="4" t="inlineStr">
        <is>
          <t>Official page; salary estimated</t>
        </is>
      </c>
    </row>
    <row r="5" ht="81.75" customHeight="1" s="104">
      <c r="A5" s="4" t="inlineStr">
        <is>
          <t>Wayzata Public Schools</t>
        </is>
      </c>
      <c r="B5" s="4" t="inlineStr">
        <is>
          <t>Reserve teacher pay</t>
        </is>
      </c>
      <c r="C5" s="4" t="inlineStr">
        <is>
          <t>https://www.wayzataschools.org/careers/reserve-teachers</t>
        </is>
      </c>
      <c r="D5" s="4" t="inlineStr">
        <is>
          <t>Official reserve teacher page lists 2025-26 reserve teacher daily pay tiers; used Level 1 regular daily rate of $165/day.</t>
        </is>
      </c>
      <c r="E5" s="4" t="inlineStr">
        <is>
          <t>Official</t>
        </is>
      </c>
    </row>
    <row r="6" ht="81.75" customHeight="1" s="104">
      <c r="A6" s="4" t="inlineStr">
        <is>
          <t>Rosemount-Apple Valley-Eagan ISD 196</t>
        </is>
      </c>
      <c r="B6" s="4" t="inlineStr">
        <is>
          <t>Teacher agreement/salary schedule</t>
        </is>
      </c>
      <c r="C6" s="4" t="inlineStr">
        <is>
          <t>https://staffportal.district196.org/fs/resource-manager/view/4036ed68-fb19-43de-a642-27172d09737a</t>
        </is>
      </c>
      <c r="D6" s="4" t="inlineStr">
        <is>
          <t>Official 2025-2027 agreement; Schedule A 2025-26 salary schedule used. Some higher-step BA/MA cells are blank or effectively advanced-lane-adjacent, so verify HR placement for direct BA/MA 10-year comparison.</t>
        </is>
      </c>
      <c r="E6" s="4" t="inlineStr">
        <is>
          <t>Official source with caution</t>
        </is>
      </c>
    </row>
    <row r="7" ht="81.75" customHeight="1" s="104">
      <c r="A7" s="4" t="inlineStr">
        <is>
          <t>Rosemount-Apple Valley-Eagan ISD 196</t>
        </is>
      </c>
      <c r="B7" s="4" t="inlineStr">
        <is>
          <t>Sub pay</t>
        </is>
      </c>
      <c r="C7" s="4" t="n"/>
      <c r="D7" s="4" t="inlineStr">
        <is>
          <t>Daily sub pay not independently verified in the public sources found; entered as first-pass estimate of $180/day.</t>
        </is>
      </c>
      <c r="E7" s="4" t="inlineStr">
        <is>
          <t>Estimated</t>
        </is>
      </c>
    </row>
    <row r="8" ht="81.75" customHeight="1" s="104">
      <c r="A8" s="4" t="inlineStr">
        <is>
          <t>Edina Public Schools</t>
        </is>
      </c>
      <c r="B8" s="4" t="inlineStr">
        <is>
          <t>Teacher agreement/salary schedule</t>
        </is>
      </c>
      <c r="C8" s="4" t="inlineStr">
        <is>
          <t>https://resources.finalsite.net/images/v1765291286/edinaschoolsorg/edinaschoolsorg/fhyhmtjvvixlgplvt2wt/EducationMinnesotaEdinaTeachers2025-2027.pdf</t>
        </is>
      </c>
      <c r="D8" s="4" t="inlineStr">
        <is>
          <t>Official 2025-2027 teacher agreement; Appendix A 2025-26 salary schedule entered using BA/BA15 and MA/MA15 columns; Step 1&amp;2 repeated for years 0-1.</t>
        </is>
      </c>
      <c r="E8" s="4" t="inlineStr">
        <is>
          <t>Official source</t>
        </is>
      </c>
    </row>
    <row r="9" ht="81.75" customHeight="1" s="104">
      <c r="A9" s="4" t="inlineStr">
        <is>
          <t>Edina Public Schools</t>
        </is>
      </c>
      <c r="B9" s="4" t="inlineStr">
        <is>
          <t>Substitute hiring</t>
        </is>
      </c>
      <c r="C9" s="4" t="inlineStr">
        <is>
          <t>https://www.edinaschools.org/careers</t>
        </is>
      </c>
      <c r="D9" s="4" t="inlineStr">
        <is>
          <t>Official careers page says Edina partners with Kelly Education for substitute teachers; daily sub rate was not found, so $170/day is a first-pass estimate.</t>
        </is>
      </c>
      <c r="E9" s="4" t="inlineStr">
        <is>
          <t>Official page; pay estimated</t>
        </is>
      </c>
    </row>
    <row r="10" ht="81.75" customHeight="1" s="104">
      <c r="A10" s="4" t="inlineStr">
        <is>
          <t>New Trier Township High School District 203</t>
        </is>
      </c>
      <c r="B10" s="4" t="inlineStr">
        <is>
          <t>Employee agreements</t>
        </is>
      </c>
      <c r="C10" s="4" t="inlineStr">
        <is>
          <t>https://www.newtrier.k12.il.us/our-district/administrative-departments/human-resources/employee-agreements</t>
        </is>
      </c>
      <c r="D10" s="4" t="inlineStr">
        <is>
          <t>Official page lists NTEA Agreement 2023-2028. A clean 2025-26 lane/step extraction was not completed, so salary rows are first-pass estimates and should be verified before final ranking.</t>
        </is>
      </c>
      <c r="E10" s="4" t="inlineStr">
        <is>
          <t>Official page; salary estimated</t>
        </is>
      </c>
    </row>
    <row r="11" ht="81.75" customHeight="1" s="104">
      <c r="A11" s="4" t="inlineStr">
        <is>
          <t>New Trier Township High School District 203</t>
        </is>
      </c>
      <c r="B11" s="4" t="inlineStr">
        <is>
          <t>Compensation report</t>
        </is>
      </c>
      <c r="C11" s="4" t="inlineStr">
        <is>
          <t>https://www.newtrier.k12.il.us/our-district/administrative-departments/human-resources/compensation-reports</t>
        </is>
      </c>
      <c r="D11" s="4" t="inlineStr">
        <is>
          <t>Used as a context/check source for New Trier compensation; not a clean BA/MA lane table.</t>
        </is>
      </c>
      <c r="E11" s="4" t="inlineStr">
        <is>
          <t>Official page if available</t>
        </is>
      </c>
    </row>
    <row r="12" ht="81.75" customHeight="1" s="104">
      <c r="A12" s="4" t="inlineStr">
        <is>
          <t>New Trier Township High School District 203</t>
        </is>
      </c>
      <c r="B12" s="4" t="inlineStr">
        <is>
          <t>Sub pay</t>
        </is>
      </c>
      <c r="C12" s="4" t="inlineStr">
        <is>
          <t>https://jobs.redroverk12.com/org/newtrierjobs/opening/178696</t>
        </is>
      </c>
      <c r="D12" s="4" t="inlineStr">
        <is>
          <t>Public substitute teacher posting found. Daily rate entered as approximately $147/day based on public hourly estimate; verify with district/Red Rover posting details before final ranking.</t>
        </is>
      </c>
      <c r="E12" s="4" t="inlineStr">
        <is>
          <t>Estimated from posting</t>
        </is>
      </c>
    </row>
    <row r="13" ht="81.75" customHeight="1" s="104">
      <c r="A13" s="4" t="inlineStr">
        <is>
          <t>All Round 3 districts</t>
        </is>
      </c>
      <c r="B13" s="4" t="inlineStr">
        <is>
          <t>Housing values</t>
        </is>
      </c>
      <c r="C13" s="4" t="n"/>
      <c r="D13" s="4" t="inlineStr">
        <is>
          <t>Median home price, rent, and price/sqft are first-pass market estimates entered to test rankings. Replace with preferred Zillow/Redfin/RentCafe source if you want a fully sourced final set.</t>
        </is>
      </c>
      <c r="E13" s="4" t="inlineStr">
        <is>
          <t>Estimated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10" defaultColWidth="8.83203125" defaultRowHeight="15"/>
  <cols>
    <col width="22" customWidth="1" style="104" min="1" max="1"/>
    <col width="32" customWidth="1" style="104" min="2" max="2"/>
    <col width="54" customWidth="1" style="104" min="3" max="3"/>
    <col width="64" customWidth="1" style="104" min="4" max="4"/>
  </cols>
  <sheetData>
    <row r="1" ht="21.25" customHeight="1" s="104">
      <c r="A1" s="35" t="inlineStr">
        <is>
          <t>Category</t>
        </is>
      </c>
      <c r="B1" s="35" t="inlineStr">
        <is>
          <t>Value / Use</t>
        </is>
      </c>
      <c r="C1" s="35" t="inlineStr">
        <is>
          <t>Source</t>
        </is>
      </c>
      <c r="D1" s="35" t="inlineStr">
        <is>
          <t>Notes</t>
        </is>
      </c>
    </row>
    <row r="2">
      <c r="A2" t="inlineStr">
        <is>
          <t>Salary schedule</t>
        </is>
      </c>
      <c r="B2" t="inlineStr">
        <is>
          <t>2025-26 certificated salary schedule</t>
        </is>
      </c>
      <c r="C2" t="inlineStr">
        <is>
          <t>Uploaded PDF: 2025-2026TTEASalarySchedule-BoardApproved5Nov2025.pdf</t>
        </is>
      </c>
      <c r="D2" t="inlineStr">
        <is>
          <t>Bachelor's values use BA+30 column; Master's values add the $1,000 Master's stipend listed on the schedule.</t>
        </is>
      </c>
    </row>
    <row r="3">
      <c r="A3" t="inlineStr">
        <is>
          <t>Substitute pay</t>
        </is>
      </c>
      <c r="B3" t="inlineStr">
        <is>
          <t>$200 full-day base substitute rate</t>
        </is>
      </c>
      <c r="C3" t="inlineStr">
        <is>
          <t>https://www.ttusd.org/departments/human-resources/substitute-teaching</t>
        </is>
      </c>
      <c r="D3" t="inlineStr">
        <is>
          <t>TTUSD substitute rates PDF lists $200 full day, $230 Monday/Friday, $250 long-term, $240 TTUSD retirees.</t>
        </is>
      </c>
    </row>
    <row r="4">
      <c r="A4" t="inlineStr">
        <is>
          <t>Enrollment/demographics</t>
        </is>
      </c>
      <c r="B4" t="inlineStr">
        <is>
          <t>2025-26 CDE DataQuest totals</t>
        </is>
      </c>
      <c r="C4" t="inlineStr">
        <is>
          <t>https://dq.cde.ca.gov/dataquest/dqcensus/enrethlevels.aspx?agglevel=District&amp;cds=3166944&amp;year=2025-26</t>
        </is>
      </c>
      <c r="D4" t="inlineStr">
        <is>
          <t>Report totals: 4,183 students; 57.6% White, 34.7% Hispanic, 0.6% Asian, 0.2% African American.</t>
        </is>
      </c>
    </row>
    <row r="5">
      <c r="A5" t="inlineStr">
        <is>
          <t>Student-teacher ratio</t>
        </is>
      </c>
      <c r="B5" t="inlineStr">
        <is>
          <t>18.81</t>
        </is>
      </c>
      <c r="C5" t="inlineStr">
        <is>
          <t>https://nces.ed.gov/ccd/districtsearch/district_detail.asp?ID2=0638770&amp;Search=2</t>
        </is>
      </c>
      <c r="D5" t="inlineStr">
        <is>
          <t>NCES 2024-25 district detail reports 3,959 students, 210.46 classroom teacher FTE, 18.81 ratio.</t>
        </is>
      </c>
    </row>
    <row r="6">
      <c r="A6" t="inlineStr">
        <is>
          <t>School count</t>
        </is>
      </c>
      <c r="B6" t="inlineStr">
        <is>
          <t>12 total counted in profile</t>
        </is>
      </c>
      <c r="C6" t="inlineStr">
        <is>
          <t>https://www.cde.ca.gov/SchoolDirectory/results?districts=721&amp;items=500&amp;order=-7&amp;status=1</t>
        </is>
      </c>
      <c r="D6" t="inlineStr">
        <is>
          <t>CDE directory lists 6 elementary incl. charter, 2 middle, 2 comprehensive high, continuation high, and alternative school. Adult/private entries excluded.</t>
        </is>
      </c>
    </row>
    <row r="7">
      <c r="A7" t="inlineStr">
        <is>
          <t>Housing</t>
        </is>
      </c>
      <c r="B7" t="inlineStr">
        <is>
          <t>Home $1,024,669; rent $2,203; ppsf $346</t>
        </is>
      </c>
      <c r="C7" t="inlineStr">
        <is>
          <t>Zillow / RentCafe / FRED</t>
        </is>
      </c>
      <c r="D7" t="inlineStr">
        <is>
          <t>Zillow Truckee ZHVI 2026-05-31; RentCafe average rent March 2026; FRED Truckee-Grass Valley median listing price per sq ft May 2026.</t>
        </is>
      </c>
    </row>
    <row r="8">
      <c r="A8" t="inlineStr">
        <is>
          <t>Stability</t>
        </is>
      </c>
      <c r="B8" t="inlineStr">
        <is>
          <t>Risk multiplier 1.00</t>
        </is>
      </c>
      <c r="C8" t="inlineStr">
        <is>
          <t>TTUSD budget/stability review</t>
        </is>
      </c>
      <c r="D8" t="inlineStr">
        <is>
          <t>First-pass search found no current broad layoff/closure evidence; Basic Aid/community-funded status noted in TTUSD budget materials.</t>
        </is>
      </c>
    </row>
    <row r="9">
      <c r="A9" t="inlineStr">
        <is>
          <t>Version</t>
        </is>
      </c>
      <c r="B9" t="inlineStr">
        <is>
          <t>Prototype 323</t>
        </is>
      </c>
      <c r="C9" t="inlineStr">
        <is>
          <t>Local version log</t>
        </is>
      </c>
      <c r="D9" t="inlineStr">
        <is>
          <t>Added Tahoe-Truckee Unified School District.</t>
        </is>
      </c>
    </row>
    <row r="10">
      <c r="A10" t="inlineStr">
        <is>
          <t>Last verified</t>
        </is>
      </c>
      <c r="B10" t="inlineStr">
        <is>
          <t>2026-06-16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10" defaultColWidth="8.83203125" defaultRowHeight="15"/>
  <cols>
    <col width="13" customWidth="1" style="104" min="1" max="1"/>
    <col width="60" customWidth="1" style="104" min="2" max="2"/>
    <col width="9.83203125" customWidth="1" style="104" min="3" max="3"/>
    <col width="65.1640625" customWidth="1" style="104" min="4" max="4"/>
    <col width="55" customWidth="1" style="104" min="5" max="5"/>
  </cols>
  <sheetData>
    <row r="1" ht="42.75" customHeight="1" s="104">
      <c r="A1" s="36" t="inlineStr">
        <is>
          <t>District</t>
        </is>
      </c>
      <c r="B1" s="36" t="inlineStr">
        <is>
          <t>Source URL(s)</t>
        </is>
      </c>
      <c r="C1" s="36" t="inlineStr">
        <is>
          <t>Last Verified</t>
        </is>
      </c>
      <c r="D1" s="36" t="inlineStr">
        <is>
          <t>Data Confidence</t>
        </is>
      </c>
      <c r="E1" s="36" t="inlineStr">
        <is>
          <t>Notes</t>
        </is>
      </c>
    </row>
    <row r="2">
      <c r="A2" t="inlineStr">
        <is>
          <t>Channelview ISD</t>
        </is>
      </c>
      <c r="B2" t="inlineStr">
        <is>
          <t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t>
        </is>
      </c>
      <c r="C2" t="inlineStr">
        <is>
          <t>2026-06-16</t>
        </is>
      </c>
      <c r="D2" t="inlineStr">
        <is>
          <t>First-pass salary values; verify exact step/lane chart before final ranking.</t>
        </is>
      </c>
      <c r="E2" t="inlineStr">
        <is>
          <t>First-pass entry. Salary entered from Channelview's 2025-2026 classroom teacher hiring chart listing; verify exact step/lane values before final ranking. NCES total schools differs slightly from Texas Tribune campus count; NCES total used for total schools counted.</t>
        </is>
      </c>
    </row>
    <row r="3">
      <c r="A3" t="inlineStr">
        <is>
          <t>Plano ISD</t>
        </is>
      </c>
      <c r="B3" t="inlineStr">
        <is>
          <t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t>
        </is>
      </c>
      <c r="C3" t="inlineStr">
        <is>
          <t>2026-06-16</t>
        </is>
      </c>
      <c r="D3" t="inlineStr">
        <is>
          <t>Current public schedule is 2026-27; verify if you require same-year comparability.</t>
        </is>
      </c>
      <c r="E3" t="inlineStr">
        <is>
          <t>Uses Plano ISD 2026-27 new-hire certified teacher schedule because that current public schedule was available; verify if you want strict 2025-26 comparability. NCES total schools used; Texas Tribune campus counts shown in source.</t>
        </is>
      </c>
    </row>
    <row r="4">
      <c r="A4" t="inlineStr">
        <is>
          <t>Galena Park ISD</t>
        </is>
      </c>
      <c r="B4" t="inlineStr">
        <is>
          <t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t>
        </is>
      </c>
      <c r="C4" t="inlineStr">
        <is>
          <t>2026-06-16</t>
        </is>
      </c>
      <c r="D4" t="inlineStr">
        <is>
          <t>Rent input is first-pass because rental source coverage is thinner than for larger cities.</t>
        </is>
      </c>
      <c r="E4" t="inlineStr">
        <is>
          <t>Official 2025-26 new-hire guide lists salary by experience and master's stipend. Housing uses a first-pass blend of Redfin sale price and Realtor.com rent/listing data.</t>
        </is>
      </c>
    </row>
    <row r="5">
      <c r="A5" t="inlineStr">
        <is>
          <t>Deer Park ISD</t>
        </is>
      </c>
      <c r="B5" t="inlineStr">
        <is>
          <t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t>
        </is>
      </c>
      <c r="C5" t="inlineStr">
        <is>
          <t>2026-06-16</t>
        </is>
      </c>
      <c r="D5" t="inlineStr">
        <is>
          <t>Salary progression is estimated from published range; verify exact schedule if available.</t>
        </is>
      </c>
      <c r="E5" t="inlineStr">
        <is>
          <t>Official DPISD compensation page provides 2025-26 instructional/professional range rather than a detailed new-hire step table; salary progression entered as first-pass estimate within published min/mid/max range.</t>
        </is>
      </c>
    </row>
    <row r="6">
      <c r="A6" t="inlineStr">
        <is>
          <t>Port Arthur ISD</t>
        </is>
      </c>
      <c r="B6" t="inlineStr">
        <is>
          <t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t>
        </is>
      </c>
      <c r="C6" t="inlineStr">
        <is>
          <t>2026-06-16</t>
        </is>
      </c>
      <c r="D6" t="inlineStr">
        <is>
          <t>Salary bands are first-pass from announcement; verify against official salary schedule.</t>
        </is>
      </c>
      <c r="E6" t="inlineStr">
        <is>
          <t>First-pass entry. Official PAISD page links a Google Drive salary schedule that was not machine-readable here; starting salary / increase bands and master's stipend were taken from the district's public announcement and should be verified against the actual schedule before final ranking.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10" defaultColWidth="8.83203125" defaultRowHeight="15"/>
  <cols>
    <col width="34" customWidth="1" style="104" min="1" max="1"/>
    <col width="48" customWidth="1" style="104" min="3" max="4"/>
    <col width="60" customWidth="1" style="104" min="5" max="6"/>
  </cols>
  <sheetData>
    <row r="1" ht="48" customHeight="1" s="104">
      <c r="A1" s="42" t="inlineStr">
        <is>
          <t>District</t>
        </is>
      </c>
      <c r="B1" s="42" t="inlineStr">
        <is>
          <t>Overall Value Score</t>
        </is>
      </c>
      <c r="C1" s="42" t="inlineStr">
        <is>
          <t>Data Confidence</t>
        </is>
      </c>
      <c r="D1" s="42" t="inlineStr">
        <is>
          <t>Salary Source / Notes</t>
        </is>
      </c>
      <c r="E1" s="42" t="inlineStr">
        <is>
          <t>Source URL</t>
        </is>
      </c>
      <c r="F1" s="42" t="inlineStr">
        <is>
          <t>Housing Source</t>
        </is>
      </c>
      <c r="G1" s="42" t="inlineStr">
        <is>
          <t>Added</t>
        </is>
      </c>
    </row>
    <row r="2">
      <c r="A2" t="inlineStr">
        <is>
          <t>Hobbs Municipal Schools</t>
        </is>
      </c>
      <c r="B2" t="n">
        <v>63.8852</v>
      </c>
      <c r="C2" t="inlineStr">
        <is>
          <t>First-pass addition. Salary values use official schedule where extractable; housing/demographic/school-count values need follow-up audit before final public ranking claims.</t>
        </is>
      </c>
      <c r="D2" t="inlineStr">
        <is>
          <t>Salary schedule uses Level 1 for BA and Level 2 for MA/progression proxy. Verify NM licensure-level mapping before final ranking.</t>
        </is>
      </c>
      <c r="E2" t="inlineStr">
        <is>
          <t>https://files-backend.assets.thrillshare.com/documents/asset/uploaded_file/5248/Hms/57461395-c423-4519-8705-b166b34bf5fc/25-26_Certified_Salary_Schedule.pdf?disposition=inline ; https://www.hobbsschools.net/documents/departments/human-resources/salary-schedules/16446179</t>
        </is>
      </c>
      <c r="F2" t="inlineStr">
        <is>
          <t>First-pass Zillow/Redfin/Apartments market lookup, 2026-06-17</t>
        </is>
      </c>
      <c r="G2" t="inlineStr">
        <is>
          <t>Prototype 343</t>
        </is>
      </c>
    </row>
    <row r="3">
      <c r="A3" t="inlineStr">
        <is>
          <t>Farmington Municipal Schools</t>
        </is>
      </c>
      <c r="B3" t="n">
        <v>57.3212</v>
      </c>
      <c r="C3" t="inlineStr">
        <is>
          <t>First-pass addition. Salary values use official schedule where extractable; housing/demographic/school-count values need follow-up audit before final public ranking claims.</t>
        </is>
      </c>
      <c r="D3" t="inlineStr">
        <is>
          <t>Official teacher schedule extracted. BA uses BA01; MA uses MA01. Sub pay/housing/demographics remain first-pass.</t>
        </is>
      </c>
      <c r="E3" t="inlineStr">
        <is>
          <t>https://files-backend.assets.thrillshare.com/documents/asset/uploaded_file/2605/Fms/20b7d19b-4e48-4c30-b917-734b8cb62d00/2025-26_Teacher.pdf?disposition=inline ; https://www.farmingtonschools.us/page/salary-schedules/</t>
        </is>
      </c>
      <c r="F3" t="inlineStr">
        <is>
          <t>First-pass Zillow/Redfin/Apartments market lookup, 2026-06-17</t>
        </is>
      </c>
      <c r="G3" t="inlineStr">
        <is>
          <t>Prototype 343</t>
        </is>
      </c>
    </row>
    <row r="4">
      <c r="A4" t="inlineStr">
        <is>
          <t>Carlsbad Municipal Schools</t>
        </is>
      </c>
      <c r="B4" t="n">
        <v>60.7759</v>
      </c>
      <c r="C4" t="inlineStr">
        <is>
          <t>First-pass addition. Salary values use official schedule where extractable; housing/demographic/school-count values need follow-up audit before final public ranking claims.</t>
        </is>
      </c>
      <c r="D4" t="inlineStr">
        <is>
          <t>Salary source located as district Google Sheet, but teacher tab did not extract cleanly in this pass; salary values are first-pass NM schedule estimates and must be audited.</t>
        </is>
      </c>
      <c r="E4" t="inlineStr">
        <is>
          <t>https://www.carlsbadschools.net/human-resources-home ; https://docs.google.com/spreadsheets/d/1c2DfLQSnot6LMPN4GUDIVlOWXcF9gnVc/edit?gid=878415856</t>
        </is>
      </c>
      <c r="F4" t="inlineStr">
        <is>
          <t>First-pass Zillow/Redfin/Apartments market lookup, 2026-06-17</t>
        </is>
      </c>
      <c r="G4" t="inlineStr">
        <is>
          <t>Prototype 343</t>
        </is>
      </c>
    </row>
    <row r="5">
      <c r="A5" t="inlineStr">
        <is>
          <t>Chaffey Joint Union High School District</t>
        </is>
      </c>
      <c r="B5" t="n">
        <v>59.17</v>
      </c>
      <c r="C5" t="inlineStr">
        <is>
          <t>First-pass addition. Salary values use official schedule where extractable; housing/demographic/school-count values need follow-up audit before final public ranking claims.</t>
        </is>
      </c>
      <c r="D5" t="inlineStr">
        <is>
          <t>Official salary schedule extracted. BA maps to Class A; MA maps to Class D. High Hispanic concentration triggers demographic-balance caution.</t>
        </is>
      </c>
      <c r="E5" t="inlineStr">
        <is>
          <t>https://cjuhsd.net/apps/pages/index.jsp?uREC_ID=1762902&amp;type=d&amp;pREC_ID=2190159 ; https://4.files.edl.io/e807/10/16/25/151627-85728596-b3ab-47e6-bfd8-3c0f28fb5dbe.pdf ; https://4.files.edl.io/9882/11/19/25/192915-57d90327-94c9-48a4-8b14-c745496d224e.pdf</t>
        </is>
      </c>
      <c r="F5" t="inlineStr">
        <is>
          <t>First-pass Zillow/Redfin/Apartments market lookup, 2026-06-17</t>
        </is>
      </c>
      <c r="G5" t="inlineStr">
        <is>
          <t>Prototype 343</t>
        </is>
      </c>
    </row>
    <row r="6">
      <c r="A6" t="inlineStr">
        <is>
          <t>Antelope Valley Union High School District</t>
        </is>
      </c>
      <c r="B6" t="n">
        <v>63.2613</v>
      </c>
      <c r="C6" t="inlineStr">
        <is>
          <t>First-pass addition. Salary values use official schedule where extractable; housing/demographic/school-count values need follow-up audit before final public ranking claims.</t>
        </is>
      </c>
      <c r="D6" t="inlineStr">
        <is>
          <t>Agreement confirms 2025-26 schedule exists and 3% increase over 2024-25; exact table did not extract cleanly. Sub pay source shows $230-$280; this entry uses $230.</t>
        </is>
      </c>
      <c r="E6" t="inlineStr">
        <is>
          <t>https://resources.finalsite.net/images/v1765573588/avdistrictorg/s3hwqugkj5t4nazjseac/2025-2028AVUHSDAVTAAgreement.pdf ; https://www.avteachers.com/salary-schedules ; https://www.edjoin.org/Home/JobPosting/2040446</t>
        </is>
      </c>
      <c r="F6" t="inlineStr">
        <is>
          <t>First-pass Zillow/Redfin/Apartments market lookup, 2026-06-17</t>
        </is>
      </c>
      <c r="G6" t="inlineStr">
        <is>
          <t>Prototype 343</t>
        </is>
      </c>
    </row>
    <row r="7">
      <c r="A7" t="inlineStr">
        <is>
          <t>Grossmont Union High School District</t>
        </is>
      </c>
      <c r="B7" t="n">
        <v>51.1944</v>
      </c>
      <c r="C7" t="inlineStr">
        <is>
          <t>First-pass addition. Salary values use official schedule where extractable; housing/demographic/school-count values need follow-up audit before final public ranking claims.</t>
        </is>
      </c>
      <c r="D7" t="inlineStr">
        <is>
          <t>Official 2025-26 salary-schedule page located, but table did not extract cleanly in this pass; salary and sub pay are first-pass estimates requiring audit.</t>
        </is>
      </c>
      <c r="E7" t="inlineStr">
        <is>
          <t>https://www.guhsd.net/Departments/Human-Resources/Certificated-Salary-Schedules/index.html</t>
        </is>
      </c>
      <c r="F7" t="inlineStr">
        <is>
          <t>First-pass Zillow/Redfin/Apartments market lookup, 2026-06-17</t>
        </is>
      </c>
      <c r="G7" t="inlineStr">
        <is>
          <t>Prototype 343</t>
        </is>
      </c>
    </row>
    <row r="8">
      <c r="A8" t="inlineStr">
        <is>
          <t>Clear Creek ISD</t>
        </is>
      </c>
      <c r="B8" t="n">
        <v>46.4592</v>
      </c>
      <c r="C8" t="inlineStr">
        <is>
          <t>First-pass addition. Salary values use official schedule where extractable; housing/demographic/school-count values need follow-up audit before final public ranking claims.</t>
        </is>
      </c>
      <c r="D8" t="inlineStr">
        <is>
          <t>Official salary schedule extracted. Bachelor and master values come from the published 2025-26 table. Sub pay is first-pass and needs district confirmation.</t>
        </is>
      </c>
      <c r="E8" t="inlineStr">
        <is>
          <t>https://www.ccisd.net/joinourteam/teach-in-ccisd ; https://resources.finalsite.net/images/v1691770822/ccisdnet/ij7a9xnseovkhvt0kvdp/2023-2024TeacherSalarySchedule.pdf</t>
        </is>
      </c>
      <c r="F8" t="inlineStr">
        <is>
          <t>First-pass Zillow/Redfin/Apartments market lookup, 2026-06-17</t>
        </is>
      </c>
      <c r="G8" t="inlineStr">
        <is>
          <t>Prototype 343</t>
        </is>
      </c>
    </row>
    <row r="9">
      <c r="A9" t="inlineStr">
        <is>
          <t>Pearland ISD</t>
        </is>
      </c>
      <c r="B9" t="n">
        <v>49.8858</v>
      </c>
      <c r="C9" t="inlineStr">
        <is>
          <t>First-pass addition. Salary values use official schedule where extractable; housing/demographic/school-count values need follow-up audit before final public ranking claims.</t>
        </is>
      </c>
      <c r="D9" t="inlineStr">
        <is>
          <t>Pearland publishes min/control/max rather than a traditional experience schedule; BA 5-year uses control point, MA adds $1,400 stipend. 10-year is a simplified placement estimate.</t>
        </is>
      </c>
      <c r="E9" t="inlineStr">
        <is>
          <t>https://www.pearlandisd.org/departments/hrs/salaries ; https://www.pearlandisd.org/fs/resource-manager/view/5344b3e9-803d-4698-98fc-0bbaebc9038b</t>
        </is>
      </c>
      <c r="F9" t="inlineStr">
        <is>
          <t>First-pass Zillow/Redfin/Apartments market lookup, 2026-06-17</t>
        </is>
      </c>
      <c r="G9" t="inlineStr">
        <is>
          <t>Prototype 343</t>
        </is>
      </c>
    </row>
    <row r="10">
      <c r="A10" t="inlineStr">
        <is>
          <t>Anoka-Hennepin Schools</t>
        </is>
      </c>
      <c r="B10" t="n">
        <v>67.7372</v>
      </c>
      <c r="C10" t="inlineStr">
        <is>
          <t>First-pass addition. Salary values use official schedule where extractable; housing/demographic/school-count values need follow-up audit before final public ranking claims.</t>
        </is>
      </c>
      <c r="D10" t="inlineStr">
        <is>
          <t>Official contract and sub-pay pages located; exact salary table did not extract cleanly. Starting BA/MA values use public job/schedule references; later steps are first-pass estimates.</t>
        </is>
      </c>
      <c r="E10" t="inlineStr">
        <is>
          <t>https://jobs.ahschools.us/benefits/contracts ; https://resources.finalsite.net/images/v1770663095/ahschoolsus/ahschoolsus/cpikphj1tyzwgkdqpc7l/Teacher-AHEM.pdf ; https://resources.finalsite.net/images/v1765560264/ahschoolsus/ahschoolsus/ahschoolsus/yxrkdfjvky6vhcawczvq/Activity.pdf</t>
        </is>
      </c>
      <c r="F10" t="inlineStr">
        <is>
          <t>First-pass Zillow/Redfin/Apartments market lookup, 2026-06-17</t>
        </is>
      </c>
      <c r="G10" t="inlineStr">
        <is>
          <t>Prototype 343</t>
        </is>
      </c>
    </row>
    <row r="11">
      <c r="A11" t="inlineStr">
        <is>
          <t>Osseo Area Schools / ISD 279</t>
        </is>
      </c>
      <c r="B11" t="n">
        <v>61.4663</v>
      </c>
      <c r="C11" t="inlineStr">
        <is>
          <t>First-pass addition. Salary values use official schedule where extractable; housing/demographic/school-count values need follow-up audit before final public ranking claims.</t>
        </is>
      </c>
      <c r="D11" t="inlineStr">
        <is>
          <t>Official salary schedule extracted. BA maps to Lane 1; MA maps to Lane 5. Years 0-2 use Step A because the agreement groups beginning years together.</t>
        </is>
      </c>
      <c r="E11" t="inlineStr">
        <is>
          <t>https://www.osseoschools.org/careers/life-279/workagreements ; https://resources.finalsite.net/images/v1777648251/district279org/yhlbsugypdbmkm9mlaa4/2025-2027TeachersFINAL1.pdf ; https://www.osseoschools.org/become-a-substitute</t>
        </is>
      </c>
      <c r="F11" t="inlineStr">
        <is>
          <t>First-pass Zillow/Redfin/Apartments market lookup, 2026-06-17</t>
        </is>
      </c>
      <c r="G11" t="inlineStr">
        <is>
          <t>Prototype 343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10" defaultColWidth="8.83203125" defaultRowHeight="15"/>
  <cols>
    <col width="38" customWidth="1" style="104" min="1" max="1"/>
    <col width="24" customWidth="1" style="104" min="2" max="2"/>
    <col width="18" customWidth="1" style="104" min="3" max="3"/>
    <col width="28" customWidth="1" style="104" min="4" max="4"/>
    <col width="55" customWidth="1" style="104" min="5" max="5"/>
  </cols>
  <sheetData>
    <row r="1" ht="32" customHeight="1" s="104">
      <c r="A1" s="49" t="inlineStr">
        <is>
          <t>District</t>
        </is>
      </c>
      <c r="B1" s="49" t="inlineStr">
        <is>
          <t>State Funding Context Score</t>
        </is>
      </c>
      <c r="C1" s="49" t="inlineStr">
        <is>
          <t>State Funding Rating</t>
        </is>
      </c>
      <c r="D1" s="49" t="inlineStr">
        <is>
          <t>State Current Spending Per Pupil</t>
        </is>
      </c>
      <c r="E1" s="49" t="inlineStr">
        <is>
          <t>Source URL</t>
        </is>
      </c>
    </row>
    <row r="2">
      <c r="A2" t="inlineStr">
        <is>
          <t>Alief ISD</t>
        </is>
      </c>
      <c r="B2" t="n">
        <v>40</v>
      </c>
      <c r="C2" t="inlineStr">
        <is>
          <t>Low</t>
        </is>
      </c>
      <c r="D2" t="n">
        <v>12895</v>
      </c>
      <c r="E2" t="inlineStr">
        <is>
          <t>https://www.census.gov/newsroom/press-releases/2026/school-system-finances.html</t>
        </is>
      </c>
    </row>
    <row r="3">
      <c r="A3" t="inlineStr">
        <is>
          <t>Arcadia Unified School District</t>
        </is>
      </c>
      <c r="B3" t="n">
        <v>85</v>
      </c>
      <c r="C3" t="inlineStr">
        <is>
          <t>Very Good</t>
        </is>
      </c>
      <c r="D3" t="n">
        <v>20791</v>
      </c>
      <c r="E3" t="inlineStr">
        <is>
          <t>https://www.census.gov/newsroom/press-releases/2026/school-system-finances.html</t>
        </is>
      </c>
    </row>
    <row r="4">
      <c r="A4" t="inlineStr">
        <is>
          <t>Austin ISD</t>
        </is>
      </c>
      <c r="B4" t="n">
        <v>40</v>
      </c>
      <c r="C4" t="inlineStr">
        <is>
          <t>Low</t>
        </is>
      </c>
      <c r="D4" t="n">
        <v>12895</v>
      </c>
      <c r="E4" t="inlineStr">
        <is>
          <t>https://www.census.gov/newsroom/press-releases/2026/school-system-finances.html</t>
        </is>
      </c>
    </row>
    <row r="5">
      <c r="A5" t="inlineStr">
        <is>
          <t>Barbers Hill ISD</t>
        </is>
      </c>
      <c r="B5" t="n">
        <v>40</v>
      </c>
      <c r="C5" t="inlineStr">
        <is>
          <t>Low</t>
        </is>
      </c>
      <c r="D5" t="n">
        <v>12895</v>
      </c>
      <c r="E5" t="inlineStr">
        <is>
          <t>https://www.census.gov/newsroom/press-releases/2026/school-system-finances.html</t>
        </is>
      </c>
    </row>
    <row r="6">
      <c r="A6" t="inlineStr">
        <is>
          <t>Canyons School District</t>
        </is>
      </c>
      <c r="B6" t="n">
        <v>40</v>
      </c>
      <c r="C6" t="inlineStr">
        <is>
          <t>Low</t>
        </is>
      </c>
      <c r="D6" t="n">
        <v>11347</v>
      </c>
      <c r="E6" t="inlineStr">
        <is>
          <t>https://www.census.gov/newsroom/press-releases/2026/school-system-finances.html</t>
        </is>
      </c>
    </row>
    <row r="7">
      <c r="A7" t="inlineStr">
        <is>
          <t>Chandler Unified School District</t>
        </is>
      </c>
      <c r="B7" t="n">
        <v>40</v>
      </c>
      <c r="C7" t="inlineStr">
        <is>
          <t>Low</t>
        </is>
      </c>
      <c r="D7" t="n">
        <v>12003</v>
      </c>
      <c r="E7" t="inlineStr">
        <is>
          <t>https://www.census.gov/newsroom/press-releases/2026/school-system-finances.html</t>
        </is>
      </c>
    </row>
    <row r="8">
      <c r="A8" t="inlineStr">
        <is>
          <t>Chapel Hill-Carrboro City Schools</t>
        </is>
      </c>
      <c r="B8" t="n">
        <v>40</v>
      </c>
      <c r="C8" t="inlineStr">
        <is>
          <t>Low</t>
        </is>
      </c>
      <c r="D8" t="n">
        <v>12995</v>
      </c>
      <c r="E8" t="inlineStr">
        <is>
          <t>https://www.census.gov/newsroom/press-releases/2026/school-system-finances.html</t>
        </is>
      </c>
    </row>
    <row r="9">
      <c r="A9" t="inlineStr">
        <is>
          <t>Cherry Creek School District</t>
        </is>
      </c>
      <c r="B9" t="n">
        <v>70</v>
      </c>
      <c r="C9" t="inlineStr">
        <is>
          <t>Good</t>
        </is>
      </c>
      <c r="D9" t="n">
        <v>15908</v>
      </c>
      <c r="E9" t="inlineStr">
        <is>
          <t>https://www.census.gov/newsroom/press-releases/2026/school-system-finances.html</t>
        </is>
      </c>
    </row>
    <row r="10">
      <c r="A10" t="inlineStr">
        <is>
          <t>Chicago Public Schools</t>
        </is>
      </c>
      <c r="B10" t="n">
        <v>85</v>
      </c>
      <c r="C10" t="inlineStr">
        <is>
          <t>Very Good</t>
        </is>
      </c>
      <c r="D10" t="n">
        <v>21776</v>
      </c>
      <c r="E10" t="inlineStr">
        <is>
          <t>https://www.census.gov/newsroom/press-releases/2026/school-system-finances.html</t>
        </is>
      </c>
    </row>
    <row r="11">
      <c r="A11" t="inlineStr">
        <is>
          <t>Cobb County School District</t>
        </is>
      </c>
      <c r="B11" t="n">
        <v>70</v>
      </c>
      <c r="C11" t="inlineStr">
        <is>
          <t>Good</t>
        </is>
      </c>
      <c r="D11" t="n">
        <v>15833</v>
      </c>
      <c r="E11" t="inlineStr">
        <is>
          <t>https://www.census.gov/newsroom/press-releases/2026/school-system-finances.html</t>
        </is>
      </c>
    </row>
    <row r="12">
      <c r="A12" t="inlineStr">
        <is>
          <t>Denver Public Schools</t>
        </is>
      </c>
      <c r="B12" t="n">
        <v>70</v>
      </c>
      <c r="C12" t="inlineStr">
        <is>
          <t>Good</t>
        </is>
      </c>
      <c r="D12" t="n">
        <v>15908</v>
      </c>
      <c r="E12" t="inlineStr">
        <is>
          <t>https://www.census.gov/newsroom/press-releases/2026/school-system-finances.html</t>
        </is>
      </c>
    </row>
    <row r="13">
      <c r="A13" t="inlineStr">
        <is>
          <t>Eanes ISD</t>
        </is>
      </c>
      <c r="B13" t="n">
        <v>40</v>
      </c>
      <c r="C13" t="inlineStr">
        <is>
          <t>Low</t>
        </is>
      </c>
      <c r="D13" t="n">
        <v>12895</v>
      </c>
      <c r="E13" t="inlineStr">
        <is>
          <t>https://www.census.gov/newsroom/press-releases/2026/school-system-finances.html</t>
        </is>
      </c>
    </row>
    <row r="14">
      <c r="A14" t="inlineStr">
        <is>
          <t>Flagstaff Unified School District</t>
        </is>
      </c>
      <c r="B14" t="n">
        <v>40</v>
      </c>
      <c r="C14" t="inlineStr">
        <is>
          <t>Low</t>
        </is>
      </c>
      <c r="D14" t="n">
        <v>12003</v>
      </c>
      <c r="E14" t="inlineStr">
        <is>
          <t>https://www.census.gov/newsroom/press-releases/2026/school-system-finances.html</t>
        </is>
      </c>
    </row>
    <row r="15">
      <c r="A15" t="inlineStr">
        <is>
          <t>Glendale Union High School District</t>
        </is>
      </c>
      <c r="B15" t="n">
        <v>40</v>
      </c>
      <c r="C15" t="inlineStr">
        <is>
          <t>Low</t>
        </is>
      </c>
      <c r="D15" t="n">
        <v>12003</v>
      </c>
      <c r="E15" t="inlineStr">
        <is>
          <t>https://www.census.gov/newsroom/press-releases/2026/school-system-finances.html</t>
        </is>
      </c>
    </row>
    <row r="16">
      <c r="A16" t="inlineStr">
        <is>
          <t>Glendora Unified School District</t>
        </is>
      </c>
      <c r="B16" t="n">
        <v>85</v>
      </c>
      <c r="C16" t="inlineStr">
        <is>
          <t>Very Good</t>
        </is>
      </c>
      <c r="D16" t="n">
        <v>20791</v>
      </c>
      <c r="E16" t="inlineStr">
        <is>
          <t>https://www.census.gov/newsroom/press-releases/2026/school-system-finances.html</t>
        </is>
      </c>
    </row>
    <row r="17">
      <c r="A17" t="inlineStr">
        <is>
          <t>Gwinnett County Public Schools</t>
        </is>
      </c>
      <c r="B17" t="n">
        <v>70</v>
      </c>
      <c r="C17" t="inlineStr">
        <is>
          <t>Good</t>
        </is>
      </c>
      <c r="D17" t="n">
        <v>15833</v>
      </c>
      <c r="E17" t="inlineStr">
        <is>
          <t>https://www.census.gov/newsroom/press-releases/2026/school-system-finances.html</t>
        </is>
      </c>
    </row>
    <row r="18">
      <c r="A18" t="inlineStr">
        <is>
          <t>Jordan District</t>
        </is>
      </c>
      <c r="B18" t="n">
        <v>40</v>
      </c>
      <c r="C18" t="inlineStr">
        <is>
          <t>Low</t>
        </is>
      </c>
      <c r="D18" t="n">
        <v>11347</v>
      </c>
      <c r="E18" t="inlineStr">
        <is>
          <t>https://www.census.gov/newsroom/press-releases/2026/school-system-finances.html</t>
        </is>
      </c>
    </row>
    <row r="19">
      <c r="A19" t="inlineStr">
        <is>
          <t>Katy ISD</t>
        </is>
      </c>
      <c r="B19" t="n">
        <v>40</v>
      </c>
      <c r="C19" t="inlineStr">
        <is>
          <t>Low</t>
        </is>
      </c>
      <c r="D19" t="n">
        <v>12895</v>
      </c>
      <c r="E19" t="inlineStr">
        <is>
          <t>https://www.census.gov/newsroom/press-releases/2026/school-system-finances.html</t>
        </is>
      </c>
    </row>
    <row r="20">
      <c r="A20" t="inlineStr">
        <is>
          <t>La Cañada Unified School District</t>
        </is>
      </c>
      <c r="B20" t="n">
        <v>85</v>
      </c>
      <c r="C20" t="inlineStr">
        <is>
          <t>Very Good</t>
        </is>
      </c>
      <c r="D20" t="n">
        <v>20791</v>
      </c>
      <c r="E20" t="inlineStr">
        <is>
          <t>https://www.census.gov/newsroom/press-releases/2026/school-system-finances.html</t>
        </is>
      </c>
    </row>
    <row r="21">
      <c r="A21" t="inlineStr">
        <is>
          <t>Lake Washington School District</t>
        </is>
      </c>
      <c r="B21" t="n">
        <v>85</v>
      </c>
      <c r="C21" t="inlineStr">
        <is>
          <t>Very Good</t>
        </is>
      </c>
      <c r="D21" t="n">
        <v>18564</v>
      </c>
      <c r="E21" t="inlineStr">
        <is>
          <t>https://www.census.gov/newsroom/press-releases/2026/school-system-finances.html</t>
        </is>
      </c>
    </row>
    <row r="22">
      <c r="A22" t="inlineStr">
        <is>
          <t>Leander ISD</t>
        </is>
      </c>
      <c r="B22" t="n">
        <v>40</v>
      </c>
      <c r="C22" t="inlineStr">
        <is>
          <t>Low</t>
        </is>
      </c>
      <c r="D22" t="n">
        <v>12895</v>
      </c>
      <c r="E22" t="inlineStr">
        <is>
          <t>https://www.census.gov/newsroom/press-releases/2026/school-system-finances.html</t>
        </is>
      </c>
    </row>
    <row r="23">
      <c r="A23" t="inlineStr">
        <is>
          <t>Los Angeles Unified</t>
        </is>
      </c>
      <c r="B23" t="n">
        <v>85</v>
      </c>
      <c r="C23" t="inlineStr">
        <is>
          <t>Very Good</t>
        </is>
      </c>
      <c r="D23" t="n">
        <v>20791</v>
      </c>
      <c r="E23" t="inlineStr">
        <is>
          <t>https://www.census.gov/newsroom/press-releases/2026/school-system-finances.html</t>
        </is>
      </c>
    </row>
    <row r="24">
      <c r="A24" t="inlineStr">
        <is>
          <t>Loudoun County Public Schools</t>
        </is>
      </c>
      <c r="B24" t="n">
        <v>70</v>
      </c>
      <c r="C24" t="inlineStr">
        <is>
          <t>Good</t>
        </is>
      </c>
      <c r="D24" t="n">
        <v>17104</v>
      </c>
      <c r="E24" t="inlineStr">
        <is>
          <t>https://www.census.gov/newsroom/press-releases/2026/school-system-finances.html</t>
        </is>
      </c>
    </row>
    <row r="25">
      <c r="A25" t="inlineStr">
        <is>
          <t>Madison Metropolitan School District</t>
        </is>
      </c>
      <c r="B25" t="n">
        <v>70</v>
      </c>
      <c r="C25" t="inlineStr">
        <is>
          <t>Good</t>
        </is>
      </c>
      <c r="D25" t="n">
        <v>15952</v>
      </c>
      <c r="E25" t="inlineStr">
        <is>
          <t>https://www.census.gov/newsroom/press-releases/2026/school-system-finances.html</t>
        </is>
      </c>
    </row>
    <row r="26">
      <c r="A26" t="inlineStr">
        <is>
          <t>Metro Nashville Public Schools</t>
        </is>
      </c>
      <c r="B26" t="n">
        <v>40</v>
      </c>
      <c r="C26" t="inlineStr">
        <is>
          <t>Low</t>
        </is>
      </c>
      <c r="D26" t="n">
        <v>12882</v>
      </c>
      <c r="E26" t="inlineStr">
        <is>
          <t>https://www.census.gov/newsroom/press-releases/2026/school-system-finances.html</t>
        </is>
      </c>
    </row>
    <row r="27">
      <c r="A27" t="inlineStr">
        <is>
          <t>Nassau County School District</t>
        </is>
      </c>
      <c r="B27" t="n">
        <v>40</v>
      </c>
      <c r="C27" t="inlineStr">
        <is>
          <t>Low</t>
        </is>
      </c>
      <c r="D27" t="n">
        <v>12693</v>
      </c>
      <c r="E27" t="inlineStr">
        <is>
          <t>https://www.census.gov/newsroom/press-releases/2026/school-system-finances.html</t>
        </is>
      </c>
    </row>
    <row r="28">
      <c r="A28" t="inlineStr">
        <is>
          <t>North Clackamas School District</t>
        </is>
      </c>
      <c r="B28" t="n">
        <v>85</v>
      </c>
      <c r="C28" t="inlineStr">
        <is>
          <t>Very Good</t>
        </is>
      </c>
      <c r="D28" t="n">
        <v>18083</v>
      </c>
      <c r="E28" t="inlineStr">
        <is>
          <t>https://www.census.gov/newsroom/press-releases/2026/school-system-finances.html</t>
        </is>
      </c>
    </row>
    <row r="29">
      <c r="A29" t="inlineStr">
        <is>
          <t>Oakland Unified School District</t>
        </is>
      </c>
      <c r="B29" t="n">
        <v>85</v>
      </c>
      <c r="C29" t="inlineStr">
        <is>
          <t>Very Good</t>
        </is>
      </c>
      <c r="D29" t="n">
        <v>20791</v>
      </c>
      <c r="E29" t="inlineStr">
        <is>
          <t>https://www.census.gov/newsroom/press-releases/2026/school-system-finances.html</t>
        </is>
      </c>
    </row>
    <row r="30">
      <c r="A30" t="inlineStr">
        <is>
          <t>Ocean Springs School District</t>
        </is>
      </c>
      <c r="B30" t="n">
        <v>40</v>
      </c>
      <c r="C30" t="inlineStr">
        <is>
          <t>Low</t>
        </is>
      </c>
      <c r="D30" t="n">
        <v>12324</v>
      </c>
      <c r="E30" t="inlineStr">
        <is>
          <t>https://www.census.gov/newsroom/press-releases/2026/school-system-finances.html</t>
        </is>
      </c>
    </row>
    <row r="31">
      <c r="A31" t="inlineStr">
        <is>
          <t>Oxnard Union High School District</t>
        </is>
      </c>
      <c r="B31" t="n">
        <v>85</v>
      </c>
      <c r="C31" t="inlineStr">
        <is>
          <t>Very Good</t>
        </is>
      </c>
      <c r="D31" t="n">
        <v>20791</v>
      </c>
      <c r="E31" t="inlineStr">
        <is>
          <t>https://www.census.gov/newsroom/press-releases/2026/school-system-finances.html</t>
        </is>
      </c>
    </row>
    <row r="32">
      <c r="A32" t="inlineStr">
        <is>
          <t>Portland Public Schools</t>
        </is>
      </c>
      <c r="B32" t="n">
        <v>85</v>
      </c>
      <c r="C32" t="inlineStr">
        <is>
          <t>Very Good</t>
        </is>
      </c>
      <c r="D32" t="n">
        <v>18083</v>
      </c>
      <c r="E32" t="inlineStr">
        <is>
          <t>https://www.census.gov/newsroom/press-releases/2026/school-system-finances.html</t>
        </is>
      </c>
    </row>
    <row r="33">
      <c r="A33" t="inlineStr">
        <is>
          <t>Provo City School District</t>
        </is>
      </c>
      <c r="B33" t="n">
        <v>40</v>
      </c>
      <c r="C33" t="inlineStr">
        <is>
          <t>Low</t>
        </is>
      </c>
      <c r="D33" t="n">
        <v>11347</v>
      </c>
      <c r="E33" t="inlineStr">
        <is>
          <t>https://www.census.gov/newsroom/press-releases/2026/school-system-finances.html</t>
        </is>
      </c>
    </row>
    <row r="34">
      <c r="A34" t="inlineStr">
        <is>
          <t>Royal ISD</t>
        </is>
      </c>
      <c r="B34" t="n">
        <v>40</v>
      </c>
      <c r="C34" t="inlineStr">
        <is>
          <t>Low</t>
        </is>
      </c>
      <c r="D34" t="n">
        <v>12895</v>
      </c>
      <c r="E34" t="inlineStr">
        <is>
          <t>https://www.census.gov/newsroom/press-releases/2026/school-system-finances.html</t>
        </is>
      </c>
    </row>
    <row r="35">
      <c r="A35" t="inlineStr">
        <is>
          <t>Saint Helena Unified School District</t>
        </is>
      </c>
      <c r="B35" t="n">
        <v>85</v>
      </c>
      <c r="C35" t="inlineStr">
        <is>
          <t>Very Good</t>
        </is>
      </c>
      <c r="D35" t="n">
        <v>20791</v>
      </c>
      <c r="E35" t="inlineStr">
        <is>
          <t>https://www.census.gov/newsroom/press-releases/2026/school-system-finances.html</t>
        </is>
      </c>
    </row>
    <row r="36">
      <c r="A36" t="inlineStr">
        <is>
          <t>Salt Lake School District</t>
        </is>
      </c>
      <c r="B36" t="n">
        <v>40</v>
      </c>
      <c r="C36" t="inlineStr">
        <is>
          <t>Low</t>
        </is>
      </c>
      <c r="D36" t="n">
        <v>11347</v>
      </c>
      <c r="E36" t="inlineStr">
        <is>
          <t>https://www.census.gov/newsroom/press-releases/2026/school-system-finances.html</t>
        </is>
      </c>
    </row>
    <row r="37">
      <c r="A37" t="inlineStr">
        <is>
          <t>San Antonio ISD</t>
        </is>
      </c>
      <c r="B37" t="n">
        <v>40</v>
      </c>
      <c r="C37" t="inlineStr">
        <is>
          <t>Low</t>
        </is>
      </c>
      <c r="D37" t="n">
        <v>12895</v>
      </c>
      <c r="E37" t="inlineStr">
        <is>
          <t>https://www.census.gov/newsroom/press-releases/2026/school-system-finances.html</t>
        </is>
      </c>
    </row>
    <row r="38">
      <c r="A38" t="inlineStr">
        <is>
          <t>San Diego Unified School District</t>
        </is>
      </c>
      <c r="B38" t="n">
        <v>85</v>
      </c>
      <c r="C38" t="inlineStr">
        <is>
          <t>Very Good</t>
        </is>
      </c>
      <c r="D38" t="n">
        <v>20791</v>
      </c>
      <c r="E38" t="inlineStr">
        <is>
          <t>https://www.census.gov/newsroom/press-releases/2026/school-system-finances.html</t>
        </is>
      </c>
    </row>
    <row r="39">
      <c r="A39" t="inlineStr">
        <is>
          <t>San Jose Unified School District</t>
        </is>
      </c>
      <c r="B39" t="n">
        <v>85</v>
      </c>
      <c r="C39" t="inlineStr">
        <is>
          <t>Very Good</t>
        </is>
      </c>
      <c r="D39" t="n">
        <v>20791</v>
      </c>
      <c r="E39" t="inlineStr">
        <is>
          <t>https://www.census.gov/newsroom/press-releases/2026/school-system-finances.html</t>
        </is>
      </c>
    </row>
    <row r="40">
      <c r="A40" t="inlineStr">
        <is>
          <t>Scarsdale Union Free School District</t>
        </is>
      </c>
      <c r="B40" t="n">
        <v>100</v>
      </c>
      <c r="C40" t="inlineStr">
        <is>
          <t>Excellent</t>
        </is>
      </c>
      <c r="D40" t="n">
        <v>31918</v>
      </c>
      <c r="E40" t="inlineStr">
        <is>
          <t>https://www.census.gov/newsroom/press-releases/2026/school-system-finances.html</t>
        </is>
      </c>
    </row>
    <row r="41">
      <c r="A41" t="inlineStr">
        <is>
          <t>South Pasadena Unified School District</t>
        </is>
      </c>
      <c r="B41" t="n">
        <v>85</v>
      </c>
      <c r="C41" t="inlineStr">
        <is>
          <t>Very Good</t>
        </is>
      </c>
      <c r="D41" t="n">
        <v>20791</v>
      </c>
      <c r="E41" t="inlineStr">
        <is>
          <t>https://www.census.gov/newsroom/press-releases/2026/school-system-finances.html</t>
        </is>
      </c>
    </row>
    <row r="42">
      <c r="A42" t="inlineStr">
        <is>
          <t>Syosset Central School District</t>
        </is>
      </c>
      <c r="B42" t="n">
        <v>100</v>
      </c>
      <c r="C42" t="inlineStr">
        <is>
          <t>Excellent</t>
        </is>
      </c>
      <c r="D42" t="n">
        <v>31918</v>
      </c>
      <c r="E42" t="inlineStr">
        <is>
          <t>https://www.census.gov/newsroom/press-releases/2026/school-system-finances.html</t>
        </is>
      </c>
    </row>
    <row r="43">
      <c r="A43" t="inlineStr">
        <is>
          <t>West Des Moines Community Schools</t>
        </is>
      </c>
      <c r="B43" t="n">
        <v>55</v>
      </c>
      <c r="C43" t="inlineStr">
        <is>
          <t>Fair</t>
        </is>
      </c>
      <c r="D43" t="n">
        <v>14369</v>
      </c>
      <c r="E43" t="inlineStr">
        <is>
          <t>https://www.census.gov/newsroom/press-releases/2026/school-system-finances.html</t>
        </is>
      </c>
    </row>
    <row r="44">
      <c r="A44" t="inlineStr">
        <is>
          <t>Middleton-Cross Plains Area School District</t>
        </is>
      </c>
      <c r="B44" t="n">
        <v>70</v>
      </c>
      <c r="C44" t="inlineStr">
        <is>
          <t>Good</t>
        </is>
      </c>
      <c r="D44" t="n">
        <v>15952</v>
      </c>
      <c r="E44" t="inlineStr">
        <is>
          <t>https://www.census.gov/newsroom/press-releases/2026/school-system-finances.html</t>
        </is>
      </c>
    </row>
    <row r="45">
      <c r="A45" t="inlineStr">
        <is>
          <t>Sun Prairie Area School District</t>
        </is>
      </c>
      <c r="B45" t="n">
        <v>70</v>
      </c>
      <c r="C45" t="inlineStr">
        <is>
          <t>Good</t>
        </is>
      </c>
      <c r="D45" t="n">
        <v>15952</v>
      </c>
      <c r="E45" t="inlineStr">
        <is>
          <t>https://www.census.gov/newsroom/press-releases/2026/school-system-finances.html</t>
        </is>
      </c>
    </row>
    <row r="46">
      <c r="A46" t="inlineStr">
        <is>
          <t>Waunakee Community School District</t>
        </is>
      </c>
      <c r="B46" t="n">
        <v>70</v>
      </c>
      <c r="C46" t="inlineStr">
        <is>
          <t>Good</t>
        </is>
      </c>
      <c r="D46" t="n">
        <v>15952</v>
      </c>
      <c r="E46" t="inlineStr">
        <is>
          <t>https://www.census.gov/newsroom/press-releases/2026/school-system-finances.html</t>
        </is>
      </c>
    </row>
    <row r="47">
      <c r="A47" t="inlineStr">
        <is>
          <t>Verona Area School District</t>
        </is>
      </c>
      <c r="B47" t="n">
        <v>70</v>
      </c>
      <c r="C47" t="inlineStr">
        <is>
          <t>Good</t>
        </is>
      </c>
      <c r="D47" t="n">
        <v>15952</v>
      </c>
      <c r="E47" t="inlineStr">
        <is>
          <t>https://www.census.gov/newsroom/press-releases/2026/school-system-finances.html</t>
        </is>
      </c>
    </row>
    <row r="48">
      <c r="A48" t="inlineStr">
        <is>
          <t>Beaverton School District</t>
        </is>
      </c>
      <c r="B48" t="n">
        <v>85</v>
      </c>
      <c r="C48" t="inlineStr">
        <is>
          <t>Very Good</t>
        </is>
      </c>
      <c r="D48" t="n">
        <v>18083</v>
      </c>
      <c r="E48" t="inlineStr">
        <is>
          <t>https://www.census.gov/newsroom/press-releases/2026/school-system-finances.html</t>
        </is>
      </c>
    </row>
    <row r="49">
      <c r="A49" t="inlineStr">
        <is>
          <t>Indian Prairie School District 204</t>
        </is>
      </c>
      <c r="B49" t="n">
        <v>85</v>
      </c>
      <c r="C49" t="inlineStr">
        <is>
          <t>Very Good</t>
        </is>
      </c>
      <c r="D49" t="n">
        <v>21776</v>
      </c>
      <c r="E49" t="inlineStr">
        <is>
          <t>https://www.census.gov/newsroom/press-releases/2026/school-system-finances.html</t>
        </is>
      </c>
    </row>
    <row r="50">
      <c r="A50" t="inlineStr">
        <is>
          <t>Glenbrook High School District 225</t>
        </is>
      </c>
      <c r="B50" t="n">
        <v>85</v>
      </c>
      <c r="C50" t="inlineStr">
        <is>
          <t>Very Good</t>
        </is>
      </c>
      <c r="D50" t="n">
        <v>21776</v>
      </c>
      <c r="E50" t="inlineStr">
        <is>
          <t>https://www.census.gov/newsroom/press-releases/2026/school-system-finances.html</t>
        </is>
      </c>
    </row>
    <row r="51">
      <c r="A51" t="inlineStr">
        <is>
          <t>Mounds View Public Schools</t>
        </is>
      </c>
      <c r="B51" t="n">
        <v>70</v>
      </c>
      <c r="C51" t="inlineStr">
        <is>
          <t>Good</t>
        </is>
      </c>
      <c r="D51" t="n">
        <v>17098</v>
      </c>
      <c r="E51" t="inlineStr">
        <is>
          <t>https://www.census.gov/newsroom/press-releases/2026/school-system-finances.html</t>
        </is>
      </c>
    </row>
    <row r="52">
      <c r="A52" t="inlineStr">
        <is>
          <t>Eden Prairie Schools</t>
        </is>
      </c>
      <c r="B52" t="n">
        <v>70</v>
      </c>
      <c r="C52" t="inlineStr">
        <is>
          <t>Good</t>
        </is>
      </c>
      <c r="D52" t="n">
        <v>17098</v>
      </c>
      <c r="E52" t="inlineStr">
        <is>
          <t>https://www.census.gov/newsroom/press-releases/2026/school-system-finances.html</t>
        </is>
      </c>
    </row>
    <row r="53">
      <c r="A53" t="inlineStr">
        <is>
          <t>Naperville CUSD 203</t>
        </is>
      </c>
      <c r="B53" t="n">
        <v>85</v>
      </c>
      <c r="C53" t="inlineStr">
        <is>
          <t>Very Good</t>
        </is>
      </c>
      <c r="D53" t="n">
        <v>21776</v>
      </c>
      <c r="E53" t="inlineStr">
        <is>
          <t>https://www.census.gov/newsroom/press-releases/2026/school-system-finances.html</t>
        </is>
      </c>
    </row>
    <row r="54">
      <c r="A54" t="inlineStr">
        <is>
          <t>Minnetonka Public Schools</t>
        </is>
      </c>
      <c r="B54" t="n">
        <v>70</v>
      </c>
      <c r="C54" t="inlineStr">
        <is>
          <t>Good</t>
        </is>
      </c>
      <c r="D54" t="n">
        <v>17098</v>
      </c>
      <c r="E54" t="inlineStr">
        <is>
          <t>https://www.census.gov/newsroom/press-releases/2026/school-system-finances.html</t>
        </is>
      </c>
    </row>
    <row r="55">
      <c r="A55" t="inlineStr">
        <is>
          <t>Wayzata Public Schools</t>
        </is>
      </c>
      <c r="B55" t="n">
        <v>70</v>
      </c>
      <c r="C55" t="inlineStr">
        <is>
          <t>Good</t>
        </is>
      </c>
      <c r="D55" t="n">
        <v>17098</v>
      </c>
      <c r="E55" t="inlineStr">
        <is>
          <t>https://www.census.gov/newsroom/press-releases/2026/school-system-finances.html</t>
        </is>
      </c>
    </row>
    <row r="56">
      <c r="A56" t="inlineStr">
        <is>
          <t>Rosemount-Apple Valley-Eagan ISD 196</t>
        </is>
      </c>
      <c r="B56" t="n">
        <v>70</v>
      </c>
      <c r="C56" t="inlineStr">
        <is>
          <t>Good</t>
        </is>
      </c>
      <c r="D56" t="n">
        <v>17098</v>
      </c>
      <c r="E56" t="inlineStr">
        <is>
          <t>https://www.census.gov/newsroom/press-releases/2026/school-system-finances.html</t>
        </is>
      </c>
    </row>
    <row r="57">
      <c r="A57" t="inlineStr">
        <is>
          <t>Edina Public Schools</t>
        </is>
      </c>
      <c r="B57" t="n">
        <v>70</v>
      </c>
      <c r="C57" t="inlineStr">
        <is>
          <t>Good</t>
        </is>
      </c>
      <c r="D57" t="n">
        <v>17098</v>
      </c>
      <c r="E57" t="inlineStr">
        <is>
          <t>https://www.census.gov/newsroom/press-releases/2026/school-system-finances.html</t>
        </is>
      </c>
    </row>
    <row r="58">
      <c r="A58" t="inlineStr">
        <is>
          <t>New Trier Township High School District 203</t>
        </is>
      </c>
      <c r="B58" t="n">
        <v>85</v>
      </c>
      <c r="C58" t="inlineStr">
        <is>
          <t>Very Good</t>
        </is>
      </c>
      <c r="D58" t="n">
        <v>21776</v>
      </c>
      <c r="E58" t="inlineStr">
        <is>
          <t>https://www.census.gov/newsroom/press-releases/2026/school-system-finances.html</t>
        </is>
      </c>
    </row>
    <row r="59">
      <c r="A59" t="inlineStr">
        <is>
          <t>Tahoe-Truckee Unified School District</t>
        </is>
      </c>
      <c r="B59" t="n">
        <v>85</v>
      </c>
      <c r="C59" t="inlineStr">
        <is>
          <t>Very Good</t>
        </is>
      </c>
      <c r="D59" t="n">
        <v>20791</v>
      </c>
      <c r="E59" t="inlineStr">
        <is>
          <t>https://www.census.gov/newsroom/press-releases/2026/school-system-finances.html</t>
        </is>
      </c>
    </row>
    <row r="60">
      <c r="A60" t="inlineStr">
        <is>
          <t>Channelview ISD</t>
        </is>
      </c>
      <c r="B60" t="n">
        <v>40</v>
      </c>
      <c r="C60" t="inlineStr">
        <is>
          <t>Low</t>
        </is>
      </c>
      <c r="D60" t="n">
        <v>12895</v>
      </c>
      <c r="E60" t="inlineStr">
        <is>
          <t>https://www.census.gov/newsroom/press-releases/2026/school-system-finances.html</t>
        </is>
      </c>
    </row>
    <row r="61">
      <c r="A61" t="inlineStr">
        <is>
          <t>Plano ISD</t>
        </is>
      </c>
      <c r="B61" t="n">
        <v>40</v>
      </c>
      <c r="C61" t="inlineStr">
        <is>
          <t>Low</t>
        </is>
      </c>
      <c r="D61" t="n">
        <v>12895</v>
      </c>
      <c r="E61" t="inlineStr">
        <is>
          <t>https://www.census.gov/newsroom/press-releases/2026/school-system-finances.html</t>
        </is>
      </c>
    </row>
    <row r="62">
      <c r="A62" t="inlineStr">
        <is>
          <t>Galena Park ISD</t>
        </is>
      </c>
      <c r="B62" t="n">
        <v>40</v>
      </c>
      <c r="C62" t="inlineStr">
        <is>
          <t>Low</t>
        </is>
      </c>
      <c r="D62" t="n">
        <v>12895</v>
      </c>
      <c r="E62" t="inlineStr">
        <is>
          <t>https://www.census.gov/newsroom/press-releases/2026/school-system-finances.html</t>
        </is>
      </c>
    </row>
    <row r="63">
      <c r="A63" t="inlineStr">
        <is>
          <t>Deer Park ISD</t>
        </is>
      </c>
      <c r="B63" t="n">
        <v>40</v>
      </c>
      <c r="C63" t="inlineStr">
        <is>
          <t>Low</t>
        </is>
      </c>
      <c r="D63" t="n">
        <v>12895</v>
      </c>
      <c r="E63" t="inlineStr">
        <is>
          <t>https://www.census.gov/newsroom/press-releases/2026/school-system-finances.html</t>
        </is>
      </c>
    </row>
    <row r="64">
      <c r="A64" t="inlineStr">
        <is>
          <t>Port Arthur ISD</t>
        </is>
      </c>
      <c r="B64" t="n">
        <v>40</v>
      </c>
      <c r="C64" t="inlineStr">
        <is>
          <t>Low</t>
        </is>
      </c>
      <c r="D64" t="n">
        <v>12895</v>
      </c>
      <c r="E64" t="inlineStr">
        <is>
          <t>https://www.census.gov/newsroom/press-releases/2026/school-system-finances.html</t>
        </is>
      </c>
    </row>
    <row r="65">
      <c r="A65" t="inlineStr">
        <is>
          <t>Dublin City Schools</t>
        </is>
      </c>
      <c r="B65" t="n">
        <v>70</v>
      </c>
      <c r="C65" t="inlineStr">
        <is>
          <t>Good</t>
        </is>
      </c>
      <c r="D65" t="n">
        <v>17257</v>
      </c>
      <c r="E65" t="inlineStr">
        <is>
          <t>https://www.census.gov/newsroom/press-releases/2026/school-system-finances.html</t>
        </is>
      </c>
    </row>
    <row r="66">
      <c r="A66" t="inlineStr">
        <is>
          <t>Mariemont City Schools</t>
        </is>
      </c>
      <c r="B66" t="n">
        <v>70</v>
      </c>
      <c r="C66" t="inlineStr">
        <is>
          <t>Good</t>
        </is>
      </c>
      <c r="D66" t="n">
        <v>17257</v>
      </c>
      <c r="E66" t="inlineStr">
        <is>
          <t>https://www.census.gov/newsroom/press-releases/2026/school-system-finances.html</t>
        </is>
      </c>
    </row>
    <row r="67">
      <c r="A67" t="inlineStr">
        <is>
          <t>Las Cruces Public Schools</t>
        </is>
      </c>
      <c r="B67" t="n">
        <v>70</v>
      </c>
      <c r="C67" t="inlineStr">
        <is>
          <t>Good</t>
        </is>
      </c>
      <c r="D67" t="n">
        <v>17664</v>
      </c>
      <c r="E67" t="inlineStr">
        <is>
          <t>https://www.census.gov/newsroom/press-releases/2026/school-system-finances.html</t>
        </is>
      </c>
    </row>
    <row r="68">
      <c r="A68" t="inlineStr">
        <is>
          <t>Rio Rancho Public Schools</t>
        </is>
      </c>
      <c r="B68" t="n">
        <v>70</v>
      </c>
      <c r="C68" t="inlineStr">
        <is>
          <t>Good</t>
        </is>
      </c>
      <c r="D68" t="n">
        <v>17664</v>
      </c>
      <c r="E68" t="inlineStr">
        <is>
          <t>https://www.census.gov/newsroom/press-releases/2026/school-system-finances.html</t>
        </is>
      </c>
    </row>
    <row r="69">
      <c r="A69" t="inlineStr">
        <is>
          <t>Gilbert Public Schools</t>
        </is>
      </c>
      <c r="B69" t="n">
        <v>40</v>
      </c>
      <c r="C69" t="inlineStr">
        <is>
          <t>Low</t>
        </is>
      </c>
      <c r="D69" t="n">
        <v>12003</v>
      </c>
      <c r="E69" t="inlineStr">
        <is>
          <t>https://www.census.gov/newsroom/press-releases/2026/school-system-finances.html</t>
        </is>
      </c>
    </row>
    <row r="70">
      <c r="A70" t="inlineStr">
        <is>
          <t>Queen Creek Unified School District</t>
        </is>
      </c>
      <c r="B70" t="n">
        <v>40</v>
      </c>
      <c r="C70" t="inlineStr">
        <is>
          <t>Low</t>
        </is>
      </c>
      <c r="D70" t="n">
        <v>12003</v>
      </c>
      <c r="E70" t="inlineStr">
        <is>
          <t>https://www.census.gov/newsroom/press-releases/2026/school-system-finances.html</t>
        </is>
      </c>
    </row>
    <row r="71">
      <c r="A71" t="inlineStr">
        <is>
          <t>Vail School District</t>
        </is>
      </c>
      <c r="B71" t="n">
        <v>40</v>
      </c>
      <c r="C71" t="inlineStr">
        <is>
          <t>Low</t>
        </is>
      </c>
      <c r="D71" t="n">
        <v>12003</v>
      </c>
      <c r="E71" t="inlineStr">
        <is>
          <t>https://www.census.gov/newsroom/press-releases/2026/school-system-finances.html</t>
        </is>
      </c>
    </row>
    <row r="72">
      <c r="A72" t="inlineStr">
        <is>
          <t>West Ada School District</t>
        </is>
      </c>
      <c r="B72" t="n">
        <v>40</v>
      </c>
      <c r="C72" t="inlineStr">
        <is>
          <t>Low</t>
        </is>
      </c>
      <c r="D72" t="n">
        <v>11060</v>
      </c>
      <c r="E72" t="inlineStr">
        <is>
          <t>https://www.census.gov/newsroom/press-releases/2026/school-system-finances.html</t>
        </is>
      </c>
    </row>
    <row r="73">
      <c r="A73" t="inlineStr">
        <is>
          <t>Twin Falls School District</t>
        </is>
      </c>
      <c r="B73" t="n">
        <v>40</v>
      </c>
      <c r="C73" t="inlineStr">
        <is>
          <t>Low</t>
        </is>
      </c>
      <c r="D73" t="n">
        <v>11060</v>
      </c>
      <c r="E73" t="inlineStr">
        <is>
          <t>https://www.census.gov/newsroom/press-releases/2026/school-system-finances.html</t>
        </is>
      </c>
    </row>
    <row r="74">
      <c r="A74" t="inlineStr">
        <is>
          <t>Washoe County School District</t>
        </is>
      </c>
      <c r="B74" t="n">
        <v>55</v>
      </c>
      <c r="C74" t="inlineStr">
        <is>
          <t>Fair</t>
        </is>
      </c>
      <c r="D74" t="n">
        <v>14812</v>
      </c>
      <c r="E74" t="inlineStr">
        <is>
          <t>https://www.census.gov/newsroom/press-releases/2026/school-system-finances.html</t>
        </is>
      </c>
    </row>
    <row r="75">
      <c r="A75" t="inlineStr">
        <is>
          <t>Kern High School District</t>
        </is>
      </c>
      <c r="B75" t="n">
        <v>85</v>
      </c>
      <c r="C75" t="inlineStr">
        <is>
          <t>Very Good</t>
        </is>
      </c>
      <c r="D75" t="n">
        <v>20791</v>
      </c>
      <c r="E75" t="inlineStr">
        <is>
          <t>https://www.census.gov/newsroom/press-releases/2026/school-system-finances.html</t>
        </is>
      </c>
    </row>
    <row r="76">
      <c r="A76" t="inlineStr">
        <is>
          <t>Clovis Unified School District</t>
        </is>
      </c>
      <c r="B76" t="n">
        <v>85</v>
      </c>
      <c r="C76" t="inlineStr">
        <is>
          <t>Very Good</t>
        </is>
      </c>
      <c r="D76" t="n">
        <v>20791</v>
      </c>
      <c r="E76" t="inlineStr">
        <is>
          <t>https://www.census.gov/newsroom/press-releases/2026/school-system-finances.html</t>
        </is>
      </c>
    </row>
    <row r="77">
      <c r="A77" t="inlineStr">
        <is>
          <t>Hobbs Municipal Schools</t>
        </is>
      </c>
      <c r="B77" t="n">
        <v>70</v>
      </c>
      <c r="C77" t="inlineStr">
        <is>
          <t>Good</t>
        </is>
      </c>
      <c r="D77" t="n">
        <v>17664</v>
      </c>
      <c r="E77" t="inlineStr">
        <is>
          <t>https://www.census.gov/newsroom/press-releases/2026/school-system-finances.html</t>
        </is>
      </c>
    </row>
    <row r="78">
      <c r="A78" t="inlineStr">
        <is>
          <t>Farmington Municipal Schools</t>
        </is>
      </c>
      <c r="B78" t="n">
        <v>70</v>
      </c>
      <c r="C78" t="inlineStr">
        <is>
          <t>Good</t>
        </is>
      </c>
      <c r="D78" t="n">
        <v>17664</v>
      </c>
      <c r="E78" t="inlineStr">
        <is>
          <t>https://www.census.gov/newsroom/press-releases/2026/school-system-finances.html</t>
        </is>
      </c>
    </row>
    <row r="79">
      <c r="A79" t="inlineStr">
        <is>
          <t>Carlsbad Municipal Schools</t>
        </is>
      </c>
      <c r="B79" t="n">
        <v>70</v>
      </c>
      <c r="C79" t="inlineStr">
        <is>
          <t>Good</t>
        </is>
      </c>
      <c r="D79" t="n">
        <v>17664</v>
      </c>
      <c r="E79" t="inlineStr">
        <is>
          <t>https://www.census.gov/newsroom/press-releases/2026/school-system-finances.html</t>
        </is>
      </c>
    </row>
    <row r="80">
      <c r="A80" t="inlineStr">
        <is>
          <t>Chaffey Joint Union High School District</t>
        </is>
      </c>
      <c r="B80" t="n">
        <v>85</v>
      </c>
      <c r="C80" t="inlineStr">
        <is>
          <t>Very Good</t>
        </is>
      </c>
      <c r="D80" t="n">
        <v>20791</v>
      </c>
      <c r="E80" t="inlineStr">
        <is>
          <t>https://www.census.gov/newsroom/press-releases/2026/school-system-finances.html</t>
        </is>
      </c>
    </row>
    <row r="81">
      <c r="A81" t="inlineStr">
        <is>
          <t>Antelope Valley Union High School District</t>
        </is>
      </c>
      <c r="B81" t="n">
        <v>85</v>
      </c>
      <c r="C81" t="inlineStr">
        <is>
          <t>Very Good</t>
        </is>
      </c>
      <c r="D81" t="n">
        <v>20791</v>
      </c>
      <c r="E81" t="inlineStr">
        <is>
          <t>https://www.census.gov/newsroom/press-releases/2026/school-system-finances.html</t>
        </is>
      </c>
    </row>
    <row r="82">
      <c r="A82" t="inlineStr">
        <is>
          <t>Grossmont Union High School District</t>
        </is>
      </c>
      <c r="B82" t="n">
        <v>85</v>
      </c>
      <c r="C82" t="inlineStr">
        <is>
          <t>Very Good</t>
        </is>
      </c>
      <c r="D82" t="n">
        <v>20791</v>
      </c>
      <c r="E82" t="inlineStr">
        <is>
          <t>https://www.census.gov/newsroom/press-releases/2026/school-system-finances.html</t>
        </is>
      </c>
    </row>
    <row r="83">
      <c r="A83" t="inlineStr">
        <is>
          <t>Clear Creek ISD</t>
        </is>
      </c>
      <c r="B83" t="n">
        <v>40</v>
      </c>
      <c r="C83" t="inlineStr">
        <is>
          <t>Low</t>
        </is>
      </c>
      <c r="D83" t="n">
        <v>12895</v>
      </c>
      <c r="E83" t="inlineStr">
        <is>
          <t>https://www.census.gov/newsroom/press-releases/2026/school-system-finances.html</t>
        </is>
      </c>
    </row>
    <row r="84">
      <c r="A84" t="inlineStr">
        <is>
          <t>Pearland ISD</t>
        </is>
      </c>
      <c r="B84" t="n">
        <v>40</v>
      </c>
      <c r="C84" t="inlineStr">
        <is>
          <t>Low</t>
        </is>
      </c>
      <c r="D84" t="n">
        <v>12895</v>
      </c>
      <c r="E84" t="inlineStr">
        <is>
          <t>https://www.census.gov/newsroom/press-releases/2026/school-system-finances.html</t>
        </is>
      </c>
    </row>
    <row r="85">
      <c r="A85" t="inlineStr">
        <is>
          <t>Anoka-Hennepin Schools</t>
        </is>
      </c>
      <c r="B85" t="n">
        <v>70</v>
      </c>
      <c r="C85" t="inlineStr">
        <is>
          <t>Good</t>
        </is>
      </c>
      <c r="D85" t="n">
        <v>17098</v>
      </c>
      <c r="E85" t="inlineStr">
        <is>
          <t>https://www.census.gov/newsroom/press-releases/2026/school-system-finances.html</t>
        </is>
      </c>
    </row>
    <row r="86">
      <c r="A86" t="inlineStr">
        <is>
          <t>Osseo Area Schools / ISD 279</t>
        </is>
      </c>
      <c r="B86" t="n">
        <v>70</v>
      </c>
      <c r="C86" t="inlineStr">
        <is>
          <t>Good</t>
        </is>
      </c>
      <c r="D86" t="n">
        <v>17098</v>
      </c>
      <c r="E86" t="inlineStr">
        <is>
          <t>https://www.census.gov/newsroom/press-releases/2026/school-system-finances.html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2026-06-18T14:25:15Z</dcterms:created>
  <dcterms:modified xmlns:dcterms="http://purl.org/dc/terms/" xmlns:xsi="http://www.w3.org/2001/XMLSchema-instance" xsi:type="dcterms:W3CDTF">2026-06-18T20:07:03Z</dcterms:modified>
  <cp:lastModifiedBy>Aaron Archuletta</cp:lastModifiedBy>
</cp:coreProperties>
</file>