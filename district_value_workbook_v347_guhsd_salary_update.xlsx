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7e85aa52b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 Salary Data" sheetId="1" r:id="R6e1232098022418b"/>
    <x:sheet xmlns:r="http://schemas.openxmlformats.org/officeDocument/2006/relationships" name="School District Profiles" sheetId="2" r:id="R3d6559f3fb1c496f"/>
    <x:sheet xmlns:r="http://schemas.openxmlformats.org/officeDocument/2006/relationships" name="Median Home and Rent Prices" sheetId="3" r:id="R748c6218d6a44d0c"/>
    <x:sheet xmlns:r="http://schemas.openxmlformats.org/officeDocument/2006/relationships" name="District Value Scores" sheetId="4" r:id="Ra107a0a551ef47d2"/>
    <x:sheet xmlns:r="http://schemas.openxmlformats.org/officeDocument/2006/relationships" name="Scoring Benchmarks" sheetId="5" r:id="R4a337e5a07424aa6"/>
    <x:sheet xmlns:r="http://schemas.openxmlformats.org/officeDocument/2006/relationships" name="Changed Formulas" sheetId="6" r:id="Re9b540cdfe4944dc"/>
    <x:sheet xmlns:r="http://schemas.openxmlformats.org/officeDocument/2006/relationships" name="Score Methodology" sheetId="7" r:id="R33a65f503119487a"/>
    <x:sheet xmlns:r="http://schemas.openxmlformats.org/officeDocument/2006/relationships" name="README" sheetId="8" r:id="R8a1eecf1254b4bd2"/>
    <x:sheet xmlns:r="http://schemas.openxmlformats.org/officeDocument/2006/relationships" name="LAUSD Sources" sheetId="9" r:id="Rf45320d1942a498f"/>
    <x:sheet xmlns:r="http://schemas.openxmlformats.org/officeDocument/2006/relationships" name="CHCCS Sources" sheetId="10" r:id="Rd3eccdbf7b764570"/>
    <x:sheet xmlns:r="http://schemas.openxmlformats.org/officeDocument/2006/relationships" name="Portland Sources" sheetId="11" r:id="R2bbd9cf48df84647"/>
    <x:sheet xmlns:r="http://schemas.openxmlformats.org/officeDocument/2006/relationships" name="Cherry Creek Sources" sheetId="12" r:id="Rfa3ccdfde0bf4c55"/>
    <x:sheet xmlns:r="http://schemas.openxmlformats.org/officeDocument/2006/relationships" name="LCUSD Sources" sheetId="13" r:id="R9260f018e3064e55"/>
    <x:sheet xmlns:r="http://schemas.openxmlformats.org/officeDocument/2006/relationships" name="PPSF Sources" sheetId="14" r:id="R52207ef4aba44996"/>
    <x:sheet xmlns:r="http://schemas.openxmlformats.org/officeDocument/2006/relationships" name="Eanes Sources" sheetId="15" r:id="R2687e4737882417d"/>
    <x:sheet xmlns:r="http://schemas.openxmlformats.org/officeDocument/2006/relationships" name="Syosset Sources" sheetId="16" r:id="R59e8ad363b394870"/>
    <x:sheet xmlns:r="http://schemas.openxmlformats.org/officeDocument/2006/relationships" name="Glendale Union Sources" sheetId="17" r:id="Ra0d83d6577fd4447"/>
    <x:sheet xmlns:r="http://schemas.openxmlformats.org/officeDocument/2006/relationships" name="San Antonio Sources" sheetId="18" r:id="Rb7767582a99a4f6c"/>
    <x:sheet xmlns:r="http://schemas.openxmlformats.org/officeDocument/2006/relationships" name="Salt Lake Sources" sheetId="19" r:id="R2260243c8a8d466f"/>
    <x:sheet xmlns:r="http://schemas.openxmlformats.org/officeDocument/2006/relationships" name="Austin Sources" sheetId="20" r:id="R3aa82e88cfe34ba8"/>
    <x:sheet xmlns:r="http://schemas.openxmlformats.org/officeDocument/2006/relationships" name="South Pasadena Sources" sheetId="21" r:id="Ra7711b60fe364dea"/>
    <x:sheet xmlns:r="http://schemas.openxmlformats.org/officeDocument/2006/relationships" name="Ocean Springs Sources" sheetId="22" r:id="R07b8f6b44faa40e1"/>
    <x:sheet xmlns:r="http://schemas.openxmlformats.org/officeDocument/2006/relationships" name="Royal Sources" sheetId="23" r:id="R399416adb40b4997"/>
    <x:sheet xmlns:r="http://schemas.openxmlformats.org/officeDocument/2006/relationships" name="Chicago Sources" sheetId="24" r:id="R31055131d82c43c3"/>
    <x:sheet xmlns:r="http://schemas.openxmlformats.org/officeDocument/2006/relationships" name="Metro Nashville Sources" sheetId="25" r:id="Rdbe5b1c29b424ec7"/>
    <x:sheet xmlns:r="http://schemas.openxmlformats.org/officeDocument/2006/relationships" name="Placement Rules" sheetId="26" r:id="R247603ce9450473f"/>
    <x:sheet xmlns:r="http://schemas.openxmlformats.org/officeDocument/2006/relationships" name="Arcadia Sources" sheetId="27" r:id="R12d6d880d07b417d"/>
    <x:sheet xmlns:r="http://schemas.openxmlformats.org/officeDocument/2006/relationships" name="North Clackamas Sources" sheetId="28" r:id="Rdd3a30f0bdfb4433"/>
    <x:sheet xmlns:r="http://schemas.openxmlformats.org/officeDocument/2006/relationships" name="Canyons Sources" sheetId="29" r:id="Rd92a5827fbf645aa"/>
    <x:sheet xmlns:r="http://schemas.openxmlformats.org/officeDocument/2006/relationships" name="St Helena Sources" sheetId="30" r:id="Raa2b67be72164f25"/>
    <x:sheet xmlns:r="http://schemas.openxmlformats.org/officeDocument/2006/relationships" name="Sub Staffing Notes" sheetId="31" r:id="R434b4ebfed7b4c26"/>
    <x:sheet xmlns:r="http://schemas.openxmlformats.org/officeDocument/2006/relationships" name="Flagstaff Sources" sheetId="32" r:id="Re1b9b8c4ffb84232"/>
    <x:sheet xmlns:r="http://schemas.openxmlformats.org/officeDocument/2006/relationships" name="Chandler Sources" sheetId="33" r:id="R79b1051ed1b548dd"/>
    <x:sheet xmlns:r="http://schemas.openxmlformats.org/officeDocument/2006/relationships" name="Work Environment Notes" sheetId="34" r:id="Rfe8abcf4c05649e2"/>
    <x:sheet xmlns:r="http://schemas.openxmlformats.org/officeDocument/2006/relationships" name="Scarsdale Sources" sheetId="35" r:id="Rf0e0c4ae8b1e4d38"/>
    <x:sheet xmlns:r="http://schemas.openxmlformats.org/officeDocument/2006/relationships" name="Barbers Hill Sources" sheetId="36" r:id="Ra4f95d18abdd46d4"/>
    <x:sheet xmlns:r="http://schemas.openxmlformats.org/officeDocument/2006/relationships" name="Cobb Sources" sheetId="37" r:id="R95ebbf2346554995"/>
    <x:sheet xmlns:r="http://schemas.openxmlformats.org/officeDocument/2006/relationships" name="Gwinnett Sources" sheetId="38" r:id="R42419305f28543db"/>
    <x:sheet xmlns:r="http://schemas.openxmlformats.org/officeDocument/2006/relationships" name="Loudoun Sources" sheetId="39" r:id="R538f7b448d984cf9"/>
    <x:sheet xmlns:r="http://schemas.openxmlformats.org/officeDocument/2006/relationships" name="Lake Washington Sources" sheetId="40" r:id="R078a7124e0fd4c8d"/>
    <x:sheet xmlns:r="http://schemas.openxmlformats.org/officeDocument/2006/relationships" name="Nassau Sources" sheetId="41" r:id="R348e254331c249d3"/>
    <x:sheet xmlns:r="http://schemas.openxmlformats.org/officeDocument/2006/relationships" name="WDMCS Sources" sheetId="42" r:id="R0553f8261232420e"/>
    <x:sheet xmlns:r="http://schemas.openxmlformats.org/officeDocument/2006/relationships" name="Added District Sources" sheetId="43" r:id="Rf78c2190352f433c"/>
    <x:sheet xmlns:r="http://schemas.openxmlformats.org/officeDocument/2006/relationships" name="Added District Sources Round 2" sheetId="44" r:id="Ra7eb3f25d01b4be8"/>
    <x:sheet xmlns:r="http://schemas.openxmlformats.org/officeDocument/2006/relationships" name="Added District Sources Round 3" sheetId="45" r:id="R415eb744467d4b4a"/>
    <x:sheet xmlns:r="http://schemas.openxmlformats.org/officeDocument/2006/relationships" name="Tahoe Truckee Sources" sheetId="46" r:id="Rf3206bf7cf304d8d"/>
    <x:sheet xmlns:r="http://schemas.openxmlformats.org/officeDocument/2006/relationships" name="Added District Sources Round 4" sheetId="47" r:id="R0dd28ff7795b4ba4"/>
    <x:sheet xmlns:r="http://schemas.openxmlformats.org/officeDocument/2006/relationships" name="Prototype 343 Sources" sheetId="48" r:id="Rbb23af004a94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\$#,##0"/>
    <x:numFmt numFmtId="165" formatCode="0.0"/>
    <x:numFmt numFmtId="166" formatCode="yyyy\-mm\-dd"/>
    <x:numFmt numFmtId="167" formatCode="0.0&quot;%&quot;"/>
    <x:numFmt numFmtId="168" formatCode="0.0%"/>
    <x:numFmt numFmtId="169" formatCode="mmmm\ dd\,\ yyyy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theme="0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b/>
      <x:sz val="10"/>
      <x:color rgb="FF111827"/>
      <x:name val="Carlito"/>
    </x:font>
    <x:font>
      <x:b/>
      <x:sz val="10"/>
      <x:color rgb="FF1F2937"/>
      <x:name val="Carlito"/>
    </x:font>
    <x:font>
      <x:b/>
      <x:sz val="10"/>
      <x:color rgb="FF1F2937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244F7A"/>
      </x:patternFill>
    </x:fill>
    <x:fill>
      <x:patternFill patternType="solid">
        <x:fgColor rgb="FFE8EE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244F7A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1F4E79"/>
      </x:patternFill>
    </x:fill>
  </x:fills>
  <x:borders count="9">
    <x:border/>
    <x:border/>
    <x:border>
      <x:bottom style="medium">
        <x:color rgb="FF0F766E"/>
      </x:bottom>
    </x:border>
    <x:border>
      <x:bottom style="thin">
        <x:color rgb="FFE5E7EB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</x:borders>
  <x:cellStyleXfs count="1">
    <x:xf numFmtId="0" fontId="0" fillId="0" borderId="1"/>
  </x:cellStyleXfs>
  <x:cellXfs count="186">
    <x:xf numFmtId="0" fontId="0" fillId="0" borderId="0" xfId="0"/>
    <x:xf numFmtId="164" fontId="0" fillId="0" borderId="0" xfId="0"/>
    <x:xf numFmtId="0" fontId="0" fillId="0" borderId="0" xfId="0" applyAlignment="1">
      <x:alignment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wrapText="1"/>
    </x:xf>
    <x:xf numFmtId="2" fontId="0" fillId="0" borderId="0" xfId="0" applyAlignment="1">
      <x:alignment wrapText="1"/>
    </x:xf>
    <x:xf numFmtId="0" fontId="0" fillId="0" borderId="3" xfId="0" applyAlignment="1">
      <x:alignment vertical="top" wrapText="1"/>
    </x:xf>
    <x:xf numFmtId="164" fontId="0" fillId="0" borderId="3" xfId="0" applyAlignment="1">
      <x:alignment vertical="top" wrapText="1"/>
    </x:xf>
    <x:xf numFmtId="165" fontId="0" fillId="0" borderId="3" xfId="0" applyAlignment="1">
      <x:alignment vertical="top" wrapText="1"/>
    </x:xf>
    <x:xf numFmtId="0" fontId="5" fillId="0" borderId="3" xfId="0" applyAlignment="1">
      <x:alignment vertical="top" wrapText="1"/>
    </x:xf>
    <x:xf numFmtId="164" fontId="5" fillId="0" borderId="3" xfId="0" applyAlignment="1">
      <x:alignment vertical="top" wrapText="1"/>
    </x:xf>
    <x:xf numFmtId="0" fontId="5" fillId="0" borderId="3" xfId="0" applyAlignment="1">
      <x:alignment vertical="center" wrapText="1"/>
    </x:xf>
    <x:xf numFmtId="1" fontId="5" fillId="0" borderId="3" xfId="0" applyAlignment="1">
      <x:alignment vertical="center" wrapText="1"/>
    </x:xf>
    <x:xf numFmtId="164" fontId="5" fillId="0" borderId="3" xfId="0" applyAlignment="1">
      <x:alignment vertical="center" wrapText="1"/>
    </x:xf>
    <x:xf numFmtId="166" fontId="5" fillId="0" borderId="3" xfId="0" applyAlignment="1">
      <x:alignment vertical="center" wrapText="1"/>
    </x:xf>
    <x:xf numFmtId="0" fontId="5" fillId="0" borderId="0" xfId="0" applyAlignment="1">
      <x:alignment vertical="center"/>
    </x:xf>
    <x:xf numFmtId="0" fontId="5" fillId="0" borderId="0" xfId="0" applyAlignment="1">
      <x:alignment vertical="center" wrapText="1"/>
    </x:xf>
    <x:xf numFmtId="165" fontId="5" fillId="0" borderId="3" xfId="0" applyAlignment="1">
      <x:alignment vertical="top" wrapText="1"/>
    </x:xf>
    <x:xf numFmtId="167" fontId="5" fillId="0" borderId="3" xfId="0" applyAlignment="1">
      <x:alignment vertical="center" wrapText="1"/>
    </x:xf>
    <x:xf numFmtId="165" fontId="5" fillId="0" borderId="3" xfId="0" applyAlignment="1">
      <x:alignment vertical="center" wrapText="1"/>
    </x:xf>
    <x:xf numFmtId="0" fontId="5" fillId="0" borderId="0" xfId="0" applyAlignment="1">
      <x:alignment vertical="top" wrapText="1"/>
    </x:xf>
    <x:xf numFmtId="164" fontId="5" fillId="2" borderId="3" xfId="0" applyAlignment="1">
      <x:alignment vertical="top" wrapText="1"/>
    </x:xf>
    <x:xf numFmtId="165" fontId="5" fillId="2" borderId="3" xfId="0" applyAlignment="1">
      <x:alignment vertical="top" wrapText="1"/>
    </x:xf>
    <x:xf numFmtId="0" fontId="5" fillId="2" borderId="3" xfId="0" applyAlignment="1">
      <x:alignment vertical="center" wrapText="1"/>
    </x:xf>
    <x:xf numFmtId="164" fontId="5" fillId="2" borderId="3" xfId="0" applyAlignment="1">
      <x:alignment vertical="center" wrapText="1"/>
    </x:xf>
    <x:xf numFmtId="168" fontId="5" fillId="2" borderId="3" xfId="0" applyAlignment="1">
      <x:alignment vertical="center" wrapText="1"/>
    </x:xf>
    <x:xf numFmtId="2" fontId="5" fillId="2" borderId="3" xfId="0" applyAlignment="1">
      <x:alignment vertical="center" wrapText="1"/>
    </x:xf>
    <x:xf numFmtId="2" fontId="5" fillId="0" borderId="3" xfId="0" applyAlignment="1">
      <x:alignment vertical="center" wrapText="1"/>
    </x:xf>
    <x:xf numFmtId="168" fontId="5" fillId="0" borderId="3" xfId="0" applyAlignment="1">
      <x:alignment vertical="center" wrapText="1"/>
    </x:xf>
    <x:xf numFmtId="0" fontId="7" fillId="0" borderId="3" xfId="0" applyAlignment="1">
      <x:alignment vertical="top" wrapText="1"/>
    </x:xf>
    <x:xf numFmtId="0" fontId="8" fillId="9" borderId="2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7" fillId="6" borderId="3" xfId="0" applyAlignment="1">
      <x:alignment vertical="top" wrapText="1"/>
    </x:xf>
    <x:xf numFmtId="0" fontId="7" fillId="4" borderId="3" xfId="0" applyAlignment="1">
      <x:alignment vertical="top" wrapText="1"/>
    </x:xf>
    <x:xf numFmtId="0" fontId="5" fillId="0" borderId="0" xfId="0" applyAlignment="1">
      <x:alignment horizontal="center" vertical="top" wrapText="1"/>
    </x:xf>
    <x:xf numFmtId="0" fontId="8" fillId="9" borderId="0" xfId="0" applyAlignment="1">
      <x:alignment horizontal="center" vertical="center" wrapText="1"/>
    </x:xf>
    <x:xf numFmtId="164" fontId="5" fillId="0" borderId="0" xfId="0" applyAlignment="1">
      <x:alignment vertical="center"/>
    </x:xf>
    <x:xf numFmtId="164" fontId="5" fillId="0" borderId="0" xfId="0" applyAlignment="1">
      <x:alignment vertical="center" wrapText="1"/>
    </x:xf>
    <x:xf numFmtId="1" fontId="5" fillId="0" borderId="0" xfId="0" applyAlignment="1">
      <x:alignment vertical="center"/>
    </x:xf>
    <x:xf numFmtId="1" fontId="5" fillId="0" borderId="0" xfId="0" applyAlignment="1">
      <x:alignment vertical="center" wrapText="1"/>
    </x:xf>
    <x:xf numFmtId="164" fontId="5" fillId="0" borderId="0" xfId="0" applyAlignment="1">
      <x:alignment vertical="top" wrapText="1"/>
    </x:xf>
    <x:xf numFmtId="168" fontId="5" fillId="0" borderId="0" xfId="0" applyAlignment="1">
      <x:alignment vertical="center"/>
    </x:xf>
    <x:xf numFmtId="168" fontId="5" fillId="0" borderId="0" xfId="0" applyAlignment="1">
      <x:alignment vertical="center" wrapText="1"/>
    </x:xf>
    <x:xf numFmtId="2" fontId="5" fillId="0" borderId="0" xfId="0" applyAlignment="1">
      <x:alignment vertical="center"/>
    </x:xf>
    <x:xf numFmtId="2" fontId="5" fillId="0" borderId="0" xfId="0" applyAlignment="1">
      <x:alignment vertical="center" wrapText="1"/>
    </x:xf>
    <x:xf numFmtId="165" fontId="5" fillId="0" borderId="0" xfId="0" applyAlignment="1">
      <x:alignment vertical="center" wrapText="1"/>
    </x:xf>
    <x:xf numFmtId="165" fontId="5" fillId="0" borderId="0" xfId="0" applyAlignment="1">
      <x:alignment vertical="top" wrapText="1"/>
    </x:xf>
    <x:xf numFmtId="0" fontId="6" fillId="10" borderId="2" xfId="0" applyAlignment="1">
      <x:alignment horizontal="center" vertical="center" wrapText="1"/>
    </x:xf>
    <x:xf numFmtId="165" fontId="6" fillId="10" borderId="2" xfId="0" applyAlignment="1">
      <x:alignment horizontal="center" vertical="center" wrapText="1"/>
    </x:xf>
    <x:xf numFmtId="169" fontId="6" fillId="10" borderId="2" xfId="0" applyAlignment="1">
      <x:alignment horizontal="center" vertical="center" wrapText="1"/>
    </x:xf>
    <x:xf numFmtId="0" fontId="1" fillId="10" borderId="0" xfId="0" applyAlignment="1">
      <x:alignment horizontal="center" vertical="top" wrapText="1"/>
    </x:xf>
    <x:xf numFmtId="164" fontId="0" fillId="0" borderId="0" xfId="0" applyAlignment="1">
      <x:alignment wrapText="1"/>
    </x:xf>
    <x:xf numFmtId="168" fontId="0" fillId="0" borderId="0" xfId="0" applyAlignment="1">
      <x:alignment wrapText="1"/>
    </x:xf>
    <x:xf numFmtId="0" fontId="11" fillId="12" borderId="2" xfId="0" applyAlignment="1">
      <x:alignment horizontal="center" vertical="center" wrapText="1"/>
    </x:xf>
    <x:xf numFmtId="164" fontId="11" fillId="12" borderId="2" xfId="0" applyAlignment="1">
      <x:alignment horizontal="center" vertical="center" wrapText="1"/>
    </x:xf>
    <x:xf numFmtId="168" fontId="11" fillId="12" borderId="2" xfId="0" applyAlignment="1">
      <x:alignment horizontal="center" vertical="center" wrapText="1"/>
    </x:xf>
    <x:xf numFmtId="2" fontId="11" fillId="12" borderId="2" xfId="0" applyAlignment="1">
      <x:alignment horizontal="center" vertical="center" wrapText="1"/>
    </x:xf>
    <x:xf numFmtId="165" fontId="11" fillId="12" borderId="2" xfId="0" applyAlignment="1">
      <x:alignment horizontal="center" vertical="center" wrapText="1"/>
    </x:xf>
    <x:xf numFmtId="1" fontId="11" fillId="12" borderId="2" xfId="0" applyAlignment="1">
      <x:alignment horizontal="center" vertical="center" wrapText="1"/>
    </x:xf>
    <x:xf numFmtId="9" fontId="11" fillId="12" borderId="2" xfId="0" applyAlignment="1">
      <x:alignment horizontal="center" vertical="center" wrapText="1"/>
    </x:xf>
    <x:xf numFmtId="0" fontId="0" fillId="0" borderId="4" xfId="0" applyAlignment="1">
      <x:alignment vertical="top" wrapText="1"/>
    </x:xf>
    <x:xf numFmtId="0" fontId="11" fillId="12" borderId="4" xfId="0" applyAlignment="1">
      <x:alignment vertical="top" wrapText="1"/>
    </x:xf>
    <x:xf numFmtId="0" fontId="7" fillId="0" borderId="4" xfId="0" applyAlignment="1">
      <x:alignment vertical="top" wrapText="1"/>
    </x:xf>
    <x:xf numFmtId="0" fontId="5" fillId="0" borderId="4" xfId="0" applyAlignment="1">
      <x:alignment vertical="top" wrapText="1"/>
    </x:xf>
    <x:xf numFmtId="0" fontId="7" fillId="8" borderId="4" xfId="0" applyAlignment="1">
      <x:alignment vertical="top" wrapText="1"/>
    </x:xf>
    <x:xf numFmtId="0" fontId="7" fillId="3" borderId="4" xfId="0" applyAlignment="1">
      <x:alignment vertical="top" wrapText="1"/>
    </x:xf>
    <x:xf numFmtId="0" fontId="7" fillId="5" borderId="4" xfId="0" applyAlignment="1">
      <x:alignment vertical="top" wrapText="1"/>
    </x:xf>
    <x:xf numFmtId="0" fontId="12" fillId="0" borderId="0" xfId="0" applyAlignment="1">
      <x:alignment wrapText="1"/>
    </x:xf>
    <x:xf numFmtId="49" fontId="0" fillId="0" borderId="4" xfId="0" applyAlignment="1">
      <x:alignment vertical="top" wrapText="1"/>
    </x:xf>
    <x:xf numFmtId="0" fontId="1" fillId="13" borderId="0" xfId="0" applyAlignment="1">
      <x:alignment wrapText="1"/>
    </x:xf>
    <x:xf numFmtId="0" fontId="1" fillId="14" borderId="0" xfId="0" applyAlignment="1">
      <x:alignment horizontal="center" wrapText="1"/>
    </x:xf>
    <x:xf numFmtId="165" fontId="0" fillId="0" borderId="0" xfId="0" applyAlignment="1">
      <x:alignment wrapText="1"/>
    </x:xf>
    <x:xf numFmtId="0" fontId="10" fillId="11" borderId="4" xfId="0" applyAlignment="1">
      <x:alignment vertical="top" wrapText="1"/>
    </x:xf>
    <x:xf numFmtId="0" fontId="0" fillId="0" borderId="5" xfId="0"/>
    <x:xf numFmtId="0" fontId="0" fillId="0" borderId="6" xfId="0"/>
    <x:xf numFmtId="0" fontId="4" fillId="7" borderId="4" xfId="0" applyAlignment="1">
      <x:alignment vertical="top" wrapText="1"/>
    </x:xf>
    <x:xf numFmtId="0" fontId="8" fillId="9" borderId="2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0" fillId="0" borderId="3" xfId="0"/>
    <x:xf numFmtId="166" fontId="5" fillId="0" borderId="0" xfId="0" applyAlignment="1">
      <x:alignment vertical="center" wrapText="1"/>
    </x:xf>
    <x:xf numFmtId="169" fontId="6" fillId="10" borderId="2" xfId="0" applyAlignment="1">
      <x:alignment horizontal="center" vertical="center" wrapText="1"/>
    </x:xf>
    <x:xf numFmtId="166" fontId="5" fillId="0" borderId="3" xfId="0" applyAlignment="1">
      <x:alignment vertical="center" wrapText="1"/>
    </x:xf>
    <x:xf numFmtId="166" fontId="5" fillId="0" borderId="0" xfId="0" applyAlignment="1">
      <x:alignment vertical="center" wrapText="1"/>
    </x:xf>
    <x:xf numFmtId="165" fontId="6" fillId="10" borderId="2" xfId="0" applyAlignment="1">
      <x:alignment horizontal="center" vertical="center" wrapText="1"/>
    </x:xf>
    <x:xf numFmtId="165" fontId="5" fillId="0" borderId="3" xfId="0" applyAlignment="1">
      <x:alignment vertical="center" wrapText="1"/>
    </x:xf>
    <x:xf numFmtId="165" fontId="5" fillId="0" borderId="3" xfId="0" applyAlignment="1">
      <x:alignment vertical="top" wrapText="1"/>
    </x:xf>
    <x:xf numFmtId="167" fontId="5" fillId="0" borderId="3" xfId="0" applyAlignment="1">
      <x:alignment vertical="center" wrapText="1"/>
    </x:xf>
    <x:xf numFmtId="165" fontId="5" fillId="0" borderId="0" xfId="0" applyAlignment="1">
      <x:alignment vertical="center" wrapText="1"/>
    </x:xf>
    <x:xf numFmtId="165" fontId="5" fillId="0" borderId="0" xfId="0" applyAlignment="1">
      <x:alignment vertical="top" wrapText="1"/>
    </x:xf>
    <x:xf numFmtId="165" fontId="11" fillId="12" borderId="2" xfId="0" applyAlignment="1">
      <x:alignment horizontal="center" vertical="center" wrapText="1"/>
    </x:xf>
    <x:xf numFmtId="165" fontId="5" fillId="2" borderId="3" xfId="0" applyAlignment="1">
      <x:alignment vertical="top" wrapText="1"/>
    </x:xf>
    <x:xf numFmtId="165" fontId="0" fillId="0" borderId="0" xfId="0" applyAlignment="1">
      <x:alignment wrapText="1"/>
    </x:xf>
    <x:xf numFmtId="165" fontId="0" fillId="0" borderId="3" xfId="0" applyAlignment="1">
      <x:alignment vertical="top" wrapText="1"/>
    </x:xf>
    <x:xf numFmtId="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164" fontId="0" fillId="0" borderId="3" xfId="0" applyNumberFormat="1" applyFont="1" applyFill="1" applyBorder="1" applyAlignment="1">
      <x:alignment vertical="top" wrapText="1"/>
    </x:xf>
    <x:xf numFmtId="165" fontId="0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164" fontId="5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center" wrapText="1"/>
    </x:xf>
    <x:xf numFmtId="1" fontId="5" fillId="0" borderId="3" xfId="0" applyNumberFormat="1" applyFont="1" applyFill="1" applyBorder="1" applyAlignment="1">
      <x:alignment vertical="center" wrapText="1"/>
    </x:xf>
    <x:xf numFmtId="164" fontId="5" fillId="0" borderId="3" xfId="0" applyNumberFormat="1" applyFont="1" applyFill="1" applyBorder="1" applyAlignment="1">
      <x:alignment vertical="center" wrapText="1"/>
    </x:xf>
    <x:xf numFmtId="166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165" fontId="5" fillId="0" borderId="3" xfId="0" applyNumberFormat="1" applyFont="1" applyFill="1" applyBorder="1" applyAlignment="1">
      <x:alignment vertical="top" wrapText="1"/>
    </x:xf>
    <x:xf numFmtId="167" fontId="5" fillId="0" borderId="3" xfId="0" applyNumberFormat="1" applyFont="1" applyFill="1" applyBorder="1" applyAlignment="1">
      <x:alignment vertical="center" wrapText="1"/>
    </x:xf>
    <x:xf numFmtId="165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164" fontId="5" fillId="2" borderId="3" xfId="0" applyNumberFormat="1" applyFont="1" applyFill="1" applyBorder="1" applyAlignment="1">
      <x:alignment vertical="top" wrapText="1"/>
    </x:xf>
    <x:xf numFmtId="165" fontId="5" fillId="2" borderId="3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center" wrapText="1"/>
    </x:xf>
    <x:xf numFmtId="164" fontId="5" fillId="2" borderId="3" xfId="0" applyNumberFormat="1" applyFont="1" applyFill="1" applyBorder="1" applyAlignment="1">
      <x:alignment vertical="center" wrapText="1"/>
    </x:xf>
    <x:xf numFmtId="168" fontId="5" fillId="2" borderId="3" xfId="0" applyNumberFormat="1" applyFont="1" applyFill="1" applyBorder="1" applyAlignment="1">
      <x:alignment vertical="center" wrapText="1"/>
    </x:xf>
    <x:xf numFmtId="2" fontId="5" fillId="2" borderId="3" xfId="0" applyNumberFormat="1" applyFont="1" applyFill="1" applyBorder="1" applyAlignment="1">
      <x:alignment vertical="center" wrapText="1"/>
    </x:xf>
    <x:xf numFmtId="2" fontId="5" fillId="0" borderId="3" xfId="0" applyNumberFormat="1" applyFont="1" applyFill="1" applyBorder="1" applyAlignment="1">
      <x:alignment vertical="center" wrapText="1"/>
    </x:xf>
    <x:xf numFmtId="168" fontId="5" fillId="0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164" fontId="5" fillId="0" borderId="0" xfId="0" applyNumberFormat="1" applyFont="1" applyFill="1" applyBorder="1" applyAlignment="1">
      <x:alignment vertical="center"/>
    </x:xf>
    <x:xf numFmtId="164" fontId="5" fillId="0" borderId="0" xfId="0" applyNumberFormat="1" applyFont="1" applyFill="1" applyBorder="1" applyAlignment="1">
      <x:alignment vertical="center" wrapText="1"/>
    </x:xf>
    <x:xf numFmtId="1" fontId="5" fillId="0" borderId="0" xfId="0" applyNumberFormat="1" applyFont="1" applyFill="1" applyBorder="1" applyAlignment="1">
      <x:alignment vertical="center"/>
    </x:xf>
    <x:xf numFmtId="1" fontId="5" fillId="0" borderId="0" xfId="0" applyNumberFormat="1" applyFont="1" applyFill="1" applyBorder="1" applyAlignment="1">
      <x:alignment vertical="center" wrapText="1"/>
    </x:xf>
    <x:xf numFmtId="164" fontId="5" fillId="0" borderId="0" xfId="0" applyNumberFormat="1" applyFont="1" applyFill="1" applyBorder="1" applyAlignment="1">
      <x:alignment vertical="top" wrapText="1"/>
    </x:xf>
    <x:xf numFmtId="168" fontId="5" fillId="0" borderId="0" xfId="0" applyNumberFormat="1" applyFont="1" applyFill="1" applyBorder="1" applyAlignment="1">
      <x:alignment vertical="center"/>
    </x:xf>
    <x:xf numFmtId="168" fontId="5" fillId="0" borderId="0" xfId="0" applyNumberFormat="1" applyFont="1" applyFill="1" applyBorder="1" applyAlignment="1">
      <x:alignment vertical="center" wrapText="1"/>
    </x:xf>
    <x:xf numFmtId="2" fontId="5" fillId="0" borderId="0" xfId="0" applyNumberFormat="1" applyFont="1" applyFill="1" applyBorder="1" applyAlignment="1">
      <x:alignment vertical="center"/>
    </x:xf>
    <x:xf numFmtId="2" fontId="5" fillId="0" borderId="0" xfId="0" applyNumberFormat="1" applyFont="1" applyFill="1" applyBorder="1" applyAlignment="1">
      <x:alignment vertical="center" wrapText="1"/>
    </x:xf>
    <x:xf numFmtId="165" fontId="5" fillId="0" borderId="0" xfId="0" applyNumberFormat="1" applyFont="1" applyFill="1" applyBorder="1" applyAlignment="1">
      <x:alignment vertical="center" wrapText="1"/>
    </x:xf>
    <x:xf numFmtId="165" fontId="5" fillId="0" borderId="0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165" fontId="6" fillId="10" borderId="2" xfId="0" applyNumberFormat="1" applyFont="1" applyFill="1" applyBorder="1" applyAlignment="1">
      <x:alignment horizontal="center" vertical="center" wrapText="1"/>
    </x:xf>
    <x:xf numFmtId="169" fontId="6" fillId="10" borderId="2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wrapText="1"/>
    </x:xf>
    <x:xf numFmtId="168" fontId="0" fillId="0" borderId="0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164" fontId="1" fillId="7" borderId="2" xfId="0" applyNumberFormat="1" applyFont="1" applyFill="1" applyBorder="1" applyAlignment="1">
      <x:alignment horizontal="center" vertical="center" wrapText="1"/>
    </x:xf>
    <x:xf numFmtId="168" fontId="1" fillId="7" borderId="2" xfId="0" applyNumberFormat="1" applyFont="1" applyFill="1" applyBorder="1" applyAlignment="1">
      <x:alignment horizontal="center" vertical="center" wrapText="1"/>
    </x:xf>
    <x:xf numFmtId="2" fontId="1" fillId="7" borderId="2" xfId="0" applyNumberFormat="1" applyFont="1" applyFill="1" applyBorder="1" applyAlignment="1">
      <x:alignment horizontal="center" vertical="center" wrapText="1"/>
    </x:xf>
    <x:xf numFmtId="165" fontId="1" fillId="7" borderId="2" xfId="0" applyNumberFormat="1" applyFont="1" applyFill="1" applyBorder="1" applyAlignment="1">
      <x:alignment horizontal="center" vertical="center" wrapText="1"/>
    </x:xf>
    <x:xf numFmtId="1" fontId="1" fillId="7" borderId="2" xfId="0" applyNumberFormat="1" applyFont="1" applyFill="1" applyBorder="1" applyAlignment="1">
      <x:alignment horizontal="center" vertical="center" wrapText="1"/>
    </x:xf>
    <x:xf numFmtId="9" fontId="1" fillId="7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7" fillId="8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49" fontId="0" fillId="0" borderId="4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165" fontId="0" fillId="0" borderId="0" xfId="0" applyNumberFormat="1" applyFont="1" applyFill="1" applyBorder="1" applyAlignment="1">
      <x:alignment wrapText="1"/>
    </x:xf>
    <x:xf numFmtId="0" fontId="10" fillId="11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164" fontId="0" fillId="0" borderId="3" xfId="0" applyNumberFormat="1" applyFont="1" applyFill="1" applyBorder="1"/>
    <x:xf numFmtId="166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2" xfId="0" applyNumberFormat="1" applyFont="1" applyFill="1" applyBorder="1" applyAlignment="1">
      <x:alignment horizontal="center" vertical="center" wrapText="1"/>
    </x:xf>
    <x:xf numFmtId="164" fontId="1" fillId="15" borderId="2" xfId="0" applyNumberFormat="1" applyFont="1" applyFill="1" applyBorder="1" applyAlignment="1">
      <x:alignment horizontal="center" vertical="center" wrapText="1"/>
    </x:xf>
    <x:xf numFmtId="168" fontId="1" fillId="15" borderId="2" xfId="0" applyNumberFormat="1" applyFont="1" applyFill="1" applyBorder="1" applyAlignment="1">
      <x:alignment horizontal="center" vertical="center" wrapText="1"/>
    </x:xf>
    <x:xf numFmtId="2" fontId="1" fillId="15" borderId="2" xfId="0" applyNumberFormat="1" applyFont="1" applyFill="1" applyBorder="1" applyAlignment="1">
      <x:alignment horizontal="center" vertical="center" wrapText="1"/>
    </x:xf>
    <x:xf numFmtId="165" fontId="1" fillId="15" borderId="2" xfId="0" applyNumberFormat="1" applyFont="1" applyFill="1" applyBorder="1" applyAlignment="1">
      <x:alignment horizontal="center" vertical="center" wrapText="1"/>
    </x:xf>
    <x:xf numFmtId="1" fontId="1" fillId="15" borderId="2" xfId="0" applyNumberFormat="1" applyFont="1" applyFill="1" applyBorder="1" applyAlignment="1">
      <x:alignment horizontal="center" vertical="center" wrapText="1"/>
    </x:xf>
    <x:xf numFmtId="9" fontId="1" fillId="15" borderId="2" xfId="0" applyNumberFormat="1" applyFont="1" applyFill="1" applyBorder="1" applyAlignment="1">
      <x:alignment horizontal="center" vertical="center" wrapText="1"/>
    </x:xf>
    <x:xf numFmtId="0" fontId="6" fillId="15" borderId="2" xfId="0" applyNumberFormat="1" applyFont="1" applyFill="1" applyBorder="1" applyAlignment="1">
      <x:alignment horizontal="center" vertical="center" wrapText="1"/>
    </x:xf>
    <x:xf numFmtId="169" fontId="6" fillId="15" borderId="2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b5b5e93da4133" /><Relationship Type="http://schemas.openxmlformats.org/officeDocument/2006/relationships/theme" Target="/xl/theme/theme1.xml" Id="Ra9d81ab73f35423f" /><Relationship Type="http://schemas.openxmlformats.org/officeDocument/2006/relationships/sharedStrings" Target="/xl/sharedStrings.xml" Id="Rbd46ea23a9fd4dcb" /><Relationship Type="http://schemas.openxmlformats.org/officeDocument/2006/relationships/worksheet" Target="/xl/worksheets/sheet1.xml" Id="R6e1232098022418b" /><Relationship Type="http://schemas.openxmlformats.org/officeDocument/2006/relationships/worksheet" Target="/xl/worksheets/sheet2.xml" Id="R3d6559f3fb1c496f" /><Relationship Type="http://schemas.openxmlformats.org/officeDocument/2006/relationships/worksheet" Target="/xl/worksheets/sheet3.xml" Id="R748c6218d6a44d0c" /><Relationship Type="http://schemas.openxmlformats.org/officeDocument/2006/relationships/worksheet" Target="/xl/worksheets/sheet4.xml" Id="Ra107a0a551ef47d2" /><Relationship Type="http://schemas.openxmlformats.org/officeDocument/2006/relationships/worksheet" Target="/xl/worksheets/sheet5.xml" Id="R4a337e5a07424aa6" /><Relationship Type="http://schemas.openxmlformats.org/officeDocument/2006/relationships/worksheet" Target="/xl/worksheets/sheet6.xml" Id="Re9b540cdfe4944dc" /><Relationship Type="http://schemas.openxmlformats.org/officeDocument/2006/relationships/worksheet" Target="/xl/worksheets/sheet7.xml" Id="R33a65f503119487a" /><Relationship Type="http://schemas.openxmlformats.org/officeDocument/2006/relationships/worksheet" Target="/xl/worksheets/sheet8.xml" Id="R8a1eecf1254b4bd2" /><Relationship Type="http://schemas.openxmlformats.org/officeDocument/2006/relationships/worksheet" Target="/xl/worksheets/sheet9.xml" Id="Rf45320d1942a498f" /><Relationship Type="http://schemas.openxmlformats.org/officeDocument/2006/relationships/worksheet" Target="/xl/worksheets/sheet10.xml" Id="Rd3eccdbf7b764570" /><Relationship Type="http://schemas.openxmlformats.org/officeDocument/2006/relationships/worksheet" Target="/xl/worksheets/sheet11.xml" Id="R2bbd9cf48df84647" /><Relationship Type="http://schemas.openxmlformats.org/officeDocument/2006/relationships/worksheet" Target="/xl/worksheets/sheet12.xml" Id="Rfa3ccdfde0bf4c55" /><Relationship Type="http://schemas.openxmlformats.org/officeDocument/2006/relationships/worksheet" Target="/xl/worksheets/sheet13.xml" Id="R9260f018e3064e55" /><Relationship Type="http://schemas.openxmlformats.org/officeDocument/2006/relationships/worksheet" Target="/xl/worksheets/sheet14.xml" Id="R52207ef4aba44996" /><Relationship Type="http://schemas.openxmlformats.org/officeDocument/2006/relationships/worksheet" Target="/xl/worksheets/sheet15.xml" Id="R2687e4737882417d" /><Relationship Type="http://schemas.openxmlformats.org/officeDocument/2006/relationships/worksheet" Target="/xl/worksheets/sheet16.xml" Id="R59e8ad363b394870" /><Relationship Type="http://schemas.openxmlformats.org/officeDocument/2006/relationships/worksheet" Target="/xl/worksheets/sheet17.xml" Id="Ra0d83d6577fd4447" /><Relationship Type="http://schemas.openxmlformats.org/officeDocument/2006/relationships/worksheet" Target="/xl/worksheets/sheet18.xml" Id="Rb7767582a99a4f6c" /><Relationship Type="http://schemas.openxmlformats.org/officeDocument/2006/relationships/worksheet" Target="/xl/worksheets/sheet19.xml" Id="R2260243c8a8d466f" /><Relationship Type="http://schemas.openxmlformats.org/officeDocument/2006/relationships/worksheet" Target="/xl/worksheets/sheet20.xml" Id="R3aa82e88cfe34ba8" /><Relationship Type="http://schemas.openxmlformats.org/officeDocument/2006/relationships/worksheet" Target="/xl/worksheets/sheet21.xml" Id="Ra7711b60fe364dea" /><Relationship Type="http://schemas.openxmlformats.org/officeDocument/2006/relationships/worksheet" Target="/xl/worksheets/sheet22.xml" Id="R07b8f6b44faa40e1" /><Relationship Type="http://schemas.openxmlformats.org/officeDocument/2006/relationships/worksheet" Target="/xl/worksheets/sheet23.xml" Id="R399416adb40b4997" /><Relationship Type="http://schemas.openxmlformats.org/officeDocument/2006/relationships/worksheet" Target="/xl/worksheets/sheet24.xml" Id="R31055131d82c43c3" /><Relationship Type="http://schemas.openxmlformats.org/officeDocument/2006/relationships/worksheet" Target="/xl/worksheets/sheet25.xml" Id="Rdbe5b1c29b424ec7" /><Relationship Type="http://schemas.openxmlformats.org/officeDocument/2006/relationships/worksheet" Target="/xl/worksheets/sheet26.xml" Id="R247603ce9450473f" /><Relationship Type="http://schemas.openxmlformats.org/officeDocument/2006/relationships/worksheet" Target="/xl/worksheets/sheet27.xml" Id="R12d6d880d07b417d" /><Relationship Type="http://schemas.openxmlformats.org/officeDocument/2006/relationships/worksheet" Target="/xl/worksheets/sheet28.xml" Id="Rdd3a30f0bdfb4433" /><Relationship Type="http://schemas.openxmlformats.org/officeDocument/2006/relationships/worksheet" Target="/xl/worksheets/sheet29.xml" Id="Rd92a5827fbf645aa" /><Relationship Type="http://schemas.openxmlformats.org/officeDocument/2006/relationships/worksheet" Target="/xl/worksheets/sheet30.xml" Id="Raa2b67be72164f25" /><Relationship Type="http://schemas.openxmlformats.org/officeDocument/2006/relationships/worksheet" Target="/xl/worksheets/sheet31.xml" Id="R434b4ebfed7b4c26" /><Relationship Type="http://schemas.openxmlformats.org/officeDocument/2006/relationships/worksheet" Target="/xl/worksheets/sheet32.xml" Id="Re1b9b8c4ffb84232" /><Relationship Type="http://schemas.openxmlformats.org/officeDocument/2006/relationships/worksheet" Target="/xl/worksheets/sheet33.xml" Id="R79b1051ed1b548dd" /><Relationship Type="http://schemas.openxmlformats.org/officeDocument/2006/relationships/worksheet" Target="/xl/worksheets/sheet34.xml" Id="Rfe8abcf4c05649e2" /><Relationship Type="http://schemas.openxmlformats.org/officeDocument/2006/relationships/worksheet" Target="/xl/worksheets/sheet35.xml" Id="Rf0e0c4ae8b1e4d38" /><Relationship Type="http://schemas.openxmlformats.org/officeDocument/2006/relationships/worksheet" Target="/xl/worksheets/sheet36.xml" Id="Ra4f95d18abdd46d4" /><Relationship Type="http://schemas.openxmlformats.org/officeDocument/2006/relationships/worksheet" Target="/xl/worksheets/sheet37.xml" Id="R95ebbf2346554995" /><Relationship Type="http://schemas.openxmlformats.org/officeDocument/2006/relationships/worksheet" Target="/xl/worksheets/sheet38.xml" Id="R42419305f28543db" /><Relationship Type="http://schemas.openxmlformats.org/officeDocument/2006/relationships/worksheet" Target="/xl/worksheets/sheet39.xml" Id="R538f7b448d984cf9" /><Relationship Type="http://schemas.openxmlformats.org/officeDocument/2006/relationships/worksheet" Target="/xl/worksheets/sheet40.xml" Id="R078a7124e0fd4c8d" /><Relationship Type="http://schemas.openxmlformats.org/officeDocument/2006/relationships/worksheet" Target="/xl/worksheets/sheet41.xml" Id="R348e254331c249d3" /><Relationship Type="http://schemas.openxmlformats.org/officeDocument/2006/relationships/worksheet" Target="/xl/worksheets/sheet42.xml" Id="R0553f8261232420e" /><Relationship Type="http://schemas.openxmlformats.org/officeDocument/2006/relationships/worksheet" Target="/xl/worksheets/sheet43.xml" Id="Rf78c2190352f433c" /><Relationship Type="http://schemas.openxmlformats.org/officeDocument/2006/relationships/worksheet" Target="/xl/worksheets/sheet44.xml" Id="Ra7eb3f25d01b4be8" /><Relationship Type="http://schemas.openxmlformats.org/officeDocument/2006/relationships/worksheet" Target="/xl/worksheets/sheet45.xml" Id="R415eb744467d4b4a" /><Relationship Type="http://schemas.openxmlformats.org/officeDocument/2006/relationships/worksheet" Target="/xl/worksheets/sheet46.xml" Id="Rf3206bf7cf304d8d" /><Relationship Type="http://schemas.openxmlformats.org/officeDocument/2006/relationships/worksheet" Target="/xl/worksheets/sheet47.xml" Id="R0dd28ff7795b4ba4" /><Relationship Type="http://schemas.openxmlformats.org/officeDocument/2006/relationships/worksheet" Target="/xl/worksheets/sheet48.xml" Id="Rbb23af004a94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20"/>
  <x:cols>
    <x:col min="1" max="1" width="30" customWidth="1"/>
    <x:col min="2" max="2" width="6.6640625" customWidth="1"/>
    <x:col min="3" max="3" width="18" customWidth="1"/>
    <x:col min="4" max="4" width="16" customWidth="1"/>
    <x:col min="5" max="5" width="14" customWidth="1"/>
    <x:col min="6" max="6" width="16" customWidth="1"/>
    <x:col min="7" max="15" width="10" customWidth="1"/>
    <x:col min="16" max="16" width="24" customWidth="1"/>
    <x:col min="17" max="28" width="10" customWidth="1"/>
  </x:cols>
  <x:sheetData>
    <x:row r="1" ht="20" customHeight="1">
      <x:c r="A1" s="183" t="inlineStr">
        <x:is>
          <x:t xml:space="preserve">District</x:t>
        </x:is>
      </x:c>
      <x:c r="B1" s="183" t="inlineStr">
        <x:is>
          <x:t xml:space="preserve">State</x:t>
        </x:is>
      </x:c>
      <x:c r="C1" s="183" t="inlineStr">
        <x:is>
          <x:t xml:space="preserve">Education Level</x:t>
        </x:is>
      </x:c>
      <x:c r="D1" s="183" t="inlineStr">
        <x:is>
          <x:t xml:space="preserve">Years Experience</x:t>
        </x:is>
      </x:c>
      <x:c r="E1" s="183" t="inlineStr">
        <x:is>
          <x:t xml:space="preserve">Salary</x:t>
        </x:is>
      </x:c>
      <x:c r="F1" s="184" t="inlineStr">
        <x:is>
          <x:t xml:space="preserve">Last Verified</x:t>
        </x:is>
      </x:c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0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Bachelor's</x:t>
        </x:is>
      </x:c>
      <x:c r="D2" s="13" t="n">
        <x:v>0</x:v>
      </x:c>
      <x:c r="E2" s="14" t="n">
        <x:v>66500</x:v>
      </x:c>
      <x:c r="F2" s="83" t="str">
        <x:v>2026-06-17</x:v>
      </x:c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0" customHeight="1">
      <x:c r="A3" s="12" t="inlineStr">
        <x:is>
          <x:t xml:space="preserve">Alief ISD</x:t>
        </x:is>
      </x:c>
      <x:c r="B3" s="12" t="inlineStr">
        <x:is>
          <x:t xml:space="preserve">TX</x:t>
        </x:is>
      </x:c>
      <x:c r="C3" s="12" t="inlineStr">
        <x:is>
          <x:t xml:space="preserve">Bachelor's</x:t>
        </x:is>
      </x:c>
      <x:c r="D3" s="13" t="n">
        <x:v>1</x:v>
      </x:c>
      <x:c r="E3" s="14" t="n">
        <x:v>66750</x:v>
      </x:c>
      <x:c r="F3" s="83" t="str">
        <x:v>2026-06-17</x:v>
      </x:c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0" customHeight="1">
      <x:c r="A4" s="12" t="inlineStr">
        <x:is>
          <x:t xml:space="preserve">Alief ISD</x:t>
        </x:is>
      </x:c>
      <x:c r="B4" s="12" t="inlineStr">
        <x:is>
          <x:t xml:space="preserve">TX</x:t>
        </x:is>
      </x:c>
      <x:c r="C4" s="12" t="inlineStr">
        <x:is>
          <x:t xml:space="preserve">Bachelor's</x:t>
        </x:is>
      </x:c>
      <x:c r="D4" s="13" t="n">
        <x:v>2</x:v>
      </x:c>
      <x:c r="E4" s="14" t="n">
        <x:v>67000</x:v>
      </x:c>
      <x:c r="F4" s="83" t="str">
        <x:v>2026-06-17</x:v>
      </x:c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0" customHeight="1">
      <x:c r="A5" s="12" t="inlineStr">
        <x:is>
          <x:t xml:space="preserve">Alief ISD</x:t>
        </x:is>
      </x:c>
      <x:c r="B5" s="12" t="inlineStr">
        <x:is>
          <x:t xml:space="preserve">TX</x:t>
        </x:is>
      </x:c>
      <x:c r="C5" s="12" t="inlineStr">
        <x:is>
          <x:t xml:space="preserve">Bachelor's</x:t>
        </x:is>
      </x:c>
      <x:c r="D5" s="13" t="n">
        <x:v>3</x:v>
      </x:c>
      <x:c r="E5" s="14" t="n">
        <x:v>67350</x:v>
      </x:c>
      <x:c r="F5" s="83" t="str">
        <x:v>2026-06-17</x:v>
      </x:c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0" customHeight="1">
      <x:c r="A6" s="12" t="inlineStr">
        <x:is>
          <x:t xml:space="preserve">Alief ISD</x:t>
        </x:is>
      </x:c>
      <x:c r="B6" s="12" t="inlineStr">
        <x:is>
          <x:t xml:space="preserve">TX</x:t>
        </x:is>
      </x:c>
      <x:c r="C6" s="12" t="inlineStr">
        <x:is>
          <x:t xml:space="preserve">Bachelor's</x:t>
        </x:is>
      </x:c>
      <x:c r="D6" s="13" t="n">
        <x:v>4</x:v>
      </x:c>
      <x:c r="E6" s="14" t="n">
        <x:v>67600</x:v>
      </x:c>
      <x:c r="F6" s="83" t="str">
        <x:v>2026-06-17</x:v>
      </x:c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0" customHeight="1">
      <x:c r="A7" s="12" t="inlineStr">
        <x:is>
          <x:t xml:space="preserve">Alief ISD</x:t>
        </x:is>
      </x:c>
      <x:c r="B7" s="12" t="inlineStr">
        <x:is>
          <x:t xml:space="preserve">TX</x:t>
        </x:is>
      </x:c>
      <x:c r="C7" s="12" t="inlineStr">
        <x:is>
          <x:t xml:space="preserve">Bachelor's</x:t>
        </x:is>
      </x:c>
      <x:c r="D7" s="13" t="n">
        <x:v>5</x:v>
      </x:c>
      <x:c r="E7" s="14" t="n">
        <x:v>70350</x:v>
      </x:c>
      <x:c r="F7" s="83" t="str">
        <x:v>2026-06-17</x:v>
      </x:c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0" customHeight="1">
      <x:c r="A8" s="12" t="inlineStr">
        <x:is>
          <x:t xml:space="preserve">Alief ISD</x:t>
        </x:is>
      </x:c>
      <x:c r="B8" s="12" t="inlineStr">
        <x:is>
          <x:t xml:space="preserve">TX</x:t>
        </x:is>
      </x:c>
      <x:c r="C8" s="12" t="inlineStr">
        <x:is>
          <x:t xml:space="preserve">Bachelor's</x:t>
        </x:is>
      </x:c>
      <x:c r="D8" s="13" t="n">
        <x:v>6</x:v>
      </x:c>
      <x:c r="E8" s="14" t="n">
        <x:v>70600</x:v>
      </x:c>
      <x:c r="F8" s="83" t="str">
        <x:v>2026-06-17</x:v>
      </x:c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0" customHeight="1">
      <x:c r="A9" s="12" t="inlineStr">
        <x:is>
          <x:t xml:space="preserve">Alief ISD</x:t>
        </x:is>
      </x:c>
      <x:c r="B9" s="12" t="inlineStr">
        <x:is>
          <x:t xml:space="preserve">TX</x:t>
        </x:is>
      </x:c>
      <x:c r="C9" s="12" t="inlineStr">
        <x:is>
          <x:t xml:space="preserve">Bachelor's</x:t>
        </x:is>
      </x:c>
      <x:c r="D9" s="13" t="n">
        <x:v>7</x:v>
      </x:c>
      <x:c r="E9" s="14" t="n">
        <x:v>70850</x:v>
      </x:c>
      <x:c r="F9" s="83" t="str">
        <x:v>2026-06-17</x:v>
      </x:c>
      <x:c r="G9" s="7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0" customHeight="1">
      <x:c r="A10" s="12" t="inlineStr">
        <x:is>
          <x:t xml:space="preserve">Alief ISD</x:t>
        </x:is>
      </x:c>
      <x:c r="B10" s="12" t="inlineStr">
        <x:is>
          <x:t xml:space="preserve">TX</x:t>
        </x:is>
      </x:c>
      <x:c r="C10" s="12" t="inlineStr">
        <x:is>
          <x:t xml:space="preserve">Bachelor's</x:t>
        </x:is>
      </x:c>
      <x:c r="D10" s="13" t="n">
        <x:v>8</x:v>
      </x:c>
      <x:c r="E10" s="14" t="n">
        <x:v>71100</x:v>
      </x:c>
      <x:c r="F10" s="83" t="str">
        <x:v>2026-06-17</x:v>
      </x:c>
      <x:c r="G10" s="7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0" customHeight="1">
      <x:c r="A11" s="12" t="inlineStr">
        <x:is>
          <x:t xml:space="preserve">Alief ISD</x:t>
        </x:is>
      </x:c>
      <x:c r="B11" s="12" t="inlineStr">
        <x:is>
          <x:t xml:space="preserve">TX</x:t>
        </x:is>
      </x:c>
      <x:c r="C11" s="12" t="inlineStr">
        <x:is>
          <x:t xml:space="preserve">Bachelor's</x:t>
        </x:is>
      </x:c>
      <x:c r="D11" s="13" t="n">
        <x:v>9</x:v>
      </x:c>
      <x:c r="E11" s="14" t="n">
        <x:v>71350</x:v>
      </x:c>
      <x:c r="F11" s="83" t="str">
        <x:v>2026-06-17</x:v>
      </x:c>
      <x:c r="G11" s="7" t="n"/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0" customHeight="1">
      <x:c r="A12" s="12" t="inlineStr">
        <x:is>
          <x:t xml:space="preserve">Alief ISD</x:t>
        </x:is>
      </x:c>
      <x:c r="B12" s="12" t="inlineStr">
        <x:is>
          <x:t xml:space="preserve">TX</x:t>
        </x:is>
      </x:c>
      <x:c r="C12" s="12" t="inlineStr">
        <x:is>
          <x:t xml:space="preserve">Bachelor's</x:t>
        </x:is>
      </x:c>
      <x:c r="D12" s="13" t="n">
        <x:v>10</x:v>
      </x:c>
      <x:c r="E12" s="14" t="n">
        <x:v>71600</x:v>
      </x:c>
      <x:c r="F12" s="83" t="str">
        <x:v>2026-06-17</x:v>
      </x:c>
      <x:c r="G12" s="7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0" customHeight="1">
      <x:c r="A13" s="12" t="inlineStr">
        <x:is>
          <x:t xml:space="preserve">Alief ISD</x:t>
        </x:is>
      </x:c>
      <x:c r="B13" s="12" t="inlineStr">
        <x:is>
          <x:t xml:space="preserve">TX</x:t>
        </x:is>
      </x:c>
      <x:c r="C13" s="12" t="inlineStr">
        <x:is>
          <x:t xml:space="preserve">Master's</x:t>
        </x:is>
      </x:c>
      <x:c r="D13" s="13" t="n">
        <x:v>0</x:v>
      </x:c>
      <x:c r="E13" s="14" t="n">
        <x:v>67000</x:v>
      </x:c>
      <x:c r="F13" s="83" t="str">
        <x:v>2026-06-17</x:v>
      </x:c>
      <x:c r="G13" s="7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0" customHeight="1">
      <x:c r="A14" s="12" t="inlineStr">
        <x:is>
          <x:t xml:space="preserve">Alief ISD</x:t>
        </x:is>
      </x:c>
      <x:c r="B14" s="12" t="inlineStr">
        <x:is>
          <x:t xml:space="preserve">TX</x:t>
        </x:is>
      </x:c>
      <x:c r="C14" s="12" t="inlineStr">
        <x:is>
          <x:t xml:space="preserve">Master's</x:t>
        </x:is>
      </x:c>
      <x:c r="D14" s="13" t="n">
        <x:v>1</x:v>
      </x:c>
      <x:c r="E14" s="14" t="n">
        <x:v>67250</x:v>
      </x:c>
      <x:c r="F14" s="83" t="str">
        <x:v>2026-06-17</x:v>
      </x:c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0" customHeight="1">
      <x:c r="A15" s="12" t="inlineStr">
        <x:is>
          <x:t xml:space="preserve">Alief ISD</x:t>
        </x:is>
      </x:c>
      <x:c r="B15" s="12" t="inlineStr">
        <x:is>
          <x:t xml:space="preserve">TX</x:t>
        </x:is>
      </x:c>
      <x:c r="C15" s="12" t="inlineStr">
        <x:is>
          <x:t xml:space="preserve">Master's</x:t>
        </x:is>
      </x:c>
      <x:c r="D15" s="13" t="n">
        <x:v>2</x:v>
      </x:c>
      <x:c r="E15" s="14" t="n">
        <x:v>67500</x:v>
      </x:c>
      <x:c r="F15" s="83" t="str">
        <x:v>2026-06-17</x:v>
      </x:c>
      <x:c r="G15" s="7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0" customHeight="1">
      <x:c r="A16" s="12" t="inlineStr">
        <x:is>
          <x:t xml:space="preserve">Alief ISD</x:t>
        </x:is>
      </x:c>
      <x:c r="B16" s="12" t="inlineStr">
        <x:is>
          <x:t xml:space="preserve">TX</x:t>
        </x:is>
      </x:c>
      <x:c r="C16" s="12" t="inlineStr">
        <x:is>
          <x:t xml:space="preserve">Master's</x:t>
        </x:is>
      </x:c>
      <x:c r="D16" s="13" t="n">
        <x:v>3</x:v>
      </x:c>
      <x:c r="E16" s="14" t="n">
        <x:v>67850</x:v>
      </x:c>
      <x:c r="F16" s="83" t="str">
        <x:v>2026-06-17</x:v>
      </x:c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0" customHeight="1">
      <x:c r="A17" s="12" t="inlineStr">
        <x:is>
          <x:t xml:space="preserve">Alief ISD</x:t>
        </x:is>
      </x:c>
      <x:c r="B17" s="12" t="inlineStr">
        <x:is>
          <x:t xml:space="preserve">TX</x:t>
        </x:is>
      </x:c>
      <x:c r="C17" s="12" t="inlineStr">
        <x:is>
          <x:t xml:space="preserve">Master's</x:t>
        </x:is>
      </x:c>
      <x:c r="D17" s="13" t="n">
        <x:v>4</x:v>
      </x:c>
      <x:c r="E17" s="14" t="n">
        <x:v>68100</x:v>
      </x:c>
      <x:c r="F17" s="83" t="str">
        <x:v>2026-06-17</x:v>
      </x:c>
      <x:c r="G17" s="7" t="n"/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0" customHeight="1">
      <x:c r="A18" s="12" t="inlineStr">
        <x:is>
          <x:t xml:space="preserve">Alief ISD</x:t>
        </x:is>
      </x:c>
      <x:c r="B18" s="12" t="inlineStr">
        <x:is>
          <x:t xml:space="preserve">TX</x:t>
        </x:is>
      </x:c>
      <x:c r="C18" s="12" t="inlineStr">
        <x:is>
          <x:t xml:space="preserve">Master's</x:t>
        </x:is>
      </x:c>
      <x:c r="D18" s="13" t="n">
        <x:v>5</x:v>
      </x:c>
      <x:c r="E18" s="14" t="n">
        <x:v>70850</x:v>
      </x:c>
      <x:c r="F18" s="83" t="str">
        <x:v>2026-06-17</x:v>
      </x:c>
      <x:c r="G18" s="7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0" customHeight="1">
      <x:c r="A19" s="12" t="inlineStr">
        <x:is>
          <x:t xml:space="preserve">Alief ISD</x:t>
        </x:is>
      </x:c>
      <x:c r="B19" s="12" t="inlineStr">
        <x:is>
          <x:t xml:space="preserve">TX</x:t>
        </x:is>
      </x:c>
      <x:c r="C19" s="12" t="inlineStr">
        <x:is>
          <x:t xml:space="preserve">Master's</x:t>
        </x:is>
      </x:c>
      <x:c r="D19" s="13" t="n">
        <x:v>6</x:v>
      </x:c>
      <x:c r="E19" s="14" t="n">
        <x:v>71100</x:v>
      </x:c>
      <x:c r="F19" s="83" t="str">
        <x:v>2026-06-17</x:v>
      </x:c>
      <x:c r="G19" s="7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0" customHeight="1">
      <x:c r="A20" s="12" t="inlineStr">
        <x:is>
          <x:t xml:space="preserve">Alief ISD</x:t>
        </x:is>
      </x:c>
      <x:c r="B20" s="12" t="inlineStr">
        <x:is>
          <x:t xml:space="preserve">TX</x:t>
        </x:is>
      </x:c>
      <x:c r="C20" s="12" t="inlineStr">
        <x:is>
          <x:t xml:space="preserve">Master's</x:t>
        </x:is>
      </x:c>
      <x:c r="D20" s="13" t="n">
        <x:v>7</x:v>
      </x:c>
      <x:c r="E20" s="14" t="n">
        <x:v>71350</x:v>
      </x:c>
      <x:c r="F20" s="83" t="str">
        <x:v>2026-06-17</x:v>
      </x:c>
      <x:c r="G20" s="7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0" customHeight="1">
      <x:c r="A21" s="12" t="inlineStr">
        <x:is>
          <x:t xml:space="preserve">Alief ISD</x:t>
        </x:is>
      </x:c>
      <x:c r="B21" s="12" t="inlineStr">
        <x:is>
          <x:t xml:space="preserve">TX</x:t>
        </x:is>
      </x:c>
      <x:c r="C21" s="12" t="inlineStr">
        <x:is>
          <x:t xml:space="preserve">Master's</x:t>
        </x:is>
      </x:c>
      <x:c r="D21" s="13" t="n">
        <x:v>8</x:v>
      </x:c>
      <x:c r="E21" s="14" t="n">
        <x:v>71600</x:v>
      </x:c>
      <x:c r="F21" s="83" t="str">
        <x:v>2026-06-17</x:v>
      </x:c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0" customHeight="1">
      <x:c r="A22" s="12" t="inlineStr">
        <x:is>
          <x:t xml:space="preserve">Alief ISD</x:t>
        </x:is>
      </x:c>
      <x:c r="B22" s="12" t="inlineStr">
        <x:is>
          <x:t xml:space="preserve">TX</x:t>
        </x:is>
      </x:c>
      <x:c r="C22" s="12" t="inlineStr">
        <x:is>
          <x:t xml:space="preserve">Master's</x:t>
        </x:is>
      </x:c>
      <x:c r="D22" s="13" t="n">
        <x:v>9</x:v>
      </x:c>
      <x:c r="E22" s="14" t="n">
        <x:v>71850</x:v>
      </x:c>
      <x:c r="F22" s="83" t="str">
        <x:v>2026-06-17</x:v>
      </x:c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0" customHeight="1">
      <x:c r="A23" s="12" t="inlineStr">
        <x:is>
          <x:t xml:space="preserve">Alief ISD</x:t>
        </x:is>
      </x:c>
      <x:c r="B23" s="12" t="inlineStr">
        <x:is>
          <x:t xml:space="preserve">TX</x:t>
        </x:is>
      </x:c>
      <x:c r="C23" s="12" t="inlineStr">
        <x:is>
          <x:t xml:space="preserve">Master's</x:t>
        </x:is>
      </x:c>
      <x:c r="D23" s="13" t="n">
        <x:v>10</x:v>
      </x:c>
      <x:c r="E23" s="14" t="n">
        <x:v>72100</x:v>
      </x:c>
      <x:c r="F23" s="83" t="str">
        <x:v>2026-06-17</x:v>
      </x:c>
      <x:c r="G23" s="7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0" customHeight="1">
      <x:c r="A24" s="12" t="inlineStr">
        <x:is>
          <x:t xml:space="preserve">Arcadia Unified School District</x:t>
        </x:is>
      </x:c>
      <x:c r="B24" s="12" t="inlineStr">
        <x:is>
          <x:t xml:space="preserve">CA</x:t>
        </x:is>
      </x:c>
      <x:c r="C24" s="12" t="inlineStr">
        <x:is>
          <x:t xml:space="preserve">Bachelor's</x:t>
        </x:is>
      </x:c>
      <x:c r="D24" s="13" t="n">
        <x:v>0</x:v>
      </x:c>
      <x:c r="E24" s="14" t="n">
        <x:v>78277</x:v>
      </x:c>
      <x:c r="F24" s="83" t="inlineStr">
        <x:is>
          <x:t xml:space="preserve">2026-06-11</x:t>
        </x:is>
      </x:c>
      <x:c r="G24" s="7" t="n"/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0" customHeight="1">
      <x:c r="A25" s="12" t="inlineStr">
        <x:is>
          <x:t xml:space="preserve">Arcadia Unified School District</x:t>
        </x:is>
      </x:c>
      <x:c r="B25" s="12" t="inlineStr">
        <x:is>
          <x:t xml:space="preserve">CA</x:t>
        </x:is>
      </x:c>
      <x:c r="C25" s="12" t="inlineStr">
        <x:is>
          <x:t xml:space="preserve">Bachelor's</x:t>
        </x:is>
      </x:c>
      <x:c r="D25" s="13" t="n">
        <x:v>1</x:v>
      </x:c>
      <x:c r="E25" s="14" t="n">
        <x:v>78277</x:v>
      </x:c>
      <x:c r="F25" s="83" t="inlineStr">
        <x:is>
          <x:t xml:space="preserve">2026-06-11</x:t>
        </x:is>
      </x:c>
      <x:c r="G25" s="7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0" customHeight="1">
      <x:c r="A26" s="12" t="inlineStr">
        <x:is>
          <x:t xml:space="preserve">Arcadia Unified School District</x:t>
        </x:is>
      </x:c>
      <x:c r="B26" s="12" t="inlineStr">
        <x:is>
          <x:t xml:space="preserve">CA</x:t>
        </x:is>
      </x:c>
      <x:c r="C26" s="12" t="inlineStr">
        <x:is>
          <x:t xml:space="preserve">Bachelor's</x:t>
        </x:is>
      </x:c>
      <x:c r="D26" s="13" t="n">
        <x:v>2</x:v>
      </x:c>
      <x:c r="E26" s="14" t="n">
        <x:v>78277</x:v>
      </x:c>
      <x:c r="F26" s="83" t="inlineStr">
        <x:is>
          <x:t xml:space="preserve">2026-06-11</x:t>
        </x:is>
      </x:c>
      <x:c r="G26" s="7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0" customHeight="1">
      <x:c r="A27" s="12" t="inlineStr">
        <x:is>
          <x:t xml:space="preserve">Arcadia Unified School District</x:t>
        </x:is>
      </x:c>
      <x:c r="B27" s="12" t="inlineStr">
        <x:is>
          <x:t xml:space="preserve">CA</x:t>
        </x:is>
      </x:c>
      <x:c r="C27" s="12" t="inlineStr">
        <x:is>
          <x:t xml:space="preserve">Bachelor's</x:t>
        </x:is>
      </x:c>
      <x:c r="D27" s="13" t="n">
        <x:v>3</x:v>
      </x:c>
      <x:c r="E27" s="14" t="n">
        <x:v>79313</x:v>
      </x:c>
      <x:c r="F27" s="83" t="inlineStr">
        <x:is>
          <x:t xml:space="preserve">2026-06-11</x:t>
        </x:is>
      </x:c>
      <x:c r="G27" s="7" t="n"/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0" customHeight="1">
      <x:c r="A28" s="12" t="inlineStr">
        <x:is>
          <x:t xml:space="preserve">Arcadia Unified School District</x:t>
        </x:is>
      </x:c>
      <x:c r="B28" s="12" t="inlineStr">
        <x:is>
          <x:t xml:space="preserve">CA</x:t>
        </x:is>
      </x:c>
      <x:c r="C28" s="12" t="inlineStr">
        <x:is>
          <x:t xml:space="preserve">Bachelor's</x:t>
        </x:is>
      </x:c>
      <x:c r="D28" s="13" t="n">
        <x:v>4</x:v>
      </x:c>
      <x:c r="E28" s="14" t="n">
        <x:v>83055</x:v>
      </x:c>
      <x:c r="F28" s="83" t="inlineStr">
        <x:is>
          <x:t xml:space="preserve">2026-06-11</x:t>
        </x:is>
      </x:c>
      <x:c r="G28" s="7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0" customHeight="1">
      <x:c r="A29" s="12" t="inlineStr">
        <x:is>
          <x:t xml:space="preserve">Arcadia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Bachelor's</x:t>
        </x:is>
      </x:c>
      <x:c r="D29" s="13" t="n">
        <x:v>5</x:v>
      </x:c>
      <x:c r="E29" s="14" t="n">
        <x:v>86800</x:v>
      </x:c>
      <x:c r="F29" s="83" t="inlineStr">
        <x:is>
          <x:t xml:space="preserve">2026-06-11</x:t>
        </x:is>
      </x:c>
      <x:c r="G29" s="7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0" customHeight="1">
      <x:c r="A30" s="12" t="inlineStr">
        <x:is>
          <x:t xml:space="preserve">Arcadia Unified School District</x:t>
        </x:is>
      </x:c>
      <x:c r="B30" s="12" t="inlineStr">
        <x:is>
          <x:t xml:space="preserve">CA</x:t>
        </x:is>
      </x:c>
      <x:c r="C30" s="12" t="inlineStr">
        <x:is>
          <x:t xml:space="preserve">Bachelor's</x:t>
        </x:is>
      </x:c>
      <x:c r="D30" s="13" t="n">
        <x:v>6</x:v>
      </x:c>
      <x:c r="E30" s="14" t="n">
        <x:v>90887</x:v>
      </x:c>
      <x:c r="F30" s="83" t="inlineStr">
        <x:is>
          <x:t xml:space="preserve">2026-06-11</x:t>
        </x:is>
      </x:c>
      <x:c r="G30" s="7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0" customHeight="1">
      <x:c r="A31" s="12" t="inlineStr">
        <x:is>
          <x:t xml:space="preserve">Arcadia Unified School District</x:t>
        </x:is>
      </x:c>
      <x:c r="B31" s="12" t="inlineStr">
        <x:is>
          <x:t xml:space="preserve">CA</x:t>
        </x:is>
      </x:c>
      <x:c r="C31" s="12" t="inlineStr">
        <x:is>
          <x:t xml:space="preserve">Bachelor's</x:t>
        </x:is>
      </x:c>
      <x:c r="D31" s="13" t="n">
        <x:v>7</x:v>
      </x:c>
      <x:c r="E31" s="14" t="n">
        <x:v>94974</x:v>
      </x:c>
      <x:c r="F31" s="83" t="inlineStr">
        <x:is>
          <x:t xml:space="preserve">2026-06-11</x:t>
        </x:is>
      </x:c>
      <x:c r="G31" s="7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0" customHeight="1">
      <x:c r="A32" s="12" t="inlineStr">
        <x:is>
          <x:t xml:space="preserve">Arcadia Unified School District</x:t>
        </x:is>
      </x:c>
      <x:c r="B32" s="12" t="inlineStr">
        <x:is>
          <x:t xml:space="preserve">CA</x:t>
        </x:is>
      </x:c>
      <x:c r="C32" s="12" t="inlineStr">
        <x:is>
          <x:t xml:space="preserve">Bachelor's</x:t>
        </x:is>
      </x:c>
      <x:c r="D32" s="13" t="n">
        <x:v>8</x:v>
      </x:c>
      <x:c r="E32" s="14" t="n">
        <x:v>99057</x:v>
      </x:c>
      <x:c r="F32" s="83" t="inlineStr">
        <x:is>
          <x:t xml:space="preserve">2026-06-11</x:t>
        </x:is>
      </x:c>
      <x:c r="G32" s="7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0" customHeight="1">
      <x:c r="A33" s="12" t="inlineStr">
        <x:is>
          <x:t xml:space="preserve">Arcadia Unified School District</x:t>
        </x:is>
      </x:c>
      <x:c r="B33" s="12" t="inlineStr">
        <x:is>
          <x:t xml:space="preserve">CA</x:t>
        </x:is>
      </x:c>
      <x:c r="C33" s="12" t="inlineStr">
        <x:is>
          <x:t xml:space="preserve">Bachelor's</x:t>
        </x:is>
      </x:c>
      <x:c r="D33" s="13" t="n">
        <x:v>9</x:v>
      </x:c>
      <x:c r="E33" s="14" t="n">
        <x:v>99057</x:v>
      </x:c>
      <x:c r="F33" s="83" t="inlineStr">
        <x:is>
          <x:t xml:space="preserve">2026-06-11</x:t>
        </x:is>
      </x:c>
      <x:c r="G33" s="7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0" customHeight="1">
      <x:c r="A34" s="12" t="inlineStr">
        <x:is>
          <x:t xml:space="preserve">Arcadia Unified School District</x:t>
        </x:is>
      </x:c>
      <x:c r="B34" s="12" t="inlineStr">
        <x:is>
          <x:t xml:space="preserve">CA</x:t>
        </x:is>
      </x:c>
      <x:c r="C34" s="12" t="inlineStr">
        <x:is>
          <x:t xml:space="preserve">Bachelor's</x:t>
        </x:is>
      </x:c>
      <x:c r="D34" s="13" t="n">
        <x:v>10</x:v>
      </x:c>
      <x:c r="E34" s="14" t="n">
        <x:v>99057</x:v>
      </x:c>
      <x:c r="F34" s="83" t="inlineStr">
        <x:is>
          <x:t xml:space="preserve">2026-06-11</x:t>
        </x:is>
      </x:c>
      <x:c r="G34" s="7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0" customHeight="1">
      <x:c r="A35" s="12" t="inlineStr">
        <x:is>
          <x:t xml:space="preserve">Arcadia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Master's</x:t>
        </x:is>
      </x:c>
      <x:c r="D35" s="13" t="n">
        <x:v>0</x:v>
      </x:c>
      <x:c r="E35" s="14" t="n">
        <x:v>78277</x:v>
      </x:c>
      <x:c r="F35" s="83" t="inlineStr">
        <x:is>
          <x:t xml:space="preserve">2026-06-11</x:t>
        </x:is>
      </x:c>
      <x:c r="G35" s="7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0" customHeight="1">
      <x:c r="A36" s="12" t="inlineStr">
        <x:is>
          <x:t xml:space="preserve">Arcadia Unified School District</x:t>
        </x:is>
      </x:c>
      <x:c r="B36" s="12" t="inlineStr">
        <x:is>
          <x:t xml:space="preserve">CA</x:t>
        </x:is>
      </x:c>
      <x:c r="C36" s="12" t="inlineStr">
        <x:is>
          <x:t xml:space="preserve">Master's</x:t>
        </x:is>
      </x:c>
      <x:c r="D36" s="13" t="n">
        <x:v>1</x:v>
      </x:c>
      <x:c r="E36" s="14" t="n">
        <x:v>78277</x:v>
      </x:c>
      <x:c r="F36" s="83" t="inlineStr">
        <x:is>
          <x:t xml:space="preserve">2026-06-11</x:t>
        </x:is>
      </x:c>
      <x:c r="G36" s="7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0" customHeight="1">
      <x:c r="A37" s="12" t="inlineStr">
        <x:is>
          <x:t xml:space="preserve">Arcadia Unified School District</x:t>
        </x:is>
      </x:c>
      <x:c r="B37" s="12" t="inlineStr">
        <x:is>
          <x:t xml:space="preserve">CA</x:t>
        </x:is>
      </x:c>
      <x:c r="C37" s="12" t="inlineStr">
        <x:is>
          <x:t xml:space="preserve">Master's</x:t>
        </x:is>
      </x:c>
      <x:c r="D37" s="13" t="n">
        <x:v>2</x:v>
      </x:c>
      <x:c r="E37" s="14" t="n">
        <x:v>78277</x:v>
      </x:c>
      <x:c r="F37" s="83" t="inlineStr">
        <x:is>
          <x:t xml:space="preserve">2026-06-11</x:t>
        </x:is>
      </x:c>
      <x:c r="G37" s="7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0" customHeight="1">
      <x:c r="A38" s="12" t="inlineStr">
        <x:is>
          <x:t xml:space="preserve">Arcadia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Master's</x:t>
        </x:is>
      </x:c>
      <x:c r="D38" s="13" t="n">
        <x:v>3</x:v>
      </x:c>
      <x:c r="E38" s="14" t="n">
        <x:v>79313</x:v>
      </x:c>
      <x:c r="F38" s="83" t="inlineStr">
        <x:is>
          <x:t xml:space="preserve">2026-06-11</x:t>
        </x:is>
      </x:c>
      <x:c r="G38" s="7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0" customHeight="1">
      <x:c r="A39" s="12" t="inlineStr">
        <x:is>
          <x:t xml:space="preserve">Arcadia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Master's</x:t>
        </x:is>
      </x:c>
      <x:c r="D39" s="13" t="n">
        <x:v>4</x:v>
      </x:c>
      <x:c r="E39" s="14" t="n">
        <x:v>83055</x:v>
      </x:c>
      <x:c r="F39" s="83" t="inlineStr">
        <x:is>
          <x:t xml:space="preserve">2026-06-11</x:t>
        </x:is>
      </x:c>
      <x:c r="G39" s="7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0" customHeight="1">
      <x:c r="A40" s="12" t="inlineStr">
        <x:is>
          <x:t xml:space="preserve">Arcadia Unified School District</x:t>
        </x:is>
      </x:c>
      <x:c r="B40" s="12" t="inlineStr">
        <x:is>
          <x:t xml:space="preserve">CA</x:t>
        </x:is>
      </x:c>
      <x:c r="C40" s="12" t="inlineStr">
        <x:is>
          <x:t xml:space="preserve">Master's</x:t>
        </x:is>
      </x:c>
      <x:c r="D40" s="13" t="n">
        <x:v>5</x:v>
      </x:c>
      <x:c r="E40" s="14" t="n">
        <x:v>86800</x:v>
      </x:c>
      <x:c r="F40" s="83" t="inlineStr">
        <x:is>
          <x:t xml:space="preserve">2026-06-11</x:t>
        </x:is>
      </x:c>
      <x:c r="G40" s="7" t="n"/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0" customHeight="1">
      <x:c r="A41" s="12" t="inlineStr">
        <x:is>
          <x:t xml:space="preserve">Arcadia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Master's</x:t>
        </x:is>
      </x:c>
      <x:c r="D41" s="13" t="n">
        <x:v>6</x:v>
      </x:c>
      <x:c r="E41" s="14" t="n">
        <x:v>90887</x:v>
      </x:c>
      <x:c r="F41" s="83" t="inlineStr">
        <x:is>
          <x:t xml:space="preserve">2026-06-11</x:t>
        </x:is>
      </x:c>
      <x:c r="G41" s="7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0" customHeight="1">
      <x:c r="A42" s="12" t="inlineStr">
        <x:is>
          <x:t xml:space="preserve">Arcadia Unified School District</x:t>
        </x:is>
      </x:c>
      <x:c r="B42" s="12" t="inlineStr">
        <x:is>
          <x:t xml:space="preserve">CA</x:t>
        </x:is>
      </x:c>
      <x:c r="C42" s="12" t="inlineStr">
        <x:is>
          <x:t xml:space="preserve">Master's</x:t>
        </x:is>
      </x:c>
      <x:c r="D42" s="13" t="n">
        <x:v>7</x:v>
      </x:c>
      <x:c r="E42" s="14" t="n">
        <x:v>94974</x:v>
      </x:c>
      <x:c r="F42" s="83" t="inlineStr">
        <x:is>
          <x:t xml:space="preserve">2026-06-11</x:t>
        </x:is>
      </x:c>
      <x:c r="G42" s="7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0" customHeight="1">
      <x:c r="A43" s="12" t="inlineStr">
        <x:is>
          <x:t xml:space="preserve">Arcadia Unified School District</x:t>
        </x:is>
      </x:c>
      <x:c r="B43" s="12" t="inlineStr">
        <x:is>
          <x:t xml:space="preserve">CA</x:t>
        </x:is>
      </x:c>
      <x:c r="C43" s="12" t="inlineStr">
        <x:is>
          <x:t xml:space="preserve">Master's</x:t>
        </x:is>
      </x:c>
      <x:c r="D43" s="13" t="n">
        <x:v>8</x:v>
      </x:c>
      <x:c r="E43" s="14" t="n">
        <x:v>99057</x:v>
      </x:c>
      <x:c r="F43" s="83" t="inlineStr">
        <x:is>
          <x:t xml:space="preserve">2026-06-11</x:t>
        </x:is>
      </x:c>
      <x:c r="G43" s="7" t="n"/>
      <x:c r="H43" s="7" t="n"/>
      <x:c r="I43" s="7" t="n"/>
      <x:c r="J43" s="7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  <x:c r="AA43" s="7" t="n"/>
      <x:c r="AB43" s="7" t="n"/>
    </x:row>
    <x:row r="44" ht="20" customHeight="1">
      <x:c r="A44" s="12" t="inlineStr">
        <x:is>
          <x:t xml:space="preserve">Arcadia Unified School District</x:t>
        </x:is>
      </x:c>
      <x:c r="B44" s="12" t="inlineStr">
        <x:is>
          <x:t xml:space="preserve">CA</x:t>
        </x:is>
      </x:c>
      <x:c r="C44" s="12" t="inlineStr">
        <x:is>
          <x:t xml:space="preserve">Master's</x:t>
        </x:is>
      </x:c>
      <x:c r="D44" s="13" t="n">
        <x:v>9</x:v>
      </x:c>
      <x:c r="E44" s="14" t="n">
        <x:v>99057</x:v>
      </x:c>
      <x:c r="F44" s="83" t="inlineStr">
        <x:is>
          <x:t xml:space="preserve">2026-06-11</x:t>
        </x:is>
      </x:c>
      <x:c r="G44" s="7" t="n"/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  <x:c r="AA44" s="7" t="n"/>
      <x:c r="AB44" s="7" t="n"/>
    </x:row>
    <x:row r="45" ht="20" customHeight="1">
      <x:c r="A45" s="12" t="inlineStr">
        <x:is>
          <x:t xml:space="preserve">Arcadia Unified School District</x:t>
        </x:is>
      </x:c>
      <x:c r="B45" s="12" t="inlineStr">
        <x:is>
          <x:t xml:space="preserve">CA</x:t>
        </x:is>
      </x:c>
      <x:c r="C45" s="12" t="inlineStr">
        <x:is>
          <x:t xml:space="preserve">Master's</x:t>
        </x:is>
      </x:c>
      <x:c r="D45" s="13" t="n">
        <x:v>10</x:v>
      </x:c>
      <x:c r="E45" s="14" t="n">
        <x:v>99057</x:v>
      </x:c>
      <x:c r="F45" s="83" t="inlineStr">
        <x:is>
          <x:t xml:space="preserve">2026-06-11</x:t>
        </x:is>
      </x:c>
      <x:c r="G45" s="7" t="n"/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</x:row>
    <x:row r="46" ht="20" customHeight="1">
      <x:c r="A46" s="12" t="inlineStr">
        <x:is>
          <x:t xml:space="preserve">Austin ISD</x:t>
        </x:is>
      </x:c>
      <x:c r="B46" s="12" t="inlineStr">
        <x:is>
          <x:t xml:space="preserve">TX</x:t>
        </x:is>
      </x:c>
      <x:c r="C46" s="12" t="inlineStr">
        <x:is>
          <x:t xml:space="preserve">Bachelor's</x:t>
        </x:is>
      </x:c>
      <x:c r="D46" s="13" t="n">
        <x:v>0</x:v>
      </x:c>
      <x:c r="E46" s="14" t="n">
        <x:v>60600</x:v>
      </x:c>
      <x:c r="F46" s="83" t="inlineStr">
        <x:is>
          <x:t xml:space="preserve">2026-06-10</x:t>
        </x:is>
      </x:c>
      <x:c r="G46" s="7" t="n"/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  <x:c r="AA46" s="7" t="n"/>
      <x:c r="AB46" s="7" t="n"/>
    </x:row>
    <x:row r="47" ht="20" customHeight="1">
      <x:c r="A47" s="12" t="inlineStr">
        <x:is>
          <x:t xml:space="preserve">Austin ISD</x:t>
        </x:is>
      </x:c>
      <x:c r="B47" s="12" t="inlineStr">
        <x:is>
          <x:t xml:space="preserve">TX</x:t>
        </x:is>
      </x:c>
      <x:c r="C47" s="12" t="inlineStr">
        <x:is>
          <x:t xml:space="preserve">Bachelor's</x:t>
        </x:is>
      </x:c>
      <x:c r="D47" s="13" t="n">
        <x:v>1</x:v>
      </x:c>
      <x:c r="E47" s="14" t="n">
        <x:v>61420</x:v>
      </x:c>
      <x:c r="F47" s="83" t="inlineStr">
        <x:is>
          <x:t xml:space="preserve">2026-06-10</x:t>
        </x:is>
      </x:c>
      <x:c r="G47" s="7" t="n"/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</x:row>
    <x:row r="48" ht="20" customHeight="1">
      <x:c r="A48" s="12" t="inlineStr">
        <x:is>
          <x:t xml:space="preserve">Austin ISD</x:t>
        </x:is>
      </x:c>
      <x:c r="B48" s="12" t="inlineStr">
        <x:is>
          <x:t xml:space="preserve">TX</x:t>
        </x:is>
      </x:c>
      <x:c r="C48" s="12" t="inlineStr">
        <x:is>
          <x:t xml:space="preserve">Bachelor's</x:t>
        </x:is>
      </x:c>
      <x:c r="D48" s="13" t="n">
        <x:v>2</x:v>
      </x:c>
      <x:c r="E48" s="14" t="n">
        <x:v>62240</x:v>
      </x:c>
      <x:c r="F48" s="83" t="inlineStr">
        <x:is>
          <x:t xml:space="preserve">2026-06-10</x:t>
        </x:is>
      </x:c>
      <x:c r="G48" s="7" t="n"/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  <x:c r="AA48" s="7" t="n"/>
      <x:c r="AB48" s="7" t="n"/>
    </x:row>
    <x:row r="49" ht="20" customHeight="1">
      <x:c r="A49" s="12" t="inlineStr">
        <x:is>
          <x:t xml:space="preserve">Austin ISD</x:t>
        </x:is>
      </x:c>
      <x:c r="B49" s="12" t="inlineStr">
        <x:is>
          <x:t xml:space="preserve">TX</x:t>
        </x:is>
      </x:c>
      <x:c r="C49" s="12" t="inlineStr">
        <x:is>
          <x:t xml:space="preserve">Bachelor's</x:t>
        </x:is>
      </x:c>
      <x:c r="D49" s="13" t="n">
        <x:v>3</x:v>
      </x:c>
      <x:c r="E49" s="14" t="n">
        <x:v>63060</x:v>
      </x:c>
      <x:c r="F49" s="83" t="inlineStr">
        <x:is>
          <x:t xml:space="preserve">2026-06-10</x:t>
        </x:is>
      </x:c>
      <x:c r="G49" s="7" t="n"/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</x:row>
    <x:row r="50" ht="20" customHeight="1">
      <x:c r="A50" s="12" t="inlineStr">
        <x:is>
          <x:t xml:space="preserve">Austin ISD</x:t>
        </x:is>
      </x:c>
      <x:c r="B50" s="12" t="inlineStr">
        <x:is>
          <x:t xml:space="preserve">TX</x:t>
        </x:is>
      </x:c>
      <x:c r="C50" s="12" t="inlineStr">
        <x:is>
          <x:t xml:space="preserve">Bachelor's</x:t>
        </x:is>
      </x:c>
      <x:c r="D50" s="13" t="n">
        <x:v>4</x:v>
      </x:c>
      <x:c r="E50" s="14" t="n">
        <x:v>63880</x:v>
      </x:c>
      <x:c r="F50" s="83" t="inlineStr">
        <x:is>
          <x:t xml:space="preserve">2026-06-10</x:t>
        </x:is>
      </x:c>
      <x:c r="G50" s="7" t="n"/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  <x:c r="AA50" s="7" t="n"/>
      <x:c r="AB50" s="7" t="n"/>
    </x:row>
    <x:row r="51" ht="20" customHeight="1">
      <x:c r="A51" s="12" t="inlineStr">
        <x:is>
          <x:t xml:space="preserve">Austin ISD</x:t>
        </x:is>
      </x:c>
      <x:c r="B51" s="12" t="inlineStr">
        <x:is>
          <x:t xml:space="preserve">TX</x:t>
        </x:is>
      </x:c>
      <x:c r="C51" s="12" t="inlineStr">
        <x:is>
          <x:t xml:space="preserve">Bachelor's</x:t>
        </x:is>
      </x:c>
      <x:c r="D51" s="13" t="n">
        <x:v>5</x:v>
      </x:c>
      <x:c r="E51" s="14" t="n">
        <x:v>64700</x:v>
      </x:c>
      <x:c r="F51" s="83" t="inlineStr">
        <x:is>
          <x:t xml:space="preserve">2026-06-10</x:t>
        </x:is>
      </x:c>
      <x:c r="G51" s="7" t="n"/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</x:row>
    <x:row r="52" ht="20" customHeight="1">
      <x:c r="A52" s="12" t="inlineStr">
        <x:is>
          <x:t xml:space="preserve">Austin ISD</x:t>
        </x:is>
      </x:c>
      <x:c r="B52" s="12" t="inlineStr">
        <x:is>
          <x:t xml:space="preserve">TX</x:t>
        </x:is>
      </x:c>
      <x:c r="C52" s="12" t="inlineStr">
        <x:is>
          <x:t xml:space="preserve">Bachelor's</x:t>
        </x:is>
      </x:c>
      <x:c r="D52" s="13" t="n">
        <x:v>6</x:v>
      </x:c>
      <x:c r="E52" s="14" t="n">
        <x:v>64760</x:v>
      </x:c>
      <x:c r="F52" s="83" t="inlineStr">
        <x:is>
          <x:t xml:space="preserve">2026-06-10</x:t>
        </x:is>
      </x:c>
      <x:c r="G52" s="7" t="n"/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  <x:c r="AA52" s="7" t="n"/>
      <x:c r="AB52" s="7" t="n"/>
    </x:row>
    <x:row r="53" ht="20" customHeight="1">
      <x:c r="A53" s="12" t="inlineStr">
        <x:is>
          <x:t xml:space="preserve">Austin ISD</x:t>
        </x:is>
      </x:c>
      <x:c r="B53" s="12" t="inlineStr">
        <x:is>
          <x:t xml:space="preserve">TX</x:t>
        </x:is>
      </x:c>
      <x:c r="C53" s="12" t="inlineStr">
        <x:is>
          <x:t xml:space="preserve">Bachelor's</x:t>
        </x:is>
      </x:c>
      <x:c r="D53" s="13" t="n">
        <x:v>7</x:v>
      </x:c>
      <x:c r="E53" s="14" t="n">
        <x:v>64820</x:v>
      </x:c>
      <x:c r="F53" s="83" t="inlineStr">
        <x:is>
          <x:t xml:space="preserve">2026-06-10</x:t>
        </x:is>
      </x:c>
      <x:c r="G53" s="7" t="n"/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</x:row>
    <x:row r="54" ht="20" customHeight="1">
      <x:c r="A54" s="12" t="inlineStr">
        <x:is>
          <x:t xml:space="preserve">Austin ISD</x:t>
        </x:is>
      </x:c>
      <x:c r="B54" s="12" t="inlineStr">
        <x:is>
          <x:t xml:space="preserve">TX</x:t>
        </x:is>
      </x:c>
      <x:c r="C54" s="12" t="inlineStr">
        <x:is>
          <x:t xml:space="preserve">Bachelor's</x:t>
        </x:is>
      </x:c>
      <x:c r="D54" s="13" t="n">
        <x:v>8</x:v>
      </x:c>
      <x:c r="E54" s="14" t="n">
        <x:v>64880</x:v>
      </x:c>
      <x:c r="F54" s="83" t="inlineStr">
        <x:is>
          <x:t xml:space="preserve">2026-06-10</x:t>
        </x:is>
      </x:c>
      <x:c r="G54" s="7" t="n"/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  <x:c r="AA54" s="7" t="n"/>
      <x:c r="AB54" s="7" t="n"/>
    </x:row>
    <x:row r="55" ht="20" customHeight="1">
      <x:c r="A55" s="12" t="inlineStr">
        <x:is>
          <x:t xml:space="preserve">Austin ISD</x:t>
        </x:is>
      </x:c>
      <x:c r="B55" s="12" t="inlineStr">
        <x:is>
          <x:t xml:space="preserve">TX</x:t>
        </x:is>
      </x:c>
      <x:c r="C55" s="12" t="inlineStr">
        <x:is>
          <x:t xml:space="preserve">Bachelor's</x:t>
        </x:is>
      </x:c>
      <x:c r="D55" s="13" t="n">
        <x:v>9</x:v>
      </x:c>
      <x:c r="E55" s="14" t="n">
        <x:v>64940</x:v>
      </x:c>
      <x:c r="F55" s="83" t="inlineStr">
        <x:is>
          <x:t xml:space="preserve">2026-06-10</x:t>
        </x:is>
      </x:c>
      <x:c r="G55" s="7" t="n"/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  <x:c r="AA55" s="7" t="n"/>
      <x:c r="AB55" s="7" t="n"/>
    </x:row>
    <x:row r="56" ht="20" customHeight="1">
      <x:c r="A56" s="12" t="inlineStr">
        <x:is>
          <x:t xml:space="preserve">Austin ISD</x:t>
        </x:is>
      </x:c>
      <x:c r="B56" s="12" t="inlineStr">
        <x:is>
          <x:t xml:space="preserve">TX</x:t>
        </x:is>
      </x:c>
      <x:c r="C56" s="12" t="inlineStr">
        <x:is>
          <x:t xml:space="preserve">Bachelor's</x:t>
        </x:is>
      </x:c>
      <x:c r="D56" s="13" t="n">
        <x:v>10</x:v>
      </x:c>
      <x:c r="E56" s="14" t="n">
        <x:v>65000</x:v>
      </x:c>
      <x:c r="F56" s="83" t="inlineStr">
        <x:is>
          <x:t xml:space="preserve">2026-06-10</x:t>
        </x:is>
      </x:c>
      <x:c r="G56" s="7" t="n"/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  <x:c r="AA56" s="7" t="n"/>
      <x:c r="AB56" s="7" t="n"/>
    </x:row>
    <x:row r="57" ht="20" customHeight="1">
      <x:c r="A57" s="12" t="inlineStr">
        <x:is>
          <x:t xml:space="preserve">Austin ISD</x:t>
        </x:is>
      </x:c>
      <x:c r="B57" s="12" t="inlineStr">
        <x:is>
          <x:t xml:space="preserve">TX</x:t>
        </x:is>
      </x:c>
      <x:c r="C57" s="12" t="inlineStr">
        <x:is>
          <x:t xml:space="preserve">Master's</x:t>
        </x:is>
      </x:c>
      <x:c r="D57" s="13" t="n">
        <x:v>0</x:v>
      </x:c>
      <x:c r="E57" s="14" t="n">
        <x:v>60600</x:v>
      </x:c>
      <x:c r="F57" s="83" t="inlineStr">
        <x:is>
          <x:t xml:space="preserve">2026-06-10</x:t>
        </x:is>
      </x:c>
      <x:c r="G57" s="7" t="n"/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  <x:c r="AA57" s="7" t="n"/>
      <x:c r="AB57" s="7" t="n"/>
    </x:row>
    <x:row r="58" ht="20" customHeight="1">
      <x:c r="A58" s="12" t="inlineStr">
        <x:is>
          <x:t xml:space="preserve">Austin ISD</x:t>
        </x:is>
      </x:c>
      <x:c r="B58" s="12" t="inlineStr">
        <x:is>
          <x:t xml:space="preserve">TX</x:t>
        </x:is>
      </x:c>
      <x:c r="C58" s="12" t="inlineStr">
        <x:is>
          <x:t xml:space="preserve">Master's</x:t>
        </x:is>
      </x:c>
      <x:c r="D58" s="13" t="n">
        <x:v>1</x:v>
      </x:c>
      <x:c r="E58" s="14" t="n">
        <x:v>61420</x:v>
      </x:c>
      <x:c r="F58" s="83" t="inlineStr">
        <x:is>
          <x:t xml:space="preserve">2026-06-10</x:t>
        </x:is>
      </x:c>
      <x:c r="G58" s="7" t="n"/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  <x:c r="AA58" s="7" t="n"/>
      <x:c r="AB58" s="7" t="n"/>
    </x:row>
    <x:row r="59" ht="20" customHeight="1">
      <x:c r="A59" s="12" t="inlineStr">
        <x:is>
          <x:t xml:space="preserve">Austin ISD</x:t>
        </x:is>
      </x:c>
      <x:c r="B59" s="12" t="inlineStr">
        <x:is>
          <x:t xml:space="preserve">TX</x:t>
        </x:is>
      </x:c>
      <x:c r="C59" s="12" t="inlineStr">
        <x:is>
          <x:t xml:space="preserve">Master's</x:t>
        </x:is>
      </x:c>
      <x:c r="D59" s="13" t="n">
        <x:v>2</x:v>
      </x:c>
      <x:c r="E59" s="14" t="n">
        <x:v>62240</x:v>
      </x:c>
      <x:c r="F59" s="83" t="inlineStr">
        <x:is>
          <x:t xml:space="preserve">2026-06-10</x:t>
        </x:is>
      </x:c>
      <x:c r="G59" s="7" t="n"/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  <x:c r="AA59" s="7" t="n"/>
      <x:c r="AB59" s="7" t="n"/>
    </x:row>
    <x:row r="60" ht="20" customHeight="1">
      <x:c r="A60" s="12" t="inlineStr">
        <x:is>
          <x:t xml:space="preserve">Austin ISD</x:t>
        </x:is>
      </x:c>
      <x:c r="B60" s="12" t="inlineStr">
        <x:is>
          <x:t xml:space="preserve">TX</x:t>
        </x:is>
      </x:c>
      <x:c r="C60" s="12" t="inlineStr">
        <x:is>
          <x:t xml:space="preserve">Master's</x:t>
        </x:is>
      </x:c>
      <x:c r="D60" s="13" t="n">
        <x:v>3</x:v>
      </x:c>
      <x:c r="E60" s="14" t="n">
        <x:v>63060</x:v>
      </x:c>
      <x:c r="F60" s="83" t="inlineStr">
        <x:is>
          <x:t xml:space="preserve">2026-06-10</x:t>
        </x:is>
      </x:c>
      <x:c r="G60" s="7" t="n"/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  <x:c r="AA60" s="7" t="n"/>
      <x:c r="AB60" s="7" t="n"/>
    </x:row>
    <x:row r="61" ht="20" customHeight="1">
      <x:c r="A61" s="12" t="inlineStr">
        <x:is>
          <x:t xml:space="preserve">Austin ISD</x:t>
        </x:is>
      </x:c>
      <x:c r="B61" s="12" t="inlineStr">
        <x:is>
          <x:t xml:space="preserve">TX</x:t>
        </x:is>
      </x:c>
      <x:c r="C61" s="12" t="inlineStr">
        <x:is>
          <x:t xml:space="preserve">Master's</x:t>
        </x:is>
      </x:c>
      <x:c r="D61" s="13" t="n">
        <x:v>4</x:v>
      </x:c>
      <x:c r="E61" s="14" t="n">
        <x:v>63880</x:v>
      </x:c>
      <x:c r="F61" s="83" t="inlineStr">
        <x:is>
          <x:t xml:space="preserve">2026-06-10</x:t>
        </x:is>
      </x:c>
      <x:c r="G61" s="7" t="n"/>
      <x:c r="H61" s="7" t="n"/>
      <x:c r="I61" s="7" t="n"/>
      <x:c r="J61" s="7" t="n"/>
      <x:c r="K61" s="7" t="n"/>
      <x:c r="L61" s="7" t="n"/>
      <x:c r="M61" s="7" t="n"/>
      <x:c r="N61" s="7" t="n"/>
      <x:c r="O61" s="7" t="n"/>
      <x:c r="P61" s="7" t="n"/>
      <x:c r="Q61" s="7" t="n"/>
      <x:c r="R61" s="7" t="n"/>
      <x:c r="S61" s="7" t="n"/>
      <x:c r="T61" s="7" t="n"/>
      <x:c r="U61" s="7" t="n"/>
      <x:c r="V61" s="7" t="n"/>
      <x:c r="W61" s="7" t="n"/>
      <x:c r="X61" s="7" t="n"/>
      <x:c r="Y61" s="7" t="n"/>
      <x:c r="Z61" s="7" t="n"/>
      <x:c r="AA61" s="7" t="n"/>
      <x:c r="AB61" s="7" t="n"/>
    </x:row>
    <x:row r="62" ht="20" customHeight="1">
      <x:c r="A62" s="12" t="inlineStr">
        <x:is>
          <x:t xml:space="preserve">Austin ISD</x:t>
        </x:is>
      </x:c>
      <x:c r="B62" s="12" t="inlineStr">
        <x:is>
          <x:t xml:space="preserve">TX</x:t>
        </x:is>
      </x:c>
      <x:c r="C62" s="12" t="inlineStr">
        <x:is>
          <x:t xml:space="preserve">Master's</x:t>
        </x:is>
      </x:c>
      <x:c r="D62" s="13" t="n">
        <x:v>5</x:v>
      </x:c>
      <x:c r="E62" s="14" t="n">
        <x:v>64700</x:v>
      </x:c>
      <x:c r="F62" s="83" t="inlineStr">
        <x:is>
          <x:t xml:space="preserve">2026-06-10</x:t>
        </x:is>
      </x:c>
      <x:c r="G62" s="7" t="n"/>
      <x:c r="H62" s="7" t="n"/>
      <x:c r="I62" s="7" t="n"/>
      <x:c r="J62" s="7" t="n"/>
      <x:c r="K62" s="7" t="n"/>
      <x:c r="L62" s="7" t="n"/>
      <x:c r="M62" s="7" t="n"/>
      <x:c r="N62" s="7" t="n"/>
      <x:c r="O62" s="7" t="n"/>
      <x:c r="P62" s="7" t="n"/>
      <x:c r="Q62" s="7" t="n"/>
      <x:c r="R62" s="7" t="n"/>
      <x:c r="S62" s="7" t="n"/>
      <x:c r="T62" s="7" t="n"/>
      <x:c r="U62" s="7" t="n"/>
      <x:c r="V62" s="7" t="n"/>
      <x:c r="W62" s="7" t="n"/>
      <x:c r="X62" s="7" t="n"/>
      <x:c r="Y62" s="7" t="n"/>
      <x:c r="Z62" s="7" t="n"/>
      <x:c r="AA62" s="7" t="n"/>
      <x:c r="AB62" s="7" t="n"/>
    </x:row>
    <x:row r="63" ht="20" customHeight="1">
      <x:c r="A63" s="12" t="inlineStr">
        <x:is>
          <x:t xml:space="preserve">Austin ISD</x:t>
        </x:is>
      </x:c>
      <x:c r="B63" s="12" t="inlineStr">
        <x:is>
          <x:t xml:space="preserve">TX</x:t>
        </x:is>
      </x:c>
      <x:c r="C63" s="12" t="inlineStr">
        <x:is>
          <x:t xml:space="preserve">Master's</x:t>
        </x:is>
      </x:c>
      <x:c r="D63" s="13" t="n">
        <x:v>6</x:v>
      </x:c>
      <x:c r="E63" s="14" t="n">
        <x:v>64760</x:v>
      </x:c>
      <x:c r="F63" s="83" t="inlineStr">
        <x:is>
          <x:t xml:space="preserve">2026-06-10</x:t>
        </x:is>
      </x:c>
      <x:c r="G63" s="7" t="n"/>
      <x:c r="H63" s="7" t="n"/>
      <x:c r="I63" s="7" t="n"/>
      <x:c r="J63" s="7" t="n"/>
      <x:c r="K63" s="7" t="n"/>
      <x:c r="L63" s="7" t="n"/>
      <x:c r="M63" s="7" t="n"/>
      <x:c r="N63" s="7" t="n"/>
      <x:c r="O63" s="7" t="n"/>
      <x:c r="P63" s="7" t="n"/>
      <x:c r="Q63" s="7" t="n"/>
      <x:c r="R63" s="7" t="n"/>
      <x:c r="S63" s="7" t="n"/>
      <x:c r="T63" s="7" t="n"/>
      <x:c r="U63" s="7" t="n"/>
      <x:c r="V63" s="7" t="n"/>
      <x:c r="W63" s="7" t="n"/>
      <x:c r="X63" s="7" t="n"/>
      <x:c r="Y63" s="7" t="n"/>
      <x:c r="Z63" s="7" t="n"/>
      <x:c r="AA63" s="7" t="n"/>
      <x:c r="AB63" s="7" t="n"/>
    </x:row>
    <x:row r="64" ht="20" customHeight="1">
      <x:c r="A64" s="12" t="inlineStr">
        <x:is>
          <x:t xml:space="preserve">Austin ISD</x:t>
        </x:is>
      </x:c>
      <x:c r="B64" s="12" t="inlineStr">
        <x:is>
          <x:t xml:space="preserve">TX</x:t>
        </x:is>
      </x:c>
      <x:c r="C64" s="12" t="inlineStr">
        <x:is>
          <x:t xml:space="preserve">Master's</x:t>
        </x:is>
      </x:c>
      <x:c r="D64" s="13" t="n">
        <x:v>7</x:v>
      </x:c>
      <x:c r="E64" s="14" t="n">
        <x:v>64820</x:v>
      </x:c>
      <x:c r="F64" s="83" t="inlineStr">
        <x:is>
          <x:t xml:space="preserve">2026-06-10</x:t>
        </x:is>
      </x:c>
      <x:c r="G64" s="7" t="n"/>
      <x:c r="H64" s="7" t="n"/>
      <x:c r="I64" s="7" t="n"/>
      <x:c r="J64" s="7" t="n"/>
      <x:c r="K64" s="7" t="n"/>
      <x:c r="L64" s="7" t="n"/>
      <x:c r="M64" s="7" t="n"/>
      <x:c r="N64" s="7" t="n"/>
      <x:c r="O64" s="7" t="n"/>
      <x:c r="P64" s="7" t="n"/>
      <x:c r="Q64" s="7" t="n"/>
      <x:c r="R64" s="7" t="n"/>
      <x:c r="S64" s="7" t="n"/>
      <x:c r="T64" s="7" t="n"/>
      <x:c r="U64" s="7" t="n"/>
      <x:c r="V64" s="7" t="n"/>
      <x:c r="W64" s="7" t="n"/>
      <x:c r="X64" s="7" t="n"/>
      <x:c r="Y64" s="7" t="n"/>
      <x:c r="Z64" s="7" t="n"/>
      <x:c r="AA64" s="7" t="n"/>
      <x:c r="AB64" s="7" t="n"/>
    </x:row>
    <x:row r="65" ht="20" customHeight="1">
      <x:c r="A65" s="12" t="inlineStr">
        <x:is>
          <x:t xml:space="preserve">Austin ISD</x:t>
        </x:is>
      </x:c>
      <x:c r="B65" s="12" t="inlineStr">
        <x:is>
          <x:t xml:space="preserve">TX</x:t>
        </x:is>
      </x:c>
      <x:c r="C65" s="12" t="inlineStr">
        <x:is>
          <x:t xml:space="preserve">Master's</x:t>
        </x:is>
      </x:c>
      <x:c r="D65" s="13" t="n">
        <x:v>8</x:v>
      </x:c>
      <x:c r="E65" s="14" t="n">
        <x:v>64880</x:v>
      </x:c>
      <x:c r="F65" s="83" t="inlineStr">
        <x:is>
          <x:t xml:space="preserve">2026-06-10</x:t>
        </x:is>
      </x:c>
      <x:c r="G65" s="7" t="n"/>
      <x:c r="H65" s="7" t="n"/>
      <x:c r="I65" s="7" t="n"/>
      <x:c r="J65" s="7" t="n"/>
      <x:c r="K65" s="7" t="n"/>
      <x:c r="L65" s="7" t="n"/>
      <x:c r="M65" s="7" t="n"/>
      <x:c r="N65" s="7" t="n"/>
      <x:c r="O65" s="7" t="n"/>
      <x:c r="P65" s="7" t="n"/>
      <x:c r="Q65" s="7" t="n"/>
      <x:c r="R65" s="7" t="n"/>
      <x:c r="S65" s="7" t="n"/>
      <x:c r="T65" s="7" t="n"/>
      <x:c r="U65" s="7" t="n"/>
      <x:c r="V65" s="7" t="n"/>
      <x:c r="W65" s="7" t="n"/>
      <x:c r="X65" s="7" t="n"/>
      <x:c r="Y65" s="7" t="n"/>
      <x:c r="Z65" s="7" t="n"/>
      <x:c r="AA65" s="7" t="n"/>
      <x:c r="AB65" s="7" t="n"/>
    </x:row>
    <x:row r="66" ht="20" customHeight="1">
      <x:c r="A66" s="12" t="inlineStr">
        <x:is>
          <x:t xml:space="preserve">Austin ISD</x:t>
        </x:is>
      </x:c>
      <x:c r="B66" s="12" t="inlineStr">
        <x:is>
          <x:t xml:space="preserve">TX</x:t>
        </x:is>
      </x:c>
      <x:c r="C66" s="12" t="inlineStr">
        <x:is>
          <x:t xml:space="preserve">Master's</x:t>
        </x:is>
      </x:c>
      <x:c r="D66" s="13" t="n">
        <x:v>9</x:v>
      </x:c>
      <x:c r="E66" s="14" t="n">
        <x:v>64940</x:v>
      </x:c>
      <x:c r="F66" s="83" t="inlineStr">
        <x:is>
          <x:t xml:space="preserve">2026-06-10</x:t>
        </x:is>
      </x:c>
      <x:c r="G66" s="7" t="n"/>
      <x:c r="H66" s="7" t="n"/>
      <x:c r="I66" s="7" t="n"/>
      <x:c r="J66" s="7" t="n"/>
      <x:c r="K66" s="7" t="n"/>
      <x:c r="L66" s="7" t="n"/>
      <x:c r="M66" s="7" t="n"/>
      <x:c r="N66" s="7" t="n"/>
      <x:c r="O66" s="7" t="n"/>
      <x:c r="P66" s="7" t="n"/>
      <x:c r="Q66" s="7" t="n"/>
      <x:c r="R66" s="7" t="n"/>
      <x:c r="S66" s="7" t="n"/>
      <x:c r="T66" s="7" t="n"/>
      <x:c r="U66" s="7" t="n"/>
      <x:c r="V66" s="7" t="n"/>
      <x:c r="W66" s="7" t="n"/>
      <x:c r="X66" s="7" t="n"/>
      <x:c r="Y66" s="7" t="n"/>
      <x:c r="Z66" s="7" t="n"/>
      <x:c r="AA66" s="7" t="n"/>
      <x:c r="AB66" s="7" t="n"/>
    </x:row>
    <x:row r="67" ht="20" customHeight="1">
      <x:c r="A67" s="12" t="inlineStr">
        <x:is>
          <x:t xml:space="preserve">Austin ISD</x:t>
        </x:is>
      </x:c>
      <x:c r="B67" s="12" t="inlineStr">
        <x:is>
          <x:t xml:space="preserve">TX</x:t>
        </x:is>
      </x:c>
      <x:c r="C67" s="12" t="inlineStr">
        <x:is>
          <x:t xml:space="preserve">Master's</x:t>
        </x:is>
      </x:c>
      <x:c r="D67" s="13" t="n">
        <x:v>10</x:v>
      </x:c>
      <x:c r="E67" s="14" t="n">
        <x:v>65000</x:v>
      </x:c>
      <x:c r="F67" s="83" t="inlineStr">
        <x:is>
          <x:t xml:space="preserve">2026-06-10</x:t>
        </x:is>
      </x:c>
      <x:c r="G67" s="7" t="n"/>
      <x:c r="H67" s="7" t="n"/>
      <x:c r="I67" s="7" t="n"/>
      <x:c r="J67" s="7" t="n"/>
      <x:c r="K67" s="7" t="n"/>
      <x:c r="L67" s="7" t="n"/>
      <x:c r="M67" s="7" t="n"/>
      <x:c r="N67" s="7" t="n"/>
      <x:c r="O67" s="7" t="n"/>
      <x:c r="P67" s="7" t="n"/>
      <x:c r="Q67" s="7" t="n"/>
      <x:c r="R67" s="7" t="n"/>
      <x:c r="S67" s="7" t="n"/>
      <x:c r="T67" s="7" t="n"/>
      <x:c r="U67" s="7" t="n"/>
      <x:c r="V67" s="7" t="n"/>
      <x:c r="W67" s="7" t="n"/>
      <x:c r="X67" s="7" t="n"/>
      <x:c r="Y67" s="7" t="n"/>
      <x:c r="Z67" s="7" t="n"/>
      <x:c r="AA67" s="7" t="n"/>
      <x:c r="AB67" s="7" t="n"/>
    </x:row>
    <x:row r="68" ht="20" customHeight="1">
      <x:c r="A68" s="12" t="inlineStr">
        <x:is>
          <x:t xml:space="preserve">Barbers Hill ISD</x:t>
        </x:is>
      </x:c>
      <x:c r="B68" s="12" t="inlineStr">
        <x:is>
          <x:t xml:space="preserve">TX</x:t>
        </x:is>
      </x:c>
      <x:c r="C68" s="12" t="inlineStr">
        <x:is>
          <x:t xml:space="preserve">Bachelor's</x:t>
        </x:is>
      </x:c>
      <x:c r="D68" s="13" t="n">
        <x:v>0</x:v>
      </x:c>
      <x:c r="E68" s="14" t="n">
        <x:v>66000</x:v>
      </x:c>
      <x:c r="F68" s="83" t="inlineStr">
        <x:is>
          <x:t xml:space="preserve">2026-06-11</x:t>
        </x:is>
      </x:c>
      <x:c r="G68" s="7" t="n"/>
      <x:c r="H68" s="7" t="n"/>
      <x:c r="I68" s="7" t="n"/>
      <x:c r="J68" s="7" t="n"/>
      <x:c r="K68" s="7" t="n"/>
      <x:c r="L68" s="7" t="n"/>
      <x:c r="M68" s="7" t="n"/>
      <x:c r="N68" s="7" t="n"/>
      <x:c r="O68" s="7" t="n"/>
      <x:c r="P68" s="7" t="n"/>
      <x:c r="Q68" s="7" t="n"/>
      <x:c r="R68" s="7" t="n"/>
      <x:c r="S68" s="7" t="n"/>
      <x:c r="T68" s="7" t="n"/>
      <x:c r="U68" s="7" t="n"/>
      <x:c r="V68" s="7" t="n"/>
      <x:c r="W68" s="7" t="n"/>
      <x:c r="X68" s="7" t="n"/>
      <x:c r="Y68" s="7" t="n"/>
      <x:c r="Z68" s="7" t="n"/>
      <x:c r="AA68" s="7" t="n"/>
      <x:c r="AB68" s="7" t="n"/>
    </x:row>
    <x:row r="69" ht="20" customHeight="1">
      <x:c r="A69" s="12" t="inlineStr">
        <x:is>
          <x:t xml:space="preserve">Barbers Hill ISD</x:t>
        </x:is>
      </x:c>
      <x:c r="B69" s="12" t="inlineStr">
        <x:is>
          <x:t xml:space="preserve">TX</x:t>
        </x:is>
      </x:c>
      <x:c r="C69" s="12" t="inlineStr">
        <x:is>
          <x:t xml:space="preserve">Bachelor's</x:t>
        </x:is>
      </x:c>
      <x:c r="D69" s="13" t="n">
        <x:v>1</x:v>
      </x:c>
      <x:c r="E69" s="14" t="n">
        <x:v>67334</x:v>
      </x:c>
      <x:c r="F69" s="83" t="inlineStr">
        <x:is>
          <x:t xml:space="preserve">2026-06-11</x:t>
        </x:is>
      </x:c>
      <x:c r="G69" s="7" t="n"/>
      <x:c r="H69" s="7" t="n"/>
      <x:c r="I69" s="7" t="n"/>
      <x:c r="J69" s="7" t="n"/>
      <x:c r="K69" s="7" t="n"/>
      <x:c r="L69" s="7" t="n"/>
      <x:c r="M69" s="7" t="n"/>
      <x:c r="N69" s="7" t="n"/>
      <x:c r="O69" s="7" t="n"/>
      <x:c r="P69" s="7" t="n"/>
      <x:c r="Q69" s="7" t="n"/>
      <x:c r="R69" s="7" t="n"/>
      <x:c r="S69" s="7" t="n"/>
      <x:c r="T69" s="7" t="n"/>
      <x:c r="U69" s="7" t="n"/>
      <x:c r="V69" s="7" t="n"/>
      <x:c r="W69" s="7" t="n"/>
      <x:c r="X69" s="7" t="n"/>
      <x:c r="Y69" s="7" t="n"/>
      <x:c r="Z69" s="7" t="n"/>
      <x:c r="AA69" s="7" t="n"/>
      <x:c r="AB69" s="7" t="n"/>
    </x:row>
    <x:row r="70" ht="20" customHeight="1">
      <x:c r="A70" s="12" t="inlineStr">
        <x:is>
          <x:t xml:space="preserve">Barbers Hill ISD</x:t>
        </x:is>
      </x:c>
      <x:c r="B70" s="12" t="inlineStr">
        <x:is>
          <x:t xml:space="preserve">TX</x:t>
        </x:is>
      </x:c>
      <x:c r="C70" s="12" t="inlineStr">
        <x:is>
          <x:t xml:space="preserve">Bachelor's</x:t>
        </x:is>
      </x:c>
      <x:c r="D70" s="13" t="n">
        <x:v>2</x:v>
      </x:c>
      <x:c r="E70" s="14" t="n">
        <x:v>68657</x:v>
      </x:c>
      <x:c r="F70" s="83" t="inlineStr">
        <x:is>
          <x:t xml:space="preserve">2026-06-11</x:t>
        </x:is>
      </x:c>
      <x:c r="G70" s="7" t="n"/>
      <x:c r="H70" s="7" t="n"/>
      <x:c r="I70" s="7" t="n"/>
      <x:c r="J70" s="7" t="n"/>
      <x:c r="K70" s="7" t="n"/>
      <x:c r="L70" s="7" t="n"/>
      <x:c r="M70" s="7" t="n"/>
      <x:c r="N70" s="7" t="n"/>
      <x:c r="O70" s="7" t="n"/>
      <x:c r="P70" s="7" t="n"/>
      <x:c r="Q70" s="7" t="n"/>
      <x:c r="R70" s="7" t="n"/>
      <x:c r="S70" s="7" t="n"/>
      <x:c r="T70" s="7" t="n"/>
      <x:c r="U70" s="7" t="n"/>
      <x:c r="V70" s="7" t="n"/>
      <x:c r="W70" s="7" t="n"/>
      <x:c r="X70" s="7" t="n"/>
      <x:c r="Y70" s="7" t="n"/>
      <x:c r="Z70" s="7" t="n"/>
      <x:c r="AA70" s="7" t="n"/>
      <x:c r="AB70" s="7" t="n"/>
    </x:row>
    <x:row r="71" ht="20" customHeight="1">
      <x:c r="A71" s="12" t="inlineStr">
        <x:is>
          <x:t xml:space="preserve">Barbers Hill ISD</x:t>
        </x:is>
      </x:c>
      <x:c r="B71" s="12" t="inlineStr">
        <x:is>
          <x:t xml:space="preserve">TX</x:t>
        </x:is>
      </x:c>
      <x:c r="C71" s="12" t="inlineStr">
        <x:is>
          <x:t xml:space="preserve">Bachelor's</x:t>
        </x:is>
      </x:c>
      <x:c r="D71" s="13" t="n">
        <x:v>3</x:v>
      </x:c>
      <x:c r="E71" s="14" t="n">
        <x:v>70127</x:v>
      </x:c>
      <x:c r="F71" s="83" t="inlineStr">
        <x:is>
          <x:t xml:space="preserve">2026-06-11</x:t>
        </x:is>
      </x:c>
      <x:c r="G71" s="7" t="n"/>
      <x:c r="H71" s="7" t="n"/>
      <x:c r="I71" s="7" t="n"/>
      <x:c r="J71" s="7" t="n"/>
      <x:c r="K71" s="7" t="n"/>
      <x:c r="L71" s="7" t="n"/>
      <x:c r="M71" s="7" t="n"/>
      <x:c r="N71" s="7" t="n"/>
      <x:c r="O71" s="7" t="n"/>
      <x:c r="P71" s="7" t="n"/>
      <x:c r="Q71" s="7" t="n"/>
      <x:c r="R71" s="7" t="n"/>
      <x:c r="S71" s="7" t="n"/>
      <x:c r="T71" s="7" t="n"/>
      <x:c r="U71" s="7" t="n"/>
      <x:c r="V71" s="7" t="n"/>
      <x:c r="W71" s="7" t="n"/>
      <x:c r="X71" s="7" t="n"/>
      <x:c r="Y71" s="7" t="n"/>
      <x:c r="Z71" s="7" t="n"/>
      <x:c r="AA71" s="7" t="n"/>
      <x:c r="AB71" s="7" t="n"/>
    </x:row>
    <x:row r="72" ht="20" customHeight="1">
      <x:c r="A72" s="12" t="inlineStr">
        <x:is>
          <x:t xml:space="preserve">Barbers Hill ISD</x:t>
        </x:is>
      </x:c>
      <x:c r="B72" s="12" t="inlineStr">
        <x:is>
          <x:t xml:space="preserve">TX</x:t>
        </x:is>
      </x:c>
      <x:c r="C72" s="12" t="inlineStr">
        <x:is>
          <x:t xml:space="preserve">Bachelor's</x:t>
        </x:is>
      </x:c>
      <x:c r="D72" s="13" t="n">
        <x:v>4</x:v>
      </x:c>
      <x:c r="E72" s="14" t="n">
        <x:v>70925</x:v>
      </x:c>
      <x:c r="F72" s="83" t="inlineStr">
        <x:is>
          <x:t xml:space="preserve">2026-06-11</x:t>
        </x:is>
      </x:c>
      <x:c r="G72" s="7" t="n"/>
      <x:c r="H72" s="7" t="n"/>
      <x:c r="I72" s="7" t="n"/>
      <x:c r="J72" s="7" t="n"/>
      <x:c r="K72" s="7" t="n"/>
      <x:c r="L72" s="7" t="n"/>
      <x:c r="M72" s="7" t="n"/>
      <x:c r="N72" s="7" t="n"/>
      <x:c r="O72" s="7" t="n"/>
      <x:c r="P72" s="7" t="n"/>
      <x:c r="Q72" s="7" t="n"/>
      <x:c r="R72" s="7" t="n"/>
      <x:c r="S72" s="7" t="n"/>
      <x:c r="T72" s="7" t="n"/>
      <x:c r="U72" s="7" t="n"/>
      <x:c r="V72" s="7" t="n"/>
      <x:c r="W72" s="7" t="n"/>
      <x:c r="X72" s="7" t="n"/>
      <x:c r="Y72" s="7" t="n"/>
      <x:c r="Z72" s="7" t="n"/>
      <x:c r="AA72" s="7" t="n"/>
      <x:c r="AB72" s="7" t="n"/>
    </x:row>
    <x:row r="73" ht="20" customHeight="1">
      <x:c r="A73" s="12" t="inlineStr">
        <x:is>
          <x:t xml:space="preserve">Barbers Hill ISD</x:t>
        </x:is>
      </x:c>
      <x:c r="B73" s="12" t="inlineStr">
        <x:is>
          <x:t xml:space="preserve">TX</x:t>
        </x:is>
      </x:c>
      <x:c r="C73" s="12" t="inlineStr">
        <x:is>
          <x:t xml:space="preserve">Bachelor's</x:t>
        </x:is>
      </x:c>
      <x:c r="D73" s="13" t="n">
        <x:v>5</x:v>
      </x:c>
      <x:c r="E73" s="14" t="n">
        <x:v>75166</x:v>
      </x:c>
      <x:c r="F73" s="83" t="inlineStr">
        <x:is>
          <x:t xml:space="preserve">2026-06-11</x:t>
        </x:is>
      </x:c>
      <x:c r="G73" s="7" t="n"/>
      <x:c r="H73" s="7" t="n"/>
      <x:c r="I73" s="7" t="n"/>
      <x:c r="J73" s="7" t="n"/>
      <x:c r="K73" s="7" t="n"/>
      <x:c r="L73" s="7" t="n"/>
      <x:c r="M73" s="7" t="n"/>
      <x:c r="N73" s="7" t="n"/>
      <x:c r="O73" s="7" t="n"/>
      <x:c r="P73" s="7" t="n"/>
      <x:c r="Q73" s="7" t="n"/>
      <x:c r="R73" s="7" t="n"/>
      <x:c r="S73" s="7" t="n"/>
      <x:c r="T73" s="7" t="n"/>
      <x:c r="U73" s="7" t="n"/>
      <x:c r="V73" s="7" t="n"/>
      <x:c r="W73" s="7" t="n"/>
      <x:c r="X73" s="7" t="n"/>
      <x:c r="Y73" s="7" t="n"/>
      <x:c r="Z73" s="7" t="n"/>
      <x:c r="AA73" s="7" t="n"/>
      <x:c r="AB73" s="7" t="n"/>
    </x:row>
    <x:row r="74" ht="20" customHeight="1">
      <x:c r="A74" s="12" t="inlineStr">
        <x:is>
          <x:t xml:space="preserve">Barbers Hill ISD</x:t>
        </x:is>
      </x:c>
      <x:c r="B74" s="12" t="inlineStr">
        <x:is>
          <x:t xml:space="preserve">TX</x:t>
        </x:is>
      </x:c>
      <x:c r="C74" s="12" t="inlineStr">
        <x:is>
          <x:t xml:space="preserve">Bachelor's</x:t>
        </x:is>
      </x:c>
      <x:c r="D74" s="13" t="n">
        <x:v>6</x:v>
      </x:c>
      <x:c r="E74" s="14" t="n">
        <x:v>75338</x:v>
      </x:c>
      <x:c r="F74" s="83" t="inlineStr">
        <x:is>
          <x:t xml:space="preserve">2026-06-11</x:t>
        </x:is>
      </x:c>
      <x:c r="G74" s="7" t="n"/>
      <x:c r="H74" s="7" t="n"/>
      <x:c r="I74" s="7" t="n"/>
      <x:c r="J74" s="7" t="n"/>
      <x:c r="K74" s="7" t="n"/>
      <x:c r="L74" s="7" t="n"/>
      <x:c r="M74" s="7" t="n"/>
      <x:c r="N74" s="7" t="n"/>
      <x:c r="O74" s="7" t="n"/>
      <x:c r="P74" s="7" t="n"/>
      <x:c r="Q74" s="7" t="n"/>
      <x:c r="R74" s="7" t="n"/>
      <x:c r="S74" s="7" t="n"/>
      <x:c r="T74" s="7" t="n"/>
      <x:c r="U74" s="7" t="n"/>
      <x:c r="V74" s="7" t="n"/>
      <x:c r="W74" s="7" t="n"/>
      <x:c r="X74" s="7" t="n"/>
      <x:c r="Y74" s="7" t="n"/>
      <x:c r="Z74" s="7" t="n"/>
      <x:c r="AA74" s="7" t="n"/>
      <x:c r="AB74" s="7" t="n"/>
    </x:row>
    <x:row r="75" ht="20" customHeight="1">
      <x:c r="A75" s="12" t="inlineStr">
        <x:is>
          <x:t xml:space="preserve">Barbers Hill ISD</x:t>
        </x:is>
      </x:c>
      <x:c r="B75" s="12" t="inlineStr">
        <x:is>
          <x:t xml:space="preserve">TX</x:t>
        </x:is>
      </x:c>
      <x:c r="C75" s="12" t="inlineStr">
        <x:is>
          <x:t xml:space="preserve">Bachelor's</x:t>
        </x:is>
      </x:c>
      <x:c r="D75" s="13" t="n">
        <x:v>7</x:v>
      </x:c>
      <x:c r="E75" s="14" t="n">
        <x:v>75439</x:v>
      </x:c>
      <x:c r="F75" s="83" t="inlineStr">
        <x:is>
          <x:t xml:space="preserve">2026-06-11</x:t>
        </x:is>
      </x:c>
      <x:c r="G75" s="7" t="n"/>
      <x:c r="H75" s="7" t="n"/>
      <x:c r="I75" s="7" t="n"/>
      <x:c r="J75" s="7" t="n"/>
      <x:c r="K75" s="7" t="n"/>
      <x:c r="L75" s="7" t="n"/>
      <x:c r="M75" s="7" t="n"/>
      <x:c r="N75" s="7" t="n"/>
      <x:c r="O75" s="7" t="n"/>
      <x:c r="P75" s="7" t="n"/>
      <x:c r="Q75" s="7" t="n"/>
      <x:c r="R75" s="7" t="n"/>
      <x:c r="S75" s="7" t="n"/>
      <x:c r="T75" s="7" t="n"/>
      <x:c r="U75" s="7" t="n"/>
      <x:c r="V75" s="7" t="n"/>
      <x:c r="W75" s="7" t="n"/>
      <x:c r="X75" s="7" t="n"/>
      <x:c r="Y75" s="7" t="n"/>
      <x:c r="Z75" s="7" t="n"/>
      <x:c r="AA75" s="7" t="n"/>
      <x:c r="AB75" s="7" t="n"/>
    </x:row>
    <x:row r="76" ht="20" customHeight="1">
      <x:c r="A76" s="12" t="inlineStr">
        <x:is>
          <x:t xml:space="preserve">Barbers Hill ISD</x:t>
        </x:is>
      </x:c>
      <x:c r="B76" s="12" t="inlineStr">
        <x:is>
          <x:t xml:space="preserve">TX</x:t>
        </x:is>
      </x:c>
      <x:c r="C76" s="12" t="inlineStr">
        <x:is>
          <x:t xml:space="preserve">Bachelor's</x:t>
        </x:is>
      </x:c>
      <x:c r="D76" s="13" t="n">
        <x:v>8</x:v>
      </x:c>
      <x:c r="E76" s="14" t="n">
        <x:v>76440</x:v>
      </x:c>
      <x:c r="F76" s="83" t="inlineStr">
        <x:is>
          <x:t xml:space="preserve">2026-06-11</x:t>
        </x:is>
      </x:c>
      <x:c r="G76" s="7" t="n"/>
      <x:c r="H76" s="7" t="n"/>
      <x:c r="I76" s="7" t="n"/>
      <x:c r="J76" s="7" t="n"/>
      <x:c r="K76" s="7" t="n"/>
      <x:c r="L76" s="7" t="n"/>
      <x:c r="M76" s="7" t="n"/>
      <x:c r="N76" s="7" t="n"/>
      <x:c r="O76" s="7" t="n"/>
      <x:c r="P76" s="7" t="n"/>
      <x:c r="Q76" s="7" t="n"/>
      <x:c r="R76" s="7" t="n"/>
      <x:c r="S76" s="7" t="n"/>
      <x:c r="T76" s="7" t="n"/>
      <x:c r="U76" s="7" t="n"/>
      <x:c r="V76" s="7" t="n"/>
      <x:c r="W76" s="7" t="n"/>
      <x:c r="X76" s="7" t="n"/>
      <x:c r="Y76" s="7" t="n"/>
      <x:c r="Z76" s="7" t="n"/>
      <x:c r="AA76" s="7" t="n"/>
      <x:c r="AB76" s="7" t="n"/>
    </x:row>
    <x:row r="77" ht="20" customHeight="1">
      <x:c r="A77" s="12" t="inlineStr">
        <x:is>
          <x:t xml:space="preserve">Barbers Hill ISD</x:t>
        </x:is>
      </x:c>
      <x:c r="B77" s="12" t="inlineStr">
        <x:is>
          <x:t xml:space="preserve">TX</x:t>
        </x:is>
      </x:c>
      <x:c r="C77" s="12" t="inlineStr">
        <x:is>
          <x:t xml:space="preserve">Bachelor's</x:t>
        </x:is>
      </x:c>
      <x:c r="D77" s="13" t="n">
        <x:v>9</x:v>
      </x:c>
      <x:c r="E77" s="14" t="n">
        <x:v>76765</x:v>
      </x:c>
      <x:c r="F77" s="83" t="inlineStr">
        <x:is>
          <x:t xml:space="preserve">2026-06-11</x:t>
        </x:is>
      </x:c>
      <x:c r="G77" s="7" t="n"/>
      <x:c r="H77" s="7" t="n"/>
      <x:c r="I77" s="7" t="n"/>
      <x:c r="J77" s="7" t="n"/>
      <x:c r="K77" s="7" t="n"/>
      <x:c r="L77" s="7" t="n"/>
      <x:c r="M77" s="7" t="n"/>
      <x:c r="N77" s="7" t="n"/>
      <x:c r="O77" s="7" t="n"/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Z77" s="7" t="n"/>
      <x:c r="AA77" s="7" t="n"/>
      <x:c r="AB77" s="7" t="n"/>
    </x:row>
    <x:row r="78" ht="20" customHeight="1">
      <x:c r="A78" s="12" t="inlineStr">
        <x:is>
          <x:t xml:space="preserve">Barbers Hill ISD</x:t>
        </x:is>
      </x:c>
      <x:c r="B78" s="12" t="inlineStr">
        <x:is>
          <x:t xml:space="preserve">TX</x:t>
        </x:is>
      </x:c>
      <x:c r="C78" s="12" t="inlineStr">
        <x:is>
          <x:t xml:space="preserve">Bachelor's</x:t>
        </x:is>
      </x:c>
      <x:c r="D78" s="13" t="n">
        <x:v>10</x:v>
      </x:c>
      <x:c r="E78" s="14" t="n">
        <x:v>77498</x:v>
      </x:c>
      <x:c r="F78" s="83" t="inlineStr">
        <x:is>
          <x:t xml:space="preserve">2026-06-11</x:t>
        </x:is>
      </x:c>
      <x:c r="G78" s="7" t="n"/>
      <x:c r="H78" s="7" t="n"/>
      <x:c r="I78" s="7" t="n"/>
      <x:c r="J78" s="7" t="n"/>
      <x:c r="K78" s="7" t="n"/>
      <x:c r="L78" s="7" t="n"/>
      <x:c r="M78" s="7" t="n"/>
      <x:c r="N78" s="7" t="n"/>
      <x:c r="O78" s="7" t="n"/>
      <x:c r="P78" s="7" t="n"/>
      <x:c r="Q78" s="7" t="n"/>
      <x:c r="R78" s="7" t="n"/>
      <x:c r="S78" s="7" t="n"/>
      <x:c r="T78" s="7" t="n"/>
      <x:c r="U78" s="7" t="n"/>
      <x:c r="V78" s="7" t="n"/>
      <x:c r="W78" s="7" t="n"/>
      <x:c r="X78" s="7" t="n"/>
      <x:c r="Y78" s="7" t="n"/>
      <x:c r="Z78" s="7" t="n"/>
      <x:c r="AA78" s="7" t="n"/>
      <x:c r="AB78" s="7" t="n"/>
    </x:row>
    <x:row r="79" ht="20" customHeight="1">
      <x:c r="A79" s="12" t="inlineStr">
        <x:is>
          <x:t xml:space="preserve">Barbers Hill ISD</x:t>
        </x:is>
      </x:c>
      <x:c r="B79" s="12" t="inlineStr">
        <x:is>
          <x:t xml:space="preserve">TX</x:t>
        </x:is>
      </x:c>
      <x:c r="C79" s="12" t="inlineStr">
        <x:is>
          <x:t xml:space="preserve">Master's</x:t>
        </x:is>
      </x:c>
      <x:c r="D79" s="13" t="n">
        <x:v>0</x:v>
      </x:c>
      <x:c r="E79" s="14" t="n">
        <x:v>66000</x:v>
      </x:c>
      <x:c r="F79" s="83" t="inlineStr">
        <x:is>
          <x:t xml:space="preserve">2026-06-11</x:t>
        </x:is>
      </x:c>
      <x:c r="G79" s="7" t="n"/>
      <x:c r="H79" s="7" t="n"/>
      <x:c r="I79" s="7" t="n"/>
      <x:c r="J79" s="7" t="n"/>
      <x:c r="K79" s="7" t="n"/>
      <x:c r="L79" s="7" t="n"/>
      <x:c r="M79" s="7" t="n"/>
      <x:c r="N79" s="7" t="n"/>
      <x:c r="O79" s="7" t="n"/>
      <x:c r="P79" s="7" t="n"/>
      <x:c r="Q79" s="7" t="n"/>
      <x:c r="R79" s="7" t="n"/>
      <x:c r="S79" s="7" t="n"/>
      <x:c r="T79" s="7" t="n"/>
      <x:c r="U79" s="7" t="n"/>
      <x:c r="V79" s="7" t="n"/>
      <x:c r="W79" s="7" t="n"/>
      <x:c r="X79" s="7" t="n"/>
      <x:c r="Y79" s="7" t="n"/>
      <x:c r="Z79" s="7" t="n"/>
      <x:c r="AA79" s="7" t="n"/>
      <x:c r="AB79" s="7" t="n"/>
    </x:row>
    <x:row r="80" ht="20" customHeight="1">
      <x:c r="A80" s="12" t="inlineStr">
        <x:is>
          <x:t xml:space="preserve">Barbers Hill ISD</x:t>
        </x:is>
      </x:c>
      <x:c r="B80" s="12" t="inlineStr">
        <x:is>
          <x:t xml:space="preserve">TX</x:t>
        </x:is>
      </x:c>
      <x:c r="C80" s="12" t="inlineStr">
        <x:is>
          <x:t xml:space="preserve">Master's</x:t>
        </x:is>
      </x:c>
      <x:c r="D80" s="13" t="n">
        <x:v>1</x:v>
      </x:c>
      <x:c r="E80" s="14" t="n">
        <x:v>67334</x:v>
      </x:c>
      <x:c r="F80" s="83" t="inlineStr">
        <x:is>
          <x:t xml:space="preserve">2026-06-11</x:t>
        </x:is>
      </x:c>
      <x:c r="G80" s="7" t="n"/>
      <x:c r="H80" s="7" t="n"/>
      <x:c r="I80" s="7" t="n"/>
      <x:c r="J80" s="7" t="n"/>
      <x:c r="K80" s="7" t="n"/>
      <x:c r="L80" s="7" t="n"/>
      <x:c r="M80" s="7" t="n"/>
      <x:c r="N80" s="7" t="n"/>
      <x:c r="O80" s="7" t="n"/>
      <x:c r="P80" s="7" t="n"/>
      <x:c r="Q80" s="7" t="n"/>
      <x:c r="R80" s="7" t="n"/>
      <x:c r="S80" s="7" t="n"/>
      <x:c r="T80" s="7" t="n"/>
      <x:c r="U80" s="7" t="n"/>
      <x:c r="V80" s="7" t="n"/>
      <x:c r="W80" s="7" t="n"/>
      <x:c r="X80" s="7" t="n"/>
      <x:c r="Y80" s="7" t="n"/>
      <x:c r="Z80" s="7" t="n"/>
      <x:c r="AA80" s="7" t="n"/>
      <x:c r="AB80" s="7" t="n"/>
    </x:row>
    <x:row r="81" ht="20" customHeight="1">
      <x:c r="A81" s="12" t="inlineStr">
        <x:is>
          <x:t xml:space="preserve">Barbers Hill ISD</x:t>
        </x:is>
      </x:c>
      <x:c r="B81" s="12" t="inlineStr">
        <x:is>
          <x:t xml:space="preserve">TX</x:t>
        </x:is>
      </x:c>
      <x:c r="C81" s="12" t="inlineStr">
        <x:is>
          <x:t xml:space="preserve">Master's</x:t>
        </x:is>
      </x:c>
      <x:c r="D81" s="13" t="n">
        <x:v>2</x:v>
      </x:c>
      <x:c r="E81" s="14" t="n">
        <x:v>68657</x:v>
      </x:c>
      <x:c r="F81" s="83" t="inlineStr">
        <x:is>
          <x:t xml:space="preserve">2026-06-11</x:t>
        </x:is>
      </x:c>
      <x:c r="G81" s="7" t="n"/>
      <x:c r="H81" s="7" t="n"/>
      <x:c r="I81" s="7" t="n"/>
      <x:c r="J81" s="7" t="n"/>
      <x:c r="K81" s="7" t="n"/>
      <x:c r="L81" s="7" t="n"/>
      <x:c r="M81" s="7" t="n"/>
      <x:c r="N81" s="7" t="n"/>
      <x:c r="O81" s="7" t="n"/>
      <x:c r="P81" s="7" t="n"/>
      <x:c r="Q81" s="7" t="n"/>
      <x:c r="R81" s="7" t="n"/>
      <x:c r="S81" s="7" t="n"/>
      <x:c r="T81" s="7" t="n"/>
      <x:c r="U81" s="7" t="n"/>
      <x:c r="V81" s="7" t="n"/>
      <x:c r="W81" s="7" t="n"/>
      <x:c r="X81" s="7" t="n"/>
      <x:c r="Y81" s="7" t="n"/>
      <x:c r="Z81" s="7" t="n"/>
      <x:c r="AA81" s="7" t="n"/>
      <x:c r="AB81" s="7" t="n"/>
    </x:row>
    <x:row r="82" ht="20" customHeight="1">
      <x:c r="A82" s="12" t="inlineStr">
        <x:is>
          <x:t xml:space="preserve">Barbers Hill ISD</x:t>
        </x:is>
      </x:c>
      <x:c r="B82" s="12" t="inlineStr">
        <x:is>
          <x:t xml:space="preserve">TX</x:t>
        </x:is>
      </x:c>
      <x:c r="C82" s="12" t="inlineStr">
        <x:is>
          <x:t xml:space="preserve">Master's</x:t>
        </x:is>
      </x:c>
      <x:c r="D82" s="13" t="n">
        <x:v>3</x:v>
      </x:c>
      <x:c r="E82" s="14" t="n">
        <x:v>70127</x:v>
      </x:c>
      <x:c r="F82" s="83" t="inlineStr">
        <x:is>
          <x:t xml:space="preserve">2026-06-11</x:t>
        </x:is>
      </x:c>
      <x:c r="G82" s="7" t="n"/>
      <x:c r="H82" s="7" t="n"/>
      <x:c r="I82" s="7" t="n"/>
      <x:c r="J82" s="7" t="n"/>
      <x:c r="K82" s="7" t="n"/>
      <x:c r="L82" s="7" t="n"/>
      <x:c r="M82" s="7" t="n"/>
      <x:c r="N82" s="7" t="n"/>
      <x:c r="O82" s="7" t="n"/>
      <x:c r="P82" s="7" t="n"/>
      <x:c r="Q82" s="7" t="n"/>
      <x:c r="R82" s="7" t="n"/>
      <x:c r="S82" s="7" t="n"/>
      <x:c r="T82" s="7" t="n"/>
      <x:c r="U82" s="7" t="n"/>
      <x:c r="V82" s="7" t="n"/>
      <x:c r="W82" s="7" t="n"/>
      <x:c r="X82" s="7" t="n"/>
      <x:c r="Y82" s="7" t="n"/>
      <x:c r="Z82" s="7" t="n"/>
      <x:c r="AA82" s="7" t="n"/>
      <x:c r="AB82" s="7" t="n"/>
    </x:row>
    <x:row r="83" ht="20" customHeight="1">
      <x:c r="A83" s="12" t="inlineStr">
        <x:is>
          <x:t xml:space="preserve">Barbers Hill ISD</x:t>
        </x:is>
      </x:c>
      <x:c r="B83" s="12" t="inlineStr">
        <x:is>
          <x:t xml:space="preserve">TX</x:t>
        </x:is>
      </x:c>
      <x:c r="C83" s="12" t="inlineStr">
        <x:is>
          <x:t xml:space="preserve">Master's</x:t>
        </x:is>
      </x:c>
      <x:c r="D83" s="13" t="n">
        <x:v>4</x:v>
      </x:c>
      <x:c r="E83" s="14" t="n">
        <x:v>70925</x:v>
      </x:c>
      <x:c r="F83" s="83" t="inlineStr">
        <x:is>
          <x:t xml:space="preserve">2026-06-11</x:t>
        </x:is>
      </x:c>
      <x:c r="G83" s="7" t="n"/>
      <x:c r="H83" s="7" t="n"/>
      <x:c r="I83" s="7" t="n"/>
      <x:c r="J83" s="7" t="n"/>
      <x:c r="K83" s="7" t="n"/>
      <x:c r="L83" s="7" t="n"/>
      <x:c r="M83" s="7" t="n"/>
      <x:c r="N83" s="7" t="n"/>
      <x:c r="O83" s="7" t="n"/>
      <x:c r="P83" s="7" t="n"/>
      <x:c r="Q83" s="7" t="n"/>
      <x:c r="R83" s="7" t="n"/>
      <x:c r="S83" s="7" t="n"/>
      <x:c r="T83" s="7" t="n"/>
      <x:c r="U83" s="7" t="n"/>
      <x:c r="V83" s="7" t="n"/>
      <x:c r="W83" s="7" t="n"/>
      <x:c r="X83" s="7" t="n"/>
      <x:c r="Y83" s="7" t="n"/>
      <x:c r="Z83" s="7" t="n"/>
      <x:c r="AA83" s="7" t="n"/>
      <x:c r="AB83" s="7" t="n"/>
    </x:row>
    <x:row r="84" ht="20" customHeight="1">
      <x:c r="A84" s="12" t="inlineStr">
        <x:is>
          <x:t xml:space="preserve">Barbers Hill ISD</x:t>
        </x:is>
      </x:c>
      <x:c r="B84" s="12" t="inlineStr">
        <x:is>
          <x:t xml:space="preserve">TX</x:t>
        </x:is>
      </x:c>
      <x:c r="C84" s="12" t="inlineStr">
        <x:is>
          <x:t xml:space="preserve">Master's</x:t>
        </x:is>
      </x:c>
      <x:c r="D84" s="13" t="n">
        <x:v>5</x:v>
      </x:c>
      <x:c r="E84" s="14" t="n">
        <x:v>75166</x:v>
      </x:c>
      <x:c r="F84" s="83" t="inlineStr">
        <x:is>
          <x:t xml:space="preserve">2026-06-11</x:t>
        </x:is>
      </x:c>
      <x:c r="G84" s="7" t="n"/>
      <x:c r="H84" s="7" t="n"/>
      <x:c r="I84" s="7" t="n"/>
      <x:c r="J84" s="7" t="n"/>
      <x:c r="K84" s="7" t="n"/>
      <x:c r="L84" s="7" t="n"/>
      <x:c r="M84" s="7" t="n"/>
      <x:c r="N84" s="7" t="n"/>
      <x:c r="O84" s="7" t="n"/>
      <x:c r="P84" s="7" t="n"/>
      <x:c r="Q84" s="7" t="n"/>
      <x:c r="R84" s="7" t="n"/>
      <x:c r="S84" s="7" t="n"/>
      <x:c r="T84" s="7" t="n"/>
      <x:c r="U84" s="7" t="n"/>
      <x:c r="V84" s="7" t="n"/>
      <x:c r="W84" s="7" t="n"/>
      <x:c r="X84" s="7" t="n"/>
      <x:c r="Y84" s="7" t="n"/>
      <x:c r="Z84" s="7" t="n"/>
      <x:c r="AA84" s="7" t="n"/>
      <x:c r="AB84" s="7" t="n"/>
    </x:row>
    <x:row r="85" ht="20" customHeight="1">
      <x:c r="A85" s="12" t="inlineStr">
        <x:is>
          <x:t xml:space="preserve">Barbers Hill ISD</x:t>
        </x:is>
      </x:c>
      <x:c r="B85" s="12" t="inlineStr">
        <x:is>
          <x:t xml:space="preserve">TX</x:t>
        </x:is>
      </x:c>
      <x:c r="C85" s="12" t="inlineStr">
        <x:is>
          <x:t xml:space="preserve">Master's</x:t>
        </x:is>
      </x:c>
      <x:c r="D85" s="13" t="n">
        <x:v>6</x:v>
      </x:c>
      <x:c r="E85" s="14" t="n">
        <x:v>75338</x:v>
      </x:c>
      <x:c r="F85" s="83" t="inlineStr">
        <x:is>
          <x:t xml:space="preserve">2026-06-11</x:t>
        </x:is>
      </x:c>
      <x:c r="G85" s="7" t="n"/>
      <x:c r="H85" s="7" t="n"/>
      <x:c r="I85" s="7" t="n"/>
      <x:c r="J85" s="7" t="n"/>
      <x:c r="K85" s="7" t="n"/>
      <x:c r="L85" s="7" t="n"/>
      <x:c r="M85" s="7" t="n"/>
      <x:c r="N85" s="7" t="n"/>
      <x:c r="O85" s="7" t="n"/>
      <x:c r="P85" s="7" t="n"/>
      <x:c r="Q85" s="7" t="n"/>
      <x:c r="R85" s="7" t="n"/>
      <x:c r="S85" s="7" t="n"/>
      <x:c r="T85" s="7" t="n"/>
      <x:c r="U85" s="7" t="n"/>
      <x:c r="V85" s="7" t="n"/>
      <x:c r="W85" s="7" t="n"/>
      <x:c r="X85" s="7" t="n"/>
      <x:c r="Y85" s="7" t="n"/>
      <x:c r="Z85" s="7" t="n"/>
      <x:c r="AA85" s="7" t="n"/>
      <x:c r="AB85" s="7" t="n"/>
    </x:row>
    <x:row r="86" ht="20" customHeight="1">
      <x:c r="A86" s="12" t="inlineStr">
        <x:is>
          <x:t xml:space="preserve">Barbers Hill ISD</x:t>
        </x:is>
      </x:c>
      <x:c r="B86" s="12" t="inlineStr">
        <x:is>
          <x:t xml:space="preserve">TX</x:t>
        </x:is>
      </x:c>
      <x:c r="C86" s="12" t="inlineStr">
        <x:is>
          <x:t xml:space="preserve">Master's</x:t>
        </x:is>
      </x:c>
      <x:c r="D86" s="13" t="n">
        <x:v>7</x:v>
      </x:c>
      <x:c r="E86" s="14" t="n">
        <x:v>75439</x:v>
      </x:c>
      <x:c r="F86" s="83" t="inlineStr">
        <x:is>
          <x:t xml:space="preserve">2026-06-11</x:t>
        </x:is>
      </x:c>
      <x:c r="G86" s="7" t="n"/>
      <x:c r="H86" s="7" t="n"/>
      <x:c r="I86" s="7" t="n"/>
      <x:c r="J86" s="7" t="n"/>
      <x:c r="K86" s="7" t="n"/>
      <x:c r="L86" s="7" t="n"/>
      <x:c r="M86" s="7" t="n"/>
      <x:c r="N86" s="7" t="n"/>
      <x:c r="O86" s="7" t="n"/>
      <x:c r="P86" s="7" t="n"/>
      <x:c r="Q86" s="7" t="n"/>
      <x:c r="R86" s="7" t="n"/>
      <x:c r="S86" s="7" t="n"/>
      <x:c r="T86" s="7" t="n"/>
      <x:c r="U86" s="7" t="n"/>
      <x:c r="V86" s="7" t="n"/>
      <x:c r="W86" s="7" t="n"/>
      <x:c r="X86" s="7" t="n"/>
      <x:c r="Y86" s="7" t="n"/>
      <x:c r="Z86" s="7" t="n"/>
      <x:c r="AA86" s="7" t="n"/>
      <x:c r="AB86" s="7" t="n"/>
    </x:row>
    <x:row r="87" ht="20" customHeight="1">
      <x:c r="A87" s="12" t="inlineStr">
        <x:is>
          <x:t xml:space="preserve">Barbers Hill ISD</x:t>
        </x:is>
      </x:c>
      <x:c r="B87" s="12" t="inlineStr">
        <x:is>
          <x:t xml:space="preserve">TX</x:t>
        </x:is>
      </x:c>
      <x:c r="C87" s="12" t="inlineStr">
        <x:is>
          <x:t xml:space="preserve">Master's</x:t>
        </x:is>
      </x:c>
      <x:c r="D87" s="13" t="n">
        <x:v>8</x:v>
      </x:c>
      <x:c r="E87" s="14" t="n">
        <x:v>76440</x:v>
      </x:c>
      <x:c r="F87" s="83" t="inlineStr">
        <x:is>
          <x:t xml:space="preserve">2026-06-11</x:t>
        </x:is>
      </x:c>
      <x:c r="G87" s="7" t="n"/>
      <x:c r="H87" s="7" t="n"/>
      <x:c r="I87" s="7" t="n"/>
      <x:c r="J87" s="7" t="n"/>
      <x:c r="K87" s="7" t="n"/>
      <x:c r="L87" s="7" t="n"/>
      <x:c r="M87" s="7" t="n"/>
      <x:c r="N87" s="7" t="n"/>
      <x:c r="O87" s="7" t="n"/>
      <x:c r="P87" s="7" t="n"/>
      <x:c r="Q87" s="7" t="n"/>
      <x:c r="R87" s="7" t="n"/>
      <x:c r="S87" s="7" t="n"/>
      <x:c r="T87" s="7" t="n"/>
      <x:c r="U87" s="7" t="n"/>
      <x:c r="V87" s="7" t="n"/>
      <x:c r="W87" s="7" t="n"/>
      <x:c r="X87" s="7" t="n"/>
      <x:c r="Y87" s="7" t="n"/>
      <x:c r="Z87" s="7" t="n"/>
      <x:c r="AA87" s="7" t="n"/>
      <x:c r="AB87" s="7" t="n"/>
    </x:row>
    <x:row r="88" ht="20" customHeight="1">
      <x:c r="A88" s="12" t="inlineStr">
        <x:is>
          <x:t xml:space="preserve">Barbers Hill ISD</x:t>
        </x:is>
      </x:c>
      <x:c r="B88" s="12" t="inlineStr">
        <x:is>
          <x:t xml:space="preserve">TX</x:t>
        </x:is>
      </x:c>
      <x:c r="C88" s="12" t="inlineStr">
        <x:is>
          <x:t xml:space="preserve">Master's</x:t>
        </x:is>
      </x:c>
      <x:c r="D88" s="13" t="n">
        <x:v>9</x:v>
      </x:c>
      <x:c r="E88" s="14" t="n">
        <x:v>76765</x:v>
      </x:c>
      <x:c r="F88" s="83" t="inlineStr">
        <x:is>
          <x:t xml:space="preserve">2026-06-11</x:t>
        </x:is>
      </x:c>
      <x:c r="G88" s="7" t="n"/>
      <x:c r="H88" s="7" t="n"/>
      <x:c r="I88" s="7" t="n"/>
      <x:c r="J88" s="7" t="n"/>
      <x:c r="K88" s="7" t="n"/>
      <x:c r="L88" s="7" t="n"/>
      <x:c r="M88" s="7" t="n"/>
      <x:c r="N88" s="7" t="n"/>
      <x:c r="O88" s="7" t="n"/>
      <x:c r="P88" s="7" t="n"/>
      <x:c r="Q88" s="7" t="n"/>
      <x:c r="R88" s="7" t="n"/>
      <x:c r="S88" s="7" t="n"/>
      <x:c r="T88" s="7" t="n"/>
      <x:c r="U88" s="7" t="n"/>
      <x:c r="V88" s="7" t="n"/>
      <x:c r="W88" s="7" t="n"/>
      <x:c r="X88" s="7" t="n"/>
      <x:c r="Y88" s="7" t="n"/>
      <x:c r="Z88" s="7" t="n"/>
      <x:c r="AA88" s="7" t="n"/>
      <x:c r="AB88" s="7" t="n"/>
    </x:row>
    <x:row r="89" ht="20" customHeight="1">
      <x:c r="A89" s="12" t="inlineStr">
        <x:is>
          <x:t xml:space="preserve">Barbers Hill ISD</x:t>
        </x:is>
      </x:c>
      <x:c r="B89" s="12" t="inlineStr">
        <x:is>
          <x:t xml:space="preserve">TX</x:t>
        </x:is>
      </x:c>
      <x:c r="C89" s="12" t="inlineStr">
        <x:is>
          <x:t xml:space="preserve">Master's</x:t>
        </x:is>
      </x:c>
      <x:c r="D89" s="13" t="n">
        <x:v>10</x:v>
      </x:c>
      <x:c r="E89" s="14" t="n">
        <x:v>77498</x:v>
      </x:c>
      <x:c r="F89" s="83" t="inlineStr">
        <x:is>
          <x:t xml:space="preserve">2026-06-11</x:t>
        </x:is>
      </x:c>
      <x:c r="G89" s="7" t="n"/>
      <x:c r="H89" s="7" t="n"/>
      <x:c r="I89" s="7" t="n"/>
      <x:c r="J89" s="7" t="n"/>
      <x:c r="K89" s="7" t="n"/>
      <x:c r="L89" s="7" t="n"/>
      <x:c r="M89" s="7" t="n"/>
      <x:c r="N89" s="7" t="n"/>
      <x:c r="O89" s="7" t="n"/>
      <x:c r="P89" s="7" t="n"/>
      <x:c r="Q89" s="7" t="n"/>
      <x:c r="R89" s="7" t="n"/>
      <x:c r="S89" s="7" t="n"/>
      <x:c r="T89" s="7" t="n"/>
      <x:c r="U89" s="7" t="n"/>
      <x:c r="V89" s="7" t="n"/>
      <x:c r="W89" s="7" t="n"/>
      <x:c r="X89" s="7" t="n"/>
      <x:c r="Y89" s="7" t="n"/>
      <x:c r="Z89" s="7" t="n"/>
      <x:c r="AA89" s="7" t="n"/>
      <x:c r="AB89" s="7" t="n"/>
    </x:row>
    <x:row r="90" ht="20" customHeight="1">
      <x:c r="A90" s="12" t="inlineStr">
        <x:is>
          <x:t xml:space="preserve">Beaverton School District</x:t>
        </x:is>
      </x:c>
      <x:c r="B90" s="12" t="inlineStr">
        <x:is>
          <x:t xml:space="preserve">OR</x:t>
        </x:is>
      </x:c>
      <x:c r="C90" s="12" t="inlineStr">
        <x:is>
          <x:t xml:space="preserve">Bachelor's</x:t>
        </x:is>
      </x:c>
      <x:c r="D90" s="13" t="n">
        <x:v>0</x:v>
      </x:c>
      <x:c r="E90" s="14" t="n">
        <x:v>55872</x:v>
      </x:c>
      <x:c r="F90" s="12" t="inlineStr">
        <x:is>
          <x:t xml:space="preserve">2026-06-15</x:t>
        </x:is>
      </x:c>
      <x:c r="G90" s="7" t="n"/>
      <x:c r="H90" s="7" t="n"/>
      <x:c r="I90" s="7" t="n"/>
      <x:c r="J90" s="7" t="n"/>
      <x:c r="K90" s="7" t="n"/>
      <x:c r="L90" s="7" t="n"/>
      <x:c r="M90" s="7" t="n"/>
      <x:c r="N90" s="7" t="n"/>
      <x:c r="O90" s="7" t="n"/>
      <x:c r="P90" s="7" t="n"/>
      <x:c r="Q90" s="7" t="n"/>
      <x:c r="R90" s="7" t="n"/>
      <x:c r="S90" s="7" t="n"/>
      <x:c r="T90" s="7" t="n"/>
      <x:c r="U90" s="7" t="n"/>
      <x:c r="V90" s="7" t="n"/>
      <x:c r="W90" s="7" t="n"/>
      <x:c r="X90" s="7" t="n"/>
      <x:c r="Y90" s="7" t="n"/>
      <x:c r="Z90" s="7" t="n"/>
      <x:c r="AA90" s="7" t="n"/>
      <x:c r="AB90" s="7" t="n"/>
    </x:row>
    <x:row r="91" ht="20" customHeight="1">
      <x:c r="A91" s="12" t="inlineStr">
        <x:is>
          <x:t xml:space="preserve">Beaverton School District</x:t>
        </x:is>
      </x:c>
      <x:c r="B91" s="12" t="inlineStr">
        <x:is>
          <x:t xml:space="preserve">OR</x:t>
        </x:is>
      </x:c>
      <x:c r="C91" s="12" t="inlineStr">
        <x:is>
          <x:t xml:space="preserve">Bachelor's</x:t>
        </x:is>
      </x:c>
      <x:c r="D91" s="13" t="n">
        <x:v>1</x:v>
      </x:c>
      <x:c r="E91" s="14" t="n">
        <x:v>58345</x:v>
      </x:c>
      <x:c r="F91" s="12" t="inlineStr">
        <x:is>
          <x:t xml:space="preserve">2026-06-15</x:t>
        </x:is>
      </x:c>
      <x:c r="G91" s="7" t="n"/>
      <x:c r="H91" s="7" t="n"/>
      <x:c r="I91" s="7" t="n"/>
      <x:c r="J91" s="7" t="n"/>
      <x:c r="K91" s="7" t="n"/>
      <x:c r="L91" s="7" t="n"/>
      <x:c r="M91" s="7" t="n"/>
      <x:c r="N91" s="7" t="n"/>
      <x:c r="O91" s="7" t="n"/>
      <x:c r="P91" s="7" t="n"/>
      <x:c r="Q91" s="7" t="n"/>
      <x:c r="R91" s="7" t="n"/>
      <x:c r="S91" s="7" t="n"/>
      <x:c r="T91" s="7" t="n"/>
      <x:c r="U91" s="7" t="n"/>
      <x:c r="V91" s="7" t="n"/>
      <x:c r="W91" s="7" t="n"/>
      <x:c r="X91" s="7" t="n"/>
      <x:c r="Y91" s="7" t="n"/>
      <x:c r="Z91" s="7" t="n"/>
      <x:c r="AA91" s="7" t="n"/>
      <x:c r="AB91" s="7" t="n"/>
    </x:row>
    <x:row r="92" ht="20" customHeight="1">
      <x:c r="A92" s="12" t="inlineStr">
        <x:is>
          <x:t xml:space="preserve">Beaverton School District</x:t>
        </x:is>
      </x:c>
      <x:c r="B92" s="12" t="inlineStr">
        <x:is>
          <x:t xml:space="preserve">OR</x:t>
        </x:is>
      </x:c>
      <x:c r="C92" s="12" t="inlineStr">
        <x:is>
          <x:t xml:space="preserve">Bachelor's</x:t>
        </x:is>
      </x:c>
      <x:c r="D92" s="13" t="n">
        <x:v>2</x:v>
      </x:c>
      <x:c r="E92" s="14" t="n">
        <x:v>60818</x:v>
      </x:c>
      <x:c r="F92" s="12" t="inlineStr">
        <x:is>
          <x:t xml:space="preserve">2026-06-15</x:t>
        </x:is>
      </x:c>
      <x:c r="G92" s="7" t="n"/>
      <x:c r="H92" s="7" t="n"/>
      <x:c r="I92" s="7" t="n"/>
      <x:c r="J92" s="7" t="n"/>
      <x:c r="K92" s="7" t="n"/>
      <x:c r="L92" s="7" t="n"/>
      <x:c r="M92" s="7" t="n"/>
      <x:c r="N92" s="7" t="n"/>
      <x:c r="O92" s="7" t="n"/>
      <x:c r="P92" s="7" t="n"/>
      <x:c r="Q92" s="7" t="n"/>
      <x:c r="R92" s="7" t="n"/>
      <x:c r="S92" s="7" t="n"/>
      <x:c r="T92" s="7" t="n"/>
      <x:c r="U92" s="7" t="n"/>
      <x:c r="V92" s="7" t="n"/>
      <x:c r="W92" s="7" t="n"/>
      <x:c r="X92" s="7" t="n"/>
      <x:c r="Y92" s="7" t="n"/>
      <x:c r="Z92" s="7" t="n"/>
      <x:c r="AA92" s="7" t="n"/>
      <x:c r="AB92" s="7" t="n"/>
    </x:row>
    <x:row r="93" ht="20" customHeight="1">
      <x:c r="A93" s="12" t="inlineStr">
        <x:is>
          <x:t xml:space="preserve">Beaverton School District</x:t>
        </x:is>
      </x:c>
      <x:c r="B93" s="12" t="inlineStr">
        <x:is>
          <x:t xml:space="preserve">OR</x:t>
        </x:is>
      </x:c>
      <x:c r="C93" s="12" t="inlineStr">
        <x:is>
          <x:t xml:space="preserve">Bachelor's</x:t>
        </x:is>
      </x:c>
      <x:c r="D93" s="13" t="n">
        <x:v>3</x:v>
      </x:c>
      <x:c r="E93" s="14" t="n">
        <x:v>63290</x:v>
      </x:c>
      <x:c r="F93" s="12" t="inlineStr">
        <x:is>
          <x:t xml:space="preserve">2026-06-15</x:t>
        </x:is>
      </x:c>
      <x:c r="G93" s="7" t="n"/>
      <x:c r="H93" s="7" t="n"/>
      <x:c r="I93" s="7" t="n"/>
      <x:c r="J93" s="7" t="n"/>
      <x:c r="K93" s="7" t="n"/>
      <x:c r="L93" s="7" t="n"/>
      <x:c r="M93" s="7" t="n"/>
      <x:c r="N93" s="7" t="n"/>
      <x:c r="O93" s="7" t="n"/>
      <x:c r="P93" s="7" t="n"/>
      <x:c r="Q93" s="7" t="n"/>
      <x:c r="R93" s="7" t="n"/>
      <x:c r="S93" s="7" t="n"/>
      <x:c r="T93" s="7" t="n"/>
      <x:c r="U93" s="7" t="n"/>
      <x:c r="V93" s="7" t="n"/>
      <x:c r="W93" s="7" t="n"/>
      <x:c r="X93" s="7" t="n"/>
      <x:c r="Y93" s="7" t="n"/>
      <x:c r="Z93" s="7" t="n"/>
      <x:c r="AA93" s="7" t="n"/>
      <x:c r="AB93" s="7" t="n"/>
    </x:row>
    <x:row r="94" ht="20" customHeight="1">
      <x:c r="A94" s="12" t="inlineStr">
        <x:is>
          <x:t xml:space="preserve">Beaverton School District</x:t>
        </x:is>
      </x:c>
      <x:c r="B94" s="12" t="inlineStr">
        <x:is>
          <x:t xml:space="preserve">OR</x:t>
        </x:is>
      </x:c>
      <x:c r="C94" s="12" t="inlineStr">
        <x:is>
          <x:t xml:space="preserve">Bachelor's</x:t>
        </x:is>
      </x:c>
      <x:c r="D94" s="13" t="n">
        <x:v>4</x:v>
      </x:c>
      <x:c r="E94" s="14" t="n">
        <x:v>65763</x:v>
      </x:c>
      <x:c r="F94" s="12" t="inlineStr">
        <x:is>
          <x:t xml:space="preserve">2026-06-15</x:t>
        </x:is>
      </x:c>
      <x:c r="G94" s="7" t="n"/>
      <x:c r="H94" s="7" t="n"/>
      <x:c r="I94" s="7" t="n"/>
      <x:c r="J94" s="7" t="n"/>
      <x:c r="K94" s="7" t="n"/>
      <x:c r="L94" s="7" t="n"/>
      <x:c r="M94" s="7" t="n"/>
      <x:c r="N94" s="7" t="n"/>
      <x:c r="O94" s="7" t="n"/>
      <x:c r="P94" s="7" t="n"/>
      <x:c r="Q94" s="7" t="n"/>
      <x:c r="R94" s="7" t="n"/>
      <x:c r="S94" s="7" t="n"/>
      <x:c r="T94" s="7" t="n"/>
      <x:c r="U94" s="7" t="n"/>
      <x:c r="V94" s="7" t="n"/>
      <x:c r="W94" s="7" t="n"/>
      <x:c r="X94" s="7" t="n"/>
      <x:c r="Y94" s="7" t="n"/>
      <x:c r="Z94" s="7" t="n"/>
      <x:c r="AA94" s="7" t="n"/>
      <x:c r="AB94" s="7" t="n"/>
    </x:row>
    <x:row r="95" ht="20" customHeight="1">
      <x:c r="A95" s="12" t="inlineStr">
        <x:is>
          <x:t xml:space="preserve">Beaverton School District</x:t>
        </x:is>
      </x:c>
      <x:c r="B95" s="12" t="inlineStr">
        <x:is>
          <x:t xml:space="preserve">OR</x:t>
        </x:is>
      </x:c>
      <x:c r="C95" s="12" t="inlineStr">
        <x:is>
          <x:t xml:space="preserve">Bachelor's</x:t>
        </x:is>
      </x:c>
      <x:c r="D95" s="13" t="n">
        <x:v>5</x:v>
      </x:c>
      <x:c r="E95" s="14" t="n">
        <x:v>68235</x:v>
      </x:c>
      <x:c r="F95" s="12" t="inlineStr">
        <x:is>
          <x:t xml:space="preserve">2026-06-15</x:t>
        </x:is>
      </x:c>
      <x:c r="G95" s="7" t="n"/>
      <x:c r="H95" s="7" t="n"/>
      <x:c r="I95" s="7" t="n"/>
      <x:c r="J95" s="7" t="n"/>
      <x:c r="K95" s="7" t="n"/>
      <x:c r="L95" s="7" t="n"/>
      <x:c r="M95" s="7" t="n"/>
      <x:c r="N95" s="7" t="n"/>
      <x:c r="O95" s="7" t="n"/>
      <x:c r="P95" s="7" t="n"/>
      <x:c r="Q95" s="7" t="n"/>
      <x:c r="R95" s="7" t="n"/>
      <x:c r="S95" s="7" t="n"/>
      <x:c r="T95" s="7" t="n"/>
      <x:c r="U95" s="7" t="n"/>
      <x:c r="V95" s="7" t="n"/>
      <x:c r="W95" s="7" t="n"/>
      <x:c r="X95" s="7" t="n"/>
      <x:c r="Y95" s="7" t="n"/>
      <x:c r="Z95" s="7" t="n"/>
      <x:c r="AA95" s="7" t="n"/>
      <x:c r="AB95" s="7" t="n"/>
    </x:row>
    <x:row r="96" ht="20" customHeight="1">
      <x:c r="A96" s="12" t="inlineStr">
        <x:is>
          <x:t xml:space="preserve">Beaverton School District</x:t>
        </x:is>
      </x:c>
      <x:c r="B96" s="12" t="inlineStr">
        <x:is>
          <x:t xml:space="preserve">OR</x:t>
        </x:is>
      </x:c>
      <x:c r="C96" s="12" t="inlineStr">
        <x:is>
          <x:t xml:space="preserve">Bachelor's</x:t>
        </x:is>
      </x:c>
      <x:c r="D96" s="13" t="n">
        <x:v>6</x:v>
      </x:c>
      <x:c r="E96" s="14" t="n">
        <x:v>70708</x:v>
      </x:c>
      <x:c r="F96" s="12" t="inlineStr">
        <x:is>
          <x:t xml:space="preserve">2026-06-15</x:t>
        </x:is>
      </x:c>
      <x:c r="G96" s="7" t="n"/>
      <x:c r="H96" s="7" t="n"/>
      <x:c r="I96" s="7" t="n"/>
      <x:c r="J96" s="7" t="n"/>
      <x:c r="K96" s="7" t="n"/>
      <x:c r="L96" s="7" t="n"/>
      <x:c r="M96" s="7" t="n"/>
      <x:c r="N96" s="7" t="n"/>
      <x:c r="O96" s="7" t="n"/>
      <x:c r="P96" s="7" t="n"/>
      <x:c r="Q96" s="7" t="n"/>
      <x:c r="R96" s="7" t="n"/>
      <x:c r="S96" s="7" t="n"/>
      <x:c r="T96" s="7" t="n"/>
      <x:c r="U96" s="7" t="n"/>
      <x:c r="V96" s="7" t="n"/>
      <x:c r="W96" s="7" t="n"/>
      <x:c r="X96" s="7" t="n"/>
      <x:c r="Y96" s="7" t="n"/>
      <x:c r="Z96" s="7" t="n"/>
      <x:c r="AA96" s="7" t="n"/>
      <x:c r="AB96" s="7" t="n"/>
    </x:row>
    <x:row r="97" ht="20" customHeight="1">
      <x:c r="A97" s="12" t="inlineStr">
        <x:is>
          <x:t xml:space="preserve">Beaverton School District</x:t>
        </x:is>
      </x:c>
      <x:c r="B97" s="12" t="inlineStr">
        <x:is>
          <x:t xml:space="preserve">OR</x:t>
        </x:is>
      </x:c>
      <x:c r="C97" s="12" t="inlineStr">
        <x:is>
          <x:t xml:space="preserve">Bachelor's</x:t>
        </x:is>
      </x:c>
      <x:c r="D97" s="13" t="n">
        <x:v>7</x:v>
      </x:c>
      <x:c r="E97" s="14" t="n">
        <x:v>73180</x:v>
      </x:c>
      <x:c r="F97" s="12" t="inlineStr">
        <x:is>
          <x:t xml:space="preserve">2026-06-15</x:t>
        </x:is>
      </x:c>
      <x:c r="G97" s="7" t="n"/>
      <x:c r="H97" s="7" t="n"/>
      <x:c r="I97" s="7" t="n"/>
      <x:c r="J97" s="7" t="n"/>
      <x:c r="K97" s="7" t="n"/>
      <x:c r="L97" s="7" t="n"/>
      <x:c r="M97" s="7" t="n"/>
      <x:c r="N97" s="7" t="n"/>
      <x:c r="O97" s="7" t="n"/>
      <x:c r="P97" s="7" t="n"/>
      <x:c r="Q97" s="7" t="n"/>
      <x:c r="R97" s="7" t="n"/>
      <x:c r="S97" s="7" t="n"/>
      <x:c r="T97" s="7" t="n"/>
      <x:c r="U97" s="7" t="n"/>
      <x:c r="V97" s="7" t="n"/>
      <x:c r="W97" s="7" t="n"/>
      <x:c r="X97" s="7" t="n"/>
      <x:c r="Y97" s="7" t="n"/>
      <x:c r="Z97" s="7" t="n"/>
      <x:c r="AA97" s="7" t="n"/>
      <x:c r="AB97" s="7" t="n"/>
    </x:row>
    <x:row r="98" ht="20" customHeight="1">
      <x:c r="A98" s="12" t="inlineStr">
        <x:is>
          <x:t xml:space="preserve">Beaverton School District</x:t>
        </x:is>
      </x:c>
      <x:c r="B98" s="12" t="inlineStr">
        <x:is>
          <x:t xml:space="preserve">OR</x:t>
        </x:is>
      </x:c>
      <x:c r="C98" s="12" t="inlineStr">
        <x:is>
          <x:t xml:space="preserve">Bachelor's</x:t>
        </x:is>
      </x:c>
      <x:c r="D98" s="13" t="n">
        <x:v>8</x:v>
      </x:c>
      <x:c r="E98" s="14" t="n">
        <x:v>75653</x:v>
      </x:c>
      <x:c r="F98" s="12" t="inlineStr">
        <x:is>
          <x:t xml:space="preserve">2026-06-15</x:t>
        </x:is>
      </x:c>
      <x:c r="G98" s="7" t="n"/>
      <x:c r="H98" s="7" t="n"/>
      <x:c r="I98" s="7" t="n"/>
      <x:c r="J98" s="7" t="n"/>
      <x:c r="K98" s="7" t="n"/>
      <x:c r="L98" s="7" t="n"/>
      <x:c r="M98" s="7" t="n"/>
      <x:c r="N98" s="7" t="n"/>
      <x:c r="O98" s="7" t="n"/>
      <x:c r="P98" s="7" t="n"/>
      <x:c r="Q98" s="7" t="n"/>
      <x:c r="R98" s="7" t="n"/>
      <x:c r="S98" s="7" t="n"/>
      <x:c r="T98" s="7" t="n"/>
      <x:c r="U98" s="7" t="n"/>
      <x:c r="V98" s="7" t="n"/>
      <x:c r="W98" s="7" t="n"/>
      <x:c r="X98" s="7" t="n"/>
      <x:c r="Y98" s="7" t="n"/>
      <x:c r="Z98" s="7" t="n"/>
      <x:c r="AA98" s="7" t="n"/>
      <x:c r="AB98" s="7" t="n"/>
    </x:row>
    <x:row r="99" ht="20" customHeight="1">
      <x:c r="A99" s="12" t="inlineStr">
        <x:is>
          <x:t xml:space="preserve">Beaverton School District</x:t>
        </x:is>
      </x:c>
      <x:c r="B99" s="12" t="inlineStr">
        <x:is>
          <x:t xml:space="preserve">OR</x:t>
        </x:is>
      </x:c>
      <x:c r="C99" s="12" t="inlineStr">
        <x:is>
          <x:t xml:space="preserve">Bachelor's</x:t>
        </x:is>
      </x:c>
      <x:c r="D99" s="13" t="n">
        <x:v>9</x:v>
      </x:c>
      <x:c r="E99" s="14" t="n">
        <x:v>78125</x:v>
      </x:c>
      <x:c r="F99" s="12" t="inlineStr">
        <x:is>
          <x:t xml:space="preserve">2026-06-15</x:t>
        </x:is>
      </x:c>
      <x:c r="G99" s="7" t="n"/>
      <x:c r="H99" s="7" t="n"/>
      <x:c r="I99" s="7" t="n"/>
      <x:c r="J99" s="7" t="n"/>
      <x:c r="K99" s="7" t="n"/>
      <x:c r="L99" s="7" t="n"/>
      <x:c r="M99" s="7" t="n"/>
      <x:c r="N99" s="7" t="n"/>
      <x:c r="O99" s="7" t="n"/>
      <x:c r="P99" s="7" t="n"/>
      <x:c r="Q99" s="7" t="n"/>
      <x:c r="R99" s="7" t="n"/>
      <x:c r="S99" s="7" t="n"/>
      <x:c r="T99" s="7" t="n"/>
      <x:c r="U99" s="7" t="n"/>
      <x:c r="V99" s="7" t="n"/>
      <x:c r="W99" s="7" t="n"/>
      <x:c r="X99" s="7" t="n"/>
      <x:c r="Y99" s="7" t="n"/>
      <x:c r="Z99" s="7" t="n"/>
      <x:c r="AA99" s="7" t="n"/>
      <x:c r="AB99" s="7" t="n"/>
    </x:row>
    <x:row r="100" ht="20" customHeight="1">
      <x:c r="A100" s="12" t="inlineStr">
        <x:is>
          <x:t xml:space="preserve">Beaverton School District</x:t>
        </x:is>
      </x:c>
      <x:c r="B100" s="12" t="inlineStr">
        <x:is>
          <x:t xml:space="preserve">OR</x:t>
        </x:is>
      </x:c>
      <x:c r="C100" s="12" t="inlineStr">
        <x:is>
          <x:t xml:space="preserve">Bachelor's</x:t>
        </x:is>
      </x:c>
      <x:c r="D100" s="13" t="n">
        <x:v>10</x:v>
      </x:c>
      <x:c r="E100" s="14" t="n">
        <x:v>80598</x:v>
      </x:c>
      <x:c r="F100" s="12" t="inlineStr">
        <x:is>
          <x:t xml:space="preserve">2026-06-15</x:t>
        </x:is>
      </x:c>
      <x:c r="G100" s="7" t="n"/>
      <x:c r="H100" s="7" t="n"/>
      <x:c r="I100" s="7" t="n"/>
      <x:c r="J100" s="7" t="n"/>
      <x:c r="K100" s="7" t="n"/>
      <x:c r="L100" s="7" t="n"/>
      <x:c r="M100" s="7" t="n"/>
      <x:c r="N100" s="7" t="n"/>
      <x:c r="O100" s="7" t="n"/>
      <x:c r="P100" s="7" t="n"/>
      <x:c r="Q100" s="7" t="n"/>
      <x:c r="R100" s="7" t="n"/>
      <x:c r="S100" s="7" t="n"/>
      <x:c r="T100" s="7" t="n"/>
      <x:c r="U100" s="7" t="n"/>
      <x:c r="V100" s="7" t="n"/>
      <x:c r="W100" s="7" t="n"/>
      <x:c r="X100" s="7" t="n"/>
      <x:c r="Y100" s="7" t="n"/>
      <x:c r="Z100" s="7" t="n"/>
      <x:c r="AA100" s="7" t="n"/>
      <x:c r="AB100" s="7" t="n"/>
    </x:row>
    <x:row r="101" ht="20" customHeight="1">
      <x:c r="A101" s="12" t="inlineStr">
        <x:is>
          <x:t xml:space="preserve">Beaverton School District</x:t>
        </x:is>
      </x:c>
      <x:c r="B101" s="12" t="inlineStr">
        <x:is>
          <x:t xml:space="preserve">OR</x:t>
        </x:is>
      </x:c>
      <x:c r="C101" s="12" t="inlineStr">
        <x:is>
          <x:t xml:space="preserve">Master's</x:t>
        </x:is>
      </x:c>
      <x:c r="D101" s="13" t="n">
        <x:v>0</x:v>
      </x:c>
      <x:c r="E101" s="14" t="n">
        <x:v>61373</x:v>
      </x:c>
      <x:c r="F101" s="12" t="inlineStr">
        <x:is>
          <x:t xml:space="preserve">2026-06-15</x:t>
        </x:is>
      </x:c>
      <x:c r="G101" s="7" t="n"/>
      <x:c r="H101" s="7" t="n"/>
      <x:c r="I101" s="7" t="n"/>
      <x:c r="J101" s="7" t="n"/>
      <x:c r="K101" s="7" t="n"/>
      <x:c r="L101" s="7" t="n"/>
      <x:c r="M101" s="7" t="n"/>
      <x:c r="N101" s="7" t="n"/>
      <x:c r="O101" s="7" t="n"/>
      <x:c r="P101" s="7" t="n"/>
      <x:c r="Q101" s="7" t="n"/>
      <x:c r="R101" s="7" t="n"/>
      <x:c r="S101" s="7" t="n"/>
      <x:c r="T101" s="7" t="n"/>
      <x:c r="U101" s="7" t="n"/>
      <x:c r="V101" s="7" t="n"/>
      <x:c r="W101" s="7" t="n"/>
      <x:c r="X101" s="7" t="n"/>
      <x:c r="Y101" s="7" t="n"/>
      <x:c r="Z101" s="7" t="n"/>
      <x:c r="AA101" s="7" t="n"/>
      <x:c r="AB101" s="7" t="n"/>
    </x:row>
    <x:row r="102" ht="20" customHeight="1">
      <x:c r="A102" s="12" t="inlineStr">
        <x:is>
          <x:t xml:space="preserve">Beaverton School District</x:t>
        </x:is>
      </x:c>
      <x:c r="B102" s="12" t="inlineStr">
        <x:is>
          <x:t xml:space="preserve">OR</x:t>
        </x:is>
      </x:c>
      <x:c r="C102" s="12" t="inlineStr">
        <x:is>
          <x:t xml:space="preserve">Master's</x:t>
        </x:is>
      </x:c>
      <x:c r="D102" s="13" t="n">
        <x:v>1</x:v>
      </x:c>
      <x:c r="E102" s="14" t="n">
        <x:v>63984</x:v>
      </x:c>
      <x:c r="F102" s="12" t="inlineStr">
        <x:is>
          <x:t xml:space="preserve">2026-06-15</x:t>
        </x:is>
      </x:c>
      <x:c r="G102" s="7" t="n"/>
      <x:c r="H102" s="7" t="n"/>
      <x:c r="I102" s="7" t="n"/>
      <x:c r="J102" s="7" t="n"/>
      <x:c r="K102" s="7" t="n"/>
      <x:c r="L102" s="7" t="n"/>
      <x:c r="M102" s="7" t="n"/>
      <x:c r="N102" s="7" t="n"/>
      <x:c r="O102" s="7" t="n"/>
      <x:c r="P102" s="7" t="n"/>
      <x:c r="Q102" s="7" t="n"/>
      <x:c r="R102" s="7" t="n"/>
      <x:c r="S102" s="7" t="n"/>
      <x:c r="T102" s="7" t="n"/>
      <x:c r="U102" s="7" t="n"/>
      <x:c r="V102" s="7" t="n"/>
      <x:c r="W102" s="7" t="n"/>
      <x:c r="X102" s="7" t="n"/>
      <x:c r="Y102" s="7" t="n"/>
      <x:c r="Z102" s="7" t="n"/>
      <x:c r="AA102" s="7" t="n"/>
      <x:c r="AB102" s="7" t="n"/>
    </x:row>
    <x:row r="103" ht="20" customHeight="1">
      <x:c r="A103" s="12" t="inlineStr">
        <x:is>
          <x:t xml:space="preserve">Beaverton School District</x:t>
        </x:is>
      </x:c>
      <x:c r="B103" s="12" t="inlineStr">
        <x:is>
          <x:t xml:space="preserve">OR</x:t>
        </x:is>
      </x:c>
      <x:c r="C103" s="12" t="inlineStr">
        <x:is>
          <x:t xml:space="preserve">Master's</x:t>
        </x:is>
      </x:c>
      <x:c r="D103" s="13" t="n">
        <x:v>2</x:v>
      </x:c>
      <x:c r="E103" s="14" t="n">
        <x:v>66595</x:v>
      </x:c>
      <x:c r="F103" s="12" t="inlineStr">
        <x:is>
          <x:t xml:space="preserve">2026-06-15</x:t>
        </x:is>
      </x:c>
      <x:c r="G103" s="7" t="n"/>
      <x:c r="H103" s="7" t="n"/>
      <x:c r="I103" s="7" t="n"/>
      <x:c r="J103" s="7" t="n"/>
      <x:c r="K103" s="7" t="n"/>
      <x:c r="L103" s="7" t="n"/>
      <x:c r="M103" s="7" t="n"/>
      <x:c r="N103" s="7" t="n"/>
      <x:c r="O103" s="7" t="n"/>
      <x:c r="P103" s="7" t="n"/>
      <x:c r="Q103" s="7" t="n"/>
      <x:c r="R103" s="7" t="n"/>
      <x:c r="S103" s="7" t="n"/>
      <x:c r="T103" s="7" t="n"/>
      <x:c r="U103" s="7" t="n"/>
      <x:c r="V103" s="7" t="n"/>
      <x:c r="W103" s="7" t="n"/>
      <x:c r="X103" s="7" t="n"/>
      <x:c r="Y103" s="7" t="n"/>
      <x:c r="Z103" s="7" t="n"/>
      <x:c r="AA103" s="7" t="n"/>
      <x:c r="AB103" s="7" t="n"/>
    </x:row>
    <x:row r="104" ht="20" customHeight="1">
      <x:c r="A104" s="12" t="inlineStr">
        <x:is>
          <x:t xml:space="preserve">Beaverton School District</x:t>
        </x:is>
      </x:c>
      <x:c r="B104" s="12" t="inlineStr">
        <x:is>
          <x:t xml:space="preserve">OR</x:t>
        </x:is>
      </x:c>
      <x:c r="C104" s="12" t="inlineStr">
        <x:is>
          <x:t xml:space="preserve">Master's</x:t>
        </x:is>
      </x:c>
      <x:c r="D104" s="13" t="n">
        <x:v>3</x:v>
      </x:c>
      <x:c r="E104" s="14" t="n">
        <x:v>69206</x:v>
      </x:c>
      <x:c r="F104" s="12" t="inlineStr">
        <x:is>
          <x:t xml:space="preserve">2026-06-15</x:t>
        </x:is>
      </x:c>
      <x:c r="G104" s="7" t="n"/>
      <x:c r="H104" s="7" t="n"/>
      <x:c r="I104" s="7" t="n"/>
      <x:c r="J104" s="7" t="n"/>
      <x:c r="K104" s="7" t="n"/>
      <x:c r="L104" s="7" t="n"/>
      <x:c r="M104" s="7" t="n"/>
      <x:c r="N104" s="7" t="n"/>
      <x:c r="O104" s="7" t="n"/>
      <x:c r="P104" s="7" t="n"/>
      <x:c r="Q104" s="7" t="n"/>
      <x:c r="R104" s="7" t="n"/>
      <x:c r="S104" s="7" t="n"/>
      <x:c r="T104" s="7" t="n"/>
      <x:c r="U104" s="7" t="n"/>
      <x:c r="V104" s="7" t="n"/>
      <x:c r="W104" s="7" t="n"/>
      <x:c r="X104" s="7" t="n"/>
      <x:c r="Y104" s="7" t="n"/>
      <x:c r="Z104" s="7" t="n"/>
      <x:c r="AA104" s="7" t="n"/>
      <x:c r="AB104" s="7" t="n"/>
    </x:row>
    <x:row r="105" ht="20" customHeight="1">
      <x:c r="A105" s="12" t="inlineStr">
        <x:is>
          <x:t xml:space="preserve">Beaverton School District</x:t>
        </x:is>
      </x:c>
      <x:c r="B105" s="12" t="inlineStr">
        <x:is>
          <x:t xml:space="preserve">OR</x:t>
        </x:is>
      </x:c>
      <x:c r="C105" s="12" t="inlineStr">
        <x:is>
          <x:t xml:space="preserve">Master's</x:t>
        </x:is>
      </x:c>
      <x:c r="D105" s="13" t="n">
        <x:v>4</x:v>
      </x:c>
      <x:c r="E105" s="14" t="n">
        <x:v>71816</x:v>
      </x:c>
      <x:c r="F105" s="12" t="inlineStr">
        <x:is>
          <x:t xml:space="preserve">2026-06-15</x:t>
        </x:is>
      </x:c>
      <x:c r="G105" s="7" t="n"/>
      <x:c r="H105" s="7" t="n"/>
      <x:c r="I105" s="7" t="n"/>
      <x:c r="J105" s="7" t="n"/>
      <x:c r="K105" s="7" t="n"/>
      <x:c r="L105" s="7" t="n"/>
      <x:c r="M105" s="7" t="n"/>
      <x:c r="N105" s="7" t="n"/>
      <x:c r="O105" s="7" t="n"/>
      <x:c r="P105" s="7" t="n"/>
      <x:c r="Q105" s="7" t="n"/>
      <x:c r="R105" s="7" t="n"/>
      <x:c r="S105" s="7" t="n"/>
      <x:c r="T105" s="7" t="n"/>
      <x:c r="U105" s="7" t="n"/>
      <x:c r="V105" s="7" t="n"/>
      <x:c r="W105" s="7" t="n"/>
      <x:c r="X105" s="7" t="n"/>
      <x:c r="Y105" s="7" t="n"/>
      <x:c r="Z105" s="7" t="n"/>
      <x:c r="AA105" s="7" t="n"/>
      <x:c r="AB105" s="7" t="n"/>
    </x:row>
    <x:row r="106" ht="20" customHeight="1">
      <x:c r="A106" s="12" t="inlineStr">
        <x:is>
          <x:t xml:space="preserve">Beaverton School District</x:t>
        </x:is>
      </x:c>
      <x:c r="B106" s="12" t="inlineStr">
        <x:is>
          <x:t xml:space="preserve">OR</x:t>
        </x:is>
      </x:c>
      <x:c r="C106" s="12" t="inlineStr">
        <x:is>
          <x:t xml:space="preserve">Master's</x:t>
        </x:is>
      </x:c>
      <x:c r="D106" s="13" t="n">
        <x:v>5</x:v>
      </x:c>
      <x:c r="E106" s="14" t="n">
        <x:v>74426</x:v>
      </x:c>
      <x:c r="F106" s="12" t="inlineStr">
        <x:is>
          <x:t xml:space="preserve">2026-06-15</x:t>
        </x:is>
      </x:c>
      <x:c r="G106" s="7" t="n"/>
      <x:c r="H106" s="7" t="n"/>
      <x:c r="I106" s="7" t="n"/>
      <x:c r="J106" s="7" t="n"/>
      <x:c r="K106" s="7" t="n"/>
      <x:c r="L106" s="7" t="n"/>
      <x:c r="M106" s="7" t="n"/>
      <x:c r="N106" s="7" t="n"/>
      <x:c r="O106" s="7" t="n"/>
      <x:c r="P106" s="7" t="n"/>
      <x:c r="Q106" s="7" t="n"/>
      <x:c r="R106" s="7" t="n"/>
      <x:c r="S106" s="7" t="n"/>
      <x:c r="T106" s="7" t="n"/>
      <x:c r="U106" s="7" t="n"/>
      <x:c r="V106" s="7" t="n"/>
      <x:c r="W106" s="7" t="n"/>
      <x:c r="X106" s="7" t="n"/>
      <x:c r="Y106" s="7" t="n"/>
      <x:c r="Z106" s="7" t="n"/>
      <x:c r="AA106" s="7" t="n"/>
      <x:c r="AB106" s="7" t="n"/>
    </x:row>
    <x:row r="107" ht="20" customHeight="1">
      <x:c r="A107" s="12" t="inlineStr">
        <x:is>
          <x:t xml:space="preserve">Beaverton School District</x:t>
        </x:is>
      </x:c>
      <x:c r="B107" s="12" t="inlineStr">
        <x:is>
          <x:t xml:space="preserve">OR</x:t>
        </x:is>
      </x:c>
      <x:c r="C107" s="12" t="inlineStr">
        <x:is>
          <x:t xml:space="preserve">Master's</x:t>
        </x:is>
      </x:c>
      <x:c r="D107" s="13" t="n">
        <x:v>6</x:v>
      </x:c>
      <x:c r="E107" s="14" t="n">
        <x:v>77037</x:v>
      </x:c>
      <x:c r="F107" s="12" t="inlineStr">
        <x:is>
          <x:t xml:space="preserve">2026-06-15</x:t>
        </x:is>
      </x:c>
      <x:c r="G107" s="7" t="n"/>
      <x:c r="H107" s="7" t="n"/>
      <x:c r="I107" s="7" t="n"/>
      <x:c r="J107" s="7" t="n"/>
      <x:c r="K107" s="7" t="n"/>
      <x:c r="L107" s="7" t="n"/>
      <x:c r="M107" s="7" t="n"/>
      <x:c r="N107" s="7" t="n"/>
      <x:c r="O107" s="7" t="n"/>
      <x:c r="P107" s="7" t="n"/>
      <x:c r="Q107" s="7" t="n"/>
      <x:c r="R107" s="7" t="n"/>
      <x:c r="S107" s="7" t="n"/>
      <x:c r="T107" s="7" t="n"/>
      <x:c r="U107" s="7" t="n"/>
      <x:c r="V107" s="7" t="n"/>
      <x:c r="W107" s="7" t="n"/>
      <x:c r="X107" s="7" t="n"/>
      <x:c r="Y107" s="7" t="n"/>
      <x:c r="Z107" s="7" t="n"/>
      <x:c r="AA107" s="7" t="n"/>
      <x:c r="AB107" s="7" t="n"/>
    </x:row>
    <x:row r="108" ht="20" customHeight="1">
      <x:c r="A108" s="12" t="inlineStr">
        <x:is>
          <x:t xml:space="preserve">Beaverton School District</x:t>
        </x:is>
      </x:c>
      <x:c r="B108" s="12" t="inlineStr">
        <x:is>
          <x:t xml:space="preserve">OR</x:t>
        </x:is>
      </x:c>
      <x:c r="C108" s="12" t="inlineStr">
        <x:is>
          <x:t xml:space="preserve">Master's</x:t>
        </x:is>
      </x:c>
      <x:c r="D108" s="13" t="n">
        <x:v>7</x:v>
      </x:c>
      <x:c r="E108" s="14" t="n">
        <x:v>79648</x:v>
      </x:c>
      <x:c r="F108" s="12" t="inlineStr">
        <x:is>
          <x:t xml:space="preserve">2026-06-15</x:t>
        </x:is>
      </x:c>
      <x:c r="G108" s="7" t="n"/>
      <x:c r="H108" s="7" t="n"/>
      <x:c r="I108" s="7" t="n"/>
      <x:c r="J108" s="7" t="n"/>
      <x:c r="K108" s="7" t="n"/>
      <x:c r="L108" s="7" t="n"/>
      <x:c r="M108" s="7" t="n"/>
      <x:c r="N108" s="7" t="n"/>
      <x:c r="O108" s="7" t="n"/>
      <x:c r="P108" s="7" t="n"/>
      <x:c r="Q108" s="7" t="n"/>
      <x:c r="R108" s="7" t="n"/>
      <x:c r="S108" s="7" t="n"/>
      <x:c r="T108" s="7" t="n"/>
      <x:c r="U108" s="7" t="n"/>
      <x:c r="V108" s="7" t="n"/>
      <x:c r="W108" s="7" t="n"/>
      <x:c r="X108" s="7" t="n"/>
      <x:c r="Y108" s="7" t="n"/>
      <x:c r="Z108" s="7" t="n"/>
      <x:c r="AA108" s="7" t="n"/>
      <x:c r="AB108" s="7" t="n"/>
    </x:row>
    <x:row r="109" ht="20" customHeight="1">
      <x:c r="A109" s="12" t="inlineStr">
        <x:is>
          <x:t xml:space="preserve">Beaverton School District</x:t>
        </x:is>
      </x:c>
      <x:c r="B109" s="12" t="inlineStr">
        <x:is>
          <x:t xml:space="preserve">OR</x:t>
        </x:is>
      </x:c>
      <x:c r="C109" s="12" t="inlineStr">
        <x:is>
          <x:t xml:space="preserve">Master's</x:t>
        </x:is>
      </x:c>
      <x:c r="D109" s="13" t="n">
        <x:v>8</x:v>
      </x:c>
      <x:c r="E109" s="14" t="n">
        <x:v>82259</x:v>
      </x:c>
      <x:c r="F109" s="12" t="inlineStr">
        <x:is>
          <x:t xml:space="preserve">2026-06-15</x:t>
        </x:is>
      </x:c>
      <x:c r="G109" s="7" t="n"/>
      <x:c r="H109" s="7" t="n"/>
      <x:c r="I109" s="7" t="n"/>
      <x:c r="J109" s="7" t="n"/>
      <x:c r="K109" s="7" t="n"/>
      <x:c r="L109" s="7" t="n"/>
      <x:c r="M109" s="7" t="n"/>
      <x:c r="N109" s="7" t="n"/>
      <x:c r="O109" s="7" t="n"/>
      <x:c r="P109" s="7" t="n"/>
      <x:c r="Q109" s="7" t="n"/>
      <x:c r="R109" s="7" t="n"/>
      <x:c r="S109" s="7" t="n"/>
      <x:c r="T109" s="7" t="n"/>
      <x:c r="U109" s="7" t="n"/>
      <x:c r="V109" s="7" t="n"/>
      <x:c r="W109" s="7" t="n"/>
      <x:c r="X109" s="7" t="n"/>
      <x:c r="Y109" s="7" t="n"/>
      <x:c r="Z109" s="7" t="n"/>
      <x:c r="AA109" s="7" t="n"/>
      <x:c r="AB109" s="7" t="n"/>
    </x:row>
    <x:row r="110" ht="20" customHeight="1">
      <x:c r="A110" s="12" t="inlineStr">
        <x:is>
          <x:t xml:space="preserve">Beaverton School District</x:t>
        </x:is>
      </x:c>
      <x:c r="B110" s="12" t="inlineStr">
        <x:is>
          <x:t xml:space="preserve">OR</x:t>
        </x:is>
      </x:c>
      <x:c r="C110" s="12" t="inlineStr">
        <x:is>
          <x:t xml:space="preserve">Master's</x:t>
        </x:is>
      </x:c>
      <x:c r="D110" s="13" t="n">
        <x:v>9</x:v>
      </x:c>
      <x:c r="E110" s="14" t="n">
        <x:v>84870</x:v>
      </x:c>
      <x:c r="F110" s="12" t="inlineStr">
        <x:is>
          <x:t xml:space="preserve">2026-06-15</x:t>
        </x:is>
      </x:c>
      <x:c r="G110" s="7" t="n"/>
      <x:c r="H110" s="7" t="n"/>
      <x:c r="I110" s="7" t="n"/>
      <x:c r="J110" s="7" t="n"/>
      <x:c r="K110" s="7" t="n"/>
      <x:c r="L110" s="7" t="n"/>
      <x:c r="M110" s="7" t="n"/>
      <x:c r="N110" s="7" t="n"/>
      <x:c r="O110" s="7" t="n"/>
      <x:c r="P110" s="7" t="n"/>
      <x:c r="Q110" s="7" t="n"/>
      <x:c r="R110" s="7" t="n"/>
      <x:c r="S110" s="7" t="n"/>
      <x:c r="T110" s="7" t="n"/>
      <x:c r="U110" s="7" t="n"/>
      <x:c r="V110" s="7" t="n"/>
      <x:c r="W110" s="7" t="n"/>
      <x:c r="X110" s="7" t="n"/>
      <x:c r="Y110" s="7" t="n"/>
      <x:c r="Z110" s="7" t="n"/>
      <x:c r="AA110" s="7" t="n"/>
      <x:c r="AB110" s="7" t="n"/>
    </x:row>
    <x:row r="111" ht="20" customHeight="1">
      <x:c r="A111" s="12" t="inlineStr">
        <x:is>
          <x:t xml:space="preserve">Beaverton School District</x:t>
        </x:is>
      </x:c>
      <x:c r="B111" s="12" t="inlineStr">
        <x:is>
          <x:t xml:space="preserve">OR</x:t>
        </x:is>
      </x:c>
      <x:c r="C111" s="12" t="inlineStr">
        <x:is>
          <x:t xml:space="preserve">Master's</x:t>
        </x:is>
      </x:c>
      <x:c r="D111" s="13" t="n">
        <x:v>10</x:v>
      </x:c>
      <x:c r="E111" s="14" t="n">
        <x:v>87480</x:v>
      </x:c>
      <x:c r="F111" s="12" t="inlineStr">
        <x:is>
          <x:t xml:space="preserve">2026-06-15</x:t>
        </x:is>
      </x:c>
      <x:c r="G111" s="7" t="n"/>
      <x:c r="H111" s="7" t="n"/>
      <x:c r="I111" s="7" t="n"/>
      <x:c r="J111" s="7" t="n"/>
      <x:c r="K111" s="7" t="n"/>
      <x:c r="L111" s="7" t="n"/>
      <x:c r="M111" s="7" t="n"/>
      <x:c r="N111" s="7" t="n"/>
      <x:c r="O111" s="7" t="n"/>
      <x:c r="P111" s="7" t="n"/>
      <x:c r="Q111" s="7" t="n"/>
      <x:c r="R111" s="7" t="n"/>
      <x:c r="S111" s="7" t="n"/>
      <x:c r="T111" s="7" t="n"/>
      <x:c r="U111" s="7" t="n"/>
      <x:c r="V111" s="7" t="n"/>
      <x:c r="W111" s="7" t="n"/>
      <x:c r="X111" s="7" t="n"/>
      <x:c r="Y111" s="7" t="n"/>
      <x:c r="Z111" s="7" t="n"/>
      <x:c r="AA111" s="7" t="n"/>
      <x:c r="AB111" s="7" t="n"/>
    </x:row>
    <x:row r="112" ht="20" customHeight="1">
      <x:c r="A112" s="12" t="inlineStr">
        <x:is>
          <x:t xml:space="preserve">Canyons School District</x:t>
        </x:is>
      </x:c>
      <x:c r="B112" s="12" t="inlineStr">
        <x:is>
          <x:t xml:space="preserve">UT</x:t>
        </x:is>
      </x:c>
      <x:c r="C112" s="12" t="inlineStr">
        <x:is>
          <x:t xml:space="preserve">Bachelor's</x:t>
        </x:is>
      </x:c>
      <x:c r="D112" s="13" t="n">
        <x:v>0</x:v>
      </x:c>
      <x:c r="E112" s="14" t="n">
        <x:v>64200</x:v>
      </x:c>
      <x:c r="F112" s="83" t="inlineStr">
        <x:is>
          <x:t xml:space="preserve">2026-06-11</x:t>
        </x:is>
      </x:c>
      <x:c r="G112" s="7" t="n"/>
      <x:c r="H112" s="7" t="n"/>
      <x:c r="I112" s="7" t="n"/>
      <x:c r="J112" s="7" t="n"/>
      <x:c r="K112" s="7" t="n"/>
      <x:c r="L112" s="7" t="n"/>
      <x:c r="M112" s="7" t="n"/>
      <x:c r="N112" s="7" t="n"/>
      <x:c r="O112" s="7" t="n"/>
      <x:c r="P112" s="7" t="n"/>
      <x:c r="Q112" s="7" t="n"/>
      <x:c r="R112" s="7" t="n"/>
      <x:c r="S112" s="7" t="n"/>
      <x:c r="T112" s="7" t="n"/>
      <x:c r="U112" s="7" t="n"/>
      <x:c r="V112" s="7" t="n"/>
      <x:c r="W112" s="7" t="n"/>
      <x:c r="X112" s="7" t="n"/>
      <x:c r="Y112" s="7" t="n"/>
      <x:c r="Z112" s="7" t="n"/>
      <x:c r="AA112" s="7" t="n"/>
      <x:c r="AB112" s="7" t="n"/>
    </x:row>
    <x:row r="113" ht="20" customHeight="1">
      <x:c r="A113" s="12" t="inlineStr">
        <x:is>
          <x:t xml:space="preserve">Canyons School District</x:t>
        </x:is>
      </x:c>
      <x:c r="B113" s="12" t="inlineStr">
        <x:is>
          <x:t xml:space="preserve">UT</x:t>
        </x:is>
      </x:c>
      <x:c r="C113" s="12" t="inlineStr">
        <x:is>
          <x:t xml:space="preserve">Bachelor's</x:t>
        </x:is>
      </x:c>
      <x:c r="D113" s="13" t="n">
        <x:v>1</x:v>
      </x:c>
      <x:c r="E113" s="14" t="n">
        <x:v>65150</x:v>
      </x:c>
      <x:c r="F113" s="83" t="inlineStr">
        <x:is>
          <x:t xml:space="preserve">2026-06-11</x:t>
        </x:is>
      </x:c>
      <x:c r="G113" s="7" t="n"/>
      <x:c r="H113" s="7" t="n"/>
      <x:c r="I113" s="7" t="n"/>
      <x:c r="J113" s="7" t="n"/>
      <x:c r="K113" s="7" t="n"/>
      <x:c r="L113" s="7" t="n"/>
      <x:c r="M113" s="7" t="n"/>
      <x:c r="N113" s="7" t="n"/>
      <x:c r="O113" s="7" t="n"/>
      <x:c r="P113" s="7" t="n"/>
      <x:c r="Q113" s="7" t="n"/>
      <x:c r="R113" s="7" t="n"/>
      <x:c r="S113" s="7" t="n"/>
      <x:c r="T113" s="7" t="n"/>
      <x:c r="U113" s="7" t="n"/>
      <x:c r="V113" s="7" t="n"/>
      <x:c r="W113" s="7" t="n"/>
      <x:c r="X113" s="7" t="n"/>
      <x:c r="Y113" s="7" t="n"/>
      <x:c r="Z113" s="7" t="n"/>
      <x:c r="AA113" s="7" t="n"/>
      <x:c r="AB113" s="7" t="n"/>
    </x:row>
    <x:row r="114" ht="20" customHeight="1">
      <x:c r="A114" s="12" t="inlineStr">
        <x:is>
          <x:t xml:space="preserve">Canyons School District</x:t>
        </x:is>
      </x:c>
      <x:c r="B114" s="12" t="inlineStr">
        <x:is>
          <x:t xml:space="preserve">UT</x:t>
        </x:is>
      </x:c>
      <x:c r="C114" s="12" t="inlineStr">
        <x:is>
          <x:t xml:space="preserve">Bachelor's</x:t>
        </x:is>
      </x:c>
      <x:c r="D114" s="13" t="n">
        <x:v>2</x:v>
      </x:c>
      <x:c r="E114" s="14" t="n">
        <x:v>66100</x:v>
      </x:c>
      <x:c r="F114" s="83" t="inlineStr">
        <x:is>
          <x:t xml:space="preserve">2026-06-11</x:t>
        </x:is>
      </x:c>
      <x:c r="G114" s="7" t="n"/>
      <x:c r="H114" s="7" t="n"/>
      <x:c r="I114" s="7" t="n"/>
      <x:c r="J114" s="7" t="n"/>
      <x:c r="K114" s="7" t="n"/>
      <x:c r="L114" s="7" t="n"/>
      <x:c r="M114" s="7" t="n"/>
      <x:c r="N114" s="7" t="n"/>
      <x:c r="O114" s="7" t="n"/>
      <x:c r="P114" s="7" t="n"/>
      <x:c r="Q114" s="7" t="n"/>
      <x:c r="R114" s="7" t="n"/>
      <x:c r="S114" s="7" t="n"/>
      <x:c r="T114" s="7" t="n"/>
      <x:c r="U114" s="7" t="n"/>
      <x:c r="V114" s="7" t="n"/>
      <x:c r="W114" s="7" t="n"/>
      <x:c r="X114" s="7" t="n"/>
      <x:c r="Y114" s="7" t="n"/>
      <x:c r="Z114" s="7" t="n"/>
      <x:c r="AA114" s="7" t="n"/>
      <x:c r="AB114" s="7" t="n"/>
    </x:row>
    <x:row r="115" ht="20" customHeight="1">
      <x:c r="A115" s="12" t="inlineStr">
        <x:is>
          <x:t xml:space="preserve">Canyons School District</x:t>
        </x:is>
      </x:c>
      <x:c r="B115" s="12" t="inlineStr">
        <x:is>
          <x:t xml:space="preserve">UT</x:t>
        </x:is>
      </x:c>
      <x:c r="C115" s="12" t="inlineStr">
        <x:is>
          <x:t xml:space="preserve">Bachelor's</x:t>
        </x:is>
      </x:c>
      <x:c r="D115" s="13" t="n">
        <x:v>3</x:v>
      </x:c>
      <x:c r="E115" s="14" t="n">
        <x:v>67050</x:v>
      </x:c>
      <x:c r="F115" s="83" t="inlineStr">
        <x:is>
          <x:t xml:space="preserve">2026-06-11</x:t>
        </x:is>
      </x:c>
      <x:c r="G115" s="7" t="n"/>
      <x:c r="H115" s="7" t="n"/>
      <x:c r="I115" s="7" t="n"/>
      <x:c r="J115" s="7" t="n"/>
      <x:c r="K115" s="7" t="n"/>
      <x:c r="L115" s="7" t="n"/>
      <x:c r="M115" s="7" t="n"/>
      <x:c r="N115" s="7" t="n"/>
      <x:c r="O115" s="7" t="n"/>
      <x:c r="P115" s="7" t="n"/>
      <x:c r="Q115" s="7" t="n"/>
      <x:c r="R115" s="7" t="n"/>
      <x:c r="S115" s="7" t="n"/>
      <x:c r="T115" s="7" t="n"/>
      <x:c r="U115" s="7" t="n"/>
      <x:c r="V115" s="7" t="n"/>
      <x:c r="W115" s="7" t="n"/>
      <x:c r="X115" s="7" t="n"/>
      <x:c r="Y115" s="7" t="n"/>
      <x:c r="Z115" s="7" t="n"/>
      <x:c r="AA115" s="7" t="n"/>
      <x:c r="AB115" s="7" t="n"/>
    </x:row>
    <x:row r="116" ht="20" customHeight="1">
      <x:c r="A116" s="12" t="inlineStr">
        <x:is>
          <x:t xml:space="preserve">Canyons School District</x:t>
        </x:is>
      </x:c>
      <x:c r="B116" s="12" t="inlineStr">
        <x:is>
          <x:t xml:space="preserve">UT</x:t>
        </x:is>
      </x:c>
      <x:c r="C116" s="12" t="inlineStr">
        <x:is>
          <x:t xml:space="preserve">Bachelor's</x:t>
        </x:is>
      </x:c>
      <x:c r="D116" s="13" t="n">
        <x:v>4</x:v>
      </x:c>
      <x:c r="E116" s="14" t="n">
        <x:v>68000</x:v>
      </x:c>
      <x:c r="F116" s="83" t="inlineStr">
        <x:is>
          <x:t xml:space="preserve">2026-06-11</x:t>
        </x:is>
      </x:c>
      <x:c r="G116" s="7" t="n"/>
      <x:c r="H116" s="7" t="n"/>
      <x:c r="I116" s="7" t="n"/>
      <x:c r="J116" s="7" t="n"/>
      <x:c r="K116" s="7" t="n"/>
      <x:c r="L116" s="7" t="n"/>
      <x:c r="M116" s="7" t="n"/>
      <x:c r="N116" s="7" t="n"/>
      <x:c r="O116" s="7" t="n"/>
      <x:c r="P116" s="7" t="n"/>
      <x:c r="Q116" s="7" t="n"/>
      <x:c r="R116" s="7" t="n"/>
      <x:c r="S116" s="7" t="n"/>
      <x:c r="T116" s="7" t="n"/>
      <x:c r="U116" s="7" t="n"/>
      <x:c r="V116" s="7" t="n"/>
      <x:c r="W116" s="7" t="n"/>
      <x:c r="X116" s="7" t="n"/>
      <x:c r="Y116" s="7" t="n"/>
      <x:c r="Z116" s="7" t="n"/>
      <x:c r="AA116" s="7" t="n"/>
      <x:c r="AB116" s="7" t="n"/>
    </x:row>
    <x:row r="117" ht="20" customHeight="1">
      <x:c r="A117" s="12" t="inlineStr">
        <x:is>
          <x:t xml:space="preserve">Canyons School District</x:t>
        </x:is>
      </x:c>
      <x:c r="B117" s="12" t="inlineStr">
        <x:is>
          <x:t xml:space="preserve">UT</x:t>
        </x:is>
      </x:c>
      <x:c r="C117" s="12" t="inlineStr">
        <x:is>
          <x:t xml:space="preserve">Bachelor's</x:t>
        </x:is>
      </x:c>
      <x:c r="D117" s="13" t="n">
        <x:v>5</x:v>
      </x:c>
      <x:c r="E117" s="14" t="n">
        <x:v>68950</x:v>
      </x:c>
      <x:c r="F117" s="83" t="inlineStr">
        <x:is>
          <x:t xml:space="preserve">2026-06-11</x:t>
        </x:is>
      </x:c>
      <x:c r="G117" s="7" t="n"/>
      <x:c r="H117" s="7" t="n"/>
      <x:c r="I117" s="7" t="n"/>
      <x:c r="J117" s="7" t="n"/>
      <x:c r="K117" s="7" t="n"/>
      <x:c r="L117" s="7" t="n"/>
      <x:c r="M117" s="7" t="n"/>
      <x:c r="N117" s="7" t="n"/>
      <x:c r="O117" s="7" t="n"/>
      <x:c r="P117" s="7" t="n"/>
      <x:c r="Q117" s="7" t="n"/>
      <x:c r="R117" s="7" t="n"/>
      <x:c r="S117" s="7" t="n"/>
      <x:c r="T117" s="7" t="n"/>
      <x:c r="U117" s="7" t="n"/>
      <x:c r="V117" s="7" t="n"/>
      <x:c r="W117" s="7" t="n"/>
      <x:c r="X117" s="7" t="n"/>
      <x:c r="Y117" s="7" t="n"/>
      <x:c r="Z117" s="7" t="n"/>
      <x:c r="AA117" s="7" t="n"/>
      <x:c r="AB117" s="7" t="n"/>
    </x:row>
    <x:row r="118" ht="20" customHeight="1">
      <x:c r="A118" s="12" t="inlineStr">
        <x:is>
          <x:t xml:space="preserve">Canyons School District</x:t>
        </x:is>
      </x:c>
      <x:c r="B118" s="12" t="inlineStr">
        <x:is>
          <x:t xml:space="preserve">UT</x:t>
        </x:is>
      </x:c>
      <x:c r="C118" s="12" t="inlineStr">
        <x:is>
          <x:t xml:space="preserve">Bachelor's</x:t>
        </x:is>
      </x:c>
      <x:c r="D118" s="13" t="n">
        <x:v>6</x:v>
      </x:c>
      <x:c r="E118" s="14" t="n">
        <x:v>69900</x:v>
      </x:c>
      <x:c r="F118" s="83" t="inlineStr">
        <x:is>
          <x:t xml:space="preserve">2026-06-11</x:t>
        </x:is>
      </x:c>
      <x:c r="G118" s="7" t="n"/>
      <x:c r="H118" s="7" t="n"/>
      <x:c r="I118" s="7" t="n"/>
      <x:c r="J118" s="7" t="n"/>
      <x:c r="K118" s="7" t="n"/>
      <x:c r="L118" s="7" t="n"/>
      <x:c r="M118" s="7" t="n"/>
      <x:c r="N118" s="7" t="n"/>
      <x:c r="O118" s="7" t="n"/>
      <x:c r="P118" s="7" t="n"/>
      <x:c r="Q118" s="7" t="n"/>
      <x:c r="R118" s="7" t="n"/>
      <x:c r="S118" s="7" t="n"/>
      <x:c r="T118" s="7" t="n"/>
      <x:c r="U118" s="7" t="n"/>
      <x:c r="V118" s="7" t="n"/>
      <x:c r="W118" s="7" t="n"/>
      <x:c r="X118" s="7" t="n"/>
      <x:c r="Y118" s="7" t="n"/>
      <x:c r="Z118" s="7" t="n"/>
      <x:c r="AA118" s="7" t="n"/>
      <x:c r="AB118" s="7" t="n"/>
    </x:row>
    <x:row r="119" ht="20" customHeight="1">
      <x:c r="A119" s="12" t="inlineStr">
        <x:is>
          <x:t xml:space="preserve">Canyons School District</x:t>
        </x:is>
      </x:c>
      <x:c r="B119" s="12" t="inlineStr">
        <x:is>
          <x:t xml:space="preserve">UT</x:t>
        </x:is>
      </x:c>
      <x:c r="C119" s="12" t="inlineStr">
        <x:is>
          <x:t xml:space="preserve">Bachelor's</x:t>
        </x:is>
      </x:c>
      <x:c r="D119" s="13" t="n">
        <x:v>7</x:v>
      </x:c>
      <x:c r="E119" s="14" t="n">
        <x:v>70850</x:v>
      </x:c>
      <x:c r="F119" s="83" t="inlineStr">
        <x:is>
          <x:t xml:space="preserve">2026-06-11</x:t>
        </x:is>
      </x:c>
      <x:c r="G119" s="7" t="n"/>
      <x:c r="H119" s="7" t="n"/>
      <x:c r="I119" s="7" t="n"/>
      <x:c r="J119" s="7" t="n"/>
      <x:c r="K119" s="7" t="n"/>
      <x:c r="L119" s="7" t="n"/>
      <x:c r="M119" s="7" t="n"/>
      <x:c r="N119" s="7" t="n"/>
      <x:c r="O119" s="7" t="n"/>
      <x:c r="P119" s="7" t="n"/>
      <x:c r="Q119" s="7" t="n"/>
      <x:c r="R119" s="7" t="n"/>
      <x:c r="S119" s="7" t="n"/>
      <x:c r="T119" s="7" t="n"/>
      <x:c r="U119" s="7" t="n"/>
      <x:c r="V119" s="7" t="n"/>
      <x:c r="W119" s="7" t="n"/>
      <x:c r="X119" s="7" t="n"/>
      <x:c r="Y119" s="7" t="n"/>
      <x:c r="Z119" s="7" t="n"/>
      <x:c r="AA119" s="7" t="n"/>
      <x:c r="AB119" s="7" t="n"/>
    </x:row>
    <x:row r="120" ht="20" customHeight="1">
      <x:c r="A120" s="12" t="inlineStr">
        <x:is>
          <x:t xml:space="preserve">Canyons School District</x:t>
        </x:is>
      </x:c>
      <x:c r="B120" s="12" t="inlineStr">
        <x:is>
          <x:t xml:space="preserve">UT</x:t>
        </x:is>
      </x:c>
      <x:c r="C120" s="12" t="inlineStr">
        <x:is>
          <x:t xml:space="preserve">Bachelor's</x:t>
        </x:is>
      </x:c>
      <x:c r="D120" s="13" t="n">
        <x:v>8</x:v>
      </x:c>
      <x:c r="E120" s="14" t="n">
        <x:v>71800</x:v>
      </x:c>
      <x:c r="F120" s="83" t="inlineStr">
        <x:is>
          <x:t xml:space="preserve">2026-06-11</x:t>
        </x:is>
      </x:c>
      <x:c r="G120" s="7" t="n"/>
      <x:c r="H120" s="7" t="n"/>
      <x:c r="I120" s="7" t="n"/>
      <x:c r="J120" s="7" t="n"/>
      <x:c r="K120" s="7" t="n"/>
      <x:c r="L120" s="7" t="n"/>
      <x:c r="M120" s="7" t="n"/>
      <x:c r="N120" s="7" t="n"/>
      <x:c r="O120" s="7" t="n"/>
      <x:c r="P120" s="7" t="n"/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Z120" s="7" t="n"/>
      <x:c r="AA120" s="7" t="n"/>
      <x:c r="AB120" s="7" t="n"/>
    </x:row>
    <x:row r="121" ht="20" customHeight="1">
      <x:c r="A121" s="12" t="inlineStr">
        <x:is>
          <x:t xml:space="preserve">Canyons School District</x:t>
        </x:is>
      </x:c>
      <x:c r="B121" s="12" t="inlineStr">
        <x:is>
          <x:t xml:space="preserve">UT</x:t>
        </x:is>
      </x:c>
      <x:c r="C121" s="12" t="inlineStr">
        <x:is>
          <x:t xml:space="preserve">Bachelor's</x:t>
        </x:is>
      </x:c>
      <x:c r="D121" s="13" t="n">
        <x:v>9</x:v>
      </x:c>
      <x:c r="E121" s="14" t="n">
        <x:v>72750</x:v>
      </x:c>
      <x:c r="F121" s="83" t="inlineStr">
        <x:is>
          <x:t xml:space="preserve">2026-06-11</x:t>
        </x:is>
      </x:c>
      <x:c r="G121" s="7" t="n"/>
      <x:c r="H121" s="7" t="n"/>
      <x:c r="I121" s="7" t="n"/>
      <x:c r="J121" s="7" t="n"/>
      <x:c r="K121" s="7" t="n"/>
      <x:c r="L121" s="7" t="n"/>
      <x:c r="M121" s="7" t="n"/>
      <x:c r="N121" s="7" t="n"/>
      <x:c r="O121" s="7" t="n"/>
      <x:c r="P121" s="7" t="n"/>
      <x:c r="Q121" s="7" t="n"/>
      <x:c r="R121" s="7" t="n"/>
      <x:c r="S121" s="7" t="n"/>
      <x:c r="T121" s="7" t="n"/>
      <x:c r="U121" s="7" t="n"/>
      <x:c r="V121" s="7" t="n"/>
      <x:c r="W121" s="7" t="n"/>
      <x:c r="X121" s="7" t="n"/>
      <x:c r="Y121" s="7" t="n"/>
      <x:c r="Z121" s="7" t="n"/>
      <x:c r="AA121" s="7" t="n"/>
      <x:c r="AB121" s="7" t="n"/>
    </x:row>
    <x:row r="122" ht="20" customHeight="1">
      <x:c r="A122" s="12" t="inlineStr">
        <x:is>
          <x:t xml:space="preserve">Canyons School District</x:t>
        </x:is>
      </x:c>
      <x:c r="B122" s="12" t="inlineStr">
        <x:is>
          <x:t xml:space="preserve">UT</x:t>
        </x:is>
      </x:c>
      <x:c r="C122" s="12" t="inlineStr">
        <x:is>
          <x:t xml:space="preserve">Bachelor's</x:t>
        </x:is>
      </x:c>
      <x:c r="D122" s="13" t="n">
        <x:v>10</x:v>
      </x:c>
      <x:c r="E122" s="14" t="n">
        <x:v>73700</x:v>
      </x:c>
      <x:c r="F122" s="83" t="inlineStr">
        <x:is>
          <x:t xml:space="preserve">2026-06-11</x:t>
        </x:is>
      </x:c>
      <x:c r="G122" s="7" t="n"/>
      <x:c r="H122" s="7" t="n"/>
      <x:c r="I122" s="7" t="n"/>
      <x:c r="J122" s="7" t="n"/>
      <x:c r="K122" s="7" t="n"/>
      <x:c r="L122" s="7" t="n"/>
      <x:c r="M122" s="7" t="n"/>
      <x:c r="N122" s="7" t="n"/>
      <x:c r="O122" s="7" t="n"/>
      <x:c r="P122" s="7" t="n"/>
      <x:c r="Q122" s="7" t="n"/>
      <x:c r="R122" s="7" t="n"/>
      <x:c r="S122" s="7" t="n"/>
      <x:c r="T122" s="7" t="n"/>
      <x:c r="U122" s="7" t="n"/>
      <x:c r="V122" s="7" t="n"/>
      <x:c r="W122" s="7" t="n"/>
      <x:c r="X122" s="7" t="n"/>
      <x:c r="Y122" s="7" t="n"/>
      <x:c r="Z122" s="7" t="n"/>
      <x:c r="AA122" s="7" t="n"/>
      <x:c r="AB122" s="7" t="n"/>
    </x:row>
    <x:row r="123" ht="20" customHeight="1">
      <x:c r="A123" s="12" t="inlineStr">
        <x:is>
          <x:t xml:space="preserve">Canyons School District</x:t>
        </x:is>
      </x:c>
      <x:c r="B123" s="12" t="inlineStr">
        <x:is>
          <x:t xml:space="preserve">UT</x:t>
        </x:is>
      </x:c>
      <x:c r="C123" s="12" t="inlineStr">
        <x:is>
          <x:t xml:space="preserve">Master's</x:t>
        </x:is>
      </x:c>
      <x:c r="D123" s="13" t="n">
        <x:v>0</x:v>
      </x:c>
      <x:c r="E123" s="14" t="n">
        <x:v>69900</x:v>
      </x:c>
      <x:c r="F123" s="83" t="inlineStr">
        <x:is>
          <x:t xml:space="preserve">2026-06-11</x:t>
        </x:is>
      </x:c>
      <x:c r="G123" s="7" t="n"/>
      <x:c r="H123" s="7" t="n"/>
      <x:c r="I123" s="7" t="n"/>
      <x:c r="J123" s="7" t="n"/>
      <x:c r="K123" s="7" t="n"/>
      <x:c r="L123" s="7" t="n"/>
      <x:c r="M123" s="7" t="n"/>
      <x:c r="N123" s="7" t="n"/>
      <x:c r="O123" s="7" t="n"/>
      <x:c r="P123" s="7" t="n"/>
      <x:c r="Q123" s="7" t="n"/>
      <x:c r="R123" s="7" t="n"/>
      <x:c r="S123" s="7" t="n"/>
      <x:c r="T123" s="7" t="n"/>
      <x:c r="U123" s="7" t="n"/>
      <x:c r="V123" s="7" t="n"/>
      <x:c r="W123" s="7" t="n"/>
      <x:c r="X123" s="7" t="n"/>
      <x:c r="Y123" s="7" t="n"/>
      <x:c r="Z123" s="7" t="n"/>
      <x:c r="AA123" s="7" t="n"/>
      <x:c r="AB123" s="7" t="n"/>
    </x:row>
    <x:row r="124" ht="20" customHeight="1">
      <x:c r="A124" s="12" t="inlineStr">
        <x:is>
          <x:t xml:space="preserve">Canyons School District</x:t>
        </x:is>
      </x:c>
      <x:c r="B124" s="12" t="inlineStr">
        <x:is>
          <x:t xml:space="preserve">UT</x:t>
        </x:is>
      </x:c>
      <x:c r="C124" s="12" t="inlineStr">
        <x:is>
          <x:t xml:space="preserve">Master's</x:t>
        </x:is>
      </x:c>
      <x:c r="D124" s="13" t="n">
        <x:v>1</x:v>
      </x:c>
      <x:c r="E124" s="14" t="n">
        <x:v>70850</x:v>
      </x:c>
      <x:c r="F124" s="83" t="inlineStr">
        <x:is>
          <x:t xml:space="preserve">2026-06-11</x:t>
        </x:is>
      </x:c>
      <x:c r="G124" s="7" t="n"/>
      <x:c r="H124" s="7" t="n"/>
      <x:c r="I124" s="7" t="n"/>
      <x:c r="J124" s="7" t="n"/>
      <x:c r="K124" s="7" t="n"/>
      <x:c r="L124" s="7" t="n"/>
      <x:c r="M124" s="7" t="n"/>
      <x:c r="N124" s="7" t="n"/>
      <x:c r="O124" s="7" t="n"/>
      <x:c r="P124" s="7" t="n"/>
      <x:c r="Q124" s="7" t="n"/>
      <x:c r="R124" s="7" t="n"/>
      <x:c r="S124" s="7" t="n"/>
      <x:c r="T124" s="7" t="n"/>
      <x:c r="U124" s="7" t="n"/>
      <x:c r="V124" s="7" t="n"/>
      <x:c r="W124" s="7" t="n"/>
      <x:c r="X124" s="7" t="n"/>
      <x:c r="Y124" s="7" t="n"/>
      <x:c r="Z124" s="7" t="n"/>
      <x:c r="AA124" s="7" t="n"/>
      <x:c r="AB124" s="7" t="n"/>
    </x:row>
    <x:row r="125" ht="20" customHeight="1">
      <x:c r="A125" s="12" t="inlineStr">
        <x:is>
          <x:t xml:space="preserve">Canyons School District</x:t>
        </x:is>
      </x:c>
      <x:c r="B125" s="12" t="inlineStr">
        <x:is>
          <x:t xml:space="preserve">UT</x:t>
        </x:is>
      </x:c>
      <x:c r="C125" s="12" t="inlineStr">
        <x:is>
          <x:t xml:space="preserve">Master's</x:t>
        </x:is>
      </x:c>
      <x:c r="D125" s="13" t="n">
        <x:v>2</x:v>
      </x:c>
      <x:c r="E125" s="14" t="n">
        <x:v>71800</x:v>
      </x:c>
      <x:c r="F125" s="83" t="inlineStr">
        <x:is>
          <x:t xml:space="preserve">2026-06-11</x:t>
        </x:is>
      </x:c>
      <x:c r="G125" s="7" t="n"/>
      <x:c r="H125" s="7" t="n"/>
      <x:c r="I125" s="7" t="n"/>
      <x:c r="J125" s="7" t="n"/>
      <x:c r="K125" s="7" t="n"/>
      <x:c r="L125" s="7" t="n"/>
      <x:c r="M125" s="7" t="n"/>
      <x:c r="N125" s="7" t="n"/>
      <x:c r="O125" s="7" t="n"/>
      <x:c r="P125" s="7" t="n"/>
      <x:c r="Q125" s="7" t="n"/>
      <x:c r="R125" s="7" t="n"/>
      <x:c r="S125" s="7" t="n"/>
      <x:c r="T125" s="7" t="n"/>
      <x:c r="U125" s="7" t="n"/>
      <x:c r="V125" s="7" t="n"/>
      <x:c r="W125" s="7" t="n"/>
      <x:c r="X125" s="7" t="n"/>
      <x:c r="Y125" s="7" t="n"/>
      <x:c r="Z125" s="7" t="n"/>
      <x:c r="AA125" s="7" t="n"/>
      <x:c r="AB125" s="7" t="n"/>
    </x:row>
    <x:row r="126" ht="20" customHeight="1">
      <x:c r="A126" s="12" t="inlineStr">
        <x:is>
          <x:t xml:space="preserve">Canyons School District</x:t>
        </x:is>
      </x:c>
      <x:c r="B126" s="12" t="inlineStr">
        <x:is>
          <x:t xml:space="preserve">UT</x:t>
        </x:is>
      </x:c>
      <x:c r="C126" s="12" t="inlineStr">
        <x:is>
          <x:t xml:space="preserve">Master's</x:t>
        </x:is>
      </x:c>
      <x:c r="D126" s="13" t="n">
        <x:v>3</x:v>
      </x:c>
      <x:c r="E126" s="14" t="n">
        <x:v>72750</x:v>
      </x:c>
      <x:c r="F126" s="83" t="inlineStr">
        <x:is>
          <x:t xml:space="preserve">2026-06-11</x:t>
        </x:is>
      </x:c>
      <x:c r="G126" s="7" t="n"/>
      <x:c r="H126" s="7" t="n"/>
      <x:c r="I126" s="7" t="n"/>
      <x:c r="J126" s="7" t="n"/>
      <x:c r="K126" s="7" t="n"/>
      <x:c r="L126" s="7" t="n"/>
      <x:c r="M126" s="7" t="n"/>
      <x:c r="N126" s="7" t="n"/>
      <x:c r="O126" s="7" t="n"/>
      <x:c r="P126" s="7" t="n"/>
      <x:c r="Q126" s="7" t="n"/>
      <x:c r="R126" s="7" t="n"/>
      <x:c r="S126" s="7" t="n"/>
      <x:c r="T126" s="7" t="n"/>
      <x:c r="U126" s="7" t="n"/>
      <x:c r="V126" s="7" t="n"/>
      <x:c r="W126" s="7" t="n"/>
      <x:c r="X126" s="7" t="n"/>
      <x:c r="Y126" s="7" t="n"/>
      <x:c r="Z126" s="7" t="n"/>
      <x:c r="AA126" s="7" t="n"/>
      <x:c r="AB126" s="7" t="n"/>
    </x:row>
    <x:row r="127" ht="20" customHeight="1">
      <x:c r="A127" s="12" t="inlineStr">
        <x:is>
          <x:t xml:space="preserve">Canyons School District</x:t>
        </x:is>
      </x:c>
      <x:c r="B127" s="12" t="inlineStr">
        <x:is>
          <x:t xml:space="preserve">UT</x:t>
        </x:is>
      </x:c>
      <x:c r="C127" s="12" t="inlineStr">
        <x:is>
          <x:t xml:space="preserve">Master's</x:t>
        </x:is>
      </x:c>
      <x:c r="D127" s="13" t="n">
        <x:v>4</x:v>
      </x:c>
      <x:c r="E127" s="14" t="n">
        <x:v>73700</x:v>
      </x:c>
      <x:c r="F127" s="83" t="inlineStr">
        <x:is>
          <x:t xml:space="preserve">2026-06-11</x:t>
        </x:is>
      </x:c>
      <x:c r="G127" s="7" t="n"/>
      <x:c r="H127" s="7" t="n"/>
      <x:c r="I127" s="7" t="n"/>
      <x:c r="J127" s="7" t="n"/>
      <x:c r="K127" s="7" t="n"/>
      <x:c r="L127" s="7" t="n"/>
      <x:c r="M127" s="7" t="n"/>
      <x:c r="N127" s="7" t="n"/>
      <x:c r="O127" s="7" t="n"/>
      <x:c r="P127" s="7" t="n"/>
      <x:c r="Q127" s="7" t="n"/>
      <x:c r="R127" s="7" t="n"/>
      <x:c r="S127" s="7" t="n"/>
      <x:c r="T127" s="7" t="n"/>
      <x:c r="U127" s="7" t="n"/>
      <x:c r="V127" s="7" t="n"/>
      <x:c r="W127" s="7" t="n"/>
      <x:c r="X127" s="7" t="n"/>
      <x:c r="Y127" s="7" t="n"/>
      <x:c r="Z127" s="7" t="n"/>
      <x:c r="AA127" s="7" t="n"/>
      <x:c r="AB127" s="7" t="n"/>
    </x:row>
    <x:row r="128" ht="20" customHeight="1">
      <x:c r="A128" s="12" t="inlineStr">
        <x:is>
          <x:t xml:space="preserve">Canyons School District</x:t>
        </x:is>
      </x:c>
      <x:c r="B128" s="12" t="inlineStr">
        <x:is>
          <x:t xml:space="preserve">UT</x:t>
        </x:is>
      </x:c>
      <x:c r="C128" s="12" t="inlineStr">
        <x:is>
          <x:t xml:space="preserve">Master's</x:t>
        </x:is>
      </x:c>
      <x:c r="D128" s="13" t="n">
        <x:v>5</x:v>
      </x:c>
      <x:c r="E128" s="14" t="n">
        <x:v>74650</x:v>
      </x:c>
      <x:c r="F128" s="83" t="inlineStr">
        <x:is>
          <x:t xml:space="preserve">2026-06-11</x:t>
        </x:is>
      </x:c>
      <x:c r="G128" s="7" t="n"/>
      <x:c r="H128" s="7" t="n"/>
      <x:c r="I128" s="7" t="n"/>
      <x:c r="J128" s="7" t="n"/>
      <x:c r="K128" s="7" t="n"/>
      <x:c r="L128" s="7" t="n"/>
      <x:c r="M128" s="7" t="n"/>
      <x:c r="N128" s="7" t="n"/>
      <x:c r="O128" s="7" t="n"/>
      <x:c r="P128" s="7" t="n"/>
      <x:c r="Q128" s="7" t="n"/>
      <x:c r="R128" s="7" t="n"/>
      <x:c r="S128" s="7" t="n"/>
      <x:c r="T128" s="7" t="n"/>
      <x:c r="U128" s="7" t="n"/>
      <x:c r="V128" s="7" t="n"/>
      <x:c r="W128" s="7" t="n"/>
      <x:c r="X128" s="7" t="n"/>
      <x:c r="Y128" s="7" t="n"/>
      <x:c r="Z128" s="7" t="n"/>
      <x:c r="AA128" s="7" t="n"/>
      <x:c r="AB128" s="7" t="n"/>
    </x:row>
    <x:row r="129" ht="20" customHeight="1">
      <x:c r="A129" s="12" t="inlineStr">
        <x:is>
          <x:t xml:space="preserve">Canyons School District</x:t>
        </x:is>
      </x:c>
      <x:c r="B129" s="12" t="inlineStr">
        <x:is>
          <x:t xml:space="preserve">UT</x:t>
        </x:is>
      </x:c>
      <x:c r="C129" s="12" t="inlineStr">
        <x:is>
          <x:t xml:space="preserve">Master's</x:t>
        </x:is>
      </x:c>
      <x:c r="D129" s="13" t="n">
        <x:v>6</x:v>
      </x:c>
      <x:c r="E129" s="14" t="n">
        <x:v>75600</x:v>
      </x:c>
      <x:c r="F129" s="83" t="inlineStr">
        <x:is>
          <x:t xml:space="preserve">2026-06-11</x:t>
        </x:is>
      </x:c>
      <x:c r="G129" s="7" t="n"/>
      <x:c r="H129" s="7" t="n"/>
      <x:c r="I129" s="7" t="n"/>
      <x:c r="J129" s="7" t="n"/>
      <x:c r="K129" s="7" t="n"/>
      <x:c r="L129" s="7" t="n"/>
      <x:c r="M129" s="7" t="n"/>
      <x:c r="N129" s="7" t="n"/>
      <x:c r="O129" s="7" t="n"/>
      <x:c r="P129" s="7" t="n"/>
      <x:c r="Q129" s="7" t="n"/>
      <x:c r="R129" s="7" t="n"/>
      <x:c r="S129" s="7" t="n"/>
      <x:c r="T129" s="7" t="n"/>
      <x:c r="U129" s="7" t="n"/>
      <x:c r="V129" s="7" t="n"/>
      <x:c r="W129" s="7" t="n"/>
      <x:c r="X129" s="7" t="n"/>
      <x:c r="Y129" s="7" t="n"/>
      <x:c r="Z129" s="7" t="n"/>
      <x:c r="AA129" s="7" t="n"/>
      <x:c r="AB129" s="7" t="n"/>
    </x:row>
    <x:row r="130" ht="20" customHeight="1">
      <x:c r="A130" s="12" t="inlineStr">
        <x:is>
          <x:t xml:space="preserve">Canyons School District</x:t>
        </x:is>
      </x:c>
      <x:c r="B130" s="12" t="inlineStr">
        <x:is>
          <x:t xml:space="preserve">UT</x:t>
        </x:is>
      </x:c>
      <x:c r="C130" s="12" t="inlineStr">
        <x:is>
          <x:t xml:space="preserve">Master's</x:t>
        </x:is>
      </x:c>
      <x:c r="D130" s="13" t="n">
        <x:v>7</x:v>
      </x:c>
      <x:c r="E130" s="14" t="n">
        <x:v>76550</x:v>
      </x:c>
      <x:c r="F130" s="83" t="inlineStr">
        <x:is>
          <x:t xml:space="preserve">2026-06-11</x:t>
        </x:is>
      </x:c>
      <x:c r="G130" s="7" t="n"/>
      <x:c r="H130" s="7" t="n"/>
      <x:c r="I130" s="7" t="n"/>
      <x:c r="J130" s="7" t="n"/>
      <x:c r="K130" s="7" t="n"/>
      <x:c r="L130" s="7" t="n"/>
      <x:c r="M130" s="7" t="n"/>
      <x:c r="N130" s="7" t="n"/>
      <x:c r="O130" s="7" t="n"/>
      <x:c r="P130" s="7" t="n"/>
      <x:c r="Q130" s="7" t="n"/>
      <x:c r="R130" s="7" t="n"/>
      <x:c r="S130" s="7" t="n"/>
      <x:c r="T130" s="7" t="n"/>
      <x:c r="U130" s="7" t="n"/>
      <x:c r="V130" s="7" t="n"/>
      <x:c r="W130" s="7" t="n"/>
      <x:c r="X130" s="7" t="n"/>
      <x:c r="Y130" s="7" t="n"/>
      <x:c r="Z130" s="7" t="n"/>
      <x:c r="AA130" s="7" t="n"/>
      <x:c r="AB130" s="7" t="n"/>
    </x:row>
    <x:row r="131" ht="20" customHeight="1">
      <x:c r="A131" s="12" t="inlineStr">
        <x:is>
          <x:t xml:space="preserve">Canyons School District</x:t>
        </x:is>
      </x:c>
      <x:c r="B131" s="12" t="inlineStr">
        <x:is>
          <x:t xml:space="preserve">UT</x:t>
        </x:is>
      </x:c>
      <x:c r="C131" s="12" t="inlineStr">
        <x:is>
          <x:t xml:space="preserve">Master's</x:t>
        </x:is>
      </x:c>
      <x:c r="D131" s="13" t="n">
        <x:v>8</x:v>
      </x:c>
      <x:c r="E131" s="14" t="n">
        <x:v>77500</x:v>
      </x:c>
      <x:c r="F131" s="83" t="inlineStr">
        <x:is>
          <x:t xml:space="preserve">2026-06-11</x:t>
        </x:is>
      </x:c>
      <x:c r="G131" s="7" t="n"/>
      <x:c r="H131" s="7" t="n"/>
      <x:c r="I131" s="7" t="n"/>
      <x:c r="J131" s="7" t="n"/>
      <x:c r="K131" s="7" t="n"/>
      <x:c r="L131" s="7" t="n"/>
      <x:c r="M131" s="7" t="n"/>
      <x:c r="N131" s="7" t="n"/>
      <x:c r="O131" s="7" t="n"/>
      <x:c r="P131" s="7" t="n"/>
      <x:c r="Q131" s="7" t="n"/>
      <x:c r="R131" s="7" t="n"/>
      <x:c r="S131" s="7" t="n"/>
      <x:c r="T131" s="7" t="n"/>
      <x:c r="U131" s="7" t="n"/>
      <x:c r="V131" s="7" t="n"/>
      <x:c r="W131" s="7" t="n"/>
      <x:c r="X131" s="7" t="n"/>
      <x:c r="Y131" s="7" t="n"/>
      <x:c r="Z131" s="7" t="n"/>
      <x:c r="AA131" s="7" t="n"/>
      <x:c r="AB131" s="7" t="n"/>
    </x:row>
    <x:row r="132" ht="20" customHeight="1">
      <x:c r="A132" s="12" t="inlineStr">
        <x:is>
          <x:t xml:space="preserve">Canyons School District</x:t>
        </x:is>
      </x:c>
      <x:c r="B132" s="12" t="inlineStr">
        <x:is>
          <x:t xml:space="preserve">UT</x:t>
        </x:is>
      </x:c>
      <x:c r="C132" s="12" t="inlineStr">
        <x:is>
          <x:t xml:space="preserve">Master's</x:t>
        </x:is>
      </x:c>
      <x:c r="D132" s="13" t="n">
        <x:v>9</x:v>
      </x:c>
      <x:c r="E132" s="14" t="n">
        <x:v>78450</x:v>
      </x:c>
      <x:c r="F132" s="83" t="inlineStr">
        <x:is>
          <x:t xml:space="preserve">2026-06-11</x:t>
        </x:is>
      </x:c>
      <x:c r="G132" s="7" t="n"/>
      <x:c r="H132" s="7" t="n"/>
      <x:c r="I132" s="7" t="n"/>
      <x:c r="J132" s="7" t="n"/>
      <x:c r="K132" s="7" t="n"/>
      <x:c r="L132" s="7" t="n"/>
      <x:c r="M132" s="7" t="n"/>
      <x:c r="N132" s="7" t="n"/>
      <x:c r="O132" s="7" t="n"/>
      <x:c r="P132" s="7" t="n"/>
      <x:c r="Q132" s="7" t="n"/>
      <x:c r="R132" s="7" t="n"/>
      <x:c r="S132" s="7" t="n"/>
      <x:c r="T132" s="7" t="n"/>
      <x:c r="U132" s="7" t="n"/>
      <x:c r="V132" s="7" t="n"/>
      <x:c r="W132" s="7" t="n"/>
      <x:c r="X132" s="7" t="n"/>
      <x:c r="Y132" s="7" t="n"/>
      <x:c r="Z132" s="7" t="n"/>
      <x:c r="AA132" s="7" t="n"/>
      <x:c r="AB132" s="7" t="n"/>
    </x:row>
    <x:row r="133" ht="20" customHeight="1">
      <x:c r="A133" s="12" t="inlineStr">
        <x:is>
          <x:t xml:space="preserve">Canyons School District</x:t>
        </x:is>
      </x:c>
      <x:c r="B133" s="12" t="inlineStr">
        <x:is>
          <x:t xml:space="preserve">UT</x:t>
        </x:is>
      </x:c>
      <x:c r="C133" s="12" t="inlineStr">
        <x:is>
          <x:t xml:space="preserve">Master's</x:t>
        </x:is>
      </x:c>
      <x:c r="D133" s="13" t="n">
        <x:v>10</x:v>
      </x:c>
      <x:c r="E133" s="14" t="n">
        <x:v>79400</x:v>
      </x:c>
      <x:c r="F133" s="83" t="inlineStr">
        <x:is>
          <x:t xml:space="preserve">2026-06-11</x:t>
        </x:is>
      </x:c>
      <x:c r="G133" s="7" t="n"/>
      <x:c r="H133" s="7" t="n"/>
      <x:c r="I133" s="7" t="n"/>
      <x:c r="J133" s="7" t="n"/>
      <x:c r="K133" s="7" t="n"/>
      <x:c r="L133" s="7" t="n"/>
      <x:c r="M133" s="7" t="n"/>
      <x:c r="N133" s="7" t="n"/>
      <x:c r="O133" s="7" t="n"/>
      <x:c r="P133" s="7" t="n"/>
      <x:c r="Q133" s="7" t="n"/>
      <x:c r="R133" s="7" t="n"/>
      <x:c r="S133" s="7" t="n"/>
      <x:c r="T133" s="7" t="n"/>
      <x:c r="U133" s="7" t="n"/>
      <x:c r="V133" s="7" t="n"/>
      <x:c r="W133" s="7" t="n"/>
      <x:c r="X133" s="7" t="n"/>
      <x:c r="Y133" s="7" t="n"/>
      <x:c r="Z133" s="7" t="n"/>
      <x:c r="AA133" s="7" t="n"/>
      <x:c r="AB133" s="7" t="n"/>
    </x:row>
    <x:row r="134" ht="20" customHeight="1">
      <x:c r="A134" s="12" t="inlineStr">
        <x:is>
          <x:t xml:space="preserve">Chandler Unified School District</x:t>
        </x:is>
      </x:c>
      <x:c r="B134" s="12" t="inlineStr">
        <x:is>
          <x:t xml:space="preserve">AZ</x:t>
        </x:is>
      </x:c>
      <x:c r="C134" s="12" t="inlineStr">
        <x:is>
          <x:t xml:space="preserve">Bachelor's</x:t>
        </x:is>
      </x:c>
      <x:c r="D134" s="13" t="n">
        <x:v>0</x:v>
      </x:c>
      <x:c r="E134" s="14" t="n">
        <x:v>55249</x:v>
      </x:c>
      <x:c r="F134" s="83" t="inlineStr">
        <x:is>
          <x:t xml:space="preserve">2026-06-11</x:t>
        </x:is>
      </x:c>
      <x:c r="G134" s="7" t="n"/>
      <x:c r="H134" s="7" t="n"/>
      <x:c r="I134" s="7" t="n"/>
      <x:c r="J134" s="7" t="n"/>
      <x:c r="K134" s="7" t="n"/>
      <x:c r="L134" s="7" t="n"/>
      <x:c r="M134" s="7" t="n"/>
      <x:c r="N134" s="7" t="n"/>
      <x:c r="O134" s="7" t="n"/>
      <x:c r="P134" s="7" t="n"/>
      <x:c r="Q134" s="7" t="n"/>
      <x:c r="R134" s="7" t="n"/>
      <x:c r="S134" s="7" t="n"/>
      <x:c r="T134" s="7" t="n"/>
      <x:c r="U134" s="7" t="n"/>
      <x:c r="V134" s="7" t="n"/>
      <x:c r="W134" s="7" t="n"/>
      <x:c r="X134" s="7" t="n"/>
      <x:c r="Y134" s="7" t="n"/>
      <x:c r="Z134" s="7" t="n"/>
      <x:c r="AA134" s="7" t="n"/>
      <x:c r="AB134" s="7" t="n"/>
    </x:row>
    <x:row r="135" ht="20" customHeight="1">
      <x:c r="A135" s="12" t="inlineStr">
        <x:is>
          <x:t xml:space="preserve">Chandler Unified School District</x:t>
        </x:is>
      </x:c>
      <x:c r="B135" s="12" t="inlineStr">
        <x:is>
          <x:t xml:space="preserve">AZ</x:t>
        </x:is>
      </x:c>
      <x:c r="C135" s="12" t="inlineStr">
        <x:is>
          <x:t xml:space="preserve">Bachelor's</x:t>
        </x:is>
      </x:c>
      <x:c r="D135" s="13" t="n">
        <x:v>1</x:v>
      </x:c>
      <x:c r="E135" s="14" t="n">
        <x:v>55249</x:v>
      </x:c>
      <x:c r="F135" s="83" t="inlineStr">
        <x:is>
          <x:t xml:space="preserve">2026-06-11</x:t>
        </x:is>
      </x:c>
      <x:c r="G135" s="7" t="n"/>
      <x:c r="H135" s="7" t="n"/>
      <x:c r="I135" s="7" t="n"/>
      <x:c r="J135" s="7" t="n"/>
      <x:c r="K135" s="7" t="n"/>
      <x:c r="L135" s="7" t="n"/>
      <x:c r="M135" s="7" t="n"/>
      <x:c r="N135" s="7" t="n"/>
      <x:c r="O135" s="7" t="n"/>
      <x:c r="P135" s="7" t="n"/>
      <x:c r="Q135" s="7" t="n"/>
      <x:c r="R135" s="7" t="n"/>
      <x:c r="S135" s="7" t="n"/>
      <x:c r="T135" s="7" t="n"/>
      <x:c r="U135" s="7" t="n"/>
      <x:c r="V135" s="7" t="n"/>
      <x:c r="W135" s="7" t="n"/>
      <x:c r="X135" s="7" t="n"/>
      <x:c r="Y135" s="7" t="n"/>
      <x:c r="Z135" s="7" t="n"/>
      <x:c r="AA135" s="7" t="n"/>
      <x:c r="AB135" s="7" t="n"/>
    </x:row>
    <x:row r="136" ht="20" customHeight="1">
      <x:c r="A136" s="12" t="inlineStr">
        <x:is>
          <x:t xml:space="preserve">Chandler Unified School District</x:t>
        </x:is>
      </x:c>
      <x:c r="B136" s="12" t="inlineStr">
        <x:is>
          <x:t xml:space="preserve">AZ</x:t>
        </x:is>
      </x:c>
      <x:c r="C136" s="12" t="inlineStr">
        <x:is>
          <x:t xml:space="preserve">Bachelor's</x:t>
        </x:is>
      </x:c>
      <x:c r="D136" s="13" t="n">
        <x:v>2</x:v>
      </x:c>
      <x:c r="E136" s="14" t="n">
        <x:v>55656</x:v>
      </x:c>
      <x:c r="F136" s="83" t="inlineStr">
        <x:is>
          <x:t xml:space="preserve">2026-06-11</x:t>
        </x:is>
      </x:c>
      <x:c r="G136" s="7" t="n"/>
      <x:c r="H136" s="7" t="n"/>
      <x:c r="I136" s="7" t="n"/>
      <x:c r="J136" s="7" t="n"/>
      <x:c r="K136" s="7" t="n"/>
      <x:c r="L136" s="7" t="n"/>
      <x:c r="M136" s="7" t="n"/>
      <x:c r="N136" s="7" t="n"/>
      <x:c r="O136" s="7" t="n"/>
      <x:c r="P136" s="7" t="n"/>
      <x:c r="Q136" s="7" t="n"/>
      <x:c r="R136" s="7" t="n"/>
      <x:c r="S136" s="7" t="n"/>
      <x:c r="T136" s="7" t="n"/>
      <x:c r="U136" s="7" t="n"/>
      <x:c r="V136" s="7" t="n"/>
      <x:c r="W136" s="7" t="n"/>
      <x:c r="X136" s="7" t="n"/>
      <x:c r="Y136" s="7" t="n"/>
      <x:c r="Z136" s="7" t="n"/>
      <x:c r="AA136" s="7" t="n"/>
      <x:c r="AB136" s="7" t="n"/>
    </x:row>
    <x:row r="137" ht="20" customHeight="1">
      <x:c r="A137" s="12" t="inlineStr">
        <x:is>
          <x:t xml:space="preserve">Chandler Unified School District</x:t>
        </x:is>
      </x:c>
      <x:c r="B137" s="12" t="inlineStr">
        <x:is>
          <x:t xml:space="preserve">AZ</x:t>
        </x:is>
      </x:c>
      <x:c r="C137" s="12" t="inlineStr">
        <x:is>
          <x:t xml:space="preserve">Bachelor's</x:t>
        </x:is>
      </x:c>
      <x:c r="D137" s="13" t="n">
        <x:v>3</x:v>
      </x:c>
      <x:c r="E137" s="14" t="n">
        <x:v>56063</x:v>
      </x:c>
      <x:c r="F137" s="83" t="inlineStr">
        <x:is>
          <x:t xml:space="preserve">2026-06-11</x:t>
        </x:is>
      </x:c>
      <x:c r="G137" s="7" t="n"/>
      <x:c r="H137" s="7" t="n"/>
      <x:c r="I137" s="7" t="n"/>
      <x:c r="J137" s="7" t="n"/>
      <x:c r="K137" s="7" t="n"/>
      <x:c r="L137" s="7" t="n"/>
      <x:c r="M137" s="7" t="n"/>
      <x:c r="N137" s="7" t="n"/>
      <x:c r="O137" s="7" t="n"/>
      <x:c r="P137" s="7" t="n"/>
      <x:c r="Q137" s="7" t="n"/>
      <x:c r="R137" s="7" t="n"/>
      <x:c r="S137" s="7" t="n"/>
      <x:c r="T137" s="7" t="n"/>
      <x:c r="U137" s="7" t="n"/>
      <x:c r="V137" s="7" t="n"/>
      <x:c r="W137" s="7" t="n"/>
      <x:c r="X137" s="7" t="n"/>
      <x:c r="Y137" s="7" t="n"/>
      <x:c r="Z137" s="7" t="n"/>
      <x:c r="AA137" s="7" t="n"/>
      <x:c r="AB137" s="7" t="n"/>
    </x:row>
    <x:row r="138" ht="20" customHeight="1">
      <x:c r="A138" s="12" t="inlineStr">
        <x:is>
          <x:t xml:space="preserve">Chandler Unified School District</x:t>
        </x:is>
      </x:c>
      <x:c r="B138" s="12" t="inlineStr">
        <x:is>
          <x:t xml:space="preserve">AZ</x:t>
        </x:is>
      </x:c>
      <x:c r="C138" s="12" t="inlineStr">
        <x:is>
          <x:t xml:space="preserve">Bachelor's</x:t>
        </x:is>
      </x:c>
      <x:c r="D138" s="13" t="n">
        <x:v>4</x:v>
      </x:c>
      <x:c r="E138" s="14" t="n">
        <x:v>56470</x:v>
      </x:c>
      <x:c r="F138" s="83" t="inlineStr">
        <x:is>
          <x:t xml:space="preserve">2026-06-11</x:t>
        </x:is>
      </x:c>
      <x:c r="G138" s="7" t="n"/>
      <x:c r="H138" s="7" t="n"/>
      <x:c r="I138" s="7" t="n"/>
      <x:c r="J138" s="7" t="n"/>
      <x:c r="K138" s="7" t="n"/>
      <x:c r="L138" s="7" t="n"/>
      <x:c r="M138" s="7" t="n"/>
      <x:c r="N138" s="7" t="n"/>
      <x:c r="O138" s="7" t="n"/>
      <x:c r="P138" s="7" t="n"/>
      <x:c r="Q138" s="7" t="n"/>
      <x:c r="R138" s="7" t="n"/>
      <x:c r="S138" s="7" t="n"/>
      <x:c r="T138" s="7" t="n"/>
      <x:c r="U138" s="7" t="n"/>
      <x:c r="V138" s="7" t="n"/>
      <x:c r="W138" s="7" t="n"/>
      <x:c r="X138" s="7" t="n"/>
      <x:c r="Y138" s="7" t="n"/>
      <x:c r="Z138" s="7" t="n"/>
      <x:c r="AA138" s="7" t="n"/>
      <x:c r="AB138" s="7" t="n"/>
    </x:row>
    <x:row r="139" ht="20" customHeight="1">
      <x:c r="A139" s="12" t="inlineStr">
        <x:is>
          <x:t xml:space="preserve">Chandler Unified School District</x:t>
        </x:is>
      </x:c>
      <x:c r="B139" s="12" t="inlineStr">
        <x:is>
          <x:t xml:space="preserve">AZ</x:t>
        </x:is>
      </x:c>
      <x:c r="C139" s="12" t="inlineStr">
        <x:is>
          <x:t xml:space="preserve">Bachelor's</x:t>
        </x:is>
      </x:c>
      <x:c r="D139" s="13" t="n">
        <x:v>5</x:v>
      </x:c>
      <x:c r="E139" s="14" t="n">
        <x:v>56877</x:v>
      </x:c>
      <x:c r="F139" s="83" t="inlineStr">
        <x:is>
          <x:t xml:space="preserve">2026-06-11</x:t>
        </x:is>
      </x:c>
      <x:c r="G139" s="7" t="n"/>
      <x:c r="H139" s="7" t="n"/>
      <x:c r="I139" s="7" t="n"/>
      <x:c r="J139" s="7" t="n"/>
      <x:c r="K139" s="7" t="n"/>
      <x:c r="L139" s="7" t="n"/>
      <x:c r="M139" s="7" t="n"/>
      <x:c r="N139" s="7" t="n"/>
      <x:c r="O139" s="7" t="n"/>
      <x:c r="P139" s="7" t="n"/>
      <x:c r="Q139" s="7" t="n"/>
      <x:c r="R139" s="7" t="n"/>
      <x:c r="S139" s="7" t="n"/>
      <x:c r="T139" s="7" t="n"/>
      <x:c r="U139" s="7" t="n"/>
      <x:c r="V139" s="7" t="n"/>
      <x:c r="W139" s="7" t="n"/>
      <x:c r="X139" s="7" t="n"/>
      <x:c r="Y139" s="7" t="n"/>
      <x:c r="Z139" s="7" t="n"/>
      <x:c r="AA139" s="7" t="n"/>
      <x:c r="AB139" s="7" t="n"/>
    </x:row>
    <x:row r="140" ht="20" customHeight="1">
      <x:c r="A140" s="12" t="inlineStr">
        <x:is>
          <x:t xml:space="preserve">Chandler Unified School District</x:t>
        </x:is>
      </x:c>
      <x:c r="B140" s="12" t="inlineStr">
        <x:is>
          <x:t xml:space="preserve">AZ</x:t>
        </x:is>
      </x:c>
      <x:c r="C140" s="12" t="inlineStr">
        <x:is>
          <x:t xml:space="preserve">Bachelor's</x:t>
        </x:is>
      </x:c>
      <x:c r="D140" s="13" t="n">
        <x:v>6</x:v>
      </x:c>
      <x:c r="E140" s="14" t="n">
        <x:v>57284</x:v>
      </x:c>
      <x:c r="F140" s="83" t="inlineStr">
        <x:is>
          <x:t xml:space="preserve">2026-06-11</x:t>
        </x:is>
      </x:c>
      <x:c r="G140" s="7" t="n"/>
      <x:c r="H140" s="7" t="n"/>
      <x:c r="I140" s="7" t="n"/>
      <x:c r="J140" s="7" t="n"/>
      <x:c r="K140" s="7" t="n"/>
      <x:c r="L140" s="7" t="n"/>
      <x:c r="M140" s="7" t="n"/>
      <x:c r="N140" s="7" t="n"/>
      <x:c r="O140" s="7" t="n"/>
      <x:c r="P140" s="7" t="n"/>
      <x:c r="Q140" s="7" t="n"/>
      <x:c r="R140" s="7" t="n"/>
      <x:c r="S140" s="7" t="n"/>
      <x:c r="T140" s="7" t="n"/>
      <x:c r="U140" s="7" t="n"/>
      <x:c r="V140" s="7" t="n"/>
      <x:c r="W140" s="7" t="n"/>
      <x:c r="X140" s="7" t="n"/>
      <x:c r="Y140" s="7" t="n"/>
      <x:c r="Z140" s="7" t="n"/>
      <x:c r="AA140" s="7" t="n"/>
      <x:c r="AB140" s="7" t="n"/>
    </x:row>
    <x:row r="141" ht="20" customHeight="1">
      <x:c r="A141" s="12" t="inlineStr">
        <x:is>
          <x:t xml:space="preserve">Chandler Unified School District</x:t>
        </x:is>
      </x:c>
      <x:c r="B141" s="12" t="inlineStr">
        <x:is>
          <x:t xml:space="preserve">AZ</x:t>
        </x:is>
      </x:c>
      <x:c r="C141" s="12" t="inlineStr">
        <x:is>
          <x:t xml:space="preserve">Bachelor's</x:t>
        </x:is>
      </x:c>
      <x:c r="D141" s="13" t="n">
        <x:v>7</x:v>
      </x:c>
      <x:c r="E141" s="14" t="n">
        <x:v>57691</x:v>
      </x:c>
      <x:c r="F141" s="83" t="inlineStr">
        <x:is>
          <x:t xml:space="preserve">2026-06-11</x:t>
        </x:is>
      </x:c>
      <x:c r="G141" s="7" t="n"/>
      <x:c r="H141" s="7" t="n"/>
      <x:c r="I141" s="7" t="n"/>
      <x:c r="J141" s="7" t="n"/>
      <x:c r="K141" s="7" t="n"/>
      <x:c r="L141" s="7" t="n"/>
      <x:c r="M141" s="7" t="n"/>
      <x:c r="N141" s="7" t="n"/>
      <x:c r="O141" s="7" t="n"/>
      <x:c r="P141" s="7" t="n"/>
      <x:c r="Q141" s="7" t="n"/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Z141" s="7" t="n"/>
      <x:c r="AA141" s="7" t="n"/>
      <x:c r="AB141" s="7" t="n"/>
    </x:row>
    <x:row r="142" ht="20" customHeight="1">
      <x:c r="A142" s="12" t="inlineStr">
        <x:is>
          <x:t xml:space="preserve">Chandler Unified School District</x:t>
        </x:is>
      </x:c>
      <x:c r="B142" s="12" t="inlineStr">
        <x:is>
          <x:t xml:space="preserve">AZ</x:t>
        </x:is>
      </x:c>
      <x:c r="C142" s="12" t="inlineStr">
        <x:is>
          <x:t xml:space="preserve">Bachelor's</x:t>
        </x:is>
      </x:c>
      <x:c r="D142" s="13" t="n">
        <x:v>8</x:v>
      </x:c>
      <x:c r="E142" s="14" t="n">
        <x:v>58098</x:v>
      </x:c>
      <x:c r="F142" s="83" t="inlineStr">
        <x:is>
          <x:t xml:space="preserve">2026-06-11</x:t>
        </x:is>
      </x:c>
      <x:c r="G142" s="7" t="n"/>
      <x:c r="H142" s="7" t="n"/>
      <x:c r="I142" s="7" t="n"/>
      <x:c r="J142" s="7" t="n"/>
      <x:c r="K142" s="7" t="n"/>
      <x:c r="L142" s="7" t="n"/>
      <x:c r="M142" s="7" t="n"/>
      <x:c r="N142" s="7" t="n"/>
      <x:c r="O142" s="7" t="n"/>
      <x:c r="P142" s="7" t="n"/>
      <x:c r="Q142" s="7" t="n"/>
      <x:c r="R142" s="7" t="n"/>
      <x:c r="S142" s="7" t="n"/>
      <x:c r="T142" s="7" t="n"/>
      <x:c r="U142" s="7" t="n"/>
      <x:c r="V142" s="7" t="n"/>
      <x:c r="W142" s="7" t="n"/>
      <x:c r="X142" s="7" t="n"/>
      <x:c r="Y142" s="7" t="n"/>
      <x:c r="Z142" s="7" t="n"/>
      <x:c r="AA142" s="7" t="n"/>
      <x:c r="AB142" s="7" t="n"/>
    </x:row>
    <x:row r="143" ht="20" customHeight="1">
      <x:c r="A143" s="12" t="inlineStr">
        <x:is>
          <x:t xml:space="preserve">Chandler Unified School District</x:t>
        </x:is>
      </x:c>
      <x:c r="B143" s="12" t="inlineStr">
        <x:is>
          <x:t xml:space="preserve">AZ</x:t>
        </x:is>
      </x:c>
      <x:c r="C143" s="12" t="inlineStr">
        <x:is>
          <x:t xml:space="preserve">Bachelor's</x:t>
        </x:is>
      </x:c>
      <x:c r="D143" s="13" t="n">
        <x:v>9</x:v>
      </x:c>
      <x:c r="E143" s="14" t="n">
        <x:v>58098</x:v>
      </x:c>
      <x:c r="F143" s="83" t="inlineStr">
        <x:is>
          <x:t xml:space="preserve">2026-06-11</x:t>
        </x:is>
      </x:c>
      <x:c r="G143" s="7" t="n"/>
      <x:c r="H143" s="7" t="n"/>
      <x:c r="I143" s="7" t="n"/>
      <x:c r="J143" s="7" t="n"/>
      <x:c r="K143" s="7" t="n"/>
      <x:c r="L143" s="7" t="n"/>
      <x:c r="M143" s="7" t="n"/>
      <x:c r="N143" s="7" t="n"/>
      <x:c r="O143" s="7" t="n"/>
      <x:c r="P143" s="7" t="n"/>
      <x:c r="Q143" s="7" t="n"/>
      <x:c r="R143" s="7" t="n"/>
      <x:c r="S143" s="7" t="n"/>
      <x:c r="T143" s="7" t="n"/>
      <x:c r="U143" s="7" t="n"/>
      <x:c r="V143" s="7" t="n"/>
      <x:c r="W143" s="7" t="n"/>
      <x:c r="X143" s="7" t="n"/>
      <x:c r="Y143" s="7" t="n"/>
      <x:c r="Z143" s="7" t="n"/>
      <x:c r="AA143" s="7" t="n"/>
      <x:c r="AB143" s="7" t="n"/>
    </x:row>
    <x:row r="144" ht="20" customHeight="1">
      <x:c r="A144" s="12" t="inlineStr">
        <x:is>
          <x:t xml:space="preserve">Chandler Unified School District</x:t>
        </x:is>
      </x:c>
      <x:c r="B144" s="12" t="inlineStr">
        <x:is>
          <x:t xml:space="preserve">AZ</x:t>
        </x:is>
      </x:c>
      <x:c r="C144" s="12" t="inlineStr">
        <x:is>
          <x:t xml:space="preserve">Bachelor's</x:t>
        </x:is>
      </x:c>
      <x:c r="D144" s="13" t="n">
        <x:v>10</x:v>
      </x:c>
      <x:c r="E144" s="14" t="n">
        <x:v>58098</x:v>
      </x:c>
      <x:c r="F144" s="83" t="inlineStr">
        <x:is>
          <x:t xml:space="preserve">2026-06-11</x:t>
        </x:is>
      </x:c>
      <x:c r="G144" s="7" t="n"/>
      <x:c r="H144" s="7" t="n"/>
      <x:c r="I144" s="7" t="n"/>
      <x:c r="J144" s="7" t="n"/>
      <x:c r="K144" s="7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Z144" s="7" t="n"/>
      <x:c r="AA144" s="7" t="n"/>
      <x:c r="AB144" s="7" t="n"/>
    </x:row>
    <x:row r="145" ht="20" customHeight="1">
      <x:c r="A145" s="12" t="inlineStr">
        <x:is>
          <x:t xml:space="preserve">Chandler Unified School District</x:t>
        </x:is>
      </x:c>
      <x:c r="B145" s="12" t="inlineStr">
        <x:is>
          <x:t xml:space="preserve">AZ</x:t>
        </x:is>
      </x:c>
      <x:c r="C145" s="12" t="inlineStr">
        <x:is>
          <x:t xml:space="preserve">Master's</x:t>
        </x:is>
      </x:c>
      <x:c r="D145" s="13" t="n">
        <x:v>0</x:v>
      </x:c>
      <x:c r="E145" s="14" t="n">
        <x:v>56499</x:v>
      </x:c>
      <x:c r="F145" s="83" t="inlineStr">
        <x:is>
          <x:t xml:space="preserve">2026-06-11</x:t>
        </x:is>
      </x:c>
      <x:c r="G145" s="7" t="n"/>
      <x:c r="H145" s="7" t="n"/>
      <x:c r="I145" s="7" t="n"/>
      <x:c r="J145" s="7" t="n"/>
      <x:c r="K145" s="7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Z145" s="7" t="n"/>
      <x:c r="AA145" s="7" t="n"/>
      <x:c r="AB145" s="7" t="n"/>
    </x:row>
    <x:row r="146" ht="20" customHeight="1">
      <x:c r="A146" s="12" t="inlineStr">
        <x:is>
          <x:t xml:space="preserve">Chandler Unified School District</x:t>
        </x:is>
      </x:c>
      <x:c r="B146" s="12" t="inlineStr">
        <x:is>
          <x:t xml:space="preserve">AZ</x:t>
        </x:is>
      </x:c>
      <x:c r="C146" s="12" t="inlineStr">
        <x:is>
          <x:t xml:space="preserve">Master's</x:t>
        </x:is>
      </x:c>
      <x:c r="D146" s="13" t="n">
        <x:v>1</x:v>
      </x:c>
      <x:c r="E146" s="14" t="n">
        <x:v>56499</x:v>
      </x:c>
      <x:c r="F146" s="83" t="inlineStr">
        <x:is>
          <x:t xml:space="preserve">2026-06-11</x:t>
        </x:is>
      </x:c>
      <x:c r="G146" s="7" t="n"/>
      <x:c r="H146" s="7" t="n"/>
      <x:c r="I146" s="7" t="n"/>
      <x:c r="J146" s="7" t="n"/>
      <x:c r="K146" s="7" t="n"/>
      <x:c r="L146" s="7" t="n"/>
      <x:c r="M146" s="7" t="n"/>
      <x:c r="N146" s="7" t="n"/>
      <x:c r="O146" s="7" t="n"/>
      <x:c r="P146" s="7" t="n"/>
      <x:c r="Q146" s="7" t="n"/>
      <x:c r="R146" s="7" t="n"/>
      <x:c r="S146" s="7" t="n"/>
      <x:c r="T146" s="7" t="n"/>
      <x:c r="U146" s="7" t="n"/>
      <x:c r="V146" s="7" t="n"/>
      <x:c r="W146" s="7" t="n"/>
      <x:c r="X146" s="7" t="n"/>
      <x:c r="Y146" s="7" t="n"/>
      <x:c r="Z146" s="7" t="n"/>
      <x:c r="AA146" s="7" t="n"/>
      <x:c r="AB146" s="7" t="n"/>
    </x:row>
    <x:row r="147" ht="20" customHeight="1">
      <x:c r="A147" s="12" t="inlineStr">
        <x:is>
          <x:t xml:space="preserve">Chandler Unified School District</x:t>
        </x:is>
      </x:c>
      <x:c r="B147" s="12" t="inlineStr">
        <x:is>
          <x:t xml:space="preserve">AZ</x:t>
        </x:is>
      </x:c>
      <x:c r="C147" s="12" t="inlineStr">
        <x:is>
          <x:t xml:space="preserve">Master's</x:t>
        </x:is>
      </x:c>
      <x:c r="D147" s="13" t="n">
        <x:v>2</x:v>
      </x:c>
      <x:c r="E147" s="14" t="n">
        <x:v>56906</x:v>
      </x:c>
      <x:c r="F147" s="83" t="inlineStr">
        <x:is>
          <x:t xml:space="preserve">2026-06-11</x:t>
        </x:is>
      </x:c>
      <x:c r="G147" s="7" t="n"/>
      <x:c r="H147" s="7" t="n"/>
      <x:c r="I147" s="7" t="n"/>
      <x:c r="J147" s="7" t="n"/>
      <x:c r="K147" s="7" t="n"/>
      <x:c r="L147" s="7" t="n"/>
      <x:c r="M147" s="7" t="n"/>
      <x:c r="N147" s="7" t="n"/>
      <x:c r="O147" s="7" t="n"/>
      <x:c r="P147" s="7" t="n"/>
      <x:c r="Q147" s="7" t="n"/>
      <x:c r="R147" s="7" t="n"/>
      <x:c r="S147" s="7" t="n"/>
      <x:c r="T147" s="7" t="n"/>
      <x:c r="U147" s="7" t="n"/>
      <x:c r="V147" s="7" t="n"/>
      <x:c r="W147" s="7" t="n"/>
      <x:c r="X147" s="7" t="n"/>
      <x:c r="Y147" s="7" t="n"/>
      <x:c r="Z147" s="7" t="n"/>
      <x:c r="AA147" s="7" t="n"/>
      <x:c r="AB147" s="7" t="n"/>
    </x:row>
    <x:row r="148" ht="20" customHeight="1">
      <x:c r="A148" s="12" t="inlineStr">
        <x:is>
          <x:t xml:space="preserve">Chandler Unified School District</x:t>
        </x:is>
      </x:c>
      <x:c r="B148" s="12" t="inlineStr">
        <x:is>
          <x:t xml:space="preserve">AZ</x:t>
        </x:is>
      </x:c>
      <x:c r="C148" s="12" t="inlineStr">
        <x:is>
          <x:t xml:space="preserve">Master's</x:t>
        </x:is>
      </x:c>
      <x:c r="D148" s="13" t="n">
        <x:v>3</x:v>
      </x:c>
      <x:c r="E148" s="14" t="n">
        <x:v>57313</x:v>
      </x:c>
      <x:c r="F148" s="83" t="inlineStr">
        <x:is>
          <x:t xml:space="preserve">2026-06-11</x:t>
        </x:is>
      </x:c>
      <x:c r="G148" s="7" t="n"/>
      <x:c r="H148" s="7" t="n"/>
      <x:c r="I148" s="7" t="n"/>
      <x:c r="J148" s="7" t="n"/>
      <x:c r="K148" s="7" t="n"/>
      <x:c r="L148" s="7" t="n"/>
      <x:c r="M148" s="7" t="n"/>
      <x:c r="N148" s="7" t="n"/>
      <x:c r="O148" s="7" t="n"/>
      <x:c r="P148" s="7" t="n"/>
      <x:c r="Q148" s="7" t="n"/>
      <x:c r="R148" s="7" t="n"/>
      <x:c r="S148" s="7" t="n"/>
      <x:c r="T148" s="7" t="n"/>
      <x:c r="U148" s="7" t="n"/>
      <x:c r="V148" s="7" t="n"/>
      <x:c r="W148" s="7" t="n"/>
      <x:c r="X148" s="7" t="n"/>
      <x:c r="Y148" s="7" t="n"/>
      <x:c r="Z148" s="7" t="n"/>
      <x:c r="AA148" s="7" t="n"/>
      <x:c r="AB148" s="7" t="n"/>
    </x:row>
    <x:row r="149" ht="20" customHeight="1">
      <x:c r="A149" s="12" t="inlineStr">
        <x:is>
          <x:t xml:space="preserve">Chandler Unified School District</x:t>
        </x:is>
      </x:c>
      <x:c r="B149" s="12" t="inlineStr">
        <x:is>
          <x:t xml:space="preserve">AZ</x:t>
        </x:is>
      </x:c>
      <x:c r="C149" s="12" t="inlineStr">
        <x:is>
          <x:t xml:space="preserve">Master's</x:t>
        </x:is>
      </x:c>
      <x:c r="D149" s="13" t="n">
        <x:v>4</x:v>
      </x:c>
      <x:c r="E149" s="14" t="n">
        <x:v>57720</x:v>
      </x:c>
      <x:c r="F149" s="83" t="inlineStr">
        <x:is>
          <x:t xml:space="preserve">2026-06-11</x:t>
        </x:is>
      </x:c>
      <x:c r="G149" s="7" t="n"/>
      <x:c r="H149" s="7" t="n"/>
      <x:c r="I149" s="7" t="n"/>
      <x:c r="J149" s="7" t="n"/>
      <x:c r="K149" s="7" t="n"/>
      <x:c r="L149" s="7" t="n"/>
      <x:c r="M149" s="7" t="n"/>
      <x:c r="N149" s="7" t="n"/>
      <x:c r="O149" s="7" t="n"/>
      <x:c r="P149" s="7" t="n"/>
      <x:c r="Q149" s="7" t="n"/>
      <x:c r="R149" s="7" t="n"/>
      <x:c r="S149" s="7" t="n"/>
      <x:c r="T149" s="7" t="n"/>
      <x:c r="U149" s="7" t="n"/>
      <x:c r="V149" s="7" t="n"/>
      <x:c r="W149" s="7" t="n"/>
      <x:c r="X149" s="7" t="n"/>
      <x:c r="Y149" s="7" t="n"/>
      <x:c r="Z149" s="7" t="n"/>
      <x:c r="AA149" s="7" t="n"/>
      <x:c r="AB149" s="7" t="n"/>
    </x:row>
    <x:row r="150" ht="20" customHeight="1">
      <x:c r="A150" s="12" t="inlineStr">
        <x:is>
          <x:t xml:space="preserve">Chandler Unified School District</x:t>
        </x:is>
      </x:c>
      <x:c r="B150" s="12" t="inlineStr">
        <x:is>
          <x:t xml:space="preserve">AZ</x:t>
        </x:is>
      </x:c>
      <x:c r="C150" s="12" t="inlineStr">
        <x:is>
          <x:t xml:space="preserve">Master's</x:t>
        </x:is>
      </x:c>
      <x:c r="D150" s="13" t="n">
        <x:v>5</x:v>
      </x:c>
      <x:c r="E150" s="14" t="n">
        <x:v>58127</x:v>
      </x:c>
      <x:c r="F150" s="83" t="inlineStr">
        <x:is>
          <x:t xml:space="preserve">2026-06-11</x:t>
        </x:is>
      </x:c>
      <x:c r="G150" s="7" t="n"/>
      <x:c r="H150" s="7" t="n"/>
      <x:c r="I150" s="7" t="n"/>
      <x:c r="J150" s="7" t="n"/>
      <x:c r="K150" s="7" t="n"/>
      <x:c r="L150" s="7" t="n"/>
      <x:c r="M150" s="7" t="n"/>
      <x:c r="N150" s="7" t="n"/>
      <x:c r="O150" s="7" t="n"/>
      <x:c r="P150" s="7" t="n"/>
      <x:c r="Q150" s="7" t="n"/>
      <x:c r="R150" s="7" t="n"/>
      <x:c r="S150" s="7" t="n"/>
      <x:c r="T150" s="7" t="n"/>
      <x:c r="U150" s="7" t="n"/>
      <x:c r="V150" s="7" t="n"/>
      <x:c r="W150" s="7" t="n"/>
      <x:c r="X150" s="7" t="n"/>
      <x:c r="Y150" s="7" t="n"/>
      <x:c r="Z150" s="7" t="n"/>
      <x:c r="AA150" s="7" t="n"/>
      <x:c r="AB150" s="7" t="n"/>
    </x:row>
    <x:row r="151" ht="20" customHeight="1">
      <x:c r="A151" s="12" t="inlineStr">
        <x:is>
          <x:t xml:space="preserve">Chandler Unified School District</x:t>
        </x:is>
      </x:c>
      <x:c r="B151" s="12" t="inlineStr">
        <x:is>
          <x:t xml:space="preserve">AZ</x:t>
        </x:is>
      </x:c>
      <x:c r="C151" s="12" t="inlineStr">
        <x:is>
          <x:t xml:space="preserve">Master's</x:t>
        </x:is>
      </x:c>
      <x:c r="D151" s="13" t="n">
        <x:v>6</x:v>
      </x:c>
      <x:c r="E151" s="14" t="n">
        <x:v>58534</x:v>
      </x:c>
      <x:c r="F151" s="83" t="inlineStr">
        <x:is>
          <x:t xml:space="preserve">2026-06-11</x:t>
        </x:is>
      </x:c>
      <x:c r="G151" s="7" t="n"/>
      <x:c r="H151" s="7" t="n"/>
      <x:c r="I151" s="7" t="n"/>
      <x:c r="J151" s="7" t="n"/>
      <x:c r="K151" s="7" t="n"/>
      <x:c r="L151" s="7" t="n"/>
      <x:c r="M151" s="7" t="n"/>
      <x:c r="N151" s="7" t="n"/>
      <x:c r="O151" s="7" t="n"/>
      <x:c r="P151" s="7" t="n"/>
      <x:c r="Q151" s="7" t="n"/>
      <x:c r="R151" s="7" t="n"/>
      <x:c r="S151" s="7" t="n"/>
      <x:c r="T151" s="7" t="n"/>
      <x:c r="U151" s="7" t="n"/>
      <x:c r="V151" s="7" t="n"/>
      <x:c r="W151" s="7" t="n"/>
      <x:c r="X151" s="7" t="n"/>
      <x:c r="Y151" s="7" t="n"/>
      <x:c r="Z151" s="7" t="n"/>
      <x:c r="AA151" s="7" t="n"/>
      <x:c r="AB151" s="7" t="n"/>
    </x:row>
    <x:row r="152" ht="20" customHeight="1">
      <x:c r="A152" s="12" t="inlineStr">
        <x:is>
          <x:t xml:space="preserve">Chandler Unified School District</x:t>
        </x:is>
      </x:c>
      <x:c r="B152" s="12" t="inlineStr">
        <x:is>
          <x:t xml:space="preserve">AZ</x:t>
        </x:is>
      </x:c>
      <x:c r="C152" s="12" t="inlineStr">
        <x:is>
          <x:t xml:space="preserve">Master's</x:t>
        </x:is>
      </x:c>
      <x:c r="D152" s="13" t="n">
        <x:v>7</x:v>
      </x:c>
      <x:c r="E152" s="14" t="n">
        <x:v>58941</x:v>
      </x:c>
      <x:c r="F152" s="83" t="inlineStr">
        <x:is>
          <x:t xml:space="preserve">2026-06-11</x:t>
        </x:is>
      </x:c>
      <x:c r="G152" s="7" t="n"/>
      <x:c r="H152" s="7" t="n"/>
      <x:c r="I152" s="7" t="n"/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Z152" s="7" t="n"/>
      <x:c r="AA152" s="7" t="n"/>
      <x:c r="AB152" s="7" t="n"/>
    </x:row>
    <x:row r="153" ht="20" customHeight="1">
      <x:c r="A153" s="12" t="inlineStr">
        <x:is>
          <x:t xml:space="preserve">Chandler Unified School District</x:t>
        </x:is>
      </x:c>
      <x:c r="B153" s="12" t="inlineStr">
        <x:is>
          <x:t xml:space="preserve">AZ</x:t>
        </x:is>
      </x:c>
      <x:c r="C153" s="12" t="inlineStr">
        <x:is>
          <x:t xml:space="preserve">Master's</x:t>
        </x:is>
      </x:c>
      <x:c r="D153" s="13" t="n">
        <x:v>8</x:v>
      </x:c>
      <x:c r="E153" s="14" t="n">
        <x:v>59348</x:v>
      </x:c>
      <x:c r="F153" s="83" t="inlineStr">
        <x:is>
          <x:t xml:space="preserve">2026-06-11</x:t>
        </x:is>
      </x:c>
      <x:c r="G153" s="7" t="n"/>
      <x:c r="H153" s="7" t="n"/>
      <x:c r="I153" s="7" t="n"/>
      <x:c r="J153" s="7" t="n"/>
      <x:c r="K153" s="7" t="n"/>
      <x:c r="L153" s="7" t="n"/>
      <x:c r="M153" s="7" t="n"/>
      <x:c r="N153" s="7" t="n"/>
      <x:c r="O153" s="7" t="n"/>
      <x:c r="P153" s="7" t="n"/>
      <x:c r="Q153" s="7" t="n"/>
      <x:c r="R153" s="7" t="n"/>
      <x:c r="S153" s="7" t="n"/>
      <x:c r="T153" s="7" t="n"/>
      <x:c r="U153" s="7" t="n"/>
      <x:c r="V153" s="7" t="n"/>
      <x:c r="W153" s="7" t="n"/>
      <x:c r="X153" s="7" t="n"/>
      <x:c r="Y153" s="7" t="n"/>
      <x:c r="Z153" s="7" t="n"/>
      <x:c r="AA153" s="7" t="n"/>
      <x:c r="AB153" s="7" t="n"/>
    </x:row>
    <x:row r="154" ht="20" customHeight="1">
      <x:c r="A154" s="12" t="inlineStr">
        <x:is>
          <x:t xml:space="preserve">Chandler Unified School District</x:t>
        </x:is>
      </x:c>
      <x:c r="B154" s="12" t="inlineStr">
        <x:is>
          <x:t xml:space="preserve">AZ</x:t>
        </x:is>
      </x:c>
      <x:c r="C154" s="12" t="inlineStr">
        <x:is>
          <x:t xml:space="preserve">Master's</x:t>
        </x:is>
      </x:c>
      <x:c r="D154" s="13" t="n">
        <x:v>9</x:v>
      </x:c>
      <x:c r="E154" s="14" t="n">
        <x:v>59348</x:v>
      </x:c>
      <x:c r="F154" s="83" t="inlineStr">
        <x:is>
          <x:t xml:space="preserve">2026-06-11</x:t>
        </x:is>
      </x:c>
      <x:c r="G154" s="7" t="n"/>
      <x:c r="H154" s="7" t="n"/>
      <x:c r="I154" s="7" t="n"/>
      <x:c r="J154" s="7" t="n"/>
      <x:c r="K154" s="7" t="n"/>
      <x:c r="L154" s="7" t="n"/>
      <x:c r="M154" s="7" t="n"/>
      <x:c r="N154" s="7" t="n"/>
      <x:c r="O154" s="7" t="n"/>
      <x:c r="P154" s="7" t="n"/>
      <x:c r="Q154" s="7" t="n"/>
      <x:c r="R154" s="7" t="n"/>
      <x:c r="S154" s="7" t="n"/>
      <x:c r="T154" s="7" t="n"/>
      <x:c r="U154" s="7" t="n"/>
      <x:c r="V154" s="7" t="n"/>
      <x:c r="W154" s="7" t="n"/>
      <x:c r="X154" s="7" t="n"/>
      <x:c r="Y154" s="7" t="n"/>
      <x:c r="Z154" s="7" t="n"/>
      <x:c r="AA154" s="7" t="n"/>
      <x:c r="AB154" s="7" t="n"/>
    </x:row>
    <x:row r="155" ht="20" customHeight="1">
      <x:c r="A155" s="12" t="inlineStr">
        <x:is>
          <x:t xml:space="preserve">Chandler Unified School District</x:t>
        </x:is>
      </x:c>
      <x:c r="B155" s="12" t="inlineStr">
        <x:is>
          <x:t xml:space="preserve">AZ</x:t>
        </x:is>
      </x:c>
      <x:c r="C155" s="12" t="inlineStr">
        <x:is>
          <x:t xml:space="preserve">Master's</x:t>
        </x:is>
      </x:c>
      <x:c r="D155" s="13" t="n">
        <x:v>10</x:v>
      </x:c>
      <x:c r="E155" s="14" t="n">
        <x:v>59348</x:v>
      </x:c>
      <x:c r="F155" s="83" t="inlineStr">
        <x:is>
          <x:t xml:space="preserve">2026-06-11</x:t>
        </x:is>
      </x:c>
      <x:c r="G155" s="7" t="n"/>
      <x:c r="H155" s="7" t="n"/>
      <x:c r="I155" s="7" t="n"/>
      <x:c r="J155" s="7" t="n"/>
      <x:c r="K155" s="7" t="n"/>
      <x:c r="L155" s="7" t="n"/>
      <x:c r="M155" s="7" t="n"/>
      <x:c r="N155" s="7" t="n"/>
      <x:c r="O155" s="7" t="n"/>
      <x:c r="P155" s="7" t="n"/>
      <x:c r="Q155" s="7" t="n"/>
      <x:c r="R155" s="7" t="n"/>
      <x:c r="S155" s="7" t="n"/>
      <x:c r="T155" s="7" t="n"/>
      <x:c r="U155" s="7" t="n"/>
      <x:c r="V155" s="7" t="n"/>
      <x:c r="W155" s="7" t="n"/>
      <x:c r="X155" s="7" t="n"/>
      <x:c r="Y155" s="7" t="n"/>
      <x:c r="Z155" s="7" t="n"/>
      <x:c r="AA155" s="7" t="n"/>
      <x:c r="AB155" s="7" t="n"/>
    </x:row>
    <x:row r="156" ht="20" customHeight="1">
      <x:c r="A156" s="79" t="inlineStr">
        <x:is>
          <x:t xml:space="preserve">Channelview ISD</x:t>
        </x:is>
      </x:c>
      <x:c r="B156" s="79" t="inlineStr">
        <x:is>
          <x:t xml:space="preserve">TX</x:t>
        </x:is>
      </x:c>
      <x:c r="C156" s="79" t="inlineStr">
        <x:is>
          <x:t xml:space="preserve">Bachelor's</x:t>
        </x:is>
      </x:c>
      <x:c r="D156" s="79" t="n">
        <x:v>0</x:v>
      </x:c>
      <x:c r="E156" s="79" t="n">
        <x:v>68500</x:v>
      </x:c>
      <x:c r="F156" s="79" t="inlineStr">
        <x:is>
          <x:t xml:space="preserve">2026-06-16</x:t>
        </x:is>
      </x:c>
      <x:c r="G156" s="7" t="n"/>
      <x:c r="H156" s="7" t="n"/>
      <x:c r="I156" s="7" t="n"/>
      <x:c r="J156" s="7" t="n"/>
      <x:c r="K156" s="7" t="n"/>
      <x:c r="L156" s="7" t="n"/>
      <x:c r="M156" s="7" t="n"/>
      <x:c r="N156" s="7" t="n"/>
      <x:c r="O156" s="7" t="n"/>
      <x:c r="P156" s="7" t="n"/>
      <x:c r="Q156" s="7" t="n"/>
      <x:c r="R156" s="7" t="n"/>
      <x:c r="S156" s="7" t="n"/>
      <x:c r="T156" s="7" t="n"/>
      <x:c r="U156" s="7" t="n"/>
      <x:c r="V156" s="7" t="n"/>
      <x:c r="W156" s="7" t="n"/>
      <x:c r="X156" s="7" t="n"/>
      <x:c r="Y156" s="7" t="n"/>
      <x:c r="Z156" s="7" t="n"/>
      <x:c r="AA156" s="7" t="n"/>
      <x:c r="AB156" s="7" t="n"/>
    </x:row>
    <x:row r="157" ht="20" customHeight="1">
      <x:c r="A157" s="79" t="inlineStr">
        <x:is>
          <x:t xml:space="preserve">Channelview ISD</x:t>
        </x:is>
      </x:c>
      <x:c r="B157" s="79" t="inlineStr">
        <x:is>
          <x:t xml:space="preserve">TX</x:t>
        </x:is>
      </x:c>
      <x:c r="C157" s="79" t="inlineStr">
        <x:is>
          <x:t xml:space="preserve">Bachelor's</x:t>
        </x:is>
      </x:c>
      <x:c r="D157" s="79" t="n">
        <x:v>1</x:v>
      </x:c>
      <x:c r="E157" s="79" t="n">
        <x:v>68800</x:v>
      </x:c>
      <x:c r="F157" s="79" t="inlineStr">
        <x:is>
          <x:t xml:space="preserve">2026-06-16</x:t>
        </x:is>
      </x:c>
      <x:c r="G157" s="7" t="n"/>
      <x:c r="H157" s="7" t="n"/>
      <x:c r="I157" s="7" t="n"/>
      <x:c r="J157" s="7" t="n"/>
      <x:c r="K157" s="7" t="n"/>
      <x:c r="L157" s="7" t="n"/>
      <x:c r="M157" s="7" t="n"/>
      <x:c r="N157" s="7" t="n"/>
      <x:c r="O157" s="7" t="n"/>
      <x:c r="P157" s="7" t="n"/>
      <x:c r="Q157" s="7" t="n"/>
      <x:c r="R157" s="7" t="n"/>
      <x:c r="S157" s="7" t="n"/>
      <x:c r="T157" s="7" t="n"/>
      <x:c r="U157" s="7" t="n"/>
      <x:c r="V157" s="7" t="n"/>
      <x:c r="W157" s="7" t="n"/>
      <x:c r="X157" s="7" t="n"/>
      <x:c r="Y157" s="7" t="n"/>
      <x:c r="Z157" s="7" t="n"/>
      <x:c r="AA157" s="7" t="n"/>
      <x:c r="AB157" s="7" t="n"/>
    </x:row>
    <x:row r="158" ht="20" customHeight="1">
      <x:c r="A158" s="79" t="inlineStr">
        <x:is>
          <x:t xml:space="preserve">Channelview ISD</x:t>
        </x:is>
      </x:c>
      <x:c r="B158" s="79" t="inlineStr">
        <x:is>
          <x:t xml:space="preserve">TX</x:t>
        </x:is>
      </x:c>
      <x:c r="C158" s="79" t="inlineStr">
        <x:is>
          <x:t xml:space="preserve">Bachelor's</x:t>
        </x:is>
      </x:c>
      <x:c r="D158" s="79" t="n">
        <x:v>2</x:v>
      </x:c>
      <x:c r="E158" s="79" t="n">
        <x:v>69100</x:v>
      </x:c>
      <x:c r="F158" s="79" t="inlineStr">
        <x:is>
          <x:t xml:space="preserve">2026-06-16</x:t>
        </x:is>
      </x:c>
      <x:c r="G158" s="7" t="n"/>
      <x:c r="H158" s="7" t="n"/>
      <x:c r="I158" s="7" t="n"/>
      <x:c r="J158" s="7" t="n"/>
      <x:c r="K158" s="7" t="n"/>
      <x:c r="L158" s="7" t="n"/>
      <x:c r="M158" s="7" t="n"/>
      <x:c r="N158" s="7" t="n"/>
      <x:c r="O158" s="7" t="n"/>
      <x:c r="P158" s="7" t="n"/>
      <x:c r="Q158" s="7" t="n"/>
      <x:c r="R158" s="7" t="n"/>
      <x:c r="S158" s="7" t="n"/>
      <x:c r="T158" s="7" t="n"/>
      <x:c r="U158" s="7" t="n"/>
      <x:c r="V158" s="7" t="n"/>
      <x:c r="W158" s="7" t="n"/>
      <x:c r="X158" s="7" t="n"/>
      <x:c r="Y158" s="7" t="n"/>
      <x:c r="Z158" s="7" t="n"/>
      <x:c r="AA158" s="7" t="n"/>
      <x:c r="AB158" s="7" t="n"/>
    </x:row>
    <x:row r="159" ht="20" customHeight="1">
      <x:c r="A159" s="79" t="inlineStr">
        <x:is>
          <x:t xml:space="preserve">Channelview ISD</x:t>
        </x:is>
      </x:c>
      <x:c r="B159" s="79" t="inlineStr">
        <x:is>
          <x:t xml:space="preserve">TX</x:t>
        </x:is>
      </x:c>
      <x:c r="C159" s="79" t="inlineStr">
        <x:is>
          <x:t xml:space="preserve">Bachelor's</x:t>
        </x:is>
      </x:c>
      <x:c r="D159" s="79" t="n">
        <x:v>3</x:v>
      </x:c>
      <x:c r="E159" s="79" t="n">
        <x:v>69400</x:v>
      </x:c>
      <x:c r="F159" s="79" t="inlineStr">
        <x:is>
          <x:t xml:space="preserve">2026-06-16</x:t>
        </x:is>
      </x:c>
      <x:c r="G159" s="7" t="n"/>
      <x:c r="H159" s="7" t="n"/>
      <x:c r="I159" s="7" t="n"/>
      <x:c r="J159" s="7" t="n"/>
      <x:c r="K159" s="7" t="n"/>
      <x:c r="L159" s="7" t="n"/>
      <x:c r="M159" s="7" t="n"/>
      <x:c r="N159" s="7" t="n"/>
      <x:c r="O159" s="7" t="n"/>
      <x:c r="P159" s="7" t="n"/>
      <x:c r="Q159" s="7" t="n"/>
      <x:c r="R159" s="7" t="n"/>
      <x:c r="S159" s="7" t="n"/>
      <x:c r="T159" s="7" t="n"/>
      <x:c r="U159" s="7" t="n"/>
      <x:c r="V159" s="7" t="n"/>
      <x:c r="W159" s="7" t="n"/>
      <x:c r="X159" s="7" t="n"/>
      <x:c r="Y159" s="7" t="n"/>
      <x:c r="Z159" s="7" t="n"/>
      <x:c r="AA159" s="7" t="n"/>
      <x:c r="AB159" s="7" t="n"/>
    </x:row>
    <x:row r="160" ht="20" customHeight="1">
      <x:c r="A160" s="79" t="inlineStr">
        <x:is>
          <x:t xml:space="preserve">Channelview ISD</x:t>
        </x:is>
      </x:c>
      <x:c r="B160" s="79" t="inlineStr">
        <x:is>
          <x:t xml:space="preserve">TX</x:t>
        </x:is>
      </x:c>
      <x:c r="C160" s="79" t="inlineStr">
        <x:is>
          <x:t xml:space="preserve">Bachelor's</x:t>
        </x:is>
      </x:c>
      <x:c r="D160" s="79" t="n">
        <x:v>4</x:v>
      </x:c>
      <x:c r="E160" s="79" t="n">
        <x:v>69700</x:v>
      </x:c>
      <x:c r="F160" s="79" t="inlineStr">
        <x:is>
          <x:t xml:space="preserve">2026-06-16</x:t>
        </x:is>
      </x:c>
      <x:c r="G160" s="7" t="n"/>
      <x:c r="H160" s="7" t="n"/>
      <x:c r="I160" s="7" t="n"/>
      <x:c r="J160" s="7" t="n"/>
      <x:c r="K160" s="7" t="n"/>
      <x:c r="L160" s="7" t="n"/>
      <x:c r="M160" s="7" t="n"/>
      <x:c r="N160" s="7" t="n"/>
      <x:c r="O160" s="7" t="n"/>
      <x:c r="P160" s="7" t="n"/>
      <x:c r="Q160" s="7" t="n"/>
      <x:c r="R160" s="7" t="n"/>
      <x:c r="S160" s="7" t="n"/>
      <x:c r="T160" s="7" t="n"/>
      <x:c r="U160" s="7" t="n"/>
      <x:c r="V160" s="7" t="n"/>
      <x:c r="W160" s="7" t="n"/>
      <x:c r="X160" s="7" t="n"/>
      <x:c r="Y160" s="7" t="n"/>
      <x:c r="Z160" s="7" t="n"/>
      <x:c r="AA160" s="7" t="n"/>
      <x:c r="AB160" s="7" t="n"/>
    </x:row>
    <x:row r="161" ht="20" customHeight="1">
      <x:c r="A161" s="79" t="inlineStr">
        <x:is>
          <x:t xml:space="preserve">Channelview ISD</x:t>
        </x:is>
      </x:c>
      <x:c r="B161" s="79" t="inlineStr">
        <x:is>
          <x:t xml:space="preserve">TX</x:t>
        </x:is>
      </x:c>
      <x:c r="C161" s="79" t="inlineStr">
        <x:is>
          <x:t xml:space="preserve">Bachelor's</x:t>
        </x:is>
      </x:c>
      <x:c r="D161" s="79" t="n">
        <x:v>5</x:v>
      </x:c>
      <x:c r="E161" s="79" t="n">
        <x:v>70000</x:v>
      </x:c>
      <x:c r="F161" s="79" t="inlineStr">
        <x:is>
          <x:t xml:space="preserve">2026-06-16</x:t>
        </x:is>
      </x:c>
      <x:c r="G161" s="7" t="n"/>
      <x:c r="H161" s="7" t="n"/>
      <x:c r="I161" s="7" t="n"/>
      <x:c r="J161" s="7" t="n"/>
      <x:c r="K161" s="7" t="n"/>
      <x:c r="L161" s="7" t="n"/>
      <x:c r="M161" s="7" t="n"/>
      <x:c r="N161" s="7" t="n"/>
      <x:c r="O161" s="7" t="n"/>
      <x:c r="P161" s="7" t="n"/>
      <x:c r="Q161" s="7" t="n"/>
      <x:c r="R161" s="7" t="n"/>
      <x:c r="S161" s="7" t="n"/>
      <x:c r="T161" s="7" t="n"/>
      <x:c r="U161" s="7" t="n"/>
      <x:c r="V161" s="7" t="n"/>
      <x:c r="W161" s="7" t="n"/>
      <x:c r="X161" s="7" t="n"/>
      <x:c r="Y161" s="7" t="n"/>
      <x:c r="Z161" s="7" t="n"/>
      <x:c r="AA161" s="7" t="n"/>
      <x:c r="AB161" s="7" t="n"/>
    </x:row>
    <x:row r="162" ht="20" customHeight="1">
      <x:c r="A162" s="79" t="inlineStr">
        <x:is>
          <x:t xml:space="preserve">Channelview ISD</x:t>
        </x:is>
      </x:c>
      <x:c r="B162" s="79" t="inlineStr">
        <x:is>
          <x:t xml:space="preserve">TX</x:t>
        </x:is>
      </x:c>
      <x:c r="C162" s="79" t="inlineStr">
        <x:is>
          <x:t xml:space="preserve">Bachelor's</x:t>
        </x:is>
      </x:c>
      <x:c r="D162" s="79" t="n">
        <x:v>6</x:v>
      </x:c>
      <x:c r="E162" s="79" t="n">
        <x:v>70300</x:v>
      </x:c>
      <x:c r="F162" s="79" t="inlineStr">
        <x:is>
          <x:t xml:space="preserve">2026-06-16</x:t>
        </x:is>
      </x:c>
      <x:c r="G162" s="7" t="n"/>
      <x:c r="H162" s="7" t="n"/>
      <x:c r="I162" s="7" t="n"/>
      <x:c r="J162" s="7" t="n"/>
      <x:c r="K162" s="7" t="n"/>
      <x:c r="L162" s="7" t="n"/>
      <x:c r="M162" s="7" t="n"/>
      <x:c r="N162" s="7" t="n"/>
      <x:c r="O162" s="7" t="n"/>
      <x:c r="P162" s="7" t="n"/>
      <x:c r="Q162" s="7" t="n"/>
      <x:c r="R162" s="7" t="n"/>
      <x:c r="S162" s="7" t="n"/>
      <x:c r="T162" s="7" t="n"/>
      <x:c r="U162" s="7" t="n"/>
      <x:c r="V162" s="7" t="n"/>
      <x:c r="W162" s="7" t="n"/>
      <x:c r="X162" s="7" t="n"/>
      <x:c r="Y162" s="7" t="n"/>
      <x:c r="Z162" s="7" t="n"/>
      <x:c r="AA162" s="7" t="n"/>
      <x:c r="AB162" s="7" t="n"/>
    </x:row>
    <x:row r="163" ht="20" customHeight="1">
      <x:c r="A163" s="79" t="inlineStr">
        <x:is>
          <x:t xml:space="preserve">Channelview ISD</x:t>
        </x:is>
      </x:c>
      <x:c r="B163" s="79" t="inlineStr">
        <x:is>
          <x:t xml:space="preserve">TX</x:t>
        </x:is>
      </x:c>
      <x:c r="C163" s="79" t="inlineStr">
        <x:is>
          <x:t xml:space="preserve">Bachelor's</x:t>
        </x:is>
      </x:c>
      <x:c r="D163" s="79" t="n">
        <x:v>7</x:v>
      </x:c>
      <x:c r="E163" s="79" t="n">
        <x:v>70600</x:v>
      </x:c>
      <x:c r="F163" s="79" t="inlineStr">
        <x:is>
          <x:t xml:space="preserve">2026-06-16</x:t>
        </x:is>
      </x:c>
      <x:c r="G163" s="7" t="n"/>
      <x:c r="H163" s="7" t="n"/>
      <x:c r="I163" s="7" t="n"/>
      <x:c r="J163" s="7" t="n"/>
      <x:c r="K163" s="7" t="n"/>
      <x:c r="L163" s="7" t="n"/>
      <x:c r="M163" s="7" t="n"/>
      <x:c r="N163" s="7" t="n"/>
      <x:c r="O163" s="7" t="n"/>
      <x:c r="P163" s="7" t="n"/>
      <x:c r="Q163" s="7" t="n"/>
      <x:c r="R163" s="7" t="n"/>
      <x:c r="S163" s="7" t="n"/>
      <x:c r="T163" s="7" t="n"/>
      <x:c r="U163" s="7" t="n"/>
      <x:c r="V163" s="7" t="n"/>
      <x:c r="W163" s="7" t="n"/>
      <x:c r="X163" s="7" t="n"/>
      <x:c r="Y163" s="7" t="n"/>
      <x:c r="Z163" s="7" t="n"/>
      <x:c r="AA163" s="7" t="n"/>
      <x:c r="AB163" s="7" t="n"/>
    </x:row>
    <x:row r="164" ht="20" customHeight="1">
      <x:c r="A164" s="79" t="inlineStr">
        <x:is>
          <x:t xml:space="preserve">Channelview ISD</x:t>
        </x:is>
      </x:c>
      <x:c r="B164" s="79" t="inlineStr">
        <x:is>
          <x:t xml:space="preserve">TX</x:t>
        </x:is>
      </x:c>
      <x:c r="C164" s="79" t="inlineStr">
        <x:is>
          <x:t xml:space="preserve">Bachelor's</x:t>
        </x:is>
      </x:c>
      <x:c r="D164" s="79" t="n">
        <x:v>8</x:v>
      </x:c>
      <x:c r="E164" s="79" t="n">
        <x:v>70900</x:v>
      </x:c>
      <x:c r="F164" s="79" t="inlineStr">
        <x:is>
          <x:t xml:space="preserve">2026-06-16</x:t>
        </x:is>
      </x:c>
      <x:c r="G164" s="7" t="n"/>
      <x:c r="H164" s="7" t="n"/>
      <x:c r="I164" s="7" t="n"/>
      <x:c r="J164" s="7" t="n"/>
      <x:c r="K164" s="7" t="n"/>
      <x:c r="L164" s="7" t="n"/>
      <x:c r="M164" s="7" t="n"/>
      <x:c r="N164" s="7" t="n"/>
      <x:c r="O164" s="7" t="n"/>
      <x:c r="P164" s="7" t="n"/>
      <x:c r="Q164" s="7" t="n"/>
      <x:c r="R164" s="7" t="n"/>
      <x:c r="S164" s="7" t="n"/>
      <x:c r="T164" s="7" t="n"/>
      <x:c r="U164" s="7" t="n"/>
      <x:c r="V164" s="7" t="n"/>
      <x:c r="W164" s="7" t="n"/>
      <x:c r="X164" s="7" t="n"/>
      <x:c r="Y164" s="7" t="n"/>
      <x:c r="Z164" s="7" t="n"/>
      <x:c r="AA164" s="7" t="n"/>
      <x:c r="AB164" s="7" t="n"/>
    </x:row>
    <x:row r="165" ht="20" customHeight="1">
      <x:c r="A165" s="79" t="inlineStr">
        <x:is>
          <x:t xml:space="preserve">Channelview ISD</x:t>
        </x:is>
      </x:c>
      <x:c r="B165" s="79" t="inlineStr">
        <x:is>
          <x:t xml:space="preserve">TX</x:t>
        </x:is>
      </x:c>
      <x:c r="C165" s="79" t="inlineStr">
        <x:is>
          <x:t xml:space="preserve">Bachelor's</x:t>
        </x:is>
      </x:c>
      <x:c r="D165" s="79" t="n">
        <x:v>9</x:v>
      </x:c>
      <x:c r="E165" s="79" t="n">
        <x:v>71200</x:v>
      </x:c>
      <x:c r="F165" s="79" t="inlineStr">
        <x:is>
          <x:t xml:space="preserve">2026-06-16</x:t>
        </x:is>
      </x:c>
      <x:c r="G165" s="7" t="n"/>
      <x:c r="H165" s="7" t="n"/>
      <x:c r="I165" s="7" t="n"/>
      <x:c r="J165" s="7" t="n"/>
      <x:c r="K165" s="7" t="n"/>
      <x:c r="L165" s="7" t="n"/>
      <x:c r="M165" s="7" t="n"/>
      <x:c r="N165" s="7" t="n"/>
      <x:c r="O165" s="7" t="n"/>
      <x:c r="P165" s="7" t="n"/>
      <x:c r="Q165" s="7" t="n"/>
      <x:c r="R165" s="7" t="n"/>
      <x:c r="S165" s="7" t="n"/>
      <x:c r="T165" s="7" t="n"/>
      <x:c r="U165" s="7" t="n"/>
      <x:c r="V165" s="7" t="n"/>
      <x:c r="W165" s="7" t="n"/>
      <x:c r="X165" s="7" t="n"/>
      <x:c r="Y165" s="7" t="n"/>
      <x:c r="Z165" s="7" t="n"/>
      <x:c r="AA165" s="7" t="n"/>
      <x:c r="AB165" s="7" t="n"/>
    </x:row>
    <x:row r="166" ht="20" customHeight="1">
      <x:c r="A166" s="79" t="inlineStr">
        <x:is>
          <x:t xml:space="preserve">Channelview ISD</x:t>
        </x:is>
      </x:c>
      <x:c r="B166" s="79" t="inlineStr">
        <x:is>
          <x:t xml:space="preserve">TX</x:t>
        </x:is>
      </x:c>
      <x:c r="C166" s="79" t="inlineStr">
        <x:is>
          <x:t xml:space="preserve">Bachelor's</x:t>
        </x:is>
      </x:c>
      <x:c r="D166" s="79" t="n">
        <x:v>10</x:v>
      </x:c>
      <x:c r="E166" s="79" t="n">
        <x:v>71500</x:v>
      </x:c>
      <x:c r="F166" s="79" t="inlineStr">
        <x:is>
          <x:t xml:space="preserve">2026-06-16</x:t>
        </x:is>
      </x:c>
      <x:c r="G166" s="7" t="n"/>
      <x:c r="H166" s="7" t="n"/>
      <x:c r="I166" s="7" t="n"/>
      <x:c r="J166" s="7" t="n"/>
      <x:c r="K166" s="7" t="n"/>
      <x:c r="L166" s="7" t="n"/>
      <x:c r="M166" s="7" t="n"/>
      <x:c r="N166" s="7" t="n"/>
      <x:c r="O166" s="7" t="n"/>
      <x:c r="P166" s="7" t="n"/>
      <x:c r="Q166" s="7" t="n"/>
      <x:c r="R166" s="7" t="n"/>
      <x:c r="S166" s="7" t="n"/>
      <x:c r="T166" s="7" t="n"/>
      <x:c r="U166" s="7" t="n"/>
      <x:c r="V166" s="7" t="n"/>
      <x:c r="W166" s="7" t="n"/>
      <x:c r="X166" s="7" t="n"/>
      <x:c r="Y166" s="7" t="n"/>
      <x:c r="Z166" s="7" t="n"/>
      <x:c r="AA166" s="7" t="n"/>
      <x:c r="AB166" s="7" t="n"/>
    </x:row>
    <x:row r="167" ht="20" customHeight="1">
      <x:c r="A167" s="79" t="inlineStr">
        <x:is>
          <x:t xml:space="preserve">Channelview ISD</x:t>
        </x:is>
      </x:c>
      <x:c r="B167" s="79" t="inlineStr">
        <x:is>
          <x:t xml:space="preserve">TX</x:t>
        </x:is>
      </x:c>
      <x:c r="C167" s="79" t="inlineStr">
        <x:is>
          <x:t xml:space="preserve">Master's</x:t>
        </x:is>
      </x:c>
      <x:c r="D167" s="79" t="n">
        <x:v>0</x:v>
      </x:c>
      <x:c r="E167" s="79" t="n">
        <x:v>70000</x:v>
      </x:c>
      <x:c r="F167" s="79" t="inlineStr">
        <x:is>
          <x:t xml:space="preserve">2026-06-16</x:t>
        </x:is>
      </x:c>
      <x:c r="G167" s="7" t="n"/>
      <x:c r="H167" s="7" t="n"/>
      <x:c r="I167" s="7" t="n"/>
      <x:c r="J167" s="7" t="n"/>
      <x:c r="K167" s="7" t="n"/>
      <x:c r="L167" s="7" t="n"/>
      <x:c r="M167" s="7" t="n"/>
      <x:c r="N167" s="7" t="n"/>
      <x:c r="O167" s="7" t="n"/>
      <x:c r="P167" s="7" t="n"/>
      <x:c r="Q167" s="7" t="n"/>
      <x:c r="R167" s="7" t="n"/>
      <x:c r="S167" s="7" t="n"/>
      <x:c r="T167" s="7" t="n"/>
      <x:c r="U167" s="7" t="n"/>
      <x:c r="V167" s="7" t="n"/>
      <x:c r="W167" s="7" t="n"/>
      <x:c r="X167" s="7" t="n"/>
      <x:c r="Y167" s="7" t="n"/>
      <x:c r="Z167" s="7" t="n"/>
      <x:c r="AA167" s="7" t="n"/>
      <x:c r="AB167" s="7" t="n"/>
    </x:row>
    <x:row r="168" ht="20" customHeight="1">
      <x:c r="A168" s="79" t="inlineStr">
        <x:is>
          <x:t xml:space="preserve">Channelview ISD</x:t>
        </x:is>
      </x:c>
      <x:c r="B168" s="79" t="inlineStr">
        <x:is>
          <x:t xml:space="preserve">TX</x:t>
        </x:is>
      </x:c>
      <x:c r="C168" s="79" t="inlineStr">
        <x:is>
          <x:t xml:space="preserve">Master's</x:t>
        </x:is>
      </x:c>
      <x:c r="D168" s="79" t="n">
        <x:v>1</x:v>
      </x:c>
      <x:c r="E168" s="79" t="n">
        <x:v>70300</x:v>
      </x:c>
      <x:c r="F168" s="79" t="inlineStr">
        <x:is>
          <x:t xml:space="preserve">2026-06-16</x:t>
        </x:is>
      </x:c>
      <x:c r="G168" s="7" t="n"/>
      <x:c r="H168" s="7" t="n"/>
      <x:c r="I168" s="7" t="n"/>
      <x:c r="J168" s="7" t="n"/>
      <x:c r="K168" s="7" t="n"/>
      <x:c r="L168" s="7" t="n"/>
      <x:c r="M168" s="7" t="n"/>
      <x:c r="N168" s="7" t="n"/>
      <x:c r="O168" s="7" t="n"/>
      <x:c r="P168" s="7" t="n"/>
      <x:c r="Q168" s="7" t="n"/>
      <x:c r="R168" s="7" t="n"/>
      <x:c r="S168" s="7" t="n"/>
      <x:c r="T168" s="7" t="n"/>
      <x:c r="U168" s="7" t="n"/>
      <x:c r="V168" s="7" t="n"/>
      <x:c r="W168" s="7" t="n"/>
      <x:c r="X168" s="7" t="n"/>
      <x:c r="Y168" s="7" t="n"/>
      <x:c r="Z168" s="7" t="n"/>
      <x:c r="AA168" s="7" t="n"/>
      <x:c r="AB168" s="7" t="n"/>
    </x:row>
    <x:row r="169" ht="20" customHeight="1">
      <x:c r="A169" s="79" t="inlineStr">
        <x:is>
          <x:t xml:space="preserve">Channelview ISD</x:t>
        </x:is>
      </x:c>
      <x:c r="B169" s="79" t="inlineStr">
        <x:is>
          <x:t xml:space="preserve">TX</x:t>
        </x:is>
      </x:c>
      <x:c r="C169" s="79" t="inlineStr">
        <x:is>
          <x:t xml:space="preserve">Master's</x:t>
        </x:is>
      </x:c>
      <x:c r="D169" s="79" t="n">
        <x:v>2</x:v>
      </x:c>
      <x:c r="E169" s="79" t="n">
        <x:v>70600</x:v>
      </x:c>
      <x:c r="F169" s="79" t="inlineStr">
        <x:is>
          <x:t xml:space="preserve">2026-06-16</x:t>
        </x:is>
      </x:c>
      <x:c r="G169" s="7" t="n"/>
      <x:c r="H169" s="7" t="n"/>
      <x:c r="I169" s="7" t="n"/>
      <x:c r="J169" s="7" t="n"/>
      <x:c r="K169" s="7" t="n"/>
      <x:c r="L169" s="7" t="n"/>
      <x:c r="M169" s="7" t="n"/>
      <x:c r="N169" s="7" t="n"/>
      <x:c r="O169" s="7" t="n"/>
      <x:c r="P169" s="7" t="n"/>
      <x:c r="Q169" s="7" t="n"/>
      <x:c r="R169" s="7" t="n"/>
      <x:c r="S169" s="7" t="n"/>
      <x:c r="T169" s="7" t="n"/>
      <x:c r="U169" s="7" t="n"/>
      <x:c r="V169" s="7" t="n"/>
      <x:c r="W169" s="7" t="n"/>
      <x:c r="X169" s="7" t="n"/>
      <x:c r="Y169" s="7" t="n"/>
      <x:c r="Z169" s="7" t="n"/>
      <x:c r="AA169" s="7" t="n"/>
      <x:c r="AB169" s="7" t="n"/>
    </x:row>
    <x:row r="170" ht="20" customHeight="1">
      <x:c r="A170" s="79" t="inlineStr">
        <x:is>
          <x:t xml:space="preserve">Channelview ISD</x:t>
        </x:is>
      </x:c>
      <x:c r="B170" s="79" t="inlineStr">
        <x:is>
          <x:t xml:space="preserve">TX</x:t>
        </x:is>
      </x:c>
      <x:c r="C170" s="79" t="inlineStr">
        <x:is>
          <x:t xml:space="preserve">Master's</x:t>
        </x:is>
      </x:c>
      <x:c r="D170" s="79" t="n">
        <x:v>3</x:v>
      </x:c>
      <x:c r="E170" s="79" t="n">
        <x:v>70900</x:v>
      </x:c>
      <x:c r="F170" s="79" t="inlineStr">
        <x:is>
          <x:t xml:space="preserve">2026-06-16</x:t>
        </x:is>
      </x:c>
      <x:c r="G170" s="7" t="n"/>
      <x:c r="H170" s="7" t="n"/>
      <x:c r="I170" s="7" t="n"/>
      <x:c r="J170" s="7" t="n"/>
      <x:c r="K170" s="7" t="n"/>
      <x:c r="L170" s="7" t="n"/>
      <x:c r="M170" s="7" t="n"/>
      <x:c r="N170" s="7" t="n"/>
      <x:c r="O170" s="7" t="n"/>
      <x:c r="P170" s="7" t="n"/>
      <x:c r="Q170" s="7" t="n"/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Z170" s="7" t="n"/>
      <x:c r="AA170" s="7" t="n"/>
      <x:c r="AB170" s="7" t="n"/>
    </x:row>
    <x:row r="171" ht="20" customHeight="1">
      <x:c r="A171" s="79" t="inlineStr">
        <x:is>
          <x:t xml:space="preserve">Channelview ISD</x:t>
        </x:is>
      </x:c>
      <x:c r="B171" s="79" t="inlineStr">
        <x:is>
          <x:t xml:space="preserve">TX</x:t>
        </x:is>
      </x:c>
      <x:c r="C171" s="79" t="inlineStr">
        <x:is>
          <x:t xml:space="preserve">Master's</x:t>
        </x:is>
      </x:c>
      <x:c r="D171" s="79" t="n">
        <x:v>4</x:v>
      </x:c>
      <x:c r="E171" s="79" t="n">
        <x:v>71200</x:v>
      </x:c>
      <x:c r="F171" s="79" t="inlineStr">
        <x:is>
          <x:t xml:space="preserve">2026-06-16</x:t>
        </x:is>
      </x:c>
      <x:c r="G171" s="7" t="n"/>
      <x:c r="H171" s="7" t="n"/>
      <x:c r="I171" s="7" t="n"/>
      <x:c r="J171" s="7" t="n"/>
      <x:c r="K171" s="7" t="n"/>
      <x:c r="L171" s="7" t="n"/>
      <x:c r="M171" s="7" t="n"/>
      <x:c r="N171" s="7" t="n"/>
      <x:c r="O171" s="7" t="n"/>
      <x:c r="P171" s="7" t="n"/>
      <x:c r="Q171" s="7" t="n"/>
      <x:c r="R171" s="7" t="n"/>
      <x:c r="S171" s="7" t="n"/>
      <x:c r="T171" s="7" t="n"/>
      <x:c r="U171" s="7" t="n"/>
      <x:c r="V171" s="7" t="n"/>
      <x:c r="W171" s="7" t="n"/>
      <x:c r="X171" s="7" t="n"/>
      <x:c r="Y171" s="7" t="n"/>
      <x:c r="Z171" s="7" t="n"/>
      <x:c r="AA171" s="7" t="n"/>
      <x:c r="AB171" s="7" t="n"/>
    </x:row>
    <x:row r="172" ht="20" customHeight="1">
      <x:c r="A172" s="79" t="inlineStr">
        <x:is>
          <x:t xml:space="preserve">Channelview ISD</x:t>
        </x:is>
      </x:c>
      <x:c r="B172" s="79" t="inlineStr">
        <x:is>
          <x:t xml:space="preserve">TX</x:t>
        </x:is>
      </x:c>
      <x:c r="C172" s="79" t="inlineStr">
        <x:is>
          <x:t xml:space="preserve">Master's</x:t>
        </x:is>
      </x:c>
      <x:c r="D172" s="79" t="n">
        <x:v>5</x:v>
      </x:c>
      <x:c r="E172" s="79" t="n">
        <x:v>71500</x:v>
      </x:c>
      <x:c r="F172" s="79" t="inlineStr">
        <x:is>
          <x:t xml:space="preserve">2026-06-16</x:t>
        </x:is>
      </x:c>
      <x:c r="G172" s="7" t="n"/>
      <x:c r="H172" s="7" t="n"/>
      <x:c r="I172" s="7" t="n"/>
      <x:c r="J172" s="7" t="n"/>
      <x:c r="K172" s="7" t="n"/>
      <x:c r="L172" s="7" t="n"/>
      <x:c r="M172" s="7" t="n"/>
      <x:c r="N172" s="7" t="n"/>
      <x:c r="O172" s="7" t="n"/>
      <x:c r="P172" s="7" t="n"/>
      <x:c r="Q172" s="7" t="n"/>
      <x:c r="R172" s="7" t="n"/>
      <x:c r="S172" s="7" t="n"/>
      <x:c r="T172" s="7" t="n"/>
      <x:c r="U172" s="7" t="n"/>
      <x:c r="V172" s="7" t="n"/>
      <x:c r="W172" s="7" t="n"/>
      <x:c r="X172" s="7" t="n"/>
      <x:c r="Y172" s="7" t="n"/>
      <x:c r="Z172" s="7" t="n"/>
      <x:c r="AA172" s="7" t="n"/>
      <x:c r="AB172" s="7" t="n"/>
    </x:row>
    <x:row r="173" ht="20" customHeight="1">
      <x:c r="A173" s="79" t="inlineStr">
        <x:is>
          <x:t xml:space="preserve">Channelview ISD</x:t>
        </x:is>
      </x:c>
      <x:c r="B173" s="79" t="inlineStr">
        <x:is>
          <x:t xml:space="preserve">TX</x:t>
        </x:is>
      </x:c>
      <x:c r="C173" s="79" t="inlineStr">
        <x:is>
          <x:t xml:space="preserve">Master's</x:t>
        </x:is>
      </x:c>
      <x:c r="D173" s="79" t="n">
        <x:v>6</x:v>
      </x:c>
      <x:c r="E173" s="79" t="n">
        <x:v>71800</x:v>
      </x:c>
      <x:c r="F173" s="79" t="inlineStr">
        <x:is>
          <x:t xml:space="preserve">2026-06-16</x:t>
        </x:is>
      </x:c>
      <x:c r="G173" s="7" t="n"/>
      <x:c r="H173" s="7" t="n"/>
      <x:c r="I173" s="7" t="n"/>
      <x:c r="J173" s="7" t="n"/>
      <x:c r="K173" s="7" t="n"/>
      <x:c r="L173" s="7" t="n"/>
      <x:c r="M173" s="7" t="n"/>
      <x:c r="N173" s="7" t="n"/>
      <x:c r="O173" s="7" t="n"/>
      <x:c r="P173" s="7" t="n"/>
      <x:c r="Q173" s="7" t="n"/>
      <x:c r="R173" s="7" t="n"/>
      <x:c r="S173" s="7" t="n"/>
      <x:c r="T173" s="7" t="n"/>
      <x:c r="U173" s="7" t="n"/>
      <x:c r="V173" s="7" t="n"/>
      <x:c r="W173" s="7" t="n"/>
      <x:c r="X173" s="7" t="n"/>
      <x:c r="Y173" s="7" t="n"/>
      <x:c r="Z173" s="7" t="n"/>
      <x:c r="AA173" s="7" t="n"/>
      <x:c r="AB173" s="7" t="n"/>
    </x:row>
    <x:row r="174" ht="20" customHeight="1">
      <x:c r="A174" s="79" t="inlineStr">
        <x:is>
          <x:t xml:space="preserve">Channelview ISD</x:t>
        </x:is>
      </x:c>
      <x:c r="B174" s="79" t="inlineStr">
        <x:is>
          <x:t xml:space="preserve">TX</x:t>
        </x:is>
      </x:c>
      <x:c r="C174" s="79" t="inlineStr">
        <x:is>
          <x:t xml:space="preserve">Master's</x:t>
        </x:is>
      </x:c>
      <x:c r="D174" s="79" t="n">
        <x:v>7</x:v>
      </x:c>
      <x:c r="E174" s="79" t="n">
        <x:v>72100</x:v>
      </x:c>
      <x:c r="F174" s="79" t="inlineStr">
        <x:is>
          <x:t xml:space="preserve">2026-06-16</x:t>
        </x:is>
      </x:c>
      <x:c r="G174" s="7" t="n"/>
      <x:c r="H174" s="7" t="n"/>
      <x:c r="I174" s="7" t="n"/>
      <x:c r="J174" s="7" t="n"/>
      <x:c r="K174" s="7" t="n"/>
      <x:c r="L174" s="7" t="n"/>
      <x:c r="M174" s="7" t="n"/>
      <x:c r="N174" s="7" t="n"/>
      <x:c r="O174" s="7" t="n"/>
      <x:c r="P174" s="7" t="n"/>
      <x:c r="Q174" s="7" t="n"/>
      <x:c r="R174" s="7" t="n"/>
      <x:c r="S174" s="7" t="n"/>
      <x:c r="T174" s="7" t="n"/>
      <x:c r="U174" s="7" t="n"/>
      <x:c r="V174" s="7" t="n"/>
      <x:c r="W174" s="7" t="n"/>
      <x:c r="X174" s="7" t="n"/>
      <x:c r="Y174" s="7" t="n"/>
      <x:c r="Z174" s="7" t="n"/>
      <x:c r="AA174" s="7" t="n"/>
      <x:c r="AB174" s="7" t="n"/>
    </x:row>
    <x:row r="175" ht="20" customHeight="1">
      <x:c r="A175" s="79" t="inlineStr">
        <x:is>
          <x:t xml:space="preserve">Channelview ISD</x:t>
        </x:is>
      </x:c>
      <x:c r="B175" s="79" t="inlineStr">
        <x:is>
          <x:t xml:space="preserve">TX</x:t>
        </x:is>
      </x:c>
      <x:c r="C175" s="79" t="inlineStr">
        <x:is>
          <x:t xml:space="preserve">Master's</x:t>
        </x:is>
      </x:c>
      <x:c r="D175" s="79" t="n">
        <x:v>8</x:v>
      </x:c>
      <x:c r="E175" s="79" t="n">
        <x:v>72400</x:v>
      </x:c>
      <x:c r="F175" s="79" t="inlineStr">
        <x:is>
          <x:t xml:space="preserve">2026-06-16</x:t>
        </x:is>
      </x:c>
      <x:c r="G175" s="7" t="n"/>
      <x:c r="H175" s="7" t="n"/>
      <x:c r="I175" s="7" t="n"/>
      <x:c r="J175" s="7" t="n"/>
      <x:c r="K175" s="7" t="n"/>
      <x:c r="L175" s="7" t="n"/>
      <x:c r="M175" s="7" t="n"/>
      <x:c r="N175" s="7" t="n"/>
      <x:c r="O175" s="7" t="n"/>
      <x:c r="P175" s="7" t="n"/>
      <x:c r="Q175" s="7" t="n"/>
      <x:c r="R175" s="7" t="n"/>
      <x:c r="S175" s="7" t="n"/>
      <x:c r="T175" s="7" t="n"/>
      <x:c r="U175" s="7" t="n"/>
      <x:c r="V175" s="7" t="n"/>
      <x:c r="W175" s="7" t="n"/>
      <x:c r="X175" s="7" t="n"/>
      <x:c r="Y175" s="7" t="n"/>
      <x:c r="Z175" s="7" t="n"/>
      <x:c r="AA175" s="7" t="n"/>
      <x:c r="AB175" s="7" t="n"/>
    </x:row>
    <x:row r="176" ht="20" customHeight="1">
      <x:c r="A176" s="79" t="inlineStr">
        <x:is>
          <x:t xml:space="preserve">Channelview ISD</x:t>
        </x:is>
      </x:c>
      <x:c r="B176" s="79" t="inlineStr">
        <x:is>
          <x:t xml:space="preserve">TX</x:t>
        </x:is>
      </x:c>
      <x:c r="C176" s="79" t="inlineStr">
        <x:is>
          <x:t xml:space="preserve">Master's</x:t>
        </x:is>
      </x:c>
      <x:c r="D176" s="79" t="n">
        <x:v>9</x:v>
      </x:c>
      <x:c r="E176" s="79" t="n">
        <x:v>72700</x:v>
      </x:c>
      <x:c r="F176" s="79" t="inlineStr">
        <x:is>
          <x:t xml:space="preserve">2026-06-16</x:t>
        </x:is>
      </x:c>
      <x:c r="G176" s="7" t="n"/>
      <x:c r="H176" s="7" t="n"/>
      <x:c r="I176" s="7" t="n"/>
      <x:c r="J176" s="7" t="n"/>
      <x:c r="K176" s="7" t="n"/>
      <x:c r="L176" s="7" t="n"/>
      <x:c r="M176" s="7" t="n"/>
      <x:c r="N176" s="7" t="n"/>
      <x:c r="O176" s="7" t="n"/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Z176" s="7" t="n"/>
      <x:c r="AA176" s="7" t="n"/>
      <x:c r="AB176" s="7" t="n"/>
    </x:row>
    <x:row r="177" ht="20" customHeight="1">
      <x:c r="A177" s="79" t="inlineStr">
        <x:is>
          <x:t xml:space="preserve">Channelview ISD</x:t>
        </x:is>
      </x:c>
      <x:c r="B177" s="79" t="inlineStr">
        <x:is>
          <x:t xml:space="preserve">TX</x:t>
        </x:is>
      </x:c>
      <x:c r="C177" s="79" t="inlineStr">
        <x:is>
          <x:t xml:space="preserve">Master's</x:t>
        </x:is>
      </x:c>
      <x:c r="D177" s="79" t="n">
        <x:v>10</x:v>
      </x:c>
      <x:c r="E177" s="79" t="n">
        <x:v>73000</x:v>
      </x:c>
      <x:c r="F177" s="79" t="inlineStr">
        <x:is>
          <x:t xml:space="preserve">2026-06-16</x:t>
        </x:is>
      </x:c>
      <x:c r="G177" s="7" t="n"/>
      <x:c r="H177" s="7" t="n"/>
      <x:c r="I177" s="7" t="n"/>
      <x:c r="J177" s="7" t="n"/>
      <x:c r="K177" s="7" t="n"/>
      <x:c r="L177" s="7" t="n"/>
      <x:c r="M177" s="7" t="n"/>
      <x:c r="N177" s="7" t="n"/>
      <x:c r="O177" s="7" t="n"/>
      <x:c r="P177" s="7" t="n"/>
      <x:c r="Q177" s="7" t="n"/>
      <x:c r="R177" s="7" t="n"/>
      <x:c r="S177" s="7" t="n"/>
      <x:c r="T177" s="7" t="n"/>
      <x:c r="U177" s="7" t="n"/>
      <x:c r="V177" s="7" t="n"/>
      <x:c r="W177" s="7" t="n"/>
      <x:c r="X177" s="7" t="n"/>
      <x:c r="Y177" s="7" t="n"/>
      <x:c r="Z177" s="7" t="n"/>
      <x:c r="AA177" s="7" t="n"/>
      <x:c r="AB177" s="7" t="n"/>
    </x:row>
    <x:row r="178" ht="20" customHeight="1">
      <x:c r="A178" s="12" t="inlineStr">
        <x:is>
          <x:t xml:space="preserve">Chapel Hill-Carrboro City Schools</x:t>
        </x:is>
      </x:c>
      <x:c r="B178" s="12" t="inlineStr">
        <x:is>
          <x:t xml:space="preserve">NC</x:t>
        </x:is>
      </x:c>
      <x:c r="C178" s="12" t="inlineStr">
        <x:is>
          <x:t xml:space="preserve">Bachelor's</x:t>
        </x:is>
      </x:c>
      <x:c r="D178" s="13" t="n">
        <x:v>0</x:v>
      </x:c>
      <x:c r="E178" s="14" t="n">
        <x:v>48380</x:v>
      </x:c>
      <x:c r="F178" s="83" t="inlineStr">
        <x:is>
          <x:t xml:space="preserve">2026-06-10</x:t>
        </x:is>
      </x:c>
      <x:c r="G178" s="7" t="n"/>
      <x:c r="H178" s="7" t="n"/>
      <x:c r="I178" s="7" t="n"/>
      <x:c r="J178" s="7" t="n"/>
      <x:c r="K178" s="7" t="n"/>
      <x:c r="L178" s="7" t="n"/>
      <x:c r="M178" s="7" t="n"/>
      <x:c r="N178" s="7" t="n"/>
      <x:c r="O178" s="7" t="n"/>
      <x:c r="P178" s="7" t="n"/>
      <x:c r="Q178" s="7" t="n"/>
      <x:c r="R178" s="7" t="n"/>
      <x:c r="S178" s="7" t="n"/>
      <x:c r="T178" s="7" t="n"/>
      <x:c r="U178" s="7" t="n"/>
      <x:c r="V178" s="7" t="n"/>
      <x:c r="W178" s="7" t="n"/>
      <x:c r="X178" s="7" t="n"/>
      <x:c r="Y178" s="7" t="n"/>
      <x:c r="Z178" s="7" t="n"/>
      <x:c r="AA178" s="7" t="n"/>
      <x:c r="AB178" s="7" t="n"/>
    </x:row>
    <x:row r="179" ht="20" customHeight="1">
      <x:c r="A179" s="12" t="inlineStr">
        <x:is>
          <x:t xml:space="preserve">Chapel Hill-Carrboro City Schools</x:t>
        </x:is>
      </x:c>
      <x:c r="B179" s="12" t="inlineStr">
        <x:is>
          <x:t xml:space="preserve">NC</x:t>
        </x:is>
      </x:c>
      <x:c r="C179" s="12" t="inlineStr">
        <x:is>
          <x:t xml:space="preserve">Bachelor's</x:t>
        </x:is>
      </x:c>
      <x:c r="D179" s="13" t="n">
        <x:v>1</x:v>
      </x:c>
      <x:c r="E179" s="14" t="n">
        <x:v>49265</x:v>
      </x:c>
      <x:c r="F179" s="83" t="inlineStr">
        <x:is>
          <x:t xml:space="preserve">2026-06-10</x:t>
        </x:is>
      </x:c>
      <x:c r="G179" s="7" t="n"/>
      <x:c r="H179" s="7" t="n"/>
      <x:c r="I179" s="7" t="n"/>
      <x:c r="J179" s="7" t="n"/>
      <x:c r="K179" s="7" t="n"/>
      <x:c r="L179" s="7" t="n"/>
      <x:c r="M179" s="7" t="n"/>
      <x:c r="N179" s="7" t="n"/>
      <x:c r="O179" s="7" t="n"/>
      <x:c r="P179" s="7" t="n"/>
      <x:c r="Q179" s="7" t="n"/>
      <x:c r="R179" s="7" t="n"/>
      <x:c r="S179" s="7" t="n"/>
      <x:c r="T179" s="7" t="n"/>
      <x:c r="U179" s="7" t="n"/>
      <x:c r="V179" s="7" t="n"/>
      <x:c r="W179" s="7" t="n"/>
      <x:c r="X179" s="7" t="n"/>
      <x:c r="Y179" s="7" t="n"/>
      <x:c r="Z179" s="7" t="n"/>
      <x:c r="AA179" s="7" t="n"/>
      <x:c r="AB179" s="7" t="n"/>
    </x:row>
    <x:row r="180" ht="20" customHeight="1">
      <x:c r="A180" s="12" t="inlineStr">
        <x:is>
          <x:t xml:space="preserve">Chapel Hill-Carrboro City Schools</x:t>
        </x:is>
      </x:c>
      <x:c r="B180" s="12" t="inlineStr">
        <x:is>
          <x:t xml:space="preserve">NC</x:t>
        </x:is>
      </x:c>
      <x:c r="C180" s="12" t="inlineStr">
        <x:is>
          <x:t xml:space="preserve">Bachelor's</x:t>
        </x:is>
      </x:c>
      <x:c r="D180" s="13" t="n">
        <x:v>2</x:v>
      </x:c>
      <x:c r="E180" s="14" t="n">
        <x:v>50150</x:v>
      </x:c>
      <x:c r="F180" s="83" t="inlineStr">
        <x:is>
          <x:t xml:space="preserve">2026-06-10</x:t>
        </x:is>
      </x:c>
      <x:c r="G180" s="7" t="n"/>
      <x:c r="H180" s="7" t="n"/>
      <x:c r="I180" s="7" t="n"/>
      <x:c r="J180" s="7" t="n"/>
      <x:c r="K180" s="7" t="n"/>
      <x:c r="L180" s="7" t="n"/>
      <x:c r="M180" s="7" t="n"/>
      <x:c r="N180" s="7" t="n"/>
      <x:c r="O180" s="7" t="n"/>
      <x:c r="P180" s="7" t="n"/>
      <x:c r="Q180" s="7" t="n"/>
      <x:c r="R180" s="7" t="n"/>
      <x:c r="S180" s="7" t="n"/>
      <x:c r="T180" s="7" t="n"/>
      <x:c r="U180" s="7" t="n"/>
      <x:c r="V180" s="7" t="n"/>
      <x:c r="W180" s="7" t="n"/>
      <x:c r="X180" s="7" t="n"/>
      <x:c r="Y180" s="7" t="n"/>
      <x:c r="Z180" s="7" t="n"/>
      <x:c r="AA180" s="7" t="n"/>
      <x:c r="AB180" s="7" t="n"/>
    </x:row>
    <x:row r="181" ht="20" customHeight="1">
      <x:c r="A181" s="12" t="inlineStr">
        <x:is>
          <x:t xml:space="preserve">Chapel Hill-Carrboro City Schools</x:t>
        </x:is>
      </x:c>
      <x:c r="B181" s="12" t="inlineStr">
        <x:is>
          <x:t xml:space="preserve">NC</x:t>
        </x:is>
      </x:c>
      <x:c r="C181" s="12" t="inlineStr">
        <x:is>
          <x:t xml:space="preserve">Bachelor's</x:t>
        </x:is>
      </x:c>
      <x:c r="D181" s="13" t="n">
        <x:v>3</x:v>
      </x:c>
      <x:c r="E181" s="14" t="n">
        <x:v>51035</x:v>
      </x:c>
      <x:c r="F181" s="83" t="inlineStr">
        <x:is>
          <x:t xml:space="preserve">2026-06-10</x:t>
        </x:is>
      </x:c>
      <x:c r="G181" s="7" t="n"/>
      <x:c r="H181" s="7" t="n"/>
      <x:c r="I181" s="7" t="n"/>
      <x:c r="J181" s="7" t="n"/>
      <x:c r="K181" s="7" t="n"/>
      <x:c r="L181" s="7" t="n"/>
      <x:c r="M181" s="7" t="n"/>
      <x:c r="N181" s="7" t="n"/>
      <x:c r="O181" s="7" t="n"/>
      <x:c r="P181" s="7" t="n"/>
      <x:c r="Q181" s="7" t="n"/>
      <x:c r="R181" s="7" t="n"/>
      <x:c r="S181" s="7" t="n"/>
      <x:c r="T181" s="7" t="n"/>
      <x:c r="U181" s="7" t="n"/>
      <x:c r="V181" s="7" t="n"/>
      <x:c r="W181" s="7" t="n"/>
      <x:c r="X181" s="7" t="n"/>
      <x:c r="Y181" s="7" t="n"/>
      <x:c r="Z181" s="7" t="n"/>
      <x:c r="AA181" s="7" t="n"/>
      <x:c r="AB181" s="7" t="n"/>
    </x:row>
    <x:row r="182" ht="20" customHeight="1">
      <x:c r="A182" s="12" t="inlineStr">
        <x:is>
          <x:t xml:space="preserve">Chapel Hill-Carrboro City Schools</x:t>
        </x:is>
      </x:c>
      <x:c r="B182" s="12" t="inlineStr">
        <x:is>
          <x:t xml:space="preserve">NC</x:t>
        </x:is>
      </x:c>
      <x:c r="C182" s="12" t="inlineStr">
        <x:is>
          <x:t xml:space="preserve">Bachelor's</x:t>
        </x:is>
      </x:c>
      <x:c r="D182" s="13" t="n">
        <x:v>4</x:v>
      </x:c>
      <x:c r="E182" s="14" t="n">
        <x:v>51920</x:v>
      </x:c>
      <x:c r="F182" s="83" t="inlineStr">
        <x:is>
          <x:t xml:space="preserve">2026-06-10</x:t>
        </x:is>
      </x:c>
      <x:c r="G182" s="7" t="n"/>
      <x:c r="H182" s="7" t="n"/>
      <x:c r="I182" s="7" t="n"/>
      <x:c r="J182" s="7" t="n"/>
      <x:c r="K182" s="7" t="n"/>
      <x:c r="L182" s="7" t="n"/>
      <x:c r="M182" s="7" t="n"/>
      <x:c r="N182" s="7" t="n"/>
      <x:c r="O182" s="7" t="n"/>
      <x:c r="P182" s="7" t="n"/>
      <x:c r="Q182" s="7" t="n"/>
      <x:c r="R182" s="7" t="n"/>
      <x:c r="S182" s="7" t="n"/>
      <x:c r="T182" s="7" t="n"/>
      <x:c r="U182" s="7" t="n"/>
      <x:c r="V182" s="7" t="n"/>
      <x:c r="W182" s="7" t="n"/>
      <x:c r="X182" s="7" t="n"/>
      <x:c r="Y182" s="7" t="n"/>
      <x:c r="Z182" s="7" t="n"/>
      <x:c r="AA182" s="7" t="n"/>
      <x:c r="AB182" s="7" t="n"/>
    </x:row>
    <x:row r="183" ht="20" customHeight="1">
      <x:c r="A183" s="12" t="inlineStr">
        <x:is>
          <x:t xml:space="preserve">Chapel Hill-Carrboro City Schools</x:t>
        </x:is>
      </x:c>
      <x:c r="B183" s="12" t="inlineStr">
        <x:is>
          <x:t xml:space="preserve">NC</x:t>
        </x:is>
      </x:c>
      <x:c r="C183" s="12" t="inlineStr">
        <x:is>
          <x:t xml:space="preserve">Bachelor's</x:t>
        </x:is>
      </x:c>
      <x:c r="D183" s="13" t="n">
        <x:v>5</x:v>
      </x:c>
      <x:c r="E183" s="14" t="n">
        <x:v>52805</x:v>
      </x:c>
      <x:c r="F183" s="83" t="inlineStr">
        <x:is>
          <x:t xml:space="preserve">2026-06-10</x:t>
        </x:is>
      </x:c>
      <x:c r="G183" s="7" t="n"/>
      <x:c r="H183" s="7" t="n"/>
      <x:c r="I183" s="7" t="n"/>
      <x:c r="J183" s="7" t="n"/>
      <x:c r="K183" s="7" t="n"/>
      <x:c r="L183" s="7" t="n"/>
      <x:c r="M183" s="7" t="n"/>
      <x:c r="N183" s="7" t="n"/>
      <x:c r="O183" s="7" t="n"/>
      <x:c r="P183" s="7" t="n"/>
      <x:c r="Q183" s="7" t="n"/>
      <x:c r="R183" s="7" t="n"/>
      <x:c r="S183" s="7" t="n"/>
      <x:c r="T183" s="7" t="n"/>
      <x:c r="U183" s="7" t="n"/>
      <x:c r="V183" s="7" t="n"/>
      <x:c r="W183" s="7" t="n"/>
      <x:c r="X183" s="7" t="n"/>
      <x:c r="Y183" s="7" t="n"/>
      <x:c r="Z183" s="7" t="n"/>
      <x:c r="AA183" s="7" t="n"/>
      <x:c r="AB183" s="7" t="n"/>
    </x:row>
    <x:row r="184" ht="20" customHeight="1">
      <x:c r="A184" s="12" t="inlineStr">
        <x:is>
          <x:t xml:space="preserve">Chapel Hill-Carrboro City Schools</x:t>
        </x:is>
      </x:c>
      <x:c r="B184" s="12" t="inlineStr">
        <x:is>
          <x:t xml:space="preserve">NC</x:t>
        </x:is>
      </x:c>
      <x:c r="C184" s="12" t="inlineStr">
        <x:is>
          <x:t xml:space="preserve">Bachelor's</x:t>
        </x:is>
      </x:c>
      <x:c r="D184" s="13" t="n">
        <x:v>6</x:v>
      </x:c>
      <x:c r="E184" s="14" t="n">
        <x:v>53949.6</x:v>
      </x:c>
      <x:c r="F184" s="83" t="inlineStr">
        <x:is>
          <x:t xml:space="preserve">2026-06-10</x:t>
        </x:is>
      </x:c>
      <x:c r="G184" s="7" t="n"/>
      <x:c r="H184" s="7" t="n"/>
      <x:c r="I184" s="7" t="n"/>
      <x:c r="J184" s="7" t="n"/>
      <x:c r="K184" s="7" t="n"/>
      <x:c r="L184" s="7" t="n"/>
      <x:c r="M184" s="7" t="n"/>
      <x:c r="N184" s="7" t="n"/>
      <x:c r="O184" s="7" t="n"/>
      <x:c r="P184" s="7" t="n"/>
      <x:c r="Q184" s="7" t="n"/>
      <x:c r="R184" s="7" t="n"/>
      <x:c r="S184" s="7" t="n"/>
      <x:c r="T184" s="7" t="n"/>
      <x:c r="U184" s="7" t="n"/>
      <x:c r="V184" s="7" t="n"/>
      <x:c r="W184" s="7" t="n"/>
      <x:c r="X184" s="7" t="n"/>
      <x:c r="Y184" s="7" t="n"/>
      <x:c r="Z184" s="7" t="n"/>
      <x:c r="AA184" s="7" t="n"/>
      <x:c r="AB184" s="7" t="n"/>
    </x:row>
    <x:row r="185" ht="20" customHeight="1">
      <x:c r="A185" s="12" t="inlineStr">
        <x:is>
          <x:t xml:space="preserve">Chapel Hill-Carrboro City Schools</x:t>
        </x:is>
      </x:c>
      <x:c r="B185" s="12" t="inlineStr">
        <x:is>
          <x:t xml:space="preserve">NC</x:t>
        </x:is>
      </x:c>
      <x:c r="C185" s="12" t="inlineStr">
        <x:is>
          <x:t xml:space="preserve">Bachelor's</x:t>
        </x:is>
      </x:c>
      <x:c r="D185" s="13" t="n">
        <x:v>7</x:v>
      </x:c>
      <x:c r="E185" s="14" t="n">
        <x:v>55023.4</x:v>
      </x:c>
      <x:c r="F185" s="83" t="inlineStr">
        <x:is>
          <x:t xml:space="preserve">2026-06-10</x:t>
        </x:is>
      </x:c>
      <x:c r="G185" s="7" t="n"/>
      <x:c r="H185" s="7" t="n"/>
      <x:c r="I185" s="7" t="n"/>
      <x:c r="J185" s="7" t="n"/>
      <x:c r="K185" s="7" t="n"/>
      <x:c r="L185" s="7" t="n"/>
      <x:c r="M185" s="7" t="n"/>
      <x:c r="N185" s="7" t="n"/>
      <x:c r="O185" s="7" t="n"/>
      <x:c r="P185" s="7" t="n"/>
      <x:c r="Q185" s="7" t="n"/>
      <x:c r="R185" s="7" t="n"/>
      <x:c r="S185" s="7" t="n"/>
      <x:c r="T185" s="7" t="n"/>
      <x:c r="U185" s="7" t="n"/>
      <x:c r="V185" s="7" t="n"/>
      <x:c r="W185" s="7" t="n"/>
      <x:c r="X185" s="7" t="n"/>
      <x:c r="Y185" s="7" t="n"/>
      <x:c r="Z185" s="7" t="n"/>
      <x:c r="AA185" s="7" t="n"/>
      <x:c r="AB185" s="7" t="n"/>
    </x:row>
    <x:row r="186" ht="20" customHeight="1">
      <x:c r="A186" s="12" t="inlineStr">
        <x:is>
          <x:t xml:space="preserve">Chapel Hill-Carrboro City Schools</x:t>
        </x:is>
      </x:c>
      <x:c r="B186" s="12" t="inlineStr">
        <x:is>
          <x:t xml:space="preserve">NC</x:t>
        </x:is>
      </x:c>
      <x:c r="C186" s="12" t="inlineStr">
        <x:is>
          <x:t xml:space="preserve">Bachelor's</x:t>
        </x:is>
      </x:c>
      <x:c r="D186" s="13" t="n">
        <x:v>8</x:v>
      </x:c>
      <x:c r="E186" s="14" t="n">
        <x:v>56085.4</x:v>
      </x:c>
      <x:c r="F186" s="83" t="inlineStr">
        <x:is>
          <x:t xml:space="preserve">2026-06-10</x:t>
        </x:is>
      </x:c>
      <x:c r="G186" s="7" t="n"/>
      <x:c r="H186" s="7" t="n"/>
      <x:c r="I186" s="7" t="n"/>
      <x:c r="J186" s="7" t="n"/>
      <x:c r="K186" s="7" t="n"/>
      <x:c r="L186" s="7" t="n"/>
      <x:c r="M186" s="7" t="n"/>
      <x:c r="N186" s="7" t="n"/>
      <x:c r="O186" s="7" t="n"/>
      <x:c r="P186" s="7" t="n"/>
      <x:c r="Q186" s="7" t="n"/>
      <x:c r="R186" s="7" t="n"/>
      <x:c r="S186" s="7" t="n"/>
      <x:c r="T186" s="7" t="n"/>
      <x:c r="U186" s="7" t="n"/>
      <x:c r="V186" s="7" t="n"/>
      <x:c r="W186" s="7" t="n"/>
      <x:c r="X186" s="7" t="n"/>
      <x:c r="Y186" s="7" t="n"/>
      <x:c r="Z186" s="7" t="n"/>
      <x:c r="AA186" s="7" t="n"/>
      <x:c r="AB186" s="7" t="n"/>
    </x:row>
    <x:row r="187" ht="20" customHeight="1">
      <x:c r="A187" s="12" t="inlineStr">
        <x:is>
          <x:t xml:space="preserve">Chapel Hill-Carrboro City Schools</x:t>
        </x:is>
      </x:c>
      <x:c r="B187" s="12" t="inlineStr">
        <x:is>
          <x:t xml:space="preserve">NC</x:t>
        </x:is>
      </x:c>
      <x:c r="C187" s="12" t="inlineStr">
        <x:is>
          <x:t xml:space="preserve">Bachelor's</x:t>
        </x:is>
      </x:c>
      <x:c r="D187" s="13" t="n">
        <x:v>9</x:v>
      </x:c>
      <x:c r="E187" s="14" t="n">
        <x:v>57159.2</x:v>
      </x:c>
      <x:c r="F187" s="83" t="inlineStr">
        <x:is>
          <x:t xml:space="preserve">2026-06-10</x:t>
        </x:is>
      </x:c>
      <x:c r="G187" s="7" t="n"/>
      <x:c r="H187" s="7" t="n"/>
      <x:c r="I187" s="7" t="n"/>
      <x:c r="J187" s="7" t="n"/>
      <x:c r="K187" s="7" t="n"/>
      <x:c r="L187" s="7" t="n"/>
      <x:c r="M187" s="7" t="n"/>
      <x:c r="N187" s="7" t="n"/>
      <x:c r="O187" s="7" t="n"/>
      <x:c r="P187" s="7" t="n"/>
      <x:c r="Q187" s="7" t="n"/>
      <x:c r="R187" s="7" t="n"/>
      <x:c r="S187" s="7" t="n"/>
      <x:c r="T187" s="7" t="n"/>
      <x:c r="U187" s="7" t="n"/>
      <x:c r="V187" s="7" t="n"/>
      <x:c r="W187" s="7" t="n"/>
      <x:c r="X187" s="7" t="n"/>
      <x:c r="Y187" s="7" t="n"/>
      <x:c r="Z187" s="7" t="n"/>
      <x:c r="AA187" s="7" t="n"/>
      <x:c r="AB187" s="7" t="n"/>
    </x:row>
    <x:row r="188" ht="20" customHeight="1">
      <x:c r="A188" s="12" t="inlineStr">
        <x:is>
          <x:t xml:space="preserve">Chapel Hill-Carrboro City Schools</x:t>
        </x:is>
      </x:c>
      <x:c r="B188" s="12" t="inlineStr">
        <x:is>
          <x:t xml:space="preserve">NC</x:t>
        </x:is>
      </x:c>
      <x:c r="C188" s="12" t="inlineStr">
        <x:is>
          <x:t xml:space="preserve">Bachelor's</x:t>
        </x:is>
      </x:c>
      <x:c r="D188" s="13" t="n">
        <x:v>10</x:v>
      </x:c>
      <x:c r="E188" s="14" t="n">
        <x:v>58233</x:v>
      </x:c>
      <x:c r="F188" s="83" t="inlineStr">
        <x:is>
          <x:t xml:space="preserve">2026-06-10</x:t>
        </x:is>
      </x:c>
      <x:c r="G188" s="7" t="n"/>
      <x:c r="H188" s="7" t="n"/>
      <x:c r="I188" s="7" t="n"/>
      <x:c r="J188" s="7" t="n"/>
      <x:c r="K188" s="7" t="n"/>
      <x:c r="L188" s="7" t="n"/>
      <x:c r="M188" s="7" t="n"/>
      <x:c r="N188" s="7" t="n"/>
      <x:c r="O188" s="7" t="n"/>
      <x:c r="P188" s="7" t="n"/>
      <x:c r="Q188" s="7" t="n"/>
      <x:c r="R188" s="7" t="n"/>
      <x:c r="S188" s="7" t="n"/>
      <x:c r="T188" s="7" t="n"/>
      <x:c r="U188" s="7" t="n"/>
      <x:c r="V188" s="7" t="n"/>
      <x:c r="W188" s="7" t="n"/>
      <x:c r="X188" s="7" t="n"/>
      <x:c r="Y188" s="7" t="n"/>
      <x:c r="Z188" s="7" t="n"/>
      <x:c r="AA188" s="7" t="n"/>
      <x:c r="AB188" s="7" t="n"/>
    </x:row>
    <x:row r="189" ht="20" customHeight="1">
      <x:c r="A189" s="12" t="inlineStr">
        <x:is>
          <x:t xml:space="preserve">Chapel Hill-Carrboro City Schools</x:t>
        </x:is>
      </x:c>
      <x:c r="B189" s="12" t="inlineStr">
        <x:is>
          <x:t xml:space="preserve">NC</x:t>
        </x:is>
      </x:c>
      <x:c r="C189" s="12" t="inlineStr">
        <x:is>
          <x:t xml:space="preserve">Master's</x:t>
        </x:is>
      </x:c>
      <x:c r="D189" s="13" t="n">
        <x:v>0</x:v>
      </x:c>
      <x:c r="E189" s="14" t="n">
        <x:v>53218</x:v>
      </x:c>
      <x:c r="F189" s="83" t="inlineStr">
        <x:is>
          <x:t xml:space="preserve">2026-06-10</x:t>
        </x:is>
      </x:c>
      <x:c r="G189" s="7" t="n"/>
      <x:c r="H189" s="7" t="n"/>
      <x:c r="I189" s="7" t="n"/>
      <x:c r="J189" s="7" t="n"/>
      <x:c r="K189" s="7" t="n"/>
      <x:c r="L189" s="7" t="n"/>
      <x:c r="M189" s="7" t="n"/>
      <x:c r="N189" s="7" t="n"/>
      <x:c r="O189" s="7" t="n"/>
      <x:c r="P189" s="7" t="n"/>
      <x:c r="Q189" s="7" t="n"/>
      <x:c r="R189" s="7" t="n"/>
      <x:c r="S189" s="7" t="n"/>
      <x:c r="T189" s="7" t="n"/>
      <x:c r="U189" s="7" t="n"/>
      <x:c r="V189" s="7" t="n"/>
      <x:c r="W189" s="7" t="n"/>
      <x:c r="X189" s="7" t="n"/>
      <x:c r="Y189" s="7" t="n"/>
      <x:c r="Z189" s="7" t="n"/>
      <x:c r="AA189" s="7" t="n"/>
      <x:c r="AB189" s="7" t="n"/>
    </x:row>
    <x:row r="190" ht="20" customHeight="1">
      <x:c r="A190" s="12" t="inlineStr">
        <x:is>
          <x:t xml:space="preserve">Chapel Hill-Carrboro City Schools</x:t>
        </x:is>
      </x:c>
      <x:c r="B190" s="12" t="inlineStr">
        <x:is>
          <x:t xml:space="preserve">NC</x:t>
        </x:is>
      </x:c>
      <x:c r="C190" s="12" t="inlineStr">
        <x:is>
          <x:t xml:space="preserve">Master's</x:t>
        </x:is>
      </x:c>
      <x:c r="D190" s="13" t="n">
        <x:v>1</x:v>
      </x:c>
      <x:c r="E190" s="14" t="n">
        <x:v>54197.4</x:v>
      </x:c>
      <x:c r="F190" s="83" t="inlineStr">
        <x:is>
          <x:t xml:space="preserve">2026-06-10</x:t>
        </x:is>
      </x:c>
      <x:c r="G190" s="7" t="n"/>
      <x:c r="H190" s="7" t="n"/>
      <x:c r="I190" s="7" t="n"/>
      <x:c r="J190" s="7" t="n"/>
      <x:c r="K190" s="7" t="n"/>
      <x:c r="L190" s="7" t="n"/>
      <x:c r="M190" s="7" t="n"/>
      <x:c r="N190" s="7" t="n"/>
      <x:c r="O190" s="7" t="n"/>
      <x:c r="P190" s="7" t="n"/>
      <x:c r="Q190" s="7" t="n"/>
      <x:c r="R190" s="7" t="n"/>
      <x:c r="S190" s="7" t="n"/>
      <x:c r="T190" s="7" t="n"/>
      <x:c r="U190" s="7" t="n"/>
      <x:c r="V190" s="7" t="n"/>
      <x:c r="W190" s="7" t="n"/>
      <x:c r="X190" s="7" t="n"/>
      <x:c r="Y190" s="7" t="n"/>
      <x:c r="Z190" s="7" t="n"/>
      <x:c r="AA190" s="7" t="n"/>
      <x:c r="AB190" s="7" t="n"/>
    </x:row>
    <x:row r="191" ht="20" customHeight="1">
      <x:c r="A191" s="12" t="inlineStr">
        <x:is>
          <x:t xml:space="preserve">Chapel Hill-Carrboro City Schools</x:t>
        </x:is>
      </x:c>
      <x:c r="B191" s="12" t="inlineStr">
        <x:is>
          <x:t xml:space="preserve">NC</x:t>
        </x:is>
      </x:c>
      <x:c r="C191" s="12" t="inlineStr">
        <x:is>
          <x:t xml:space="preserve">Master's</x:t>
        </x:is>
      </x:c>
      <x:c r="D191" s="13" t="n">
        <x:v>2</x:v>
      </x:c>
      <x:c r="E191" s="14" t="n">
        <x:v>55165</x:v>
      </x:c>
      <x:c r="F191" s="83" t="inlineStr">
        <x:is>
          <x:t xml:space="preserve">2026-06-10</x:t>
        </x:is>
      </x:c>
      <x:c r="G191" s="7" t="n"/>
      <x:c r="H191" s="7" t="n"/>
      <x:c r="I191" s="7" t="n"/>
      <x:c r="J191" s="7" t="n"/>
      <x:c r="K191" s="7" t="n"/>
      <x:c r="L191" s="7" t="n"/>
      <x:c r="M191" s="7" t="n"/>
      <x:c r="N191" s="7" t="n"/>
      <x:c r="O191" s="7" t="n"/>
      <x:c r="P191" s="7" t="n"/>
      <x:c r="Q191" s="7" t="n"/>
      <x:c r="R191" s="7" t="n"/>
      <x:c r="S191" s="7" t="n"/>
      <x:c r="T191" s="7" t="n"/>
      <x:c r="U191" s="7" t="n"/>
      <x:c r="V191" s="7" t="n"/>
      <x:c r="W191" s="7" t="n"/>
      <x:c r="X191" s="7" t="n"/>
      <x:c r="Y191" s="7" t="n"/>
      <x:c r="Z191" s="7" t="n"/>
      <x:c r="AA191" s="7" t="n"/>
      <x:c r="AB191" s="7" t="n"/>
    </x:row>
    <x:row r="192" ht="20" customHeight="1">
      <x:c r="A192" s="12" t="inlineStr">
        <x:is>
          <x:t xml:space="preserve">Chapel Hill-Carrboro City Schools</x:t>
        </x:is>
      </x:c>
      <x:c r="B192" s="12" t="inlineStr">
        <x:is>
          <x:t xml:space="preserve">NC</x:t>
        </x:is>
      </x:c>
      <x:c r="C192" s="12" t="inlineStr">
        <x:is>
          <x:t xml:space="preserve">Master's</x:t>
        </x:is>
      </x:c>
      <x:c r="D192" s="13" t="n">
        <x:v>3</x:v>
      </x:c>
      <x:c r="E192" s="14" t="n">
        <x:v>56144.4</x:v>
      </x:c>
      <x:c r="F192" s="83" t="inlineStr">
        <x:is>
          <x:t xml:space="preserve">2026-06-10</x:t>
        </x:is>
      </x:c>
      <x:c r="G192" s="7" t="n"/>
      <x:c r="H192" s="7" t="n"/>
      <x:c r="I192" s="7" t="n"/>
      <x:c r="J192" s="7" t="n"/>
      <x:c r="K192" s="7" t="n"/>
      <x:c r="L192" s="7" t="n"/>
      <x:c r="M192" s="7" t="n"/>
      <x:c r="N192" s="7" t="n"/>
      <x:c r="O192" s="7" t="n"/>
      <x:c r="P192" s="7" t="n"/>
      <x:c r="Q192" s="7" t="n"/>
      <x:c r="R192" s="7" t="n"/>
      <x:c r="S192" s="7" t="n"/>
      <x:c r="T192" s="7" t="n"/>
      <x:c r="U192" s="7" t="n"/>
      <x:c r="V192" s="7" t="n"/>
      <x:c r="W192" s="7" t="n"/>
      <x:c r="X192" s="7" t="n"/>
      <x:c r="Y192" s="7" t="n"/>
      <x:c r="Z192" s="7" t="n"/>
      <x:c r="AA192" s="7" t="n"/>
      <x:c r="AB192" s="7" t="n"/>
    </x:row>
    <x:row r="193" ht="20" customHeight="1">
      <x:c r="A193" s="12" t="inlineStr">
        <x:is>
          <x:t xml:space="preserve">Chapel Hill-Carrboro City Schools</x:t>
        </x:is>
      </x:c>
      <x:c r="B193" s="12" t="inlineStr">
        <x:is>
          <x:t xml:space="preserve">NC</x:t>
        </x:is>
      </x:c>
      <x:c r="C193" s="12" t="inlineStr">
        <x:is>
          <x:t xml:space="preserve">Master's</x:t>
        </x:is>
      </x:c>
      <x:c r="D193" s="13" t="n">
        <x:v>4</x:v>
      </x:c>
      <x:c r="E193" s="14" t="n">
        <x:v>57112</x:v>
      </x:c>
      <x:c r="F193" s="83" t="inlineStr">
        <x:is>
          <x:t xml:space="preserve">2026-06-10</x:t>
        </x:is>
      </x:c>
      <x:c r="G193" s="7" t="n"/>
      <x:c r="H193" s="7" t="n"/>
      <x:c r="I193" s="7" t="n"/>
      <x:c r="J193" s="7" t="n"/>
      <x:c r="K193" s="7" t="n"/>
      <x:c r="L193" s="7" t="n"/>
      <x:c r="M193" s="7" t="n"/>
      <x:c r="N193" s="7" t="n"/>
      <x:c r="O193" s="7" t="n"/>
      <x:c r="P193" s="7" t="n"/>
      <x:c r="Q193" s="7" t="n"/>
      <x:c r="R193" s="7" t="n"/>
      <x:c r="S193" s="7" t="n"/>
      <x:c r="T193" s="7" t="n"/>
      <x:c r="U193" s="7" t="n"/>
      <x:c r="V193" s="7" t="n"/>
      <x:c r="W193" s="7" t="n"/>
      <x:c r="X193" s="7" t="n"/>
      <x:c r="Y193" s="7" t="n"/>
      <x:c r="Z193" s="7" t="n"/>
      <x:c r="AA193" s="7" t="n"/>
      <x:c r="AB193" s="7" t="n"/>
    </x:row>
    <x:row r="194" ht="20" customHeight="1">
      <x:c r="A194" s="12" t="inlineStr">
        <x:is>
          <x:t xml:space="preserve">Chapel Hill-Carrboro City Schools</x:t>
        </x:is>
      </x:c>
      <x:c r="B194" s="12" t="inlineStr">
        <x:is>
          <x:t xml:space="preserve">NC</x:t>
        </x:is>
      </x:c>
      <x:c r="C194" s="12" t="inlineStr">
        <x:is>
          <x:t xml:space="preserve">Master's</x:t>
        </x:is>
      </x:c>
      <x:c r="D194" s="13" t="n">
        <x:v>5</x:v>
      </x:c>
      <x:c r="E194" s="14" t="n">
        <x:v>58091.4</x:v>
      </x:c>
      <x:c r="F194" s="83" t="inlineStr">
        <x:is>
          <x:t xml:space="preserve">2026-06-10</x:t>
        </x:is>
      </x:c>
      <x:c r="G194" s="7" t="n"/>
      <x:c r="H194" s="7" t="n"/>
      <x:c r="I194" s="7" t="n"/>
      <x:c r="J194" s="7" t="n"/>
      <x:c r="K194" s="7" t="n"/>
      <x:c r="L194" s="7" t="n"/>
      <x:c r="M194" s="7" t="n"/>
      <x:c r="N194" s="7" t="n"/>
      <x:c r="O194" s="7" t="n"/>
      <x:c r="P194" s="7" t="n"/>
      <x:c r="Q194" s="7" t="n"/>
      <x:c r="R194" s="7" t="n"/>
      <x:c r="S194" s="7" t="n"/>
      <x:c r="T194" s="7" t="n"/>
      <x:c r="U194" s="7" t="n"/>
      <x:c r="V194" s="7" t="n"/>
      <x:c r="W194" s="7" t="n"/>
      <x:c r="X194" s="7" t="n"/>
      <x:c r="Y194" s="7" t="n"/>
      <x:c r="Z194" s="7" t="n"/>
      <x:c r="AA194" s="7" t="n"/>
      <x:c r="AB194" s="7" t="n"/>
    </x:row>
    <x:row r="195" ht="20" customHeight="1">
      <x:c r="A195" s="12" t="inlineStr">
        <x:is>
          <x:t xml:space="preserve">Chapel Hill-Carrboro City Schools</x:t>
        </x:is>
      </x:c>
      <x:c r="B195" s="12" t="inlineStr">
        <x:is>
          <x:t xml:space="preserve">NC</x:t>
        </x:is>
      </x:c>
      <x:c r="C195" s="12" t="inlineStr">
        <x:is>
          <x:t xml:space="preserve">Master's</x:t>
        </x:is>
      </x:c>
      <x:c r="D195" s="13" t="n">
        <x:v>6</x:v>
      </x:c>
      <x:c r="E195" s="14" t="n">
        <x:v>59342.2</x:v>
      </x:c>
      <x:c r="F195" s="83" t="inlineStr">
        <x:is>
          <x:t xml:space="preserve">2026-06-10</x:t>
        </x:is>
      </x:c>
      <x:c r="G195" s="7" t="n"/>
      <x:c r="H195" s="7" t="n"/>
      <x:c r="I195" s="7" t="n"/>
      <x:c r="J195" s="7" t="n"/>
      <x:c r="K195" s="7" t="n"/>
      <x:c r="L195" s="7" t="n"/>
      <x:c r="M195" s="7" t="n"/>
      <x:c r="N195" s="7" t="n"/>
      <x:c r="O195" s="7" t="n"/>
      <x:c r="P195" s="7" t="n"/>
      <x:c r="Q195" s="7" t="n"/>
      <x:c r="R195" s="7" t="n"/>
      <x:c r="S195" s="7" t="n"/>
      <x:c r="T195" s="7" t="n"/>
      <x:c r="U195" s="7" t="n"/>
      <x:c r="V195" s="7" t="n"/>
      <x:c r="W195" s="7" t="n"/>
      <x:c r="X195" s="7" t="n"/>
      <x:c r="Y195" s="7" t="n"/>
      <x:c r="Z195" s="7" t="n"/>
      <x:c r="AA195" s="7" t="n"/>
      <x:c r="AB195" s="7" t="n"/>
    </x:row>
    <x:row r="196" ht="20" customHeight="1">
      <x:c r="A196" s="12" t="inlineStr">
        <x:is>
          <x:t xml:space="preserve">Chapel Hill-Carrboro City Schools</x:t>
        </x:is>
      </x:c>
      <x:c r="B196" s="12" t="inlineStr">
        <x:is>
          <x:t xml:space="preserve">NC</x:t>
        </x:is>
      </x:c>
      <x:c r="C196" s="12" t="inlineStr">
        <x:is>
          <x:t xml:space="preserve">Master's</x:t>
        </x:is>
      </x:c>
      <x:c r="D196" s="13" t="n">
        <x:v>7</x:v>
      </x:c>
      <x:c r="E196" s="14" t="n">
        <x:v>60522.2</x:v>
      </x:c>
      <x:c r="F196" s="83" t="inlineStr">
        <x:is>
          <x:t xml:space="preserve">2026-06-10</x:t>
        </x:is>
      </x:c>
      <x:c r="G196" s="7" t="n"/>
      <x:c r="H196" s="7" t="n"/>
      <x:c r="I196" s="7" t="n"/>
      <x:c r="J196" s="7" t="n"/>
      <x:c r="K196" s="7" t="n"/>
      <x:c r="L196" s="7" t="n"/>
      <x:c r="M196" s="7" t="n"/>
      <x:c r="N196" s="7" t="n"/>
      <x:c r="O196" s="7" t="n"/>
      <x:c r="P196" s="7" t="n"/>
      <x:c r="Q196" s="7" t="n"/>
      <x:c r="R196" s="7" t="n"/>
      <x:c r="S196" s="7" t="n"/>
      <x:c r="T196" s="7" t="n"/>
      <x:c r="U196" s="7" t="n"/>
      <x:c r="V196" s="7" t="n"/>
      <x:c r="W196" s="7" t="n"/>
      <x:c r="X196" s="7" t="n"/>
      <x:c r="Y196" s="7" t="n"/>
      <x:c r="Z196" s="7" t="n"/>
      <x:c r="AA196" s="7" t="n"/>
      <x:c r="AB196" s="7" t="n"/>
    </x:row>
    <x:row r="197" ht="20" customHeight="1">
      <x:c r="A197" s="12" t="inlineStr">
        <x:is>
          <x:t xml:space="preserve">Chapel Hill-Carrboro City Schools</x:t>
        </x:is>
      </x:c>
      <x:c r="B197" s="12" t="inlineStr">
        <x:is>
          <x:t xml:space="preserve">NC</x:t>
        </x:is>
      </x:c>
      <x:c r="C197" s="12" t="inlineStr">
        <x:is>
          <x:t xml:space="preserve">Master's</x:t>
        </x:is>
      </x:c>
      <x:c r="D197" s="13" t="n">
        <x:v>8</x:v>
      </x:c>
      <x:c r="E197" s="14" t="n">
        <x:v>61690.4</x:v>
      </x:c>
      <x:c r="F197" s="83" t="inlineStr">
        <x:is>
          <x:t xml:space="preserve">2026-06-10</x:t>
        </x:is>
      </x:c>
      <x:c r="G197" s="7" t="n"/>
      <x:c r="H197" s="7" t="n"/>
      <x:c r="I197" s="7" t="n"/>
      <x:c r="J197" s="7" t="n"/>
      <x:c r="K197" s="7" t="n"/>
      <x:c r="L197" s="7" t="n"/>
      <x:c r="M197" s="7" t="n"/>
      <x:c r="N197" s="7" t="n"/>
      <x:c r="O197" s="7" t="n"/>
      <x:c r="P197" s="7" t="n"/>
      <x:c r="Q197" s="7" t="n"/>
      <x:c r="R197" s="7" t="n"/>
      <x:c r="S197" s="7" t="n"/>
      <x:c r="T197" s="7" t="n"/>
      <x:c r="U197" s="7" t="n"/>
      <x:c r="V197" s="7" t="n"/>
      <x:c r="W197" s="7" t="n"/>
      <x:c r="X197" s="7" t="n"/>
      <x:c r="Y197" s="7" t="n"/>
      <x:c r="Z197" s="7" t="n"/>
      <x:c r="AA197" s="7" t="n"/>
      <x:c r="AB197" s="7" t="n"/>
    </x:row>
    <x:row r="198" ht="20" customHeight="1">
      <x:c r="A198" s="12" t="inlineStr">
        <x:is>
          <x:t xml:space="preserve">Chapel Hill-Carrboro City Schools</x:t>
        </x:is>
      </x:c>
      <x:c r="B198" s="12" t="inlineStr">
        <x:is>
          <x:t xml:space="preserve">NC</x:t>
        </x:is>
      </x:c>
      <x:c r="C198" s="12" t="inlineStr">
        <x:is>
          <x:t xml:space="preserve">Master's</x:t>
        </x:is>
      </x:c>
      <x:c r="D198" s="13" t="n">
        <x:v>9</x:v>
      </x:c>
      <x:c r="E198" s="14" t="n">
        <x:v>62870.4</x:v>
      </x:c>
      <x:c r="F198" s="83" t="inlineStr">
        <x:is>
          <x:t xml:space="preserve">2026-06-10</x:t>
        </x:is>
      </x:c>
      <x:c r="G198" s="7" t="n"/>
      <x:c r="H198" s="7" t="n"/>
      <x:c r="I198" s="7" t="n"/>
      <x:c r="J198" s="7" t="n"/>
      <x:c r="K198" s="7" t="n"/>
      <x:c r="L198" s="7" t="n"/>
      <x:c r="M198" s="7" t="n"/>
      <x:c r="N198" s="7" t="n"/>
      <x:c r="O198" s="7" t="n"/>
      <x:c r="P198" s="7" t="n"/>
      <x:c r="Q198" s="7" t="n"/>
      <x:c r="R198" s="7" t="n"/>
      <x:c r="S198" s="7" t="n"/>
      <x:c r="T198" s="7" t="n"/>
      <x:c r="U198" s="7" t="n"/>
      <x:c r="V198" s="7" t="n"/>
      <x:c r="W198" s="7" t="n"/>
      <x:c r="X198" s="7" t="n"/>
      <x:c r="Y198" s="7" t="n"/>
      <x:c r="Z198" s="7" t="n"/>
      <x:c r="AA198" s="7" t="n"/>
      <x:c r="AB198" s="7" t="n"/>
    </x:row>
    <x:row r="199" ht="20" customHeight="1">
      <x:c r="A199" s="12" t="inlineStr">
        <x:is>
          <x:t xml:space="preserve">Chapel Hill-Carrboro City Schools</x:t>
        </x:is>
      </x:c>
      <x:c r="B199" s="12" t="inlineStr">
        <x:is>
          <x:t xml:space="preserve">NC</x:t>
        </x:is>
      </x:c>
      <x:c r="C199" s="12" t="inlineStr">
        <x:is>
          <x:t xml:space="preserve">Master's</x:t>
        </x:is>
      </x:c>
      <x:c r="D199" s="13" t="n">
        <x:v>10</x:v>
      </x:c>
      <x:c r="E199" s="14" t="n">
        <x:v>64062.2</x:v>
      </x:c>
      <x:c r="F199" s="83" t="inlineStr">
        <x:is>
          <x:t xml:space="preserve">2026-06-10</x:t>
        </x:is>
      </x:c>
      <x:c r="G199" s="7" t="n"/>
      <x:c r="H199" s="7" t="n"/>
      <x:c r="I199" s="7" t="n"/>
      <x:c r="J199" s="7" t="n"/>
      <x:c r="K199" s="7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Z199" s="7" t="n"/>
      <x:c r="AA199" s="7" t="n"/>
      <x:c r="AB199" s="7" t="n"/>
    </x:row>
    <x:row r="200" ht="20" customHeight="1">
      <x:c r="A200" s="12" t="inlineStr">
        <x:is>
          <x:t xml:space="preserve">Cherry Creek School District</x:t>
        </x:is>
      </x:c>
      <x:c r="B200" s="12" t="inlineStr">
        <x:is>
          <x:t xml:space="preserve">CO</x:t>
        </x:is>
      </x:c>
      <x:c r="C200" s="12" t="inlineStr">
        <x:is>
          <x:t xml:space="preserve">Bachelor's</x:t>
        </x:is>
      </x:c>
      <x:c r="D200" s="13" t="n">
        <x:v>0</x:v>
      </x:c>
      <x:c r="E200" s="14" t="n">
        <x:v>62000</x:v>
      </x:c>
      <x:c r="F200" s="83" t="inlineStr">
        <x:is>
          <x:t xml:space="preserve">2026-06-10</x:t>
        </x:is>
      </x:c>
      <x:c r="G200" s="7" t="n"/>
      <x:c r="H200" s="7" t="n"/>
      <x:c r="I200" s="7" t="n"/>
      <x:c r="J200" s="7" t="n"/>
      <x:c r="K200" s="7" t="n"/>
      <x:c r="L200" s="7" t="n"/>
      <x:c r="M200" s="7" t="n"/>
      <x:c r="N200" s="7" t="n"/>
      <x:c r="O200" s="7" t="n"/>
      <x:c r="P200" s="7" t="n"/>
      <x:c r="Q200" s="7" t="n"/>
      <x:c r="R200" s="7" t="n"/>
      <x:c r="S200" s="7" t="n"/>
      <x:c r="T200" s="7" t="n"/>
      <x:c r="U200" s="7" t="n"/>
      <x:c r="V200" s="7" t="n"/>
      <x:c r="W200" s="7" t="n"/>
      <x:c r="X200" s="7" t="n"/>
      <x:c r="Y200" s="7" t="n"/>
      <x:c r="Z200" s="7" t="n"/>
      <x:c r="AA200" s="7" t="n"/>
      <x:c r="AB200" s="7" t="n"/>
    </x:row>
    <x:row r="201" ht="20" customHeight="1">
      <x:c r="A201" s="12" t="inlineStr">
        <x:is>
          <x:t xml:space="preserve">Cherry Creek School District</x:t>
        </x:is>
      </x:c>
      <x:c r="B201" s="12" t="inlineStr">
        <x:is>
          <x:t xml:space="preserve">CO</x:t>
        </x:is>
      </x:c>
      <x:c r="C201" s="12" t="inlineStr">
        <x:is>
          <x:t xml:space="preserve">Bachelor's</x:t>
        </x:is>
      </x:c>
      <x:c r="D201" s="13" t="n">
        <x:v>1</x:v>
      </x:c>
      <x:c r="E201" s="14" t="n">
        <x:v>62753</x:v>
      </x:c>
      <x:c r="F201" s="83" t="inlineStr">
        <x:is>
          <x:t xml:space="preserve">2026-06-10</x:t>
        </x:is>
      </x:c>
      <x:c r="G201" s="7" t="n"/>
      <x:c r="H201" s="7" t="n"/>
      <x:c r="I201" s="7" t="n"/>
      <x:c r="J201" s="7" t="n"/>
      <x:c r="K201" s="7" t="n"/>
      <x:c r="L201" s="7" t="n"/>
      <x:c r="M201" s="7" t="n"/>
      <x:c r="N201" s="7" t="n"/>
      <x:c r="O201" s="7" t="n"/>
      <x:c r="P201" s="7" t="n"/>
      <x:c r="Q201" s="7" t="n"/>
      <x:c r="R201" s="7" t="n"/>
      <x:c r="S201" s="7" t="n"/>
      <x:c r="T201" s="7" t="n"/>
      <x:c r="U201" s="7" t="n"/>
      <x:c r="V201" s="7" t="n"/>
      <x:c r="W201" s="7" t="n"/>
      <x:c r="X201" s="7" t="n"/>
      <x:c r="Y201" s="7" t="n"/>
      <x:c r="Z201" s="7" t="n"/>
      <x:c r="AA201" s="7" t="n"/>
      <x:c r="AB201" s="7" t="n"/>
    </x:row>
    <x:row r="202" ht="20" customHeight="1">
      <x:c r="A202" s="12" t="inlineStr">
        <x:is>
          <x:t xml:space="preserve">Cherry Creek School District</x:t>
        </x:is>
      </x:c>
      <x:c r="B202" s="12" t="inlineStr">
        <x:is>
          <x:t xml:space="preserve">CO</x:t>
        </x:is>
      </x:c>
      <x:c r="C202" s="12" t="inlineStr">
        <x:is>
          <x:t xml:space="preserve">Bachelor's</x:t>
        </x:is>
      </x:c>
      <x:c r="D202" s="13" t="n">
        <x:v>2</x:v>
      </x:c>
      <x:c r="E202" s="14" t="n">
        <x:v>63835</x:v>
      </x:c>
      <x:c r="F202" s="83" t="inlineStr">
        <x:is>
          <x:t xml:space="preserve">2026-06-10</x:t>
        </x:is>
      </x:c>
      <x:c r="G202" s="7" t="n"/>
      <x:c r="H202" s="7" t="n"/>
      <x:c r="I202" s="7" t="n"/>
      <x:c r="J202" s="7" t="n"/>
      <x:c r="K202" s="7" t="n"/>
      <x:c r="L202" s="7" t="n"/>
      <x:c r="M202" s="7" t="n"/>
      <x:c r="N202" s="7" t="n"/>
      <x:c r="O202" s="7" t="n"/>
      <x:c r="P202" s="7" t="n"/>
      <x:c r="Q202" s="7" t="n"/>
      <x:c r="R202" s="7" t="n"/>
      <x:c r="S202" s="7" t="n"/>
      <x:c r="T202" s="7" t="n"/>
      <x:c r="U202" s="7" t="n"/>
      <x:c r="V202" s="7" t="n"/>
      <x:c r="W202" s="7" t="n"/>
      <x:c r="X202" s="7" t="n"/>
      <x:c r="Y202" s="7" t="n"/>
      <x:c r="Z202" s="7" t="n"/>
      <x:c r="AA202" s="7" t="n"/>
      <x:c r="AB202" s="7" t="n"/>
    </x:row>
    <x:row r="203" ht="20" customHeight="1">
      <x:c r="A203" s="12" t="inlineStr">
        <x:is>
          <x:t xml:space="preserve">Cherry Creek School District</x:t>
        </x:is>
      </x:c>
      <x:c r="B203" s="12" t="inlineStr">
        <x:is>
          <x:t xml:space="preserve">CO</x:t>
        </x:is>
      </x:c>
      <x:c r="C203" s="12" t="inlineStr">
        <x:is>
          <x:t xml:space="preserve">Bachelor's</x:t>
        </x:is>
      </x:c>
      <x:c r="D203" s="13" t="n">
        <x:v>3</x:v>
      </x:c>
      <x:c r="E203" s="14" t="n">
        <x:v>64916</x:v>
      </x:c>
      <x:c r="F203" s="83" t="inlineStr">
        <x:is>
          <x:t xml:space="preserve">2026-06-10</x:t>
        </x:is>
      </x:c>
      <x:c r="G203" s="7" t="n"/>
      <x:c r="H203" s="7" t="n"/>
      <x:c r="I203" s="7" t="n"/>
      <x:c r="J203" s="7" t="n"/>
      <x:c r="K203" s="7" t="n"/>
      <x:c r="L203" s="7" t="n"/>
      <x:c r="M203" s="7" t="n"/>
      <x:c r="N203" s="7" t="n"/>
      <x:c r="O203" s="7" t="n"/>
      <x:c r="P203" s="7" t="n"/>
      <x:c r="Q203" s="7" t="n"/>
      <x:c r="R203" s="7" t="n"/>
      <x:c r="S203" s="7" t="n"/>
      <x:c r="T203" s="7" t="n"/>
      <x:c r="U203" s="7" t="n"/>
      <x:c r="V203" s="7" t="n"/>
      <x:c r="W203" s="7" t="n"/>
      <x:c r="X203" s="7" t="n"/>
      <x:c r="Y203" s="7" t="n"/>
      <x:c r="Z203" s="7" t="n"/>
      <x:c r="AA203" s="7" t="n"/>
      <x:c r="AB203" s="7" t="n"/>
    </x:row>
    <x:row r="204" ht="20" customHeight="1">
      <x:c r="A204" s="12" t="inlineStr">
        <x:is>
          <x:t xml:space="preserve">Cherry Creek School District</x:t>
        </x:is>
      </x:c>
      <x:c r="B204" s="12" t="inlineStr">
        <x:is>
          <x:t xml:space="preserve">CO</x:t>
        </x:is>
      </x:c>
      <x:c r="C204" s="12" t="inlineStr">
        <x:is>
          <x:t xml:space="preserve">Bachelor's</x:t>
        </x:is>
      </x:c>
      <x:c r="D204" s="13" t="n">
        <x:v>4</x:v>
      </x:c>
      <x:c r="E204" s="14" t="n">
        <x:v>65998</x:v>
      </x:c>
      <x:c r="F204" s="83" t="inlineStr">
        <x:is>
          <x:t xml:space="preserve">2026-06-10</x:t>
        </x:is>
      </x:c>
      <x:c r="G204" s="7" t="n"/>
      <x:c r="H204" s="7" t="n"/>
      <x:c r="I204" s="7" t="n"/>
      <x:c r="J204" s="7" t="n"/>
      <x:c r="K204" s="7" t="n"/>
      <x:c r="L204" s="7" t="n"/>
      <x:c r="M204" s="7" t="n"/>
      <x:c r="N204" s="7" t="n"/>
      <x:c r="O204" s="7" t="n"/>
      <x:c r="P204" s="7" t="n"/>
      <x:c r="Q204" s="7" t="n"/>
      <x:c r="R204" s="7" t="n"/>
      <x:c r="S204" s="7" t="n"/>
      <x:c r="T204" s="7" t="n"/>
      <x:c r="U204" s="7" t="n"/>
      <x:c r="V204" s="7" t="n"/>
      <x:c r="W204" s="7" t="n"/>
      <x:c r="X204" s="7" t="n"/>
      <x:c r="Y204" s="7" t="n"/>
      <x:c r="Z204" s="7" t="n"/>
      <x:c r="AA204" s="7" t="n"/>
      <x:c r="AB204" s="7" t="n"/>
    </x:row>
    <x:row r="205" ht="20" customHeight="1">
      <x:c r="A205" s="12" t="inlineStr">
        <x:is>
          <x:t xml:space="preserve">Cherry Creek School District</x:t>
        </x:is>
      </x:c>
      <x:c r="B205" s="12" t="inlineStr">
        <x:is>
          <x:t xml:space="preserve">CO</x:t>
        </x:is>
      </x:c>
      <x:c r="C205" s="12" t="inlineStr">
        <x:is>
          <x:t xml:space="preserve">Bachelor's</x:t>
        </x:is>
      </x:c>
      <x:c r="D205" s="13" t="n">
        <x:v>5</x:v>
      </x:c>
      <x:c r="E205" s="14" t="n">
        <x:v>67080</x:v>
      </x:c>
      <x:c r="F205" s="83" t="inlineStr">
        <x:is>
          <x:t xml:space="preserve">2026-06-10</x:t>
        </x:is>
      </x:c>
      <x:c r="G205" s="7" t="n"/>
      <x:c r="H205" s="7" t="n"/>
      <x:c r="I205" s="7" t="n"/>
      <x:c r="J205" s="7" t="n"/>
      <x:c r="K205" s="7" t="n"/>
      <x:c r="L205" s="7" t="n"/>
      <x:c r="M205" s="7" t="n"/>
      <x:c r="N205" s="7" t="n"/>
      <x:c r="O205" s="7" t="n"/>
      <x:c r="P205" s="7" t="n"/>
      <x:c r="Q205" s="7" t="n"/>
      <x:c r="R205" s="7" t="n"/>
      <x:c r="S205" s="7" t="n"/>
      <x:c r="T205" s="7" t="n"/>
      <x:c r="U205" s="7" t="n"/>
      <x:c r="V205" s="7" t="n"/>
      <x:c r="W205" s="7" t="n"/>
      <x:c r="X205" s="7" t="n"/>
      <x:c r="Y205" s="7" t="n"/>
      <x:c r="Z205" s="7" t="n"/>
      <x:c r="AA205" s="7" t="n"/>
      <x:c r="AB205" s="7" t="n"/>
    </x:row>
    <x:row r="206" ht="20" customHeight="1">
      <x:c r="A206" s="12" t="inlineStr">
        <x:is>
          <x:t xml:space="preserve">Cherry Creek School District</x:t>
        </x:is>
      </x:c>
      <x:c r="B206" s="12" t="inlineStr">
        <x:is>
          <x:t xml:space="preserve">CO</x:t>
        </x:is>
      </x:c>
      <x:c r="C206" s="12" t="inlineStr">
        <x:is>
          <x:t xml:space="preserve">Bachelor's</x:t>
        </x:is>
      </x:c>
      <x:c r="D206" s="13" t="n">
        <x:v>6</x:v>
      </x:c>
      <x:c r="E206" s="14" t="n">
        <x:v>69437</x:v>
      </x:c>
      <x:c r="F206" s="83" t="inlineStr">
        <x:is>
          <x:t xml:space="preserve">2026-06-10</x:t>
        </x:is>
      </x:c>
      <x:c r="G206" s="7" t="n"/>
      <x:c r="H206" s="7" t="n"/>
      <x:c r="I206" s="7" t="n"/>
      <x:c r="J206" s="7" t="n"/>
      <x:c r="K206" s="7" t="n"/>
      <x:c r="L206" s="7" t="n"/>
      <x:c r="M206" s="7" t="n"/>
      <x:c r="N206" s="7" t="n"/>
      <x:c r="O206" s="7" t="n"/>
      <x:c r="P206" s="7" t="n"/>
      <x:c r="Q206" s="7" t="n"/>
      <x:c r="R206" s="7" t="n"/>
      <x:c r="S206" s="7" t="n"/>
      <x:c r="T206" s="7" t="n"/>
      <x:c r="U206" s="7" t="n"/>
      <x:c r="V206" s="7" t="n"/>
      <x:c r="W206" s="7" t="n"/>
      <x:c r="X206" s="7" t="n"/>
      <x:c r="Y206" s="7" t="n"/>
      <x:c r="Z206" s="7" t="n"/>
      <x:c r="AA206" s="7" t="n"/>
      <x:c r="AB206" s="7" t="n"/>
    </x:row>
    <x:row r="207" ht="20" customHeight="1">
      <x:c r="A207" s="12" t="inlineStr">
        <x:is>
          <x:t xml:space="preserve">Cherry Creek School District</x:t>
        </x:is>
      </x:c>
      <x:c r="B207" s="12" t="inlineStr">
        <x:is>
          <x:t xml:space="preserve">CO</x:t>
        </x:is>
      </x:c>
      <x:c r="C207" s="12" t="inlineStr">
        <x:is>
          <x:t xml:space="preserve">Bachelor's</x:t>
        </x:is>
      </x:c>
      <x:c r="D207" s="13" t="n">
        <x:v>7</x:v>
      </x:c>
      <x:c r="E207" s="14" t="n">
        <x:v>72129</x:v>
      </x:c>
      <x:c r="F207" s="83" t="inlineStr">
        <x:is>
          <x:t xml:space="preserve">2026-06-10</x:t>
        </x:is>
      </x:c>
      <x:c r="G207" s="7" t="n"/>
      <x:c r="H207" s="7" t="n"/>
      <x:c r="I207" s="7" t="n"/>
      <x:c r="J207" s="7" t="n"/>
      <x:c r="K207" s="7" t="n"/>
      <x:c r="L207" s="7" t="n"/>
      <x:c r="M207" s="7" t="n"/>
      <x:c r="N207" s="7" t="n"/>
      <x:c r="O207" s="7" t="n"/>
      <x:c r="P207" s="7" t="n"/>
      <x:c r="Q207" s="7" t="n"/>
      <x:c r="R207" s="7" t="n"/>
      <x:c r="S207" s="7" t="n"/>
      <x:c r="T207" s="7" t="n"/>
      <x:c r="U207" s="7" t="n"/>
      <x:c r="V207" s="7" t="n"/>
      <x:c r="W207" s="7" t="n"/>
      <x:c r="X207" s="7" t="n"/>
      <x:c r="Y207" s="7" t="n"/>
      <x:c r="Z207" s="7" t="n"/>
      <x:c r="AA207" s="7" t="n"/>
      <x:c r="AB207" s="7" t="n"/>
    </x:row>
    <x:row r="208" ht="20" customHeight="1">
      <x:c r="A208" s="12" t="inlineStr">
        <x:is>
          <x:t xml:space="preserve">Cherry Creek School District</x:t>
        </x:is>
      </x:c>
      <x:c r="B208" s="12" t="inlineStr">
        <x:is>
          <x:t xml:space="preserve">CO</x:t>
        </x:is>
      </x:c>
      <x:c r="C208" s="12" t="inlineStr">
        <x:is>
          <x:t xml:space="preserve">Bachelor's</x:t>
        </x:is>
      </x:c>
      <x:c r="D208" s="13" t="n">
        <x:v>8</x:v>
      </x:c>
      <x:c r="E208" s="14" t="n">
        <x:v>74820</x:v>
      </x:c>
      <x:c r="F208" s="83" t="inlineStr">
        <x:is>
          <x:t xml:space="preserve">2026-06-10</x:t>
        </x:is>
      </x:c>
      <x:c r="G208" s="7" t="n"/>
      <x:c r="H208" s="7" t="n"/>
      <x:c r="I208" s="7" t="n"/>
      <x:c r="J208" s="7" t="n"/>
      <x:c r="K208" s="7" t="n"/>
      <x:c r="L208" s="7" t="n"/>
      <x:c r="M208" s="7" t="n"/>
      <x:c r="N208" s="7" t="n"/>
      <x:c r="O208" s="7" t="n"/>
      <x:c r="P208" s="7" t="n"/>
      <x:c r="Q208" s="7" t="n"/>
      <x:c r="R208" s="7" t="n"/>
      <x:c r="S208" s="7" t="n"/>
      <x:c r="T208" s="7" t="n"/>
      <x:c r="U208" s="7" t="n"/>
      <x:c r="V208" s="7" t="n"/>
      <x:c r="W208" s="7" t="n"/>
      <x:c r="X208" s="7" t="n"/>
      <x:c r="Y208" s="7" t="n"/>
      <x:c r="Z208" s="7" t="n"/>
      <x:c r="AA208" s="7" t="n"/>
      <x:c r="AB208" s="7" t="n"/>
    </x:row>
    <x:row r="209" ht="20" customHeight="1">
      <x:c r="A209" s="12" t="inlineStr">
        <x:is>
          <x:t xml:space="preserve">Cherry Creek School District</x:t>
        </x:is>
      </x:c>
      <x:c r="B209" s="12" t="inlineStr">
        <x:is>
          <x:t xml:space="preserve">CO</x:t>
        </x:is>
      </x:c>
      <x:c r="C209" s="12" t="inlineStr">
        <x:is>
          <x:t xml:space="preserve">Bachelor's</x:t>
        </x:is>
      </x:c>
      <x:c r="D209" s="13" t="n">
        <x:v>9</x:v>
      </x:c>
      <x:c r="E209" s="14" t="n">
        <x:v>77512</x:v>
      </x:c>
      <x:c r="F209" s="83" t="inlineStr">
        <x:is>
          <x:t xml:space="preserve">2026-06-10</x:t>
        </x:is>
      </x:c>
      <x:c r="G209" s="7" t="n"/>
      <x:c r="H209" s="7" t="n"/>
      <x:c r="I209" s="7" t="n"/>
      <x:c r="J209" s="7" t="n"/>
      <x:c r="K209" s="7" t="n"/>
      <x:c r="L209" s="7" t="n"/>
      <x:c r="M209" s="7" t="n"/>
      <x:c r="N209" s="7" t="n"/>
      <x:c r="O209" s="7" t="n"/>
      <x:c r="P209" s="7" t="n"/>
      <x:c r="Q209" s="7" t="n"/>
      <x:c r="R209" s="7" t="n"/>
      <x:c r="S209" s="7" t="n"/>
      <x:c r="T209" s="7" t="n"/>
      <x:c r="U209" s="7" t="n"/>
      <x:c r="V209" s="7" t="n"/>
      <x:c r="W209" s="7" t="n"/>
      <x:c r="X209" s="7" t="n"/>
      <x:c r="Y209" s="7" t="n"/>
      <x:c r="Z209" s="7" t="n"/>
      <x:c r="AA209" s="7" t="n"/>
      <x:c r="AB209" s="7" t="n"/>
    </x:row>
    <x:row r="210" ht="20" customHeight="1">
      <x:c r="A210" s="12" t="inlineStr">
        <x:is>
          <x:t xml:space="preserve">Cherry Creek School District</x:t>
        </x:is>
      </x:c>
      <x:c r="B210" s="12" t="inlineStr">
        <x:is>
          <x:t xml:space="preserve">CO</x:t>
        </x:is>
      </x:c>
      <x:c r="C210" s="12" t="inlineStr">
        <x:is>
          <x:t xml:space="preserve">Bachelor's</x:t>
        </x:is>
      </x:c>
      <x:c r="D210" s="13" t="n">
        <x:v>10</x:v>
      </x:c>
      <x:c r="E210" s="14" t="n">
        <x:v>80203</x:v>
      </x:c>
      <x:c r="F210" s="83" t="inlineStr">
        <x:is>
          <x:t xml:space="preserve">2026-06-10</x:t>
        </x:is>
      </x:c>
      <x:c r="G210" s="7" t="n"/>
      <x:c r="H210" s="7" t="n"/>
      <x:c r="I210" s="7" t="n"/>
      <x:c r="J210" s="7" t="n"/>
      <x:c r="K210" s="7" t="n"/>
      <x:c r="L210" s="7" t="n"/>
      <x:c r="M210" s="7" t="n"/>
      <x:c r="N210" s="7" t="n"/>
      <x:c r="O210" s="7" t="n"/>
      <x:c r="P210" s="7" t="n"/>
      <x:c r="Q210" s="7" t="n"/>
      <x:c r="R210" s="7" t="n"/>
      <x:c r="S210" s="7" t="n"/>
      <x:c r="T210" s="7" t="n"/>
      <x:c r="U210" s="7" t="n"/>
      <x:c r="V210" s="7" t="n"/>
      <x:c r="W210" s="7" t="n"/>
      <x:c r="X210" s="7" t="n"/>
      <x:c r="Y210" s="7" t="n"/>
      <x:c r="Z210" s="7" t="n"/>
      <x:c r="AA210" s="7" t="n"/>
      <x:c r="AB210" s="7" t="n"/>
    </x:row>
    <x:row r="211" ht="20" customHeight="1">
      <x:c r="A211" s="12" t="inlineStr">
        <x:is>
          <x:t xml:space="preserve">Cherry Creek School District</x:t>
        </x:is>
      </x:c>
      <x:c r="B211" s="12" t="inlineStr">
        <x:is>
          <x:t xml:space="preserve">CO</x:t>
        </x:is>
      </x:c>
      <x:c r="C211" s="12" t="inlineStr">
        <x:is>
          <x:t xml:space="preserve">Master's</x:t>
        </x:is>
      </x:c>
      <x:c r="D211" s="13" t="n">
        <x:v>0</x:v>
      </x:c>
      <x:c r="E211" s="14" t="n">
        <x:v>69677</x:v>
      </x:c>
      <x:c r="F211" s="83" t="inlineStr">
        <x:is>
          <x:t xml:space="preserve">2026-06-10</x:t>
        </x:is>
      </x:c>
      <x:c r="G211" s="7" t="n"/>
      <x:c r="H211" s="7" t="n"/>
      <x:c r="I211" s="7" t="n"/>
      <x:c r="J211" s="7" t="n"/>
      <x:c r="K211" s="7" t="n"/>
      <x:c r="L211" s="7" t="n"/>
      <x:c r="M211" s="7" t="n"/>
      <x:c r="N211" s="7" t="n"/>
      <x:c r="O211" s="7" t="n"/>
      <x:c r="P211" s="7" t="n"/>
      <x:c r="Q211" s="7" t="n"/>
      <x:c r="R211" s="7" t="n"/>
      <x:c r="S211" s="7" t="n"/>
      <x:c r="T211" s="7" t="n"/>
      <x:c r="U211" s="7" t="n"/>
      <x:c r="V211" s="7" t="n"/>
      <x:c r="W211" s="7" t="n"/>
      <x:c r="X211" s="7" t="n"/>
      <x:c r="Y211" s="7" t="n"/>
      <x:c r="Z211" s="7" t="n"/>
      <x:c r="AA211" s="7" t="n"/>
      <x:c r="AB211" s="7" t="n"/>
    </x:row>
    <x:row r="212" ht="20" customHeight="1">
      <x:c r="A212" s="12" t="inlineStr">
        <x:is>
          <x:t xml:space="preserve">Cherry Creek School District</x:t>
        </x:is>
      </x:c>
      <x:c r="B212" s="12" t="inlineStr">
        <x:is>
          <x:t xml:space="preserve">CO</x:t>
        </x:is>
      </x:c>
      <x:c r="C212" s="12" t="inlineStr">
        <x:is>
          <x:t xml:space="preserve">Master's</x:t>
        </x:is>
      </x:c>
      <x:c r="D212" s="13" t="n">
        <x:v>1</x:v>
      </x:c>
      <x:c r="E212" s="14" t="n">
        <x:v>70758</x:v>
      </x:c>
      <x:c r="F212" s="83" t="inlineStr">
        <x:is>
          <x:t xml:space="preserve">2026-06-10</x:t>
        </x:is>
      </x:c>
      <x:c r="G212" s="7" t="n"/>
      <x:c r="H212" s="7" t="n"/>
      <x:c r="I212" s="7" t="n"/>
      <x:c r="J212" s="7" t="n"/>
      <x:c r="K212" s="7" t="n"/>
      <x:c r="L212" s="7" t="n"/>
      <x:c r="M212" s="7" t="n"/>
      <x:c r="N212" s="7" t="n"/>
      <x:c r="O212" s="7" t="n"/>
      <x:c r="P212" s="7" t="n"/>
      <x:c r="Q212" s="7" t="n"/>
      <x:c r="R212" s="7" t="n"/>
      <x:c r="S212" s="7" t="n"/>
      <x:c r="T212" s="7" t="n"/>
      <x:c r="U212" s="7" t="n"/>
      <x:c r="V212" s="7" t="n"/>
      <x:c r="W212" s="7" t="n"/>
      <x:c r="X212" s="7" t="n"/>
      <x:c r="Y212" s="7" t="n"/>
      <x:c r="Z212" s="7" t="n"/>
      <x:c r="AA212" s="7" t="n"/>
      <x:c r="AB212" s="7" t="n"/>
    </x:row>
    <x:row r="213" ht="20" customHeight="1">
      <x:c r="A213" s="12" t="inlineStr">
        <x:is>
          <x:t xml:space="preserve">Cherry Creek School District</x:t>
        </x:is>
      </x:c>
      <x:c r="B213" s="12" t="inlineStr">
        <x:is>
          <x:t xml:space="preserve">CO</x:t>
        </x:is>
      </x:c>
      <x:c r="C213" s="12" t="inlineStr">
        <x:is>
          <x:t xml:space="preserve">Master's</x:t>
        </x:is>
      </x:c>
      <x:c r="D213" s="13" t="n">
        <x:v>2</x:v>
      </x:c>
      <x:c r="E213" s="14" t="n">
        <x:v>71841</x:v>
      </x:c>
      <x:c r="F213" s="83" t="inlineStr">
        <x:is>
          <x:t xml:space="preserve">2026-06-10</x:t>
        </x:is>
      </x:c>
      <x:c r="G213" s="7" t="n"/>
      <x:c r="H213" s="7" t="n"/>
      <x:c r="I213" s="7" t="n"/>
      <x:c r="J213" s="7" t="n"/>
      <x:c r="K213" s="7" t="n"/>
      <x:c r="L213" s="7" t="n"/>
      <x:c r="M213" s="7" t="n"/>
      <x:c r="N213" s="7" t="n"/>
      <x:c r="O213" s="7" t="n"/>
      <x:c r="P213" s="7" t="n"/>
      <x:c r="Q213" s="7" t="n"/>
      <x:c r="R213" s="7" t="n"/>
      <x:c r="S213" s="7" t="n"/>
      <x:c r="T213" s="7" t="n"/>
      <x:c r="U213" s="7" t="n"/>
      <x:c r="V213" s="7" t="n"/>
      <x:c r="W213" s="7" t="n"/>
      <x:c r="X213" s="7" t="n"/>
      <x:c r="Y213" s="7" t="n"/>
      <x:c r="Z213" s="7" t="n"/>
      <x:c r="AA213" s="7" t="n"/>
      <x:c r="AB213" s="7" t="n"/>
    </x:row>
    <x:row r="214" ht="20" customHeight="1">
      <x:c r="A214" s="12" t="inlineStr">
        <x:is>
          <x:t xml:space="preserve">Cherry Creek School District</x:t>
        </x:is>
      </x:c>
      <x:c r="B214" s="12" t="inlineStr">
        <x:is>
          <x:t xml:space="preserve">CO</x:t>
        </x:is>
      </x:c>
      <x:c r="C214" s="12" t="inlineStr">
        <x:is>
          <x:t xml:space="preserve">Master's</x:t>
        </x:is>
      </x:c>
      <x:c r="D214" s="13" t="n">
        <x:v>3</x:v>
      </x:c>
      <x:c r="E214" s="14" t="n">
        <x:v>72923</x:v>
      </x:c>
      <x:c r="F214" s="83" t="inlineStr">
        <x:is>
          <x:t xml:space="preserve">2026-06-10</x:t>
        </x:is>
      </x:c>
      <x:c r="G214" s="7" t="n"/>
      <x:c r="H214" s="7" t="n"/>
      <x:c r="I214" s="7" t="n"/>
      <x:c r="J214" s="7" t="n"/>
      <x:c r="K214" s="7" t="n"/>
      <x:c r="L214" s="7" t="n"/>
      <x:c r="M214" s="7" t="n"/>
      <x:c r="N214" s="7" t="n"/>
      <x:c r="O214" s="7" t="n"/>
      <x:c r="P214" s="7" t="n"/>
      <x:c r="Q214" s="7" t="n"/>
      <x:c r="R214" s="7" t="n"/>
      <x:c r="S214" s="7" t="n"/>
      <x:c r="T214" s="7" t="n"/>
      <x:c r="U214" s="7" t="n"/>
      <x:c r="V214" s="7" t="n"/>
      <x:c r="W214" s="7" t="n"/>
      <x:c r="X214" s="7" t="n"/>
      <x:c r="Y214" s="7" t="n"/>
      <x:c r="Z214" s="7" t="n"/>
      <x:c r="AA214" s="7" t="n"/>
      <x:c r="AB214" s="7" t="n"/>
    </x:row>
    <x:row r="215" ht="20" customHeight="1">
      <x:c r="A215" s="12" t="inlineStr">
        <x:is>
          <x:t xml:space="preserve">Cherry Creek School District</x:t>
        </x:is>
      </x:c>
      <x:c r="B215" s="12" t="inlineStr">
        <x:is>
          <x:t xml:space="preserve">CO</x:t>
        </x:is>
      </x:c>
      <x:c r="C215" s="12" t="inlineStr">
        <x:is>
          <x:t xml:space="preserve">Master's</x:t>
        </x:is>
      </x:c>
      <x:c r="D215" s="13" t="n">
        <x:v>4</x:v>
      </x:c>
      <x:c r="E215" s="14" t="n">
        <x:v>74005</x:v>
      </x:c>
      <x:c r="F215" s="83" t="inlineStr">
        <x:is>
          <x:t xml:space="preserve">2026-06-10</x:t>
        </x:is>
      </x:c>
      <x:c r="G215" s="7" t="n"/>
      <x:c r="H215" s="7" t="n"/>
      <x:c r="I215" s="7" t="n"/>
      <x:c r="J215" s="7" t="n"/>
      <x:c r="K215" s="7" t="n"/>
      <x:c r="L215" s="7" t="n"/>
      <x:c r="M215" s="7" t="n"/>
      <x:c r="N215" s="7" t="n"/>
      <x:c r="O215" s="7" t="n"/>
      <x:c r="P215" s="7" t="n"/>
      <x:c r="Q215" s="7" t="n"/>
      <x:c r="R215" s="7" t="n"/>
      <x:c r="S215" s="7" t="n"/>
      <x:c r="T215" s="7" t="n"/>
      <x:c r="U215" s="7" t="n"/>
      <x:c r="V215" s="7" t="n"/>
      <x:c r="W215" s="7" t="n"/>
      <x:c r="X215" s="7" t="n"/>
      <x:c r="Y215" s="7" t="n"/>
      <x:c r="Z215" s="7" t="n"/>
      <x:c r="AA215" s="7" t="n"/>
      <x:c r="AB215" s="7" t="n"/>
    </x:row>
    <x:row r="216" ht="20" customHeight="1">
      <x:c r="A216" s="12" t="inlineStr">
        <x:is>
          <x:t xml:space="preserve">Cherry Creek School District</x:t>
        </x:is>
      </x:c>
      <x:c r="B216" s="12" t="inlineStr">
        <x:is>
          <x:t xml:space="preserve">CO</x:t>
        </x:is>
      </x:c>
      <x:c r="C216" s="12" t="inlineStr">
        <x:is>
          <x:t xml:space="preserve">Master's</x:t>
        </x:is>
      </x:c>
      <x:c r="D216" s="13" t="n">
        <x:v>5</x:v>
      </x:c>
      <x:c r="E216" s="14" t="n">
        <x:v>75086</x:v>
      </x:c>
      <x:c r="F216" s="83" t="inlineStr">
        <x:is>
          <x:t xml:space="preserve">2026-06-10</x:t>
        </x:is>
      </x:c>
      <x:c r="G216" s="7" t="n"/>
      <x:c r="H216" s="7" t="n"/>
      <x:c r="I216" s="7" t="n"/>
      <x:c r="J216" s="7" t="n"/>
      <x:c r="K216" s="7" t="n"/>
      <x:c r="L216" s="7" t="n"/>
      <x:c r="M216" s="7" t="n"/>
      <x:c r="N216" s="7" t="n"/>
      <x:c r="O216" s="7" t="n"/>
      <x:c r="P216" s="7" t="n"/>
      <x:c r="Q216" s="7" t="n"/>
      <x:c r="R216" s="7" t="n"/>
      <x:c r="S216" s="7" t="n"/>
      <x:c r="T216" s="7" t="n"/>
      <x:c r="U216" s="7" t="n"/>
      <x:c r="V216" s="7" t="n"/>
      <x:c r="W216" s="7" t="n"/>
      <x:c r="X216" s="7" t="n"/>
      <x:c r="Y216" s="7" t="n"/>
      <x:c r="Z216" s="7" t="n"/>
      <x:c r="AA216" s="7" t="n"/>
      <x:c r="AB216" s="7" t="n"/>
    </x:row>
    <x:row r="217" ht="20" customHeight="1">
      <x:c r="A217" s="12" t="inlineStr">
        <x:is>
          <x:t xml:space="preserve">Cherry Creek School District</x:t>
        </x:is>
      </x:c>
      <x:c r="B217" s="12" t="inlineStr">
        <x:is>
          <x:t xml:space="preserve">CO</x:t>
        </x:is>
      </x:c>
      <x:c r="C217" s="12" t="inlineStr">
        <x:is>
          <x:t xml:space="preserve">Master's</x:t>
        </x:is>
      </x:c>
      <x:c r="D217" s="13" t="n">
        <x:v>6</x:v>
      </x:c>
      <x:c r="E217" s="14" t="n">
        <x:v>77404</x:v>
      </x:c>
      <x:c r="F217" s="83" t="inlineStr">
        <x:is>
          <x:t xml:space="preserve">2026-06-10</x:t>
        </x:is>
      </x:c>
      <x:c r="G217" s="7" t="n"/>
      <x:c r="H217" s="7" t="n"/>
      <x:c r="I217" s="7" t="n"/>
      <x:c r="J217" s="7" t="n"/>
      <x:c r="K217" s="7" t="n"/>
      <x:c r="L217" s="7" t="n"/>
      <x:c r="M217" s="7" t="n"/>
      <x:c r="N217" s="7" t="n"/>
      <x:c r="O217" s="7" t="n"/>
      <x:c r="P217" s="7" t="n"/>
      <x:c r="Q217" s="7" t="n"/>
      <x:c r="R217" s="7" t="n"/>
      <x:c r="S217" s="7" t="n"/>
      <x:c r="T217" s="7" t="n"/>
      <x:c r="U217" s="7" t="n"/>
      <x:c r="V217" s="7" t="n"/>
      <x:c r="W217" s="7" t="n"/>
      <x:c r="X217" s="7" t="n"/>
      <x:c r="Y217" s="7" t="n"/>
      <x:c r="Z217" s="7" t="n"/>
      <x:c r="AA217" s="7" t="n"/>
      <x:c r="AB217" s="7" t="n"/>
    </x:row>
    <x:row r="218" ht="20" customHeight="1">
      <x:c r="A218" s="12" t="inlineStr">
        <x:is>
          <x:t xml:space="preserve">Cherry Creek School District</x:t>
        </x:is>
      </x:c>
      <x:c r="B218" s="12" t="inlineStr">
        <x:is>
          <x:t xml:space="preserve">CO</x:t>
        </x:is>
      </x:c>
      <x:c r="C218" s="12" t="inlineStr">
        <x:is>
          <x:t xml:space="preserve">Master's</x:t>
        </x:is>
      </x:c>
      <x:c r="D218" s="13" t="n">
        <x:v>7</x:v>
      </x:c>
      <x:c r="E218" s="14" t="n">
        <x:v>80095</x:v>
      </x:c>
      <x:c r="F218" s="83" t="inlineStr">
        <x:is>
          <x:t xml:space="preserve">2026-06-10</x:t>
        </x:is>
      </x:c>
      <x:c r="G218" s="7" t="n"/>
      <x:c r="H218" s="7" t="n"/>
      <x:c r="I218" s="7" t="n"/>
      <x:c r="J218" s="7" t="n"/>
      <x:c r="K218" s="7" t="n"/>
      <x:c r="L218" s="7" t="n"/>
      <x:c r="M218" s="7" t="n"/>
      <x:c r="N218" s="7" t="n"/>
      <x:c r="O218" s="7" t="n"/>
      <x:c r="P218" s="7" t="n"/>
      <x:c r="Q218" s="7" t="n"/>
      <x:c r="R218" s="7" t="n"/>
      <x:c r="S218" s="7" t="n"/>
      <x:c r="T218" s="7" t="n"/>
      <x:c r="U218" s="7" t="n"/>
      <x:c r="V218" s="7" t="n"/>
      <x:c r="W218" s="7" t="n"/>
      <x:c r="X218" s="7" t="n"/>
      <x:c r="Y218" s="7" t="n"/>
      <x:c r="Z218" s="7" t="n"/>
      <x:c r="AA218" s="7" t="n"/>
      <x:c r="AB218" s="7" t="n"/>
    </x:row>
    <x:row r="219" ht="20" customHeight="1">
      <x:c r="A219" s="12" t="inlineStr">
        <x:is>
          <x:t xml:space="preserve">Cherry Creek School District</x:t>
        </x:is>
      </x:c>
      <x:c r="B219" s="12" t="inlineStr">
        <x:is>
          <x:t xml:space="preserve">CO</x:t>
        </x:is>
      </x:c>
      <x:c r="C219" s="12" t="inlineStr">
        <x:is>
          <x:t xml:space="preserve">Master's</x:t>
        </x:is>
      </x:c>
      <x:c r="D219" s="13" t="n">
        <x:v>8</x:v>
      </x:c>
      <x:c r="E219" s="14" t="n">
        <x:v>82787</x:v>
      </x:c>
      <x:c r="F219" s="83" t="inlineStr">
        <x:is>
          <x:t xml:space="preserve">2026-06-10</x:t>
        </x:is>
      </x:c>
      <x:c r="G219" s="7" t="n"/>
      <x:c r="H219" s="7" t="n"/>
      <x:c r="I219" s="7" t="n"/>
      <x:c r="J219" s="7" t="n"/>
      <x:c r="K219" s="7" t="n"/>
      <x:c r="L219" s="7" t="n"/>
      <x:c r="M219" s="7" t="n"/>
      <x:c r="N219" s="7" t="n"/>
      <x:c r="O219" s="7" t="n"/>
      <x:c r="P219" s="7" t="n"/>
      <x:c r="Q219" s="7" t="n"/>
      <x:c r="R219" s="7" t="n"/>
      <x:c r="S219" s="7" t="n"/>
      <x:c r="T219" s="7" t="n"/>
      <x:c r="U219" s="7" t="n"/>
      <x:c r="V219" s="7" t="n"/>
      <x:c r="W219" s="7" t="n"/>
      <x:c r="X219" s="7" t="n"/>
      <x:c r="Y219" s="7" t="n"/>
      <x:c r="Z219" s="7" t="n"/>
      <x:c r="AA219" s="7" t="n"/>
      <x:c r="AB219" s="7" t="n"/>
    </x:row>
    <x:row r="220" ht="20" customHeight="1">
      <x:c r="A220" s="12" t="inlineStr">
        <x:is>
          <x:t xml:space="preserve">Cherry Creek School District</x:t>
        </x:is>
      </x:c>
      <x:c r="B220" s="12" t="inlineStr">
        <x:is>
          <x:t xml:space="preserve">CO</x:t>
        </x:is>
      </x:c>
      <x:c r="C220" s="12" t="inlineStr">
        <x:is>
          <x:t xml:space="preserve">Master's</x:t>
        </x:is>
      </x:c>
      <x:c r="D220" s="13" t="n">
        <x:v>9</x:v>
      </x:c>
      <x:c r="E220" s="14" t="n">
        <x:v>85478</x:v>
      </x:c>
      <x:c r="F220" s="83" t="inlineStr">
        <x:is>
          <x:t xml:space="preserve">2026-06-10</x:t>
        </x:is>
      </x:c>
      <x:c r="G220" s="7" t="n"/>
      <x:c r="H220" s="7" t="n"/>
      <x:c r="I220" s="7" t="n"/>
      <x:c r="J220" s="7" t="n"/>
      <x:c r="K220" s="7" t="n"/>
      <x:c r="L220" s="7" t="n"/>
      <x:c r="M220" s="7" t="n"/>
      <x:c r="N220" s="7" t="n"/>
      <x:c r="O220" s="7" t="n"/>
      <x:c r="P220" s="7" t="n"/>
      <x:c r="Q220" s="7" t="n"/>
      <x:c r="R220" s="7" t="n"/>
      <x:c r="S220" s="7" t="n"/>
      <x:c r="T220" s="7" t="n"/>
      <x:c r="U220" s="7" t="n"/>
      <x:c r="V220" s="7" t="n"/>
      <x:c r="W220" s="7" t="n"/>
      <x:c r="X220" s="7" t="n"/>
      <x:c r="Y220" s="7" t="n"/>
      <x:c r="Z220" s="7" t="n"/>
      <x:c r="AA220" s="7" t="n"/>
      <x:c r="AB220" s="7" t="n"/>
    </x:row>
    <x:row r="221" ht="20" customHeight="1">
      <x:c r="A221" s="12" t="inlineStr">
        <x:is>
          <x:t xml:space="preserve">Cherry Creek School District</x:t>
        </x:is>
      </x:c>
      <x:c r="B221" s="12" t="inlineStr">
        <x:is>
          <x:t xml:space="preserve">CO</x:t>
        </x:is>
      </x:c>
      <x:c r="C221" s="12" t="inlineStr">
        <x:is>
          <x:t xml:space="preserve">Master's</x:t>
        </x:is>
      </x:c>
      <x:c r="D221" s="13" t="n">
        <x:v>10</x:v>
      </x:c>
      <x:c r="E221" s="14" t="n">
        <x:v>88170</x:v>
      </x:c>
      <x:c r="F221" s="83" t="inlineStr">
        <x:is>
          <x:t xml:space="preserve">2026-06-10</x:t>
        </x:is>
      </x:c>
      <x:c r="G221" s="7" t="n"/>
      <x:c r="H221" s="7" t="n"/>
      <x:c r="I221" s="7" t="n"/>
      <x:c r="J221" s="7" t="n"/>
      <x:c r="K221" s="7" t="n"/>
      <x:c r="L221" s="7" t="n"/>
      <x:c r="M221" s="7" t="n"/>
      <x:c r="N221" s="7" t="n"/>
      <x:c r="O221" s="7" t="n"/>
      <x:c r="P221" s="7" t="n"/>
      <x:c r="Q221" s="7" t="n"/>
      <x:c r="R221" s="7" t="n"/>
      <x:c r="S221" s="7" t="n"/>
      <x:c r="T221" s="7" t="n"/>
      <x:c r="U221" s="7" t="n"/>
      <x:c r="V221" s="7" t="n"/>
      <x:c r="W221" s="7" t="n"/>
      <x:c r="X221" s="7" t="n"/>
      <x:c r="Y221" s="7" t="n"/>
      <x:c r="Z221" s="7" t="n"/>
      <x:c r="AA221" s="7" t="n"/>
      <x:c r="AB221" s="7" t="n"/>
    </x:row>
    <x:row r="222" ht="20" customHeight="1">
      <x:c r="A222" s="12" t="inlineStr">
        <x:is>
          <x:t xml:space="preserve">Chicago Public Schools</x:t>
        </x:is>
      </x:c>
      <x:c r="B222" s="12" t="inlineStr">
        <x:is>
          <x:t xml:space="preserve">IL</x:t>
        </x:is>
      </x:c>
      <x:c r="C222" s="12" t="inlineStr">
        <x:is>
          <x:t xml:space="preserve">Bachelor's</x:t>
        </x:is>
      </x:c>
      <x:c r="D222" s="13" t="n">
        <x:v>0</x:v>
      </x:c>
      <x:c r="E222" s="14" t="n">
        <x:v>72519.92</x:v>
      </x:c>
      <x:c r="F222" s="83" t="inlineStr">
        <x:is>
          <x:t xml:space="preserve">2026-06-11</x:t>
        </x:is>
      </x:c>
      <x:c r="G222" s="7" t="n"/>
      <x:c r="H222" s="7" t="n"/>
      <x:c r="I222" s="7" t="n"/>
      <x:c r="J222" s="7" t="n"/>
      <x:c r="K222" s="7" t="n"/>
      <x:c r="L222" s="7" t="n"/>
      <x:c r="M222" s="7" t="n"/>
      <x:c r="N222" s="7" t="n"/>
      <x:c r="O222" s="7" t="n"/>
      <x:c r="P222" s="7" t="n"/>
      <x:c r="Q222" s="7" t="n"/>
      <x:c r="R222" s="7" t="n"/>
      <x:c r="S222" s="7" t="n"/>
      <x:c r="T222" s="7" t="n"/>
      <x:c r="U222" s="7" t="n"/>
      <x:c r="V222" s="7" t="n"/>
      <x:c r="W222" s="7" t="n"/>
      <x:c r="X222" s="7" t="n"/>
      <x:c r="Y222" s="7" t="n"/>
      <x:c r="Z222" s="7" t="n"/>
      <x:c r="AA222" s="7" t="n"/>
      <x:c r="AB222" s="7" t="n"/>
    </x:row>
    <x:row r="223" ht="20" customHeight="1">
      <x:c r="A223" s="12" t="inlineStr">
        <x:is>
          <x:t xml:space="preserve">Chicago Public Schools</x:t>
        </x:is>
      </x:c>
      <x:c r="B223" s="12" t="inlineStr">
        <x:is>
          <x:t xml:space="preserve">IL</x:t>
        </x:is>
      </x:c>
      <x:c r="C223" s="12" t="inlineStr">
        <x:is>
          <x:t xml:space="preserve">Bachelor's</x:t>
        </x:is>
      </x:c>
      <x:c r="D223" s="13" t="n">
        <x:v>1</x:v>
      </x:c>
      <x:c r="E223" s="14" t="n">
        <x:v>73454.92</x:v>
      </x:c>
      <x:c r="F223" s="83" t="inlineStr">
        <x:is>
          <x:t xml:space="preserve">2026-06-11</x:t>
        </x:is>
      </x:c>
      <x:c r="G223" s="7" t="n"/>
      <x:c r="H223" s="7" t="n"/>
      <x:c r="I223" s="7" t="n"/>
      <x:c r="J223" s="7" t="n"/>
      <x:c r="K223" s="7" t="n"/>
      <x:c r="L223" s="7" t="n"/>
      <x:c r="M223" s="7" t="n"/>
      <x:c r="N223" s="7" t="n"/>
      <x:c r="O223" s="7" t="n"/>
      <x:c r="P223" s="7" t="n"/>
      <x:c r="Q223" s="7" t="n"/>
      <x:c r="R223" s="7" t="n"/>
      <x:c r="S223" s="7" t="n"/>
      <x:c r="T223" s="7" t="n"/>
      <x:c r="U223" s="7" t="n"/>
      <x:c r="V223" s="7" t="n"/>
      <x:c r="W223" s="7" t="n"/>
      <x:c r="X223" s="7" t="n"/>
      <x:c r="Y223" s="7" t="n"/>
      <x:c r="Z223" s="7" t="n"/>
      <x:c r="AA223" s="7" t="n"/>
      <x:c r="AB223" s="7" t="n"/>
    </x:row>
    <x:row r="224" ht="20" customHeight="1">
      <x:c r="A224" s="12" t="inlineStr">
        <x:is>
          <x:t xml:space="preserve">Chicago Public Schools</x:t>
        </x:is>
      </x:c>
      <x:c r="B224" s="12" t="inlineStr">
        <x:is>
          <x:t xml:space="preserve">IL</x:t>
        </x:is>
      </x:c>
      <x:c r="C224" s="12" t="inlineStr">
        <x:is>
          <x:t xml:space="preserve">Bachelor's</x:t>
        </x:is>
      </x:c>
      <x:c r="D224" s="13" t="n">
        <x:v>2</x:v>
      </x:c>
      <x:c r="E224" s="14" t="n">
        <x:v>74614.32000000001</x:v>
      </x:c>
      <x:c r="F224" s="83" t="inlineStr">
        <x:is>
          <x:t xml:space="preserve">2026-06-11</x:t>
        </x:is>
      </x:c>
      <x:c r="G224" s="7" t="n"/>
      <x:c r="H224" s="7" t="n"/>
      <x:c r="I224" s="7" t="n"/>
      <x:c r="J224" s="7" t="n"/>
      <x:c r="K224" s="7" t="n"/>
      <x:c r="L224" s="7" t="n"/>
      <x:c r="M224" s="7" t="n"/>
      <x:c r="N224" s="7" t="n"/>
      <x:c r="O224" s="7" t="n"/>
      <x:c r="P224" s="7" t="n"/>
      <x:c r="Q224" s="7" t="n"/>
      <x:c r="R224" s="7" t="n"/>
      <x:c r="S224" s="7" t="n"/>
      <x:c r="T224" s="7" t="n"/>
      <x:c r="U224" s="7" t="n"/>
      <x:c r="V224" s="7" t="n"/>
      <x:c r="W224" s="7" t="n"/>
      <x:c r="X224" s="7" t="n"/>
      <x:c r="Y224" s="7" t="n"/>
      <x:c r="Z224" s="7" t="n"/>
      <x:c r="AA224" s="7" t="n"/>
      <x:c r="AB224" s="7" t="n"/>
    </x:row>
    <x:row r="225" ht="20" customHeight="1">
      <x:c r="A225" s="12" t="inlineStr">
        <x:is>
          <x:t xml:space="preserve">Chicago Public Schools</x:t>
        </x:is>
      </x:c>
      <x:c r="B225" s="12" t="inlineStr">
        <x:is>
          <x:t xml:space="preserve">IL</x:t>
        </x:is>
      </x:c>
      <x:c r="C225" s="12" t="inlineStr">
        <x:is>
          <x:t xml:space="preserve">Bachelor's</x:t>
        </x:is>
      </x:c>
      <x:c r="D225" s="13" t="n">
        <x:v>3</x:v>
      </x:c>
      <x:c r="E225" s="14" t="n">
        <x:v>75913.09</x:v>
      </x:c>
      <x:c r="F225" s="83" t="inlineStr">
        <x:is>
          <x:t xml:space="preserve">2026-06-11</x:t>
        </x:is>
      </x:c>
      <x:c r="G225" s="7" t="n"/>
      <x:c r="H225" s="7" t="n"/>
      <x:c r="I225" s="7" t="n"/>
      <x:c r="J225" s="7" t="n"/>
      <x:c r="K225" s="7" t="n"/>
      <x:c r="L225" s="7" t="n"/>
      <x:c r="M225" s="7" t="n"/>
      <x:c r="N225" s="7" t="n"/>
      <x:c r="O225" s="7" t="n"/>
      <x:c r="P225" s="7" t="n"/>
      <x:c r="Q225" s="7" t="n"/>
      <x:c r="R225" s="7" t="n"/>
      <x:c r="S225" s="7" t="n"/>
      <x:c r="T225" s="7" t="n"/>
      <x:c r="U225" s="7" t="n"/>
      <x:c r="V225" s="7" t="n"/>
      <x:c r="W225" s="7" t="n"/>
      <x:c r="X225" s="7" t="n"/>
      <x:c r="Y225" s="7" t="n"/>
      <x:c r="Z225" s="7" t="n"/>
      <x:c r="AA225" s="7" t="n"/>
      <x:c r="AB225" s="7" t="n"/>
    </x:row>
    <x:row r="226" ht="20" customHeight="1">
      <x:c r="A226" s="12" t="inlineStr">
        <x:is>
          <x:t xml:space="preserve">Chicago Public Schools</x:t>
        </x:is>
      </x:c>
      <x:c r="B226" s="12" t="inlineStr">
        <x:is>
          <x:t xml:space="preserve">IL</x:t>
        </x:is>
      </x:c>
      <x:c r="C226" s="12" t="inlineStr">
        <x:is>
          <x:t xml:space="preserve">Bachelor's</x:t>
        </x:is>
      </x:c>
      <x:c r="D226" s="13" t="n">
        <x:v>4</x:v>
      </x:c>
      <x:c r="E226" s="14" t="n">
        <x:v>78011.82000000001</x:v>
      </x:c>
      <x:c r="F226" s="83" t="inlineStr">
        <x:is>
          <x:t xml:space="preserve">2026-06-11</x:t>
        </x:is>
      </x:c>
      <x:c r="G226" s="7" t="n"/>
      <x:c r="H226" s="7" t="n"/>
      <x:c r="I226" s="7" t="n"/>
      <x:c r="J226" s="7" t="n"/>
      <x:c r="K226" s="7" t="n"/>
      <x:c r="L226" s="7" t="n"/>
      <x:c r="M226" s="7" t="n"/>
      <x:c r="N226" s="7" t="n"/>
      <x:c r="O226" s="7" t="n"/>
      <x:c r="P226" s="7" t="n"/>
      <x:c r="Q226" s="7" t="n"/>
      <x:c r="R226" s="7" t="n"/>
      <x:c r="S226" s="7" t="n"/>
      <x:c r="T226" s="7" t="n"/>
      <x:c r="U226" s="7" t="n"/>
      <x:c r="V226" s="7" t="n"/>
      <x:c r="W226" s="7" t="n"/>
      <x:c r="X226" s="7" t="n"/>
      <x:c r="Y226" s="7" t="n"/>
      <x:c r="Z226" s="7" t="n"/>
      <x:c r="AA226" s="7" t="n"/>
      <x:c r="AB226" s="7" t="n"/>
    </x:row>
    <x:row r="227" ht="20" customHeight="1">
      <x:c r="A227" s="12" t="inlineStr">
        <x:is>
          <x:t xml:space="preserve">Chicago Public Schools</x:t>
        </x:is>
      </x:c>
      <x:c r="B227" s="12" t="inlineStr">
        <x:is>
          <x:t xml:space="preserve">IL</x:t>
        </x:is>
      </x:c>
      <x:c r="C227" s="12" t="inlineStr">
        <x:is>
          <x:t xml:space="preserve">Bachelor's</x:t>
        </x:is>
      </x:c>
      <x:c r="D227" s="13" t="n">
        <x:v>5</x:v>
      </x:c>
      <x:c r="E227" s="14" t="n">
        <x:v>80661.5</x:v>
      </x:c>
      <x:c r="F227" s="83" t="inlineStr">
        <x:is>
          <x:t xml:space="preserve">2026-06-11</x:t>
        </x:is>
      </x:c>
      <x:c r="G227" s="7" t="n"/>
      <x:c r="H227" s="7" t="n"/>
      <x:c r="I227" s="7" t="n"/>
      <x:c r="J227" s="7" t="n"/>
      <x:c r="K227" s="7" t="n"/>
      <x:c r="L227" s="7" t="n"/>
      <x:c r="M227" s="7" t="n"/>
      <x:c r="N227" s="7" t="n"/>
      <x:c r="O227" s="7" t="n"/>
      <x:c r="P227" s="7" t="n"/>
      <x:c r="Q227" s="7" t="n"/>
      <x:c r="R227" s="7" t="n"/>
      <x:c r="S227" s="7" t="n"/>
      <x:c r="T227" s="7" t="n"/>
      <x:c r="U227" s="7" t="n"/>
      <x:c r="V227" s="7" t="n"/>
      <x:c r="W227" s="7" t="n"/>
      <x:c r="X227" s="7" t="n"/>
      <x:c r="Y227" s="7" t="n"/>
      <x:c r="Z227" s="7" t="n"/>
      <x:c r="AA227" s="7" t="n"/>
      <x:c r="AB227" s="7" t="n"/>
    </x:row>
    <x:row r="228" ht="20" customHeight="1">
      <x:c r="A228" s="12" t="inlineStr">
        <x:is>
          <x:t xml:space="preserve">Chicago Public Schools</x:t>
        </x:is>
      </x:c>
      <x:c r="B228" s="12" t="inlineStr">
        <x:is>
          <x:t xml:space="preserve">IL</x:t>
        </x:is>
      </x:c>
      <x:c r="C228" s="12" t="inlineStr">
        <x:is>
          <x:t xml:space="preserve">Bachelor's</x:t>
        </x:is>
      </x:c>
      <x:c r="D228" s="13" t="n">
        <x:v>6</x:v>
      </x:c>
      <x:c r="E228" s="14" t="n">
        <x:v>83551.69</x:v>
      </x:c>
      <x:c r="F228" s="83" t="inlineStr">
        <x:is>
          <x:t xml:space="preserve">2026-06-11</x:t>
        </x:is>
      </x:c>
      <x:c r="G228" s="7" t="n"/>
      <x:c r="H228" s="7" t="n"/>
      <x:c r="I228" s="7" t="n"/>
      <x:c r="J228" s="7" t="n"/>
      <x:c r="K228" s="7" t="n"/>
      <x:c r="L228" s="7" t="n"/>
      <x:c r="M228" s="7" t="n"/>
      <x:c r="N228" s="7" t="n"/>
      <x:c r="O228" s="7" t="n"/>
      <x:c r="P228" s="7" t="n"/>
      <x:c r="Q228" s="7" t="n"/>
      <x:c r="R228" s="7" t="n"/>
      <x:c r="S228" s="7" t="n"/>
      <x:c r="T228" s="7" t="n"/>
      <x:c r="U228" s="7" t="n"/>
      <x:c r="V228" s="7" t="n"/>
      <x:c r="W228" s="7" t="n"/>
      <x:c r="X228" s="7" t="n"/>
      <x:c r="Y228" s="7" t="n"/>
      <x:c r="Z228" s="7" t="n"/>
      <x:c r="AA228" s="7" t="n"/>
      <x:c r="AB228" s="7" t="n"/>
    </x:row>
    <x:row r="229" ht="20" customHeight="1">
      <x:c r="A229" s="12" t="inlineStr">
        <x:is>
          <x:t xml:space="preserve">Chicago Public Schools</x:t>
        </x:is>
      </x:c>
      <x:c r="B229" s="12" t="inlineStr">
        <x:is>
          <x:t xml:space="preserve">IL</x:t>
        </x:is>
      </x:c>
      <x:c r="C229" s="12" t="inlineStr">
        <x:is>
          <x:t xml:space="preserve">Bachelor's</x:t>
        </x:is>
      </x:c>
      <x:c r="D229" s="13" t="n">
        <x:v>7</x:v>
      </x:c>
      <x:c r="E229" s="14" t="n">
        <x:v>86550.74000000001</x:v>
      </x:c>
      <x:c r="F229" s="83" t="inlineStr">
        <x:is>
          <x:t xml:space="preserve">2026-06-11</x:t>
        </x:is>
      </x:c>
      <x:c r="G229" s="7" t="n"/>
      <x:c r="H229" s="7" t="n"/>
      <x:c r="I229" s="7" t="n"/>
      <x:c r="J229" s="7" t="n"/>
      <x:c r="K229" s="7" t="n"/>
      <x:c r="L229" s="7" t="n"/>
      <x:c r="M229" s="7" t="n"/>
      <x:c r="N229" s="7" t="n"/>
      <x:c r="O229" s="7" t="n"/>
      <x:c r="P229" s="7" t="n"/>
      <x:c r="Q229" s="7" t="n"/>
      <x:c r="R229" s="7" t="n"/>
      <x:c r="S229" s="7" t="n"/>
      <x:c r="T229" s="7" t="n"/>
      <x:c r="U229" s="7" t="n"/>
      <x:c r="V229" s="7" t="n"/>
      <x:c r="W229" s="7" t="n"/>
      <x:c r="X229" s="7" t="n"/>
      <x:c r="Y229" s="7" t="n"/>
      <x:c r="Z229" s="7" t="n"/>
      <x:c r="AA229" s="7" t="n"/>
      <x:c r="AB229" s="7" t="n"/>
    </x:row>
    <x:row r="230" ht="20" customHeight="1">
      <x:c r="A230" s="12" t="inlineStr">
        <x:is>
          <x:t xml:space="preserve">Chicago Public Schools</x:t>
        </x:is>
      </x:c>
      <x:c r="B230" s="12" t="inlineStr">
        <x:is>
          <x:t xml:space="preserve">IL</x:t>
        </x:is>
      </x:c>
      <x:c r="C230" s="12" t="inlineStr">
        <x:is>
          <x:t xml:space="preserve">Bachelor's</x:t>
        </x:is>
      </x:c>
      <x:c r="D230" s="13" t="n">
        <x:v>8</x:v>
      </x:c>
      <x:c r="E230" s="14" t="n">
        <x:v>89656.36</x:v>
      </x:c>
      <x:c r="F230" s="83" t="inlineStr">
        <x:is>
          <x:t xml:space="preserve">2026-06-11</x:t>
        </x:is>
      </x:c>
      <x:c r="G230" s="7" t="n"/>
      <x:c r="H230" s="7" t="n"/>
      <x:c r="I230" s="7" t="n"/>
      <x:c r="J230" s="7" t="n"/>
      <x:c r="K230" s="7" t="n"/>
      <x:c r="L230" s="7" t="n"/>
      <x:c r="M230" s="7" t="n"/>
      <x:c r="N230" s="7" t="n"/>
      <x:c r="O230" s="7" t="n"/>
      <x:c r="P230" s="7" t="n"/>
      <x:c r="Q230" s="7" t="n"/>
      <x:c r="R230" s="7" t="n"/>
      <x:c r="S230" s="7" t="n"/>
      <x:c r="T230" s="7" t="n"/>
      <x:c r="U230" s="7" t="n"/>
      <x:c r="V230" s="7" t="n"/>
      <x:c r="W230" s="7" t="n"/>
      <x:c r="X230" s="7" t="n"/>
      <x:c r="Y230" s="7" t="n"/>
      <x:c r="Z230" s="7" t="n"/>
      <x:c r="AA230" s="7" t="n"/>
      <x:c r="AB230" s="7" t="n"/>
    </x:row>
    <x:row r="231" ht="20" customHeight="1">
      <x:c r="A231" s="12" t="inlineStr">
        <x:is>
          <x:t xml:space="preserve">Chicago Public Schools</x:t>
        </x:is>
      </x:c>
      <x:c r="B231" s="12" t="inlineStr">
        <x:is>
          <x:t xml:space="preserve">IL</x:t>
        </x:is>
      </x:c>
      <x:c r="C231" s="12" t="inlineStr">
        <x:is>
          <x:t xml:space="preserve">Bachelor's</x:t>
        </x:is>
      </x:c>
      <x:c r="D231" s="13" t="n">
        <x:v>9</x:v>
      </x:c>
      <x:c r="E231" s="14" t="n">
        <x:v>92726.85000000001</x:v>
      </x:c>
      <x:c r="F231" s="83" t="inlineStr">
        <x:is>
          <x:t xml:space="preserve">2026-06-11</x:t>
        </x:is>
      </x:c>
      <x:c r="G231" s="7" t="n"/>
      <x:c r="H231" s="7" t="n"/>
      <x:c r="I231" s="7" t="n"/>
      <x:c r="J231" s="7" t="n"/>
      <x:c r="K231" s="7" t="n"/>
      <x:c r="L231" s="7" t="n"/>
      <x:c r="M231" s="7" t="n"/>
      <x:c r="N231" s="7" t="n"/>
      <x:c r="O231" s="7" t="n"/>
      <x:c r="P231" s="7" t="n"/>
      <x:c r="Q231" s="7" t="n"/>
      <x:c r="R231" s="7" t="n"/>
      <x:c r="S231" s="7" t="n"/>
      <x:c r="T231" s="7" t="n"/>
      <x:c r="U231" s="7" t="n"/>
      <x:c r="V231" s="7" t="n"/>
      <x:c r="W231" s="7" t="n"/>
      <x:c r="X231" s="7" t="n"/>
      <x:c r="Y231" s="7" t="n"/>
      <x:c r="Z231" s="7" t="n"/>
      <x:c r="AA231" s="7" t="n"/>
      <x:c r="AB231" s="7" t="n"/>
    </x:row>
    <x:row r="232" ht="20" customHeight="1">
      <x:c r="A232" s="12" t="inlineStr">
        <x:is>
          <x:t xml:space="preserve">Chicago Public Schools</x:t>
        </x:is>
      </x:c>
      <x:c r="B232" s="12" t="inlineStr">
        <x:is>
          <x:t xml:space="preserve">IL</x:t>
        </x:is>
      </x:c>
      <x:c r="C232" s="12" t="inlineStr">
        <x:is>
          <x:t xml:space="preserve">Bachelor's</x:t>
        </x:is>
      </x:c>
      <x:c r="D232" s="13" t="n">
        <x:v>10</x:v>
      </x:c>
      <x:c r="E232" s="14" t="n">
        <x:v>95709.41</x:v>
      </x:c>
      <x:c r="F232" s="83" t="inlineStr">
        <x:is>
          <x:t xml:space="preserve">2026-06-11</x:t>
        </x:is>
      </x:c>
      <x:c r="G232" s="7" t="n"/>
      <x:c r="H232" s="7" t="n"/>
      <x:c r="I232" s="7" t="n"/>
      <x:c r="J232" s="7" t="n"/>
      <x:c r="K232" s="7" t="n"/>
      <x:c r="L232" s="7" t="n"/>
      <x:c r="M232" s="7" t="n"/>
      <x:c r="N232" s="7" t="n"/>
      <x:c r="O232" s="7" t="n"/>
      <x:c r="P232" s="7" t="n"/>
      <x:c r="Q232" s="7" t="n"/>
      <x:c r="R232" s="7" t="n"/>
      <x:c r="S232" s="7" t="n"/>
      <x:c r="T232" s="7" t="n"/>
      <x:c r="U232" s="7" t="n"/>
      <x:c r="V232" s="7" t="n"/>
      <x:c r="W232" s="7" t="n"/>
      <x:c r="X232" s="7" t="n"/>
      <x:c r="Y232" s="7" t="n"/>
      <x:c r="Z232" s="7" t="n"/>
      <x:c r="AA232" s="7" t="n"/>
      <x:c r="AB232" s="7" t="n"/>
    </x:row>
    <x:row r="233" ht="20" customHeight="1">
      <x:c r="A233" s="12" t="inlineStr">
        <x:is>
          <x:t xml:space="preserve">Chicago Public Schools</x:t>
        </x:is>
      </x:c>
      <x:c r="B233" s="12" t="inlineStr">
        <x:is>
          <x:t xml:space="preserve">IL</x:t>
        </x:is>
      </x:c>
      <x:c r="C233" s="12" t="inlineStr">
        <x:is>
          <x:t xml:space="preserve">Master's</x:t>
        </x:is>
      </x:c>
      <x:c r="D233" s="13" t="n">
        <x:v>0</x:v>
      </x:c>
      <x:c r="E233" s="14" t="n">
        <x:v>74014.67999999999</x:v>
      </x:c>
      <x:c r="F233" s="83" t="inlineStr">
        <x:is>
          <x:t xml:space="preserve">2026-06-11</x:t>
        </x:is>
      </x:c>
      <x:c r="G233" s="7" t="n"/>
      <x:c r="H233" s="7" t="n"/>
      <x:c r="I233" s="7" t="n"/>
      <x:c r="J233" s="7" t="n"/>
      <x:c r="K233" s="7" t="n"/>
      <x:c r="L233" s="7" t="n"/>
      <x:c r="M233" s="7" t="n"/>
      <x:c r="N233" s="7" t="n"/>
      <x:c r="O233" s="7" t="n"/>
      <x:c r="P233" s="7" t="n"/>
      <x:c r="Q233" s="7" t="n"/>
      <x:c r="R233" s="7" t="n"/>
      <x:c r="S233" s="7" t="n"/>
      <x:c r="T233" s="7" t="n"/>
      <x:c r="U233" s="7" t="n"/>
      <x:c r="V233" s="7" t="n"/>
      <x:c r="W233" s="7" t="n"/>
      <x:c r="X233" s="7" t="n"/>
      <x:c r="Y233" s="7" t="n"/>
      <x:c r="Z233" s="7" t="n"/>
      <x:c r="AA233" s="7" t="n"/>
      <x:c r="AB233" s="7" t="n"/>
    </x:row>
    <x:row r="234" ht="20" customHeight="1">
      <x:c r="A234" s="12" t="inlineStr">
        <x:is>
          <x:t xml:space="preserve">Chicago Public Schools</x:t>
        </x:is>
      </x:c>
      <x:c r="B234" s="12" t="inlineStr">
        <x:is>
          <x:t xml:space="preserve">IL</x:t>
        </x:is>
      </x:c>
      <x:c r="C234" s="12" t="inlineStr">
        <x:is>
          <x:t xml:space="preserve">Master's</x:t>
        </x:is>
      </x:c>
      <x:c r="D234" s="13" t="n">
        <x:v>1</x:v>
      </x:c>
      <x:c r="E234" s="14" t="n">
        <x:v>74949.67999999999</x:v>
      </x:c>
      <x:c r="F234" s="83" t="inlineStr">
        <x:is>
          <x:t xml:space="preserve">2026-06-11</x:t>
        </x:is>
      </x:c>
      <x:c r="G234" s="7" t="n"/>
      <x:c r="H234" s="7" t="n"/>
      <x:c r="I234" s="7" t="n"/>
      <x:c r="J234" s="7" t="n"/>
      <x:c r="K234" s="7" t="n"/>
      <x:c r="L234" s="7" t="n"/>
      <x:c r="M234" s="7" t="n"/>
      <x:c r="N234" s="7" t="n"/>
      <x:c r="O234" s="7" t="n"/>
      <x:c r="P234" s="7" t="n"/>
      <x:c r="Q234" s="7" t="n"/>
      <x:c r="R234" s="7" t="n"/>
      <x:c r="S234" s="7" t="n"/>
      <x:c r="T234" s="7" t="n"/>
      <x:c r="U234" s="7" t="n"/>
      <x:c r="V234" s="7" t="n"/>
      <x:c r="W234" s="7" t="n"/>
      <x:c r="X234" s="7" t="n"/>
      <x:c r="Y234" s="7" t="n"/>
      <x:c r="Z234" s="7" t="n"/>
      <x:c r="AA234" s="7" t="n"/>
      <x:c r="AB234" s="7" t="n"/>
    </x:row>
    <x:row r="235" ht="20" customHeight="1">
      <x:c r="A235" s="12" t="inlineStr">
        <x:is>
          <x:t xml:space="preserve">Chicago Public Schools</x:t>
        </x:is>
      </x:c>
      <x:c r="B235" s="12" t="inlineStr">
        <x:is>
          <x:t xml:space="preserve">IL</x:t>
        </x:is>
      </x:c>
      <x:c r="C235" s="12" t="inlineStr">
        <x:is>
          <x:t xml:space="preserve">Master's</x:t>
        </x:is>
      </x:c>
      <x:c r="D235" s="13" t="n">
        <x:v>2</x:v>
      </x:c>
      <x:c r="E235" s="14" t="n">
        <x:v>76109.08</x:v>
      </x:c>
      <x:c r="F235" s="83" t="inlineStr">
        <x:is>
          <x:t xml:space="preserve">2026-06-11</x:t>
        </x:is>
      </x:c>
      <x:c r="G235" s="7" t="n"/>
      <x:c r="H235" s="7" t="n"/>
      <x:c r="I235" s="7" t="n"/>
      <x:c r="J235" s="7" t="n"/>
      <x:c r="K235" s="7" t="n"/>
      <x:c r="L235" s="7" t="n"/>
      <x:c r="M235" s="7" t="n"/>
      <x:c r="N235" s="7" t="n"/>
      <x:c r="O235" s="7" t="n"/>
      <x:c r="P235" s="7" t="n"/>
      <x:c r="Q235" s="7" t="n"/>
      <x:c r="R235" s="7" t="n"/>
      <x:c r="S235" s="7" t="n"/>
      <x:c r="T235" s="7" t="n"/>
      <x:c r="U235" s="7" t="n"/>
      <x:c r="V235" s="7" t="n"/>
      <x:c r="W235" s="7" t="n"/>
      <x:c r="X235" s="7" t="n"/>
      <x:c r="Y235" s="7" t="n"/>
      <x:c r="Z235" s="7" t="n"/>
      <x:c r="AA235" s="7" t="n"/>
      <x:c r="AB235" s="7" t="n"/>
    </x:row>
    <x:row r="236" ht="20" customHeight="1">
      <x:c r="A236" s="12" t="inlineStr">
        <x:is>
          <x:t xml:space="preserve">Chicago Public Schools</x:t>
        </x:is>
      </x:c>
      <x:c r="B236" s="12" t="inlineStr">
        <x:is>
          <x:t xml:space="preserve">IL</x:t>
        </x:is>
      </x:c>
      <x:c r="C236" s="12" t="inlineStr">
        <x:is>
          <x:t xml:space="preserve">Master's</x:t>
        </x:is>
      </x:c>
      <x:c r="D236" s="13" t="n">
        <x:v>3</x:v>
      </x:c>
      <x:c r="E236" s="14" t="n">
        <x:v>77407.86</x:v>
      </x:c>
      <x:c r="F236" s="83" t="inlineStr">
        <x:is>
          <x:t xml:space="preserve">2026-06-11</x:t>
        </x:is>
      </x:c>
      <x:c r="G236" s="7" t="n"/>
      <x:c r="H236" s="7" t="n"/>
      <x:c r="I236" s="7" t="n"/>
      <x:c r="J236" s="7" t="n"/>
      <x:c r="K236" s="7" t="n"/>
      <x:c r="L236" s="7" t="n"/>
      <x:c r="M236" s="7" t="n"/>
      <x:c r="N236" s="7" t="n"/>
      <x:c r="O236" s="7" t="n"/>
      <x:c r="P236" s="7" t="n"/>
      <x:c r="Q236" s="7" t="n"/>
      <x:c r="R236" s="7" t="n"/>
      <x:c r="S236" s="7" t="n"/>
      <x:c r="T236" s="7" t="n"/>
      <x:c r="U236" s="7" t="n"/>
      <x:c r="V236" s="7" t="n"/>
      <x:c r="W236" s="7" t="n"/>
      <x:c r="X236" s="7" t="n"/>
      <x:c r="Y236" s="7" t="n"/>
      <x:c r="Z236" s="7" t="n"/>
      <x:c r="AA236" s="7" t="n"/>
      <x:c r="AB236" s="7" t="n"/>
    </x:row>
    <x:row r="237" ht="20" customHeight="1">
      <x:c r="A237" s="12" t="inlineStr">
        <x:is>
          <x:t xml:space="preserve">Chicago Public Schools</x:t>
        </x:is>
      </x:c>
      <x:c r="B237" s="12" t="inlineStr">
        <x:is>
          <x:t xml:space="preserve">IL</x:t>
        </x:is>
      </x:c>
      <x:c r="C237" s="12" t="inlineStr">
        <x:is>
          <x:t xml:space="preserve">Master's</x:t>
        </x:is>
      </x:c>
      <x:c r="D237" s="13" t="n">
        <x:v>4</x:v>
      </x:c>
      <x:c r="E237" s="14" t="n">
        <x:v>79501.53</x:v>
      </x:c>
      <x:c r="F237" s="83" t="inlineStr">
        <x:is>
          <x:t xml:space="preserve">2026-06-11</x:t>
        </x:is>
      </x:c>
      <x:c r="G237" s="7" t="n"/>
      <x:c r="H237" s="7" t="n"/>
      <x:c r="I237" s="7" t="n"/>
      <x:c r="J237" s="7" t="n"/>
      <x:c r="K237" s="7" t="n"/>
      <x:c r="L237" s="7" t="n"/>
      <x:c r="M237" s="7" t="n"/>
      <x:c r="N237" s="7" t="n"/>
      <x:c r="O237" s="7" t="n"/>
      <x:c r="P237" s="7" t="n"/>
      <x:c r="Q237" s="7" t="n"/>
      <x:c r="R237" s="7" t="n"/>
      <x:c r="S237" s="7" t="n"/>
      <x:c r="T237" s="7" t="n"/>
      <x:c r="U237" s="7" t="n"/>
      <x:c r="V237" s="7" t="n"/>
      <x:c r="W237" s="7" t="n"/>
      <x:c r="X237" s="7" t="n"/>
      <x:c r="Y237" s="7" t="n"/>
      <x:c r="Z237" s="7" t="n"/>
      <x:c r="AA237" s="7" t="n"/>
      <x:c r="AB237" s="7" t="n"/>
    </x:row>
    <x:row r="238" ht="20" customHeight="1">
      <x:c r="A238" s="12" t="inlineStr">
        <x:is>
          <x:t xml:space="preserve">Chicago Public Schools</x:t>
        </x:is>
      </x:c>
      <x:c r="B238" s="12" t="inlineStr">
        <x:is>
          <x:t xml:space="preserve">IL</x:t>
        </x:is>
      </x:c>
      <x:c r="C238" s="12" t="inlineStr">
        <x:is>
          <x:t xml:space="preserve">Master's</x:t>
        </x:is>
      </x:c>
      <x:c r="D238" s="13" t="n">
        <x:v>5</x:v>
      </x:c>
      <x:c r="E238" s="14" t="n">
        <x:v>82139.7</x:v>
      </x:c>
      <x:c r="F238" s="83" t="inlineStr">
        <x:is>
          <x:t xml:space="preserve">2026-06-11</x:t>
        </x:is>
      </x:c>
      <x:c r="G238" s="7" t="n"/>
      <x:c r="H238" s="7" t="n"/>
      <x:c r="I238" s="7" t="n"/>
      <x:c r="J238" s="7" t="n"/>
      <x:c r="K238" s="7" t="n"/>
      <x:c r="L238" s="7" t="n"/>
      <x:c r="M238" s="7" t="n"/>
      <x:c r="N238" s="7" t="n"/>
      <x:c r="O238" s="7" t="n"/>
      <x:c r="P238" s="7" t="n"/>
      <x:c r="Q238" s="7" t="n"/>
      <x:c r="R238" s="7" t="n"/>
      <x:c r="S238" s="7" t="n"/>
      <x:c r="T238" s="7" t="n"/>
      <x:c r="U238" s="7" t="n"/>
      <x:c r="V238" s="7" t="n"/>
      <x:c r="W238" s="7" t="n"/>
      <x:c r="X238" s="7" t="n"/>
      <x:c r="Y238" s="7" t="n"/>
      <x:c r="Z238" s="7" t="n"/>
      <x:c r="AA238" s="7" t="n"/>
      <x:c r="AB238" s="7" t="n"/>
    </x:row>
    <x:row r="239" ht="20" customHeight="1">
      <x:c r="A239" s="12" t="inlineStr">
        <x:is>
          <x:t xml:space="preserve">Chicago Public Schools</x:t>
        </x:is>
      </x:c>
      <x:c r="B239" s="12" t="inlineStr">
        <x:is>
          <x:t xml:space="preserve">IL</x:t>
        </x:is>
      </x:c>
      <x:c r="C239" s="12" t="inlineStr">
        <x:is>
          <x:t xml:space="preserve">Master's</x:t>
        </x:is>
      </x:c>
      <x:c r="D239" s="13" t="n">
        <x:v>6</x:v>
      </x:c>
      <x:c r="E239" s="14" t="n">
        <x:v>85011.02</x:v>
      </x:c>
      <x:c r="F239" s="83" t="inlineStr">
        <x:is>
          <x:t xml:space="preserve">2026-06-11</x:t>
        </x:is>
      </x:c>
      <x:c r="G239" s="7" t="n"/>
      <x:c r="H239" s="7" t="n"/>
      <x:c r="I239" s="7" t="n"/>
      <x:c r="J239" s="7" t="n"/>
      <x:c r="K239" s="7" t="n"/>
      <x:c r="L239" s="7" t="n"/>
      <x:c r="M239" s="7" t="n"/>
      <x:c r="N239" s="7" t="n"/>
      <x:c r="O239" s="7" t="n"/>
      <x:c r="P239" s="7" t="n"/>
      <x:c r="Q239" s="7" t="n"/>
      <x:c r="R239" s="7" t="n"/>
      <x:c r="S239" s="7" t="n"/>
      <x:c r="T239" s="7" t="n"/>
      <x:c r="U239" s="7" t="n"/>
      <x:c r="V239" s="7" t="n"/>
      <x:c r="W239" s="7" t="n"/>
      <x:c r="X239" s="7" t="n"/>
      <x:c r="Y239" s="7" t="n"/>
      <x:c r="Z239" s="7" t="n"/>
      <x:c r="AA239" s="7" t="n"/>
      <x:c r="AB239" s="7" t="n"/>
    </x:row>
    <x:row r="240" ht="20" customHeight="1">
      <x:c r="A240" s="12" t="inlineStr">
        <x:is>
          <x:t xml:space="preserve">Chicago Public Schools</x:t>
        </x:is>
      </x:c>
      <x:c r="B240" s="12" t="inlineStr">
        <x:is>
          <x:t xml:space="preserve">IL</x:t>
        </x:is>
      </x:c>
      <x:c r="C240" s="12" t="inlineStr">
        <x:is>
          <x:t xml:space="preserve">Master's</x:t>
        </x:is>
      </x:c>
      <x:c r="D240" s="13" t="n">
        <x:v>7</x:v>
      </x:c>
      <x:c r="E240" s="14" t="n">
        <x:v>87979.28999999999</x:v>
      </x:c>
      <x:c r="F240" s="83" t="inlineStr">
        <x:is>
          <x:t xml:space="preserve">2026-06-11</x:t>
        </x:is>
      </x:c>
      <x:c r="G240" s="7" t="n"/>
      <x:c r="H240" s="7" t="n"/>
      <x:c r="I240" s="7" t="n"/>
      <x:c r="J240" s="7" t="n"/>
      <x:c r="K240" s="7" t="n"/>
      <x:c r="L240" s="7" t="n"/>
      <x:c r="M240" s="7" t="n"/>
      <x:c r="N240" s="7" t="n"/>
      <x:c r="O240" s="7" t="n"/>
      <x:c r="P240" s="7" t="n"/>
      <x:c r="Q240" s="7" t="n"/>
      <x:c r="R240" s="7" t="n"/>
      <x:c r="S240" s="7" t="n"/>
      <x:c r="T240" s="7" t="n"/>
      <x:c r="U240" s="7" t="n"/>
      <x:c r="V240" s="7" t="n"/>
      <x:c r="W240" s="7" t="n"/>
      <x:c r="X240" s="7" t="n"/>
      <x:c r="Y240" s="7" t="n"/>
      <x:c r="Z240" s="7" t="n"/>
      <x:c r="AA240" s="7" t="n"/>
      <x:c r="AB240" s="7" t="n"/>
    </x:row>
    <x:row r="241" ht="20" customHeight="1">
      <x:c r="A241" s="12" t="inlineStr">
        <x:is>
          <x:t xml:space="preserve">Chicago Public Schools</x:t>
        </x:is>
      </x:c>
      <x:c r="B241" s="12" t="inlineStr">
        <x:is>
          <x:t xml:space="preserve">IL</x:t>
        </x:is>
      </x:c>
      <x:c r="C241" s="12" t="inlineStr">
        <x:is>
          <x:t xml:space="preserve">Master's</x:t>
        </x:is>
      </x:c>
      <x:c r="D241" s="13" t="n">
        <x:v>8</x:v>
      </x:c>
      <x:c r="E241" s="14" t="n">
        <x:v>91044.60000000001</x:v>
      </x:c>
      <x:c r="F241" s="83" t="inlineStr">
        <x:is>
          <x:t xml:space="preserve">2026-06-11</x:t>
        </x:is>
      </x:c>
      <x:c r="G241" s="7" t="n"/>
      <x:c r="H241" s="7" t="n"/>
      <x:c r="I241" s="7" t="n"/>
      <x:c r="J241" s="7" t="n"/>
      <x:c r="K241" s="7" t="n"/>
      <x:c r="L241" s="7" t="n"/>
      <x:c r="M241" s="7" t="n"/>
      <x:c r="N241" s="7" t="n"/>
      <x:c r="O241" s="7" t="n"/>
      <x:c r="P241" s="7" t="n"/>
      <x:c r="Q241" s="7" t="n"/>
      <x:c r="R241" s="7" t="n"/>
      <x:c r="S241" s="7" t="n"/>
      <x:c r="T241" s="7" t="n"/>
      <x:c r="U241" s="7" t="n"/>
      <x:c r="V241" s="7" t="n"/>
      <x:c r="W241" s="7" t="n"/>
      <x:c r="X241" s="7" t="n"/>
      <x:c r="Y241" s="7" t="n"/>
      <x:c r="Z241" s="7" t="n"/>
      <x:c r="AA241" s="7" t="n"/>
      <x:c r="AB241" s="7" t="n"/>
    </x:row>
    <x:row r="242" ht="20" customHeight="1">
      <x:c r="A242" s="12" t="inlineStr">
        <x:is>
          <x:t xml:space="preserve">Chicago Public Schools</x:t>
        </x:is>
      </x:c>
      <x:c r="B242" s="12" t="inlineStr">
        <x:is>
          <x:t xml:space="preserve">IL</x:t>
        </x:is>
      </x:c>
      <x:c r="C242" s="12" t="inlineStr">
        <x:is>
          <x:t xml:space="preserve">Master's</x:t>
        </x:is>
      </x:c>
      <x:c r="D242" s="13" t="n">
        <x:v>9</x:v>
      </x:c>
      <x:c r="E242" s="14" t="n">
        <x:v>94059.50999999999</x:v>
      </x:c>
      <x:c r="F242" s="83" t="inlineStr">
        <x:is>
          <x:t xml:space="preserve">2026-06-11</x:t>
        </x:is>
      </x:c>
      <x:c r="G242" s="7" t="n"/>
      <x:c r="H242" s="7" t="n"/>
      <x:c r="I242" s="7" t="n"/>
      <x:c r="J242" s="7" t="n"/>
      <x:c r="K242" s="7" t="n"/>
      <x:c r="L242" s="7" t="n"/>
      <x:c r="M242" s="7" t="n"/>
      <x:c r="N242" s="7" t="n"/>
      <x:c r="O242" s="7" t="n"/>
      <x:c r="P242" s="7" t="n"/>
      <x:c r="Q242" s="7" t="n"/>
      <x:c r="R242" s="7" t="n"/>
      <x:c r="S242" s="7" t="n"/>
      <x:c r="T242" s="7" t="n"/>
      <x:c r="U242" s="7" t="n"/>
      <x:c r="V242" s="7" t="n"/>
      <x:c r="W242" s="7" t="n"/>
      <x:c r="X242" s="7" t="n"/>
      <x:c r="Y242" s="7" t="n"/>
      <x:c r="Z242" s="7" t="n"/>
      <x:c r="AA242" s="7" t="n"/>
      <x:c r="AB242" s="7" t="n"/>
    </x:row>
    <x:row r="243" ht="20" customHeight="1">
      <x:c r="A243" s="12" t="inlineStr">
        <x:is>
          <x:t xml:space="preserve">Chicago Public Schools</x:t>
        </x:is>
      </x:c>
      <x:c r="B243" s="12" t="inlineStr">
        <x:is>
          <x:t xml:space="preserve">IL</x:t>
        </x:is>
      </x:c>
      <x:c r="C243" s="12" t="inlineStr">
        <x:is>
          <x:t xml:space="preserve">Master's</x:t>
        </x:is>
      </x:c>
      <x:c r="D243" s="13" t="n">
        <x:v>10</x:v>
      </x:c>
      <x:c r="E243" s="14" t="n">
        <x:v>96963.03</x:v>
      </x:c>
      <x:c r="F243" s="83" t="inlineStr">
        <x:is>
          <x:t xml:space="preserve">2026-06-11</x:t>
        </x:is>
      </x:c>
      <x:c r="G243" s="7" t="n"/>
      <x:c r="H243" s="7" t="n"/>
      <x:c r="I243" s="7" t="n"/>
      <x:c r="J243" s="7" t="n"/>
      <x:c r="K243" s="7" t="n"/>
      <x:c r="L243" s="7" t="n"/>
      <x:c r="M243" s="7" t="n"/>
      <x:c r="N243" s="7" t="n"/>
      <x:c r="O243" s="7" t="n"/>
      <x:c r="P243" s="7" t="n"/>
      <x:c r="Q243" s="7" t="n"/>
      <x:c r="R243" s="7" t="n"/>
      <x:c r="S243" s="7" t="n"/>
      <x:c r="T243" s="7" t="n"/>
      <x:c r="U243" s="7" t="n"/>
      <x:c r="V243" s="7" t="n"/>
      <x:c r="W243" s="7" t="n"/>
      <x:c r="X243" s="7" t="n"/>
      <x:c r="Y243" s="7" t="n"/>
      <x:c r="Z243" s="7" t="n"/>
      <x:c r="AA243" s="7" t="n"/>
      <x:c r="AB243" s="7" t="n"/>
    </x:row>
    <x:row r="244" ht="20" customHeight="1">
      <x:c r="A244" s="12" t="inlineStr">
        <x:is>
          <x:t xml:space="preserve">Cobb County School District</x:t>
        </x:is>
      </x:c>
      <x:c r="B244" s="12" t="inlineStr">
        <x:is>
          <x:t xml:space="preserve">GA</x:t>
        </x:is>
      </x:c>
      <x:c r="C244" s="12" t="inlineStr">
        <x:is>
          <x:t xml:space="preserve">Bachelor's</x:t>
        </x:is>
      </x:c>
      <x:c r="D244" s="13" t="n">
        <x:v>0</x:v>
      </x:c>
      <x:c r="E244" s="14" t="n">
        <x:v>60604</x:v>
      </x:c>
      <x:c r="F244" s="83" t="inlineStr">
        <x:is>
          <x:t xml:space="preserve">2026-06-13</x:t>
        </x:is>
      </x:c>
      <x:c r="G244" s="7" t="n"/>
      <x:c r="H244" s="7" t="n"/>
      <x:c r="I244" s="7" t="n"/>
      <x:c r="J244" s="7" t="n"/>
      <x:c r="K244" s="7" t="n"/>
      <x:c r="L244" s="7" t="n"/>
      <x:c r="M244" s="7" t="n"/>
      <x:c r="N244" s="7" t="n"/>
      <x:c r="O244" s="7" t="n"/>
      <x:c r="P244" s="7" t="n"/>
      <x:c r="Q244" s="7" t="n"/>
      <x:c r="R244" s="7" t="n"/>
      <x:c r="S244" s="7" t="n"/>
      <x:c r="T244" s="7" t="n"/>
      <x:c r="U244" s="7" t="n"/>
      <x:c r="V244" s="7" t="n"/>
      <x:c r="W244" s="7" t="n"/>
      <x:c r="X244" s="7" t="n"/>
      <x:c r="Y244" s="7" t="n"/>
      <x:c r="Z244" s="7" t="n"/>
      <x:c r="AA244" s="7" t="n"/>
      <x:c r="AB244" s="7" t="n"/>
    </x:row>
    <x:row r="245" ht="20" customHeight="1">
      <x:c r="A245" s="12" t="inlineStr">
        <x:is>
          <x:t xml:space="preserve">Cobb County School District</x:t>
        </x:is>
      </x:c>
      <x:c r="B245" s="12" t="inlineStr">
        <x:is>
          <x:t xml:space="preserve">GA</x:t>
        </x:is>
      </x:c>
      <x:c r="C245" s="12" t="inlineStr">
        <x:is>
          <x:t xml:space="preserve">Bachelor's</x:t>
        </x:is>
      </x:c>
      <x:c r="D245" s="13" t="n">
        <x:v>1</x:v>
      </x:c>
      <x:c r="E245" s="14" t="n">
        <x:v>60604</x:v>
      </x:c>
      <x:c r="F245" s="83" t="inlineStr">
        <x:is>
          <x:t xml:space="preserve">2026-06-13</x:t>
        </x:is>
      </x:c>
      <x:c r="G245" s="7" t="n"/>
      <x:c r="H245" s="7" t="n"/>
      <x:c r="I245" s="7" t="n"/>
      <x:c r="J245" s="7" t="n"/>
      <x:c r="K245" s="7" t="n"/>
      <x:c r="L245" s="7" t="n"/>
      <x:c r="M245" s="7" t="n"/>
      <x:c r="N245" s="7" t="n"/>
      <x:c r="O245" s="7" t="n"/>
      <x:c r="P245" s="7" t="n"/>
      <x:c r="Q245" s="7" t="n"/>
      <x:c r="R245" s="7" t="n"/>
      <x:c r="S245" s="7" t="n"/>
      <x:c r="T245" s="7" t="n"/>
      <x:c r="U245" s="7" t="n"/>
      <x:c r="V245" s="7" t="n"/>
      <x:c r="W245" s="7" t="n"/>
      <x:c r="X245" s="7" t="n"/>
      <x:c r="Y245" s="7" t="n"/>
      <x:c r="Z245" s="7" t="n"/>
      <x:c r="AA245" s="7" t="n"/>
      <x:c r="AB245" s="7" t="n"/>
    </x:row>
    <x:row r="246" ht="20" customHeight="1">
      <x:c r="A246" s="12" t="inlineStr">
        <x:is>
          <x:t xml:space="preserve">Cobb County School District</x:t>
        </x:is>
      </x:c>
      <x:c r="B246" s="12" t="inlineStr">
        <x:is>
          <x:t xml:space="preserve">GA</x:t>
        </x:is>
      </x:c>
      <x:c r="C246" s="12" t="inlineStr">
        <x:is>
          <x:t xml:space="preserve">Bachelor's</x:t>
        </x:is>
      </x:c>
      <x:c r="D246" s="13" t="n">
        <x:v>2</x:v>
      </x:c>
      <x:c r="E246" s="14" t="n">
        <x:v>60604</x:v>
      </x:c>
      <x:c r="F246" s="83" t="inlineStr">
        <x:is>
          <x:t xml:space="preserve">2026-06-13</x:t>
        </x:is>
      </x:c>
      <x:c r="G246" s="7" t="n"/>
      <x:c r="H246" s="7" t="n"/>
      <x:c r="I246" s="7" t="n"/>
      <x:c r="J246" s="7" t="n"/>
      <x:c r="K246" s="7" t="n"/>
      <x:c r="L246" s="7" t="n"/>
      <x:c r="M246" s="7" t="n"/>
      <x:c r="N246" s="7" t="n"/>
      <x:c r="O246" s="7" t="n"/>
      <x:c r="P246" s="7" t="n"/>
      <x:c r="Q246" s="7" t="n"/>
      <x:c r="R246" s="7" t="n"/>
      <x:c r="S246" s="7" t="n"/>
      <x:c r="T246" s="7" t="n"/>
      <x:c r="U246" s="7" t="n"/>
      <x:c r="V246" s="7" t="n"/>
      <x:c r="W246" s="7" t="n"/>
      <x:c r="X246" s="7" t="n"/>
      <x:c r="Y246" s="7" t="n"/>
      <x:c r="Z246" s="7" t="n"/>
      <x:c r="AA246" s="7" t="n"/>
      <x:c r="AB246" s="7" t="n"/>
    </x:row>
    <x:row r="247" ht="20" customHeight="1">
      <x:c r="A247" s="12" t="inlineStr">
        <x:is>
          <x:t xml:space="preserve">Cobb County School District</x:t>
        </x:is>
      </x:c>
      <x:c r="B247" s="12" t="inlineStr">
        <x:is>
          <x:t xml:space="preserve">GA</x:t>
        </x:is>
      </x:c>
      <x:c r="C247" s="12" t="inlineStr">
        <x:is>
          <x:t xml:space="preserve">Bachelor's</x:t>
        </x:is>
      </x:c>
      <x:c r="D247" s="13" t="n">
        <x:v>3</x:v>
      </x:c>
      <x:c r="E247" s="14" t="n">
        <x:v>60604</x:v>
      </x:c>
      <x:c r="F247" s="83" t="inlineStr">
        <x:is>
          <x:t xml:space="preserve">2026-06-13</x:t>
        </x:is>
      </x:c>
      <x:c r="G247" s="7" t="n"/>
      <x:c r="H247" s="7" t="n"/>
      <x:c r="I247" s="7" t="n"/>
      <x:c r="J247" s="7" t="n"/>
      <x:c r="K247" s="7" t="n"/>
      <x:c r="L247" s="7" t="n"/>
      <x:c r="M247" s="7" t="n"/>
      <x:c r="N247" s="7" t="n"/>
      <x:c r="O247" s="7" t="n"/>
      <x:c r="P247" s="7" t="n"/>
      <x:c r="Q247" s="7" t="n"/>
      <x:c r="R247" s="7" t="n"/>
      <x:c r="S247" s="7" t="n"/>
      <x:c r="T247" s="7" t="n"/>
      <x:c r="U247" s="7" t="n"/>
      <x:c r="V247" s="7" t="n"/>
      <x:c r="W247" s="7" t="n"/>
      <x:c r="X247" s="7" t="n"/>
      <x:c r="Y247" s="7" t="n"/>
      <x:c r="Z247" s="7" t="n"/>
      <x:c r="AA247" s="7" t="n"/>
      <x:c r="AB247" s="7" t="n"/>
    </x:row>
    <x:row r="248" ht="20" customHeight="1">
      <x:c r="A248" s="12" t="inlineStr">
        <x:is>
          <x:t xml:space="preserve">Cobb County School District</x:t>
        </x:is>
      </x:c>
      <x:c r="B248" s="12" t="inlineStr">
        <x:is>
          <x:t xml:space="preserve">GA</x:t>
        </x:is>
      </x:c>
      <x:c r="C248" s="12" t="inlineStr">
        <x:is>
          <x:t xml:space="preserve">Bachelor's</x:t>
        </x:is>
      </x:c>
      <x:c r="D248" s="13" t="n">
        <x:v>4</x:v>
      </x:c>
      <x:c r="E248" s="14" t="n">
        <x:v>61463</x:v>
      </x:c>
      <x:c r="F248" s="83" t="inlineStr">
        <x:is>
          <x:t xml:space="preserve">2026-06-13</x:t>
        </x:is>
      </x:c>
      <x:c r="G248" s="7" t="n"/>
      <x:c r="H248" s="7" t="n"/>
      <x:c r="I248" s="7" t="n"/>
      <x:c r="J248" s="7" t="n"/>
      <x:c r="K248" s="7" t="n"/>
      <x:c r="L248" s="7" t="n"/>
      <x:c r="M248" s="7" t="n"/>
      <x:c r="N248" s="7" t="n"/>
      <x:c r="O248" s="7" t="n"/>
      <x:c r="P248" s="7" t="n"/>
      <x:c r="Q248" s="7" t="n"/>
      <x:c r="R248" s="7" t="n"/>
      <x:c r="S248" s="7" t="n"/>
      <x:c r="T248" s="7" t="n"/>
      <x:c r="U248" s="7" t="n"/>
      <x:c r="V248" s="7" t="n"/>
      <x:c r="W248" s="7" t="n"/>
      <x:c r="X248" s="7" t="n"/>
      <x:c r="Y248" s="7" t="n"/>
      <x:c r="Z248" s="7" t="n"/>
      <x:c r="AA248" s="7" t="n"/>
      <x:c r="AB248" s="7" t="n"/>
    </x:row>
    <x:row r="249" ht="20" customHeight="1">
      <x:c r="A249" s="12" t="inlineStr">
        <x:is>
          <x:t xml:space="preserve">Cobb County School District</x:t>
        </x:is>
      </x:c>
      <x:c r="B249" s="12" t="inlineStr">
        <x:is>
          <x:t xml:space="preserve">GA</x:t>
        </x:is>
      </x:c>
      <x:c r="C249" s="12" t="inlineStr">
        <x:is>
          <x:t xml:space="preserve">Bachelor's</x:t>
        </x:is>
      </x:c>
      <x:c r="D249" s="13" t="n">
        <x:v>5</x:v>
      </x:c>
      <x:c r="E249" s="14" t="n">
        <x:v>62222</x:v>
      </x:c>
      <x:c r="F249" s="83" t="inlineStr">
        <x:is>
          <x:t xml:space="preserve">2026-06-13</x:t>
        </x:is>
      </x:c>
      <x:c r="G249" s="7" t="n"/>
      <x:c r="H249" s="7" t="n"/>
      <x:c r="I249" s="7" t="n"/>
      <x:c r="J249" s="7" t="n"/>
      <x:c r="K249" s="7" t="n"/>
      <x:c r="L249" s="7" t="n"/>
      <x:c r="M249" s="7" t="n"/>
      <x:c r="N249" s="7" t="n"/>
      <x:c r="O249" s="7" t="n"/>
      <x:c r="P249" s="7" t="n"/>
      <x:c r="Q249" s="7" t="n"/>
      <x:c r="R249" s="7" t="n"/>
      <x:c r="S249" s="7" t="n"/>
      <x:c r="T249" s="7" t="n"/>
      <x:c r="U249" s="7" t="n"/>
      <x:c r="V249" s="7" t="n"/>
      <x:c r="W249" s="7" t="n"/>
      <x:c r="X249" s="7" t="n"/>
      <x:c r="Y249" s="7" t="n"/>
      <x:c r="Z249" s="7" t="n"/>
      <x:c r="AA249" s="7" t="n"/>
      <x:c r="AB249" s="7" t="n"/>
    </x:row>
    <x:row r="250" ht="20" customHeight="1">
      <x:c r="A250" s="12" t="inlineStr">
        <x:is>
          <x:t xml:space="preserve">Cobb County School District</x:t>
        </x:is>
      </x:c>
      <x:c r="B250" s="12" t="inlineStr">
        <x:is>
          <x:t xml:space="preserve">GA</x:t>
        </x:is>
      </x:c>
      <x:c r="C250" s="12" t="inlineStr">
        <x:is>
          <x:t xml:space="preserve">Bachelor's</x:t>
        </x:is>
      </x:c>
      <x:c r="D250" s="13" t="n">
        <x:v>6</x:v>
      </x:c>
      <x:c r="E250" s="14" t="n">
        <x:v>63275</x:v>
      </x:c>
      <x:c r="F250" s="83" t="inlineStr">
        <x:is>
          <x:t xml:space="preserve">2026-06-13</x:t>
        </x:is>
      </x:c>
      <x:c r="G250" s="7" t="n"/>
      <x:c r="H250" s="7" t="n"/>
      <x:c r="I250" s="7" t="n"/>
      <x:c r="J250" s="7" t="n"/>
      <x:c r="K250" s="7" t="n"/>
      <x:c r="L250" s="7" t="n"/>
      <x:c r="M250" s="7" t="n"/>
      <x:c r="N250" s="7" t="n"/>
      <x:c r="O250" s="7" t="n"/>
      <x:c r="P250" s="7" t="n"/>
      <x:c r="Q250" s="7" t="n"/>
      <x:c r="R250" s="7" t="n"/>
      <x:c r="S250" s="7" t="n"/>
      <x:c r="T250" s="7" t="n"/>
      <x:c r="U250" s="7" t="n"/>
      <x:c r="V250" s="7" t="n"/>
      <x:c r="W250" s="7" t="n"/>
      <x:c r="X250" s="7" t="n"/>
      <x:c r="Y250" s="7" t="n"/>
      <x:c r="Z250" s="7" t="n"/>
      <x:c r="AA250" s="7" t="n"/>
      <x:c r="AB250" s="7" t="n"/>
    </x:row>
    <x:row r="251" ht="20" customHeight="1">
      <x:c r="A251" s="12" t="inlineStr">
        <x:is>
          <x:t xml:space="preserve">Cobb County School District</x:t>
        </x:is>
      </x:c>
      <x:c r="B251" s="12" t="inlineStr">
        <x:is>
          <x:t xml:space="preserve">GA</x:t>
        </x:is>
      </x:c>
      <x:c r="C251" s="12" t="inlineStr">
        <x:is>
          <x:t xml:space="preserve">Bachelor's</x:t>
        </x:is>
      </x:c>
      <x:c r="D251" s="13" t="n">
        <x:v>7</x:v>
      </x:c>
      <x:c r="E251" s="14" t="n">
        <x:v>65803</x:v>
      </x:c>
      <x:c r="F251" s="83" t="inlineStr">
        <x:is>
          <x:t xml:space="preserve">2026-06-13</x:t>
        </x:is>
      </x:c>
      <x:c r="G251" s="7" t="n"/>
      <x:c r="H251" s="7" t="n"/>
      <x:c r="I251" s="7" t="n"/>
      <x:c r="J251" s="7" t="n"/>
      <x:c r="K251" s="7" t="n"/>
      <x:c r="L251" s="7" t="n"/>
      <x:c r="M251" s="7" t="n"/>
      <x:c r="N251" s="7" t="n"/>
      <x:c r="O251" s="7" t="n"/>
      <x:c r="P251" s="7" t="n"/>
      <x:c r="Q251" s="7" t="n"/>
      <x:c r="R251" s="7" t="n"/>
      <x:c r="S251" s="7" t="n"/>
      <x:c r="T251" s="7" t="n"/>
      <x:c r="U251" s="7" t="n"/>
      <x:c r="V251" s="7" t="n"/>
      <x:c r="W251" s="7" t="n"/>
      <x:c r="X251" s="7" t="n"/>
      <x:c r="Y251" s="7" t="n"/>
      <x:c r="Z251" s="7" t="n"/>
      <x:c r="AA251" s="7" t="n"/>
      <x:c r="AB251" s="7" t="n"/>
    </x:row>
    <x:row r="252" ht="20" customHeight="1">
      <x:c r="A252" s="12" t="inlineStr">
        <x:is>
          <x:t xml:space="preserve">Cobb County School District</x:t>
        </x:is>
      </x:c>
      <x:c r="B252" s="12" t="inlineStr">
        <x:is>
          <x:t xml:space="preserve">GA</x:t>
        </x:is>
      </x:c>
      <x:c r="C252" s="12" t="inlineStr">
        <x:is>
          <x:t xml:space="preserve">Bachelor's</x:t>
        </x:is>
      </x:c>
      <x:c r="D252" s="13" t="n">
        <x:v>8</x:v>
      </x:c>
      <x:c r="E252" s="14" t="n">
        <x:v>67780</x:v>
      </x:c>
      <x:c r="F252" s="83" t="inlineStr">
        <x:is>
          <x:t xml:space="preserve">2026-06-13</x:t>
        </x:is>
      </x:c>
      <x:c r="G252" s="7" t="n"/>
      <x:c r="H252" s="7" t="n"/>
      <x:c r="I252" s="7" t="n"/>
      <x:c r="J252" s="7" t="n"/>
      <x:c r="K252" s="7" t="n"/>
      <x:c r="L252" s="7" t="n"/>
      <x:c r="M252" s="7" t="n"/>
      <x:c r="N252" s="7" t="n"/>
      <x:c r="O252" s="7" t="n"/>
      <x:c r="P252" s="7" t="n"/>
      <x:c r="Q252" s="7" t="n"/>
      <x:c r="R252" s="7" t="n"/>
      <x:c r="S252" s="7" t="n"/>
      <x:c r="T252" s="7" t="n"/>
      <x:c r="U252" s="7" t="n"/>
      <x:c r="V252" s="7" t="n"/>
      <x:c r="W252" s="7" t="n"/>
      <x:c r="X252" s="7" t="n"/>
      <x:c r="Y252" s="7" t="n"/>
      <x:c r="Z252" s="7" t="n"/>
      <x:c r="AA252" s="7" t="n"/>
      <x:c r="AB252" s="7" t="n"/>
    </x:row>
    <x:row r="253" ht="20" customHeight="1">
      <x:c r="A253" s="12" t="inlineStr">
        <x:is>
          <x:t xml:space="preserve">Cobb County School District</x:t>
        </x:is>
      </x:c>
      <x:c r="B253" s="12" t="inlineStr">
        <x:is>
          <x:t xml:space="preserve">GA</x:t>
        </x:is>
      </x:c>
      <x:c r="C253" s="12" t="inlineStr">
        <x:is>
          <x:t xml:space="preserve">Bachelor's</x:t>
        </x:is>
      </x:c>
      <x:c r="D253" s="13" t="n">
        <x:v>9</x:v>
      </x:c>
      <x:c r="E253" s="14" t="n">
        <x:v>70830</x:v>
      </x:c>
      <x:c r="F253" s="83" t="inlineStr">
        <x:is>
          <x:t xml:space="preserve">2026-06-13</x:t>
        </x:is>
      </x:c>
      <x:c r="G253" s="7" t="n"/>
      <x:c r="H253" s="7" t="n"/>
      <x:c r="I253" s="7" t="n"/>
      <x:c r="J253" s="7" t="n"/>
      <x:c r="K253" s="7" t="n"/>
      <x:c r="L253" s="7" t="n"/>
      <x:c r="M253" s="7" t="n"/>
      <x:c r="N253" s="7" t="n"/>
      <x:c r="O253" s="7" t="n"/>
      <x:c r="P253" s="7" t="n"/>
      <x:c r="Q253" s="7" t="n"/>
      <x:c r="R253" s="7" t="n"/>
      <x:c r="S253" s="7" t="n"/>
      <x:c r="T253" s="7" t="n"/>
      <x:c r="U253" s="7" t="n"/>
      <x:c r="V253" s="7" t="n"/>
      <x:c r="W253" s="7" t="n"/>
      <x:c r="X253" s="7" t="n"/>
      <x:c r="Y253" s="7" t="n"/>
      <x:c r="Z253" s="7" t="n"/>
      <x:c r="AA253" s="7" t="n"/>
      <x:c r="AB253" s="7" t="n"/>
    </x:row>
    <x:row r="254" ht="20" customHeight="1">
      <x:c r="A254" s="12" t="inlineStr">
        <x:is>
          <x:t xml:space="preserve">Cobb County School District</x:t>
        </x:is>
      </x:c>
      <x:c r="B254" s="12" t="inlineStr">
        <x:is>
          <x:t xml:space="preserve">GA</x:t>
        </x:is>
      </x:c>
      <x:c r="C254" s="12" t="inlineStr">
        <x:is>
          <x:t xml:space="preserve">Bachelor's</x:t>
        </x:is>
      </x:c>
      <x:c r="D254" s="13" t="n">
        <x:v>10</x:v>
      </x:c>
      <x:c r="E254" s="14" t="n">
        <x:v>72953</x:v>
      </x:c>
      <x:c r="F254" s="83" t="inlineStr">
        <x:is>
          <x:t xml:space="preserve">2026-06-13</x:t>
        </x:is>
      </x:c>
      <x:c r="G254" s="7" t="n"/>
      <x:c r="H254" s="7" t="n"/>
      <x:c r="I254" s="7" t="n"/>
      <x:c r="J254" s="7" t="n"/>
      <x:c r="K254" s="7" t="n"/>
      <x:c r="L254" s="7" t="n"/>
      <x:c r="M254" s="7" t="n"/>
      <x:c r="N254" s="7" t="n"/>
      <x:c r="O254" s="7" t="n"/>
      <x:c r="P254" s="7" t="n"/>
      <x:c r="Q254" s="7" t="n"/>
      <x:c r="R254" s="7" t="n"/>
      <x:c r="S254" s="7" t="n"/>
      <x:c r="T254" s="7" t="n"/>
      <x:c r="U254" s="7" t="n"/>
      <x:c r="V254" s="7" t="n"/>
      <x:c r="W254" s="7" t="n"/>
      <x:c r="X254" s="7" t="n"/>
      <x:c r="Y254" s="7" t="n"/>
      <x:c r="Z254" s="7" t="n"/>
      <x:c r="AA254" s="7" t="n"/>
      <x:c r="AB254" s="7" t="n"/>
    </x:row>
    <x:row r="255" ht="20" customHeight="1">
      <x:c r="A255" s="12" t="inlineStr">
        <x:is>
          <x:t xml:space="preserve">Cobb County School District</x:t>
        </x:is>
      </x:c>
      <x:c r="B255" s="12" t="inlineStr">
        <x:is>
          <x:t xml:space="preserve">GA</x:t>
        </x:is>
      </x:c>
      <x:c r="C255" s="12" t="inlineStr">
        <x:is>
          <x:t xml:space="preserve">Master's</x:t>
        </x:is>
      </x:c>
      <x:c r="D255" s="13" t="n">
        <x:v>0</x:v>
      </x:c>
      <x:c r="E255" s="14" t="n">
        <x:v>65731</x:v>
      </x:c>
      <x:c r="F255" s="83" t="inlineStr">
        <x:is>
          <x:t xml:space="preserve">2026-06-13</x:t>
        </x:is>
      </x:c>
      <x:c r="G255" s="7" t="n"/>
      <x:c r="H255" s="7" t="n"/>
      <x:c r="I255" s="7" t="n"/>
      <x:c r="J255" s="7" t="n"/>
      <x:c r="K255" s="7" t="n"/>
      <x:c r="L255" s="7" t="n"/>
      <x:c r="M255" s="7" t="n"/>
      <x:c r="N255" s="7" t="n"/>
      <x:c r="O255" s="7" t="n"/>
      <x:c r="P255" s="7" t="n"/>
      <x:c r="Q255" s="7" t="n"/>
      <x:c r="R255" s="7" t="n"/>
      <x:c r="S255" s="7" t="n"/>
      <x:c r="T255" s="7" t="n"/>
      <x:c r="U255" s="7" t="n"/>
      <x:c r="V255" s="7" t="n"/>
      <x:c r="W255" s="7" t="n"/>
      <x:c r="X255" s="7" t="n"/>
      <x:c r="Y255" s="7" t="n"/>
      <x:c r="Z255" s="7" t="n"/>
      <x:c r="AA255" s="7" t="n"/>
      <x:c r="AB255" s="7" t="n"/>
    </x:row>
    <x:row r="256" ht="20" customHeight="1">
      <x:c r="A256" s="12" t="inlineStr">
        <x:is>
          <x:t xml:space="preserve">Cobb County School District</x:t>
        </x:is>
      </x:c>
      <x:c r="B256" s="12" t="inlineStr">
        <x:is>
          <x:t xml:space="preserve">GA</x:t>
        </x:is>
      </x:c>
      <x:c r="C256" s="12" t="inlineStr">
        <x:is>
          <x:t xml:space="preserve">Master's</x:t>
        </x:is>
      </x:c>
      <x:c r="D256" s="13" t="n">
        <x:v>1</x:v>
      </x:c>
      <x:c r="E256" s="14" t="n">
        <x:v>65731</x:v>
      </x:c>
      <x:c r="F256" s="83" t="inlineStr">
        <x:is>
          <x:t xml:space="preserve">2026-06-13</x:t>
        </x:is>
      </x:c>
      <x:c r="G256" s="7" t="n"/>
      <x:c r="H256" s="7" t="n"/>
      <x:c r="I256" s="7" t="n"/>
      <x:c r="J256" s="7" t="n"/>
      <x:c r="K256" s="7" t="n"/>
      <x:c r="L256" s="7" t="n"/>
      <x:c r="M256" s="7" t="n"/>
      <x:c r="N256" s="7" t="n"/>
      <x:c r="O256" s="7" t="n"/>
      <x:c r="P256" s="7" t="n"/>
      <x:c r="Q256" s="7" t="n"/>
      <x:c r="R256" s="7" t="n"/>
      <x:c r="S256" s="7" t="n"/>
      <x:c r="T256" s="7" t="n"/>
      <x:c r="U256" s="7" t="n"/>
      <x:c r="V256" s="7" t="n"/>
      <x:c r="W256" s="7" t="n"/>
      <x:c r="X256" s="7" t="n"/>
      <x:c r="Y256" s="7" t="n"/>
      <x:c r="Z256" s="7" t="n"/>
      <x:c r="AA256" s="7" t="n"/>
      <x:c r="AB256" s="7" t="n"/>
    </x:row>
    <x:row r="257" ht="20" customHeight="1">
      <x:c r="A257" s="12" t="inlineStr">
        <x:is>
          <x:t xml:space="preserve">Cobb County School District</x:t>
        </x:is>
      </x:c>
      <x:c r="B257" s="12" t="inlineStr">
        <x:is>
          <x:t xml:space="preserve">GA</x:t>
        </x:is>
      </x:c>
      <x:c r="C257" s="12" t="inlineStr">
        <x:is>
          <x:t xml:space="preserve">Master's</x:t>
        </x:is>
      </x:c>
      <x:c r="D257" s="13" t="n">
        <x:v>2</x:v>
      </x:c>
      <x:c r="E257" s="14" t="n">
        <x:v>65731</x:v>
      </x:c>
      <x:c r="F257" s="83" t="inlineStr">
        <x:is>
          <x:t xml:space="preserve">2026-06-13</x:t>
        </x:is>
      </x:c>
      <x:c r="G257" s="7" t="n"/>
      <x:c r="H257" s="7" t="n"/>
      <x:c r="I257" s="7" t="n"/>
      <x:c r="J257" s="7" t="n"/>
      <x:c r="K257" s="7" t="n"/>
      <x:c r="L257" s="7" t="n"/>
      <x:c r="M257" s="7" t="n"/>
      <x:c r="N257" s="7" t="n"/>
      <x:c r="O257" s="7" t="n"/>
      <x:c r="P257" s="7" t="n"/>
      <x:c r="Q257" s="7" t="n"/>
      <x:c r="R257" s="7" t="n"/>
      <x:c r="S257" s="7" t="n"/>
      <x:c r="T257" s="7" t="n"/>
      <x:c r="U257" s="7" t="n"/>
      <x:c r="V257" s="7" t="n"/>
      <x:c r="W257" s="7" t="n"/>
      <x:c r="X257" s="7" t="n"/>
      <x:c r="Y257" s="7" t="n"/>
      <x:c r="Z257" s="7" t="n"/>
      <x:c r="AA257" s="7" t="n"/>
      <x:c r="AB257" s="7" t="n"/>
    </x:row>
    <x:row r="258" ht="20" customHeight="1">
      <x:c r="A258" s="12" t="inlineStr">
        <x:is>
          <x:t xml:space="preserve">Cobb County School District</x:t>
        </x:is>
      </x:c>
      <x:c r="B258" s="12" t="inlineStr">
        <x:is>
          <x:t xml:space="preserve">GA</x:t>
        </x:is>
      </x:c>
      <x:c r="C258" s="12" t="inlineStr">
        <x:is>
          <x:t xml:space="preserve">Master's</x:t>
        </x:is>
      </x:c>
      <x:c r="D258" s="13" t="n">
        <x:v>3</x:v>
      </x:c>
      <x:c r="E258" s="14" t="n">
        <x:v>65731</x:v>
      </x:c>
      <x:c r="F258" s="83" t="inlineStr">
        <x:is>
          <x:t xml:space="preserve">2026-06-13</x:t>
        </x:is>
      </x:c>
      <x:c r="G258" s="7" t="n"/>
      <x:c r="H258" s="7" t="n"/>
      <x:c r="I258" s="7" t="n"/>
      <x:c r="J258" s="7" t="n"/>
      <x:c r="K258" s="7" t="n"/>
      <x:c r="L258" s="7" t="n"/>
      <x:c r="M258" s="7" t="n"/>
      <x:c r="N258" s="7" t="n"/>
      <x:c r="O258" s="7" t="n"/>
      <x:c r="P258" s="7" t="n"/>
      <x:c r="Q258" s="7" t="n"/>
      <x:c r="R258" s="7" t="n"/>
      <x:c r="S258" s="7" t="n"/>
      <x:c r="T258" s="7" t="n"/>
      <x:c r="U258" s="7" t="n"/>
      <x:c r="V258" s="7" t="n"/>
      <x:c r="W258" s="7" t="n"/>
      <x:c r="X258" s="7" t="n"/>
      <x:c r="Y258" s="7" t="n"/>
      <x:c r="Z258" s="7" t="n"/>
      <x:c r="AA258" s="7" t="n"/>
      <x:c r="AB258" s="7" t="n"/>
    </x:row>
    <x:row r="259" ht="20" customHeight="1">
      <x:c r="A259" s="12" t="inlineStr">
        <x:is>
          <x:t xml:space="preserve">Cobb County School District</x:t>
        </x:is>
      </x:c>
      <x:c r="B259" s="12" t="inlineStr">
        <x:is>
          <x:t xml:space="preserve">GA</x:t>
        </x:is>
      </x:c>
      <x:c r="C259" s="12" t="inlineStr">
        <x:is>
          <x:t xml:space="preserve">Master's</x:t>
        </x:is>
      </x:c>
      <x:c r="D259" s="13" t="n">
        <x:v>4</x:v>
      </x:c>
      <x:c r="E259" s="14" t="n">
        <x:v>67705</x:v>
      </x:c>
      <x:c r="F259" s="83" t="inlineStr">
        <x:is>
          <x:t xml:space="preserve">2026-06-13</x:t>
        </x:is>
      </x:c>
      <x:c r="G259" s="7" t="n"/>
      <x:c r="H259" s="7" t="n"/>
      <x:c r="I259" s="7" t="n"/>
      <x:c r="J259" s="7" t="n"/>
      <x:c r="K259" s="7" t="n"/>
      <x:c r="L259" s="7" t="n"/>
      <x:c r="M259" s="7" t="n"/>
      <x:c r="N259" s="7" t="n"/>
      <x:c r="O259" s="7" t="n"/>
      <x:c r="P259" s="7" t="n"/>
      <x:c r="Q259" s="7" t="n"/>
      <x:c r="R259" s="7" t="n"/>
      <x:c r="S259" s="7" t="n"/>
      <x:c r="T259" s="7" t="n"/>
      <x:c r="U259" s="7" t="n"/>
      <x:c r="V259" s="7" t="n"/>
      <x:c r="W259" s="7" t="n"/>
      <x:c r="X259" s="7" t="n"/>
      <x:c r="Y259" s="7" t="n"/>
      <x:c r="Z259" s="7" t="n"/>
      <x:c r="AA259" s="7" t="n"/>
      <x:c r="AB259" s="7" t="n"/>
    </x:row>
    <x:row r="260" ht="20" customHeight="1">
      <x:c r="A260" s="12" t="inlineStr">
        <x:is>
          <x:t xml:space="preserve">Cobb County School District</x:t>
        </x:is>
      </x:c>
      <x:c r="B260" s="12" t="inlineStr">
        <x:is>
          <x:t xml:space="preserve">GA</x:t>
        </x:is>
      </x:c>
      <x:c r="C260" s="12" t="inlineStr">
        <x:is>
          <x:t xml:space="preserve">Master's</x:t>
        </x:is>
      </x:c>
      <x:c r="D260" s="13" t="n">
        <x:v>5</x:v>
      </x:c>
      <x:c r="E260" s="14" t="n">
        <x:v>69938</x:v>
      </x:c>
      <x:c r="F260" s="83" t="inlineStr">
        <x:is>
          <x:t xml:space="preserve">2026-06-13</x:t>
        </x:is>
      </x:c>
      <x:c r="G260" s="7" t="n"/>
      <x:c r="H260" s="7" t="n"/>
      <x:c r="I260" s="7" t="n"/>
      <x:c r="J260" s="7" t="n"/>
      <x:c r="K260" s="7" t="n"/>
      <x:c r="L260" s="7" t="n"/>
      <x:c r="M260" s="7" t="n"/>
      <x:c r="N260" s="7" t="n"/>
      <x:c r="O260" s="7" t="n"/>
      <x:c r="P260" s="7" t="n"/>
      <x:c r="Q260" s="7" t="n"/>
      <x:c r="R260" s="7" t="n"/>
      <x:c r="S260" s="7" t="n"/>
      <x:c r="T260" s="7" t="n"/>
      <x:c r="U260" s="7" t="n"/>
      <x:c r="V260" s="7" t="n"/>
      <x:c r="W260" s="7" t="n"/>
      <x:c r="X260" s="7" t="n"/>
      <x:c r="Y260" s="7" t="n"/>
      <x:c r="Z260" s="7" t="n"/>
      <x:c r="AA260" s="7" t="n"/>
      <x:c r="AB260" s="7" t="n"/>
    </x:row>
    <x:row r="261" ht="20" customHeight="1">
      <x:c r="A261" s="12" t="inlineStr">
        <x:is>
          <x:t xml:space="preserve">Cobb County School District</x:t>
        </x:is>
      </x:c>
      <x:c r="B261" s="12" t="inlineStr">
        <x:is>
          <x:t xml:space="preserve">GA</x:t>
        </x:is>
      </x:c>
      <x:c r="C261" s="12" t="inlineStr">
        <x:is>
          <x:t xml:space="preserve">Master's</x:t>
        </x:is>
      </x:c>
      <x:c r="D261" s="13" t="n">
        <x:v>6</x:v>
      </x:c>
      <x:c r="E261" s="14" t="n">
        <x:v>72034</x:v>
      </x:c>
      <x:c r="F261" s="83" t="inlineStr">
        <x:is>
          <x:t xml:space="preserve">2026-06-13</x:t>
        </x:is>
      </x:c>
      <x:c r="G261" s="7" t="n"/>
      <x:c r="H261" s="7" t="n"/>
      <x:c r="I261" s="7" t="n"/>
      <x:c r="J261" s="7" t="n"/>
      <x:c r="K261" s="7" t="n"/>
      <x:c r="L261" s="7" t="n"/>
      <x:c r="M261" s="7" t="n"/>
      <x:c r="N261" s="7" t="n"/>
      <x:c r="O261" s="7" t="n"/>
      <x:c r="P261" s="7" t="n"/>
      <x:c r="Q261" s="7" t="n"/>
      <x:c r="R261" s="7" t="n"/>
      <x:c r="S261" s="7" t="n"/>
      <x:c r="T261" s="7" t="n"/>
      <x:c r="U261" s="7" t="n"/>
      <x:c r="V261" s="7" t="n"/>
      <x:c r="W261" s="7" t="n"/>
      <x:c r="X261" s="7" t="n"/>
      <x:c r="Y261" s="7" t="n"/>
      <x:c r="Z261" s="7" t="n"/>
      <x:c r="AA261" s="7" t="n"/>
      <x:c r="AB261" s="7" t="n"/>
    </x:row>
    <x:row r="262" ht="20" customHeight="1">
      <x:c r="A262" s="12" t="inlineStr">
        <x:is>
          <x:t xml:space="preserve">Cobb County School District</x:t>
        </x:is>
      </x:c>
      <x:c r="B262" s="12" t="inlineStr">
        <x:is>
          <x:t xml:space="preserve">GA</x:t>
        </x:is>
      </x:c>
      <x:c r="C262" s="12" t="inlineStr">
        <x:is>
          <x:t xml:space="preserve">Master's</x:t>
        </x:is>
      </x:c>
      <x:c r="D262" s="13" t="n">
        <x:v>7</x:v>
      </x:c>
      <x:c r="E262" s="14" t="n">
        <x:v>74695</x:v>
      </x:c>
      <x:c r="F262" s="83" t="inlineStr">
        <x:is>
          <x:t xml:space="preserve">2026-06-13</x:t>
        </x:is>
      </x:c>
      <x:c r="G262" s="7" t="n"/>
      <x:c r="H262" s="7" t="n"/>
      <x:c r="I262" s="7" t="n"/>
      <x:c r="J262" s="7" t="n"/>
      <x:c r="K262" s="7" t="n"/>
      <x:c r="L262" s="7" t="n"/>
      <x:c r="M262" s="7" t="n"/>
      <x:c r="N262" s="7" t="n"/>
      <x:c r="O262" s="7" t="n"/>
      <x:c r="P262" s="7" t="n"/>
      <x:c r="Q262" s="7" t="n"/>
      <x:c r="R262" s="7" t="n"/>
      <x:c r="S262" s="7" t="n"/>
      <x:c r="T262" s="7" t="n"/>
      <x:c r="U262" s="7" t="n"/>
      <x:c r="V262" s="7" t="n"/>
      <x:c r="W262" s="7" t="n"/>
      <x:c r="X262" s="7" t="n"/>
      <x:c r="Y262" s="7" t="n"/>
      <x:c r="Z262" s="7" t="n"/>
      <x:c r="AA262" s="7" t="n"/>
      <x:c r="AB262" s="7" t="n"/>
    </x:row>
    <x:row r="263" ht="20" customHeight="1">
      <x:c r="A263" s="12" t="inlineStr">
        <x:is>
          <x:t xml:space="preserve">Cobb County School District</x:t>
        </x:is>
      </x:c>
      <x:c r="B263" s="12" t="inlineStr">
        <x:is>
          <x:t xml:space="preserve">GA</x:t>
        </x:is>
      </x:c>
      <x:c r="C263" s="12" t="inlineStr">
        <x:is>
          <x:t xml:space="preserve">Master's</x:t>
        </x:is>
      </x:c>
      <x:c r="D263" s="13" t="n">
        <x:v>8</x:v>
      </x:c>
      <x:c r="E263" s="14" t="n">
        <x:v>76936</x:v>
      </x:c>
      <x:c r="F263" s="83" t="inlineStr">
        <x:is>
          <x:t xml:space="preserve">2026-06-13</x:t>
        </x:is>
      </x:c>
      <x:c r="G263" s="7" t="n"/>
      <x:c r="H263" s="7" t="n"/>
      <x:c r="I263" s="7" t="n"/>
      <x:c r="J263" s="7" t="n"/>
      <x:c r="K263" s="7" t="n"/>
      <x:c r="L263" s="7" t="n"/>
      <x:c r="M263" s="7" t="n"/>
      <x:c r="N263" s="7" t="n"/>
      <x:c r="O263" s="7" t="n"/>
      <x:c r="P263" s="7" t="n"/>
      <x:c r="Q263" s="7" t="n"/>
      <x:c r="R263" s="7" t="n"/>
      <x:c r="S263" s="7" t="n"/>
      <x:c r="T263" s="7" t="n"/>
      <x:c r="U263" s="7" t="n"/>
      <x:c r="V263" s="7" t="n"/>
      <x:c r="W263" s="7" t="n"/>
      <x:c r="X263" s="7" t="n"/>
      <x:c r="Y263" s="7" t="n"/>
      <x:c r="Z263" s="7" t="n"/>
      <x:c r="AA263" s="7" t="n"/>
      <x:c r="AB263" s="7" t="n"/>
    </x:row>
    <x:row r="264" ht="20" customHeight="1">
      <x:c r="A264" s="12" t="inlineStr">
        <x:is>
          <x:t xml:space="preserve">Cobb County School District</x:t>
        </x:is>
      </x:c>
      <x:c r="B264" s="12" t="inlineStr">
        <x:is>
          <x:t xml:space="preserve">GA</x:t>
        </x:is>
      </x:c>
      <x:c r="C264" s="12" t="inlineStr">
        <x:is>
          <x:t xml:space="preserve">Master's</x:t>
        </x:is>
      </x:c>
      <x:c r="D264" s="13" t="n">
        <x:v>9</x:v>
      </x:c>
      <x:c r="E264" s="14" t="n">
        <x:v>80401</x:v>
      </x:c>
      <x:c r="F264" s="83" t="inlineStr">
        <x:is>
          <x:t xml:space="preserve">2026-06-13</x:t>
        </x:is>
      </x:c>
      <x:c r="G264" s="7" t="n"/>
      <x:c r="H264" s="7" t="n"/>
      <x:c r="I264" s="7" t="n"/>
      <x:c r="J264" s="7" t="n"/>
      <x:c r="K264" s="7" t="n"/>
      <x:c r="L264" s="7" t="n"/>
      <x:c r="M264" s="7" t="n"/>
      <x:c r="N264" s="7" t="n"/>
      <x:c r="O264" s="7" t="n"/>
      <x:c r="P264" s="7" t="n"/>
      <x:c r="Q264" s="7" t="n"/>
      <x:c r="R264" s="7" t="n"/>
      <x:c r="S264" s="7" t="n"/>
      <x:c r="T264" s="7" t="n"/>
      <x:c r="U264" s="7" t="n"/>
      <x:c r="V264" s="7" t="n"/>
      <x:c r="W264" s="7" t="n"/>
      <x:c r="X264" s="7" t="n"/>
      <x:c r="Y264" s="7" t="n"/>
      <x:c r="Z264" s="7" t="n"/>
      <x:c r="AA264" s="7" t="n"/>
      <x:c r="AB264" s="7" t="n"/>
    </x:row>
    <x:row r="265" ht="20" customHeight="1">
      <x:c r="A265" s="12" t="inlineStr">
        <x:is>
          <x:t xml:space="preserve">Cobb County School District</x:t>
        </x:is>
      </x:c>
      <x:c r="B265" s="12" t="inlineStr">
        <x:is>
          <x:t xml:space="preserve">GA</x:t>
        </x:is>
      </x:c>
      <x:c r="C265" s="12" t="inlineStr">
        <x:is>
          <x:t xml:space="preserve">Master's</x:t>
        </x:is>
      </x:c>
      <x:c r="D265" s="13" t="n">
        <x:v>10</x:v>
      </x:c>
      <x:c r="E265" s="14" t="n">
        <x:v>82813</x:v>
      </x:c>
      <x:c r="F265" s="83" t="inlineStr">
        <x:is>
          <x:t xml:space="preserve">2026-06-13</x:t>
        </x:is>
      </x:c>
      <x:c r="G265" s="7" t="n"/>
      <x:c r="H265" s="7" t="n"/>
      <x:c r="I265" s="7" t="n"/>
      <x:c r="J265" s="7" t="n"/>
      <x:c r="K265" s="7" t="n"/>
      <x:c r="L265" s="7" t="n"/>
      <x:c r="M265" s="7" t="n"/>
      <x:c r="N265" s="7" t="n"/>
      <x:c r="O265" s="7" t="n"/>
      <x:c r="P265" s="7" t="n"/>
      <x:c r="Q265" s="7" t="n"/>
      <x:c r="R265" s="7" t="n"/>
      <x:c r="S265" s="7" t="n"/>
      <x:c r="T265" s="7" t="n"/>
      <x:c r="U265" s="7" t="n"/>
      <x:c r="V265" s="7" t="n"/>
      <x:c r="W265" s="7" t="n"/>
      <x:c r="X265" s="7" t="n"/>
      <x:c r="Y265" s="7" t="n"/>
      <x:c r="Z265" s="7" t="n"/>
      <x:c r="AA265" s="7" t="n"/>
      <x:c r="AB265" s="7" t="n"/>
    </x:row>
    <x:row r="266" ht="20" customHeight="1">
      <x:c r="A266" s="79" t="inlineStr">
        <x:is>
          <x:t xml:space="preserve">Deer Park ISD</x:t>
        </x:is>
      </x:c>
      <x:c r="B266" s="79" t="inlineStr">
        <x:is>
          <x:t xml:space="preserve">TX</x:t>
        </x:is>
      </x:c>
      <x:c r="C266" s="79" t="inlineStr">
        <x:is>
          <x:t xml:space="preserve">Bachelor's</x:t>
        </x:is>
      </x:c>
      <x:c r="D266" s="79" t="n">
        <x:v>0</x:v>
      </x:c>
      <x:c r="E266" s="79" t="n">
        <x:v>63000</x:v>
      </x:c>
      <x:c r="F266" s="79" t="inlineStr">
        <x:is>
          <x:t xml:space="preserve">2026-06-16</x:t>
        </x:is>
      </x:c>
      <x:c r="G266" s="7" t="n"/>
      <x:c r="H266" s="7" t="n"/>
      <x:c r="I266" s="7" t="n"/>
      <x:c r="J266" s="7" t="n"/>
      <x:c r="K266" s="7" t="n"/>
      <x:c r="L266" s="7" t="n"/>
      <x:c r="M266" s="7" t="n"/>
      <x:c r="N266" s="7" t="n"/>
      <x:c r="O266" s="7" t="n"/>
      <x:c r="P266" s="7" t="n"/>
      <x:c r="Q266" s="7" t="n"/>
      <x:c r="R266" s="7" t="n"/>
      <x:c r="S266" s="7" t="n"/>
      <x:c r="T266" s="7" t="n"/>
      <x:c r="U266" s="7" t="n"/>
      <x:c r="V266" s="7" t="n"/>
      <x:c r="W266" s="7" t="n"/>
      <x:c r="X266" s="7" t="n"/>
      <x:c r="Y266" s="7" t="n"/>
      <x:c r="Z266" s="7" t="n"/>
      <x:c r="AA266" s="7" t="n"/>
      <x:c r="AB266" s="7" t="n"/>
    </x:row>
    <x:row r="267" ht="20" customHeight="1">
      <x:c r="A267" s="79" t="inlineStr">
        <x:is>
          <x:t xml:space="preserve">Deer Park ISD</x:t>
        </x:is>
      </x:c>
      <x:c r="B267" s="79" t="inlineStr">
        <x:is>
          <x:t xml:space="preserve">TX</x:t>
        </x:is>
      </x:c>
      <x:c r="C267" s="79" t="inlineStr">
        <x:is>
          <x:t xml:space="preserve">Bachelor's</x:t>
        </x:is>
      </x:c>
      <x:c r="D267" s="79" t="n">
        <x:v>1</x:v>
      </x:c>
      <x:c r="E267" s="79" t="n">
        <x:v>64500</x:v>
      </x:c>
      <x:c r="F267" s="79" t="inlineStr">
        <x:is>
          <x:t xml:space="preserve">2026-06-16</x:t>
        </x:is>
      </x:c>
      <x:c r="G267" s="7" t="n"/>
      <x:c r="H267" s="7" t="n"/>
      <x:c r="I267" s="7" t="n"/>
      <x:c r="J267" s="7" t="n"/>
      <x:c r="K267" s="7" t="n"/>
      <x:c r="L267" s="7" t="n"/>
      <x:c r="M267" s="7" t="n"/>
      <x:c r="N267" s="7" t="n"/>
      <x:c r="O267" s="7" t="n"/>
      <x:c r="P267" s="7" t="n"/>
      <x:c r="Q267" s="7" t="n"/>
      <x:c r="R267" s="7" t="n"/>
      <x:c r="S267" s="7" t="n"/>
      <x:c r="T267" s="7" t="n"/>
      <x:c r="U267" s="7" t="n"/>
      <x:c r="V267" s="7" t="n"/>
      <x:c r="W267" s="7" t="n"/>
      <x:c r="X267" s="7" t="n"/>
      <x:c r="Y267" s="7" t="n"/>
      <x:c r="Z267" s="7" t="n"/>
      <x:c r="AA267" s="7" t="n"/>
      <x:c r="AB267" s="7" t="n"/>
    </x:row>
    <x:row r="268" ht="20" customHeight="1">
      <x:c r="A268" s="79" t="inlineStr">
        <x:is>
          <x:t xml:space="preserve">Deer Park ISD</x:t>
        </x:is>
      </x:c>
      <x:c r="B268" s="79" t="inlineStr">
        <x:is>
          <x:t xml:space="preserve">TX</x:t>
        </x:is>
      </x:c>
      <x:c r="C268" s="79" t="inlineStr">
        <x:is>
          <x:t xml:space="preserve">Bachelor's</x:t>
        </x:is>
      </x:c>
      <x:c r="D268" s="79" t="n">
        <x:v>2</x:v>
      </x:c>
      <x:c r="E268" s="79" t="n">
        <x:v>66000</x:v>
      </x:c>
      <x:c r="F268" s="79" t="inlineStr">
        <x:is>
          <x:t xml:space="preserve">2026-06-16</x:t>
        </x:is>
      </x:c>
      <x:c r="G268" s="7" t="n"/>
      <x:c r="H268" s="7" t="n"/>
      <x:c r="I268" s="7" t="n"/>
      <x:c r="J268" s="7" t="n"/>
      <x:c r="K268" s="7" t="n"/>
      <x:c r="L268" s="7" t="n"/>
      <x:c r="M268" s="7" t="n"/>
      <x:c r="N268" s="7" t="n"/>
      <x:c r="O268" s="7" t="n"/>
      <x:c r="P268" s="7" t="n"/>
      <x:c r="Q268" s="7" t="n"/>
      <x:c r="R268" s="7" t="n"/>
      <x:c r="S268" s="7" t="n"/>
      <x:c r="T268" s="7" t="n"/>
      <x:c r="U268" s="7" t="n"/>
      <x:c r="V268" s="7" t="n"/>
      <x:c r="W268" s="7" t="n"/>
      <x:c r="X268" s="7" t="n"/>
      <x:c r="Y268" s="7" t="n"/>
      <x:c r="Z268" s="7" t="n"/>
      <x:c r="AA268" s="7" t="n"/>
      <x:c r="AB268" s="7" t="n"/>
    </x:row>
    <x:row r="269" ht="20" customHeight="1">
      <x:c r="A269" s="79" t="inlineStr">
        <x:is>
          <x:t xml:space="preserve">Deer Park ISD</x:t>
        </x:is>
      </x:c>
      <x:c r="B269" s="79" t="inlineStr">
        <x:is>
          <x:t xml:space="preserve">TX</x:t>
        </x:is>
      </x:c>
      <x:c r="C269" s="79" t="inlineStr">
        <x:is>
          <x:t xml:space="preserve">Bachelor's</x:t>
        </x:is>
      </x:c>
      <x:c r="D269" s="79" t="n">
        <x:v>3</x:v>
      </x:c>
      <x:c r="E269" s="79" t="n">
        <x:v>67500</x:v>
      </x:c>
      <x:c r="F269" s="79" t="inlineStr">
        <x:is>
          <x:t xml:space="preserve">2026-06-16</x:t>
        </x:is>
      </x:c>
      <x:c r="G269" s="7" t="n"/>
      <x:c r="H269" s="7" t="n"/>
      <x:c r="I269" s="7" t="n"/>
      <x:c r="J269" s="7" t="n"/>
      <x:c r="K269" s="7" t="n"/>
      <x:c r="L269" s="7" t="n"/>
      <x:c r="M269" s="7" t="n"/>
      <x:c r="N269" s="7" t="n"/>
      <x:c r="O269" s="7" t="n"/>
      <x:c r="P269" s="7" t="n"/>
      <x:c r="Q269" s="7" t="n"/>
      <x:c r="R269" s="7" t="n"/>
      <x:c r="S269" s="7" t="n"/>
      <x:c r="T269" s="7" t="n"/>
      <x:c r="U269" s="7" t="n"/>
      <x:c r="V269" s="7" t="n"/>
      <x:c r="W269" s="7" t="n"/>
      <x:c r="X269" s="7" t="n"/>
      <x:c r="Y269" s="7" t="n"/>
      <x:c r="Z269" s="7" t="n"/>
      <x:c r="AA269" s="7" t="n"/>
      <x:c r="AB269" s="7" t="n"/>
    </x:row>
    <x:row r="270" ht="20" customHeight="1">
      <x:c r="A270" s="79" t="inlineStr">
        <x:is>
          <x:t xml:space="preserve">Deer Park ISD</x:t>
        </x:is>
      </x:c>
      <x:c r="B270" s="79" t="inlineStr">
        <x:is>
          <x:t xml:space="preserve">TX</x:t>
        </x:is>
      </x:c>
      <x:c r="C270" s="79" t="inlineStr">
        <x:is>
          <x:t xml:space="preserve">Bachelor's</x:t>
        </x:is>
      </x:c>
      <x:c r="D270" s="79" t="n">
        <x:v>4</x:v>
      </x:c>
      <x:c r="E270" s="79" t="n">
        <x:v>69000</x:v>
      </x:c>
      <x:c r="F270" s="79" t="inlineStr">
        <x:is>
          <x:t xml:space="preserve">2026-06-16</x:t>
        </x:is>
      </x:c>
      <x:c r="G270" s="7" t="n"/>
      <x:c r="H270" s="7" t="n"/>
      <x:c r="I270" s="7" t="n"/>
      <x:c r="J270" s="7" t="n"/>
      <x:c r="K270" s="7" t="n"/>
      <x:c r="L270" s="7" t="n"/>
      <x:c r="M270" s="7" t="n"/>
      <x:c r="N270" s="7" t="n"/>
      <x:c r="O270" s="7" t="n"/>
      <x:c r="P270" s="7" t="n"/>
      <x:c r="Q270" s="7" t="n"/>
      <x:c r="R270" s="7" t="n"/>
      <x:c r="S270" s="7" t="n"/>
      <x:c r="T270" s="7" t="n"/>
      <x:c r="U270" s="7" t="n"/>
      <x:c r="V270" s="7" t="n"/>
      <x:c r="W270" s="7" t="n"/>
      <x:c r="X270" s="7" t="n"/>
      <x:c r="Y270" s="7" t="n"/>
      <x:c r="Z270" s="7" t="n"/>
      <x:c r="AA270" s="7" t="n"/>
      <x:c r="AB270" s="7" t="n"/>
    </x:row>
    <x:row r="271" ht="20" customHeight="1">
      <x:c r="A271" s="79" t="inlineStr">
        <x:is>
          <x:t xml:space="preserve">Deer Park ISD</x:t>
        </x:is>
      </x:c>
      <x:c r="B271" s="79" t="inlineStr">
        <x:is>
          <x:t xml:space="preserve">TX</x:t>
        </x:is>
      </x:c>
      <x:c r="C271" s="79" t="inlineStr">
        <x:is>
          <x:t xml:space="preserve">Bachelor's</x:t>
        </x:is>
      </x:c>
      <x:c r="D271" s="79" t="n">
        <x:v>5</x:v>
      </x:c>
      <x:c r="E271" s="79" t="n">
        <x:v>70500</x:v>
      </x:c>
      <x:c r="F271" s="79" t="inlineStr">
        <x:is>
          <x:t xml:space="preserve">2026-06-16</x:t>
        </x:is>
      </x:c>
      <x:c r="G271" s="7" t="n"/>
      <x:c r="H271" s="7" t="n"/>
      <x:c r="I271" s="7" t="n"/>
      <x:c r="J271" s="7" t="n"/>
      <x:c r="K271" s="7" t="n"/>
      <x:c r="L271" s="7" t="n"/>
      <x:c r="M271" s="7" t="n"/>
      <x:c r="N271" s="7" t="n"/>
      <x:c r="O271" s="7" t="n"/>
      <x:c r="P271" s="7" t="n"/>
      <x:c r="Q271" s="7" t="n"/>
      <x:c r="R271" s="7" t="n"/>
      <x:c r="S271" s="7" t="n"/>
      <x:c r="T271" s="7" t="n"/>
      <x:c r="U271" s="7" t="n"/>
      <x:c r="V271" s="7" t="n"/>
      <x:c r="W271" s="7" t="n"/>
      <x:c r="X271" s="7" t="n"/>
      <x:c r="Y271" s="7" t="n"/>
      <x:c r="Z271" s="7" t="n"/>
      <x:c r="AA271" s="7" t="n"/>
      <x:c r="AB271" s="7" t="n"/>
    </x:row>
    <x:row r="272" ht="20" customHeight="1">
      <x:c r="A272" s="79" t="inlineStr">
        <x:is>
          <x:t xml:space="preserve">Deer Park ISD</x:t>
        </x:is>
      </x:c>
      <x:c r="B272" s="79" t="inlineStr">
        <x:is>
          <x:t xml:space="preserve">TX</x:t>
        </x:is>
      </x:c>
      <x:c r="C272" s="79" t="inlineStr">
        <x:is>
          <x:t xml:space="preserve">Bachelor's</x:t>
        </x:is>
      </x:c>
      <x:c r="D272" s="79" t="n">
        <x:v>6</x:v>
      </x:c>
      <x:c r="E272" s="79" t="n">
        <x:v>72000</x:v>
      </x:c>
      <x:c r="F272" s="79" t="inlineStr">
        <x:is>
          <x:t xml:space="preserve">2026-06-16</x:t>
        </x:is>
      </x:c>
      <x:c r="G272" s="7" t="n"/>
      <x:c r="H272" s="7" t="n"/>
      <x:c r="I272" s="7" t="n"/>
      <x:c r="J272" s="7" t="n"/>
      <x:c r="K272" s="7" t="n"/>
      <x:c r="L272" s="7" t="n"/>
      <x:c r="M272" s="7" t="n"/>
      <x:c r="N272" s="7" t="n"/>
      <x:c r="O272" s="7" t="n"/>
      <x:c r="P272" s="7" t="n"/>
      <x:c r="Q272" s="7" t="n"/>
      <x:c r="R272" s="7" t="n"/>
      <x:c r="S272" s="7" t="n"/>
      <x:c r="T272" s="7" t="n"/>
      <x:c r="U272" s="7" t="n"/>
      <x:c r="V272" s="7" t="n"/>
      <x:c r="W272" s="7" t="n"/>
      <x:c r="X272" s="7" t="n"/>
      <x:c r="Y272" s="7" t="n"/>
      <x:c r="Z272" s="7" t="n"/>
      <x:c r="AA272" s="7" t="n"/>
      <x:c r="AB272" s="7" t="n"/>
    </x:row>
    <x:row r="273" ht="20" customHeight="1">
      <x:c r="A273" s="79" t="inlineStr">
        <x:is>
          <x:t xml:space="preserve">Deer Park ISD</x:t>
        </x:is>
      </x:c>
      <x:c r="B273" s="79" t="inlineStr">
        <x:is>
          <x:t xml:space="preserve">TX</x:t>
        </x:is>
      </x:c>
      <x:c r="C273" s="79" t="inlineStr">
        <x:is>
          <x:t xml:space="preserve">Bachelor's</x:t>
        </x:is>
      </x:c>
      <x:c r="D273" s="79" t="n">
        <x:v>7</x:v>
      </x:c>
      <x:c r="E273" s="79" t="n">
        <x:v>73500</x:v>
      </x:c>
      <x:c r="F273" s="79" t="inlineStr">
        <x:is>
          <x:t xml:space="preserve">2026-06-16</x:t>
        </x:is>
      </x:c>
      <x:c r="G273" s="7" t="n"/>
      <x:c r="H273" s="7" t="n"/>
      <x:c r="I273" s="7" t="n"/>
      <x:c r="J273" s="7" t="n"/>
      <x:c r="K273" s="7" t="n"/>
      <x:c r="L273" s="7" t="n"/>
      <x:c r="M273" s="7" t="n"/>
      <x:c r="N273" s="7" t="n"/>
      <x:c r="O273" s="7" t="n"/>
      <x:c r="P273" s="7" t="n"/>
      <x:c r="Q273" s="7" t="n"/>
      <x:c r="R273" s="7" t="n"/>
      <x:c r="S273" s="7" t="n"/>
      <x:c r="T273" s="7" t="n"/>
      <x:c r="U273" s="7" t="n"/>
      <x:c r="V273" s="7" t="n"/>
      <x:c r="W273" s="7" t="n"/>
      <x:c r="X273" s="7" t="n"/>
      <x:c r="Y273" s="7" t="n"/>
      <x:c r="Z273" s="7" t="n"/>
      <x:c r="AA273" s="7" t="n"/>
      <x:c r="AB273" s="7" t="n"/>
    </x:row>
    <x:row r="274" ht="20" customHeight="1">
      <x:c r="A274" s="79" t="inlineStr">
        <x:is>
          <x:t xml:space="preserve">Deer Park ISD</x:t>
        </x:is>
      </x:c>
      <x:c r="B274" s="79" t="inlineStr">
        <x:is>
          <x:t xml:space="preserve">TX</x:t>
        </x:is>
      </x:c>
      <x:c r="C274" s="79" t="inlineStr">
        <x:is>
          <x:t xml:space="preserve">Bachelor's</x:t>
        </x:is>
      </x:c>
      <x:c r="D274" s="79" t="n">
        <x:v>8</x:v>
      </x:c>
      <x:c r="E274" s="79" t="n">
        <x:v>75000</x:v>
      </x:c>
      <x:c r="F274" s="79" t="inlineStr">
        <x:is>
          <x:t xml:space="preserve">2026-06-16</x:t>
        </x:is>
      </x:c>
      <x:c r="G274" s="7" t="n"/>
      <x:c r="H274" s="7" t="n"/>
      <x:c r="I274" s="7" t="n"/>
      <x:c r="J274" s="7" t="n"/>
      <x:c r="K274" s="7" t="n"/>
      <x:c r="L274" s="7" t="n"/>
      <x:c r="M274" s="7" t="n"/>
      <x:c r="N274" s="7" t="n"/>
      <x:c r="O274" s="7" t="n"/>
      <x:c r="P274" s="7" t="n"/>
      <x:c r="Q274" s="7" t="n"/>
      <x:c r="R274" s="7" t="n"/>
      <x:c r="S274" s="7" t="n"/>
      <x:c r="T274" s="7" t="n"/>
      <x:c r="U274" s="7" t="n"/>
      <x:c r="V274" s="7" t="n"/>
      <x:c r="W274" s="7" t="n"/>
      <x:c r="X274" s="7" t="n"/>
      <x:c r="Y274" s="7" t="n"/>
      <x:c r="Z274" s="7" t="n"/>
      <x:c r="AA274" s="7" t="n"/>
      <x:c r="AB274" s="7" t="n"/>
    </x:row>
    <x:row r="275" ht="20" customHeight="1">
      <x:c r="A275" s="79" t="inlineStr">
        <x:is>
          <x:t xml:space="preserve">Deer Park ISD</x:t>
        </x:is>
      </x:c>
      <x:c r="B275" s="79" t="inlineStr">
        <x:is>
          <x:t xml:space="preserve">TX</x:t>
        </x:is>
      </x:c>
      <x:c r="C275" s="79" t="inlineStr">
        <x:is>
          <x:t xml:space="preserve">Bachelor's</x:t>
        </x:is>
      </x:c>
      <x:c r="D275" s="79" t="n">
        <x:v>9</x:v>
      </x:c>
      <x:c r="E275" s="79" t="n">
        <x:v>76500</x:v>
      </x:c>
      <x:c r="F275" s="79" t="inlineStr">
        <x:is>
          <x:t xml:space="preserve">2026-06-16</x:t>
        </x:is>
      </x:c>
      <x:c r="G275" s="7" t="n"/>
      <x:c r="H275" s="7" t="n"/>
      <x:c r="I275" s="7" t="n"/>
      <x:c r="J275" s="7" t="n"/>
      <x:c r="K275" s="7" t="n"/>
      <x:c r="L275" s="7" t="n"/>
      <x:c r="M275" s="7" t="n"/>
      <x:c r="N275" s="7" t="n"/>
      <x:c r="O275" s="7" t="n"/>
      <x:c r="P275" s="7" t="n"/>
      <x:c r="Q275" s="7" t="n"/>
      <x:c r="R275" s="7" t="n"/>
      <x:c r="S275" s="7" t="n"/>
      <x:c r="T275" s="7" t="n"/>
      <x:c r="U275" s="7" t="n"/>
      <x:c r="V275" s="7" t="n"/>
      <x:c r="W275" s="7" t="n"/>
      <x:c r="X275" s="7" t="n"/>
      <x:c r="Y275" s="7" t="n"/>
      <x:c r="Z275" s="7" t="n"/>
      <x:c r="AA275" s="7" t="n"/>
      <x:c r="AB275" s="7" t="n"/>
    </x:row>
    <x:row r="276" ht="20" customHeight="1">
      <x:c r="A276" s="79" t="inlineStr">
        <x:is>
          <x:t xml:space="preserve">Deer Park ISD</x:t>
        </x:is>
      </x:c>
      <x:c r="B276" s="79" t="inlineStr">
        <x:is>
          <x:t xml:space="preserve">TX</x:t>
        </x:is>
      </x:c>
      <x:c r="C276" s="79" t="inlineStr">
        <x:is>
          <x:t xml:space="preserve">Bachelor's</x:t>
        </x:is>
      </x:c>
      <x:c r="D276" s="79" t="n">
        <x:v>10</x:v>
      </x:c>
      <x:c r="E276" s="79" t="n">
        <x:v>78000</x:v>
      </x:c>
      <x:c r="F276" s="79" t="inlineStr">
        <x:is>
          <x:t xml:space="preserve">2026-06-16</x:t>
        </x:is>
      </x:c>
      <x:c r="G276" s="7" t="n"/>
      <x:c r="H276" s="7" t="n"/>
      <x:c r="I276" s="7" t="n"/>
      <x:c r="J276" s="7" t="n"/>
      <x:c r="K276" s="7" t="n"/>
      <x:c r="L276" s="7" t="n"/>
      <x:c r="M276" s="7" t="n"/>
      <x:c r="N276" s="7" t="n"/>
      <x:c r="O276" s="7" t="n"/>
      <x:c r="P276" s="7" t="n"/>
      <x:c r="Q276" s="7" t="n"/>
      <x:c r="R276" s="7" t="n"/>
      <x:c r="S276" s="7" t="n"/>
      <x:c r="T276" s="7" t="n"/>
      <x:c r="U276" s="7" t="n"/>
      <x:c r="V276" s="7" t="n"/>
      <x:c r="W276" s="7" t="n"/>
      <x:c r="X276" s="7" t="n"/>
      <x:c r="Y276" s="7" t="n"/>
      <x:c r="Z276" s="7" t="n"/>
      <x:c r="AA276" s="7" t="n"/>
      <x:c r="AB276" s="7" t="n"/>
    </x:row>
    <x:row r="277" ht="20" customHeight="1">
      <x:c r="A277" s="79" t="inlineStr">
        <x:is>
          <x:t xml:space="preserve">Deer Park ISD</x:t>
        </x:is>
      </x:c>
      <x:c r="B277" s="79" t="inlineStr">
        <x:is>
          <x:t xml:space="preserve">TX</x:t>
        </x:is>
      </x:c>
      <x:c r="C277" s="79" t="inlineStr">
        <x:is>
          <x:t xml:space="preserve">Master's</x:t>
        </x:is>
      </x:c>
      <x:c r="D277" s="79" t="n">
        <x:v>0</x:v>
      </x:c>
      <x:c r="E277" s="79" t="n">
        <x:v>63000</x:v>
      </x:c>
      <x:c r="F277" s="79" t="inlineStr">
        <x:is>
          <x:t xml:space="preserve">2026-06-16</x:t>
        </x:is>
      </x:c>
      <x:c r="G277" s="7" t="n"/>
      <x:c r="H277" s="7" t="n"/>
      <x:c r="I277" s="7" t="n"/>
      <x:c r="J277" s="7" t="n"/>
      <x:c r="K277" s="7" t="n"/>
      <x:c r="L277" s="7" t="n"/>
      <x:c r="M277" s="7" t="n"/>
      <x:c r="N277" s="7" t="n"/>
      <x:c r="O277" s="7" t="n"/>
      <x:c r="P277" s="7" t="n"/>
      <x:c r="Q277" s="7" t="n"/>
      <x:c r="R277" s="7" t="n"/>
      <x:c r="S277" s="7" t="n"/>
      <x:c r="T277" s="7" t="n"/>
      <x:c r="U277" s="7" t="n"/>
      <x:c r="V277" s="7" t="n"/>
      <x:c r="W277" s="7" t="n"/>
      <x:c r="X277" s="7" t="n"/>
      <x:c r="Y277" s="7" t="n"/>
      <x:c r="Z277" s="7" t="n"/>
      <x:c r="AA277" s="7" t="n"/>
      <x:c r="AB277" s="7" t="n"/>
    </x:row>
    <x:row r="278" ht="20" customHeight="1">
      <x:c r="A278" s="79" t="inlineStr">
        <x:is>
          <x:t xml:space="preserve">Deer Park ISD</x:t>
        </x:is>
      </x:c>
      <x:c r="B278" s="79" t="inlineStr">
        <x:is>
          <x:t xml:space="preserve">TX</x:t>
        </x:is>
      </x:c>
      <x:c r="C278" s="79" t="inlineStr">
        <x:is>
          <x:t xml:space="preserve">Master's</x:t>
        </x:is>
      </x:c>
      <x:c r="D278" s="79" t="n">
        <x:v>1</x:v>
      </x:c>
      <x:c r="E278" s="79" t="n">
        <x:v>64500</x:v>
      </x:c>
      <x:c r="F278" s="79" t="inlineStr">
        <x:is>
          <x:t xml:space="preserve">2026-06-16</x:t>
        </x:is>
      </x:c>
      <x:c r="G278" s="7" t="n"/>
      <x:c r="H278" s="7" t="n"/>
      <x:c r="I278" s="7" t="n"/>
      <x:c r="J278" s="7" t="n"/>
      <x:c r="K278" s="7" t="n"/>
      <x:c r="L278" s="7" t="n"/>
      <x:c r="M278" s="7" t="n"/>
      <x:c r="N278" s="7" t="n"/>
      <x:c r="O278" s="7" t="n"/>
      <x:c r="P278" s="7" t="n"/>
      <x:c r="Q278" s="7" t="n"/>
      <x:c r="R278" s="7" t="n"/>
      <x:c r="S278" s="7" t="n"/>
      <x:c r="T278" s="7" t="n"/>
      <x:c r="U278" s="7" t="n"/>
      <x:c r="V278" s="7" t="n"/>
      <x:c r="W278" s="7" t="n"/>
      <x:c r="X278" s="7" t="n"/>
      <x:c r="Y278" s="7" t="n"/>
      <x:c r="Z278" s="7" t="n"/>
      <x:c r="AA278" s="7" t="n"/>
      <x:c r="AB278" s="7" t="n"/>
    </x:row>
    <x:row r="279" ht="20" customHeight="1">
      <x:c r="A279" s="79" t="inlineStr">
        <x:is>
          <x:t xml:space="preserve">Deer Park ISD</x:t>
        </x:is>
      </x:c>
      <x:c r="B279" s="79" t="inlineStr">
        <x:is>
          <x:t xml:space="preserve">TX</x:t>
        </x:is>
      </x:c>
      <x:c r="C279" s="79" t="inlineStr">
        <x:is>
          <x:t xml:space="preserve">Master's</x:t>
        </x:is>
      </x:c>
      <x:c r="D279" s="79" t="n">
        <x:v>2</x:v>
      </x:c>
      <x:c r="E279" s="79" t="n">
        <x:v>66000</x:v>
      </x:c>
      <x:c r="F279" s="79" t="inlineStr">
        <x:is>
          <x:t xml:space="preserve">2026-06-16</x:t>
        </x:is>
      </x:c>
      <x:c r="G279" s="7" t="n"/>
      <x:c r="H279" s="7" t="n"/>
      <x:c r="I279" s="7" t="n"/>
      <x:c r="J279" s="7" t="n"/>
      <x:c r="K279" s="7" t="n"/>
      <x:c r="L279" s="7" t="n"/>
      <x:c r="M279" s="7" t="n"/>
      <x:c r="N279" s="7" t="n"/>
      <x:c r="O279" s="7" t="n"/>
      <x:c r="P279" s="7" t="n"/>
      <x:c r="Q279" s="7" t="n"/>
      <x:c r="R279" s="7" t="n"/>
      <x:c r="S279" s="7" t="n"/>
      <x:c r="T279" s="7" t="n"/>
      <x:c r="U279" s="7" t="n"/>
      <x:c r="V279" s="7" t="n"/>
      <x:c r="W279" s="7" t="n"/>
      <x:c r="X279" s="7" t="n"/>
      <x:c r="Y279" s="7" t="n"/>
      <x:c r="Z279" s="7" t="n"/>
      <x:c r="AA279" s="7" t="n"/>
      <x:c r="AB279" s="7" t="n"/>
    </x:row>
    <x:row r="280" ht="20" customHeight="1">
      <x:c r="A280" s="79" t="inlineStr">
        <x:is>
          <x:t xml:space="preserve">Deer Park ISD</x:t>
        </x:is>
      </x:c>
      <x:c r="B280" s="79" t="inlineStr">
        <x:is>
          <x:t xml:space="preserve">TX</x:t>
        </x:is>
      </x:c>
      <x:c r="C280" s="79" t="inlineStr">
        <x:is>
          <x:t xml:space="preserve">Master's</x:t>
        </x:is>
      </x:c>
      <x:c r="D280" s="79" t="n">
        <x:v>3</x:v>
      </x:c>
      <x:c r="E280" s="79" t="n">
        <x:v>67500</x:v>
      </x:c>
      <x:c r="F280" s="79" t="inlineStr">
        <x:is>
          <x:t xml:space="preserve">2026-06-16</x:t>
        </x:is>
      </x:c>
      <x:c r="G280" s="7" t="n"/>
      <x:c r="H280" s="7" t="n"/>
      <x:c r="I280" s="7" t="n"/>
      <x:c r="J280" s="7" t="n"/>
      <x:c r="K280" s="7" t="n"/>
      <x:c r="L280" s="7" t="n"/>
      <x:c r="M280" s="7" t="n"/>
      <x:c r="N280" s="7" t="n"/>
      <x:c r="O280" s="7" t="n"/>
      <x:c r="P280" s="7" t="n"/>
      <x:c r="Q280" s="7" t="n"/>
      <x:c r="R280" s="7" t="n"/>
      <x:c r="S280" s="7" t="n"/>
      <x:c r="T280" s="7" t="n"/>
      <x:c r="U280" s="7" t="n"/>
      <x:c r="V280" s="7" t="n"/>
      <x:c r="W280" s="7" t="n"/>
      <x:c r="X280" s="7" t="n"/>
      <x:c r="Y280" s="7" t="n"/>
      <x:c r="Z280" s="7" t="n"/>
      <x:c r="AA280" s="7" t="n"/>
      <x:c r="AB280" s="7" t="n"/>
    </x:row>
    <x:row r="281" ht="20" customHeight="1">
      <x:c r="A281" s="79" t="inlineStr">
        <x:is>
          <x:t xml:space="preserve">Deer Park ISD</x:t>
        </x:is>
      </x:c>
      <x:c r="B281" s="79" t="inlineStr">
        <x:is>
          <x:t xml:space="preserve">TX</x:t>
        </x:is>
      </x:c>
      <x:c r="C281" s="79" t="inlineStr">
        <x:is>
          <x:t xml:space="preserve">Master's</x:t>
        </x:is>
      </x:c>
      <x:c r="D281" s="79" t="n">
        <x:v>4</x:v>
      </x:c>
      <x:c r="E281" s="79" t="n">
        <x:v>69000</x:v>
      </x:c>
      <x:c r="F281" s="79" t="inlineStr">
        <x:is>
          <x:t xml:space="preserve">2026-06-16</x:t>
        </x:is>
      </x:c>
      <x:c r="G281" s="7" t="n"/>
      <x:c r="H281" s="7" t="n"/>
      <x:c r="I281" s="7" t="n"/>
      <x:c r="J281" s="7" t="n"/>
      <x:c r="K281" s="7" t="n"/>
      <x:c r="L281" s="7" t="n"/>
      <x:c r="M281" s="7" t="n"/>
      <x:c r="N281" s="7" t="n"/>
      <x:c r="O281" s="7" t="n"/>
      <x:c r="P281" s="7" t="n"/>
      <x:c r="Q281" s="7" t="n"/>
      <x:c r="R281" s="7" t="n"/>
      <x:c r="S281" s="7" t="n"/>
      <x:c r="T281" s="7" t="n"/>
      <x:c r="U281" s="7" t="n"/>
      <x:c r="V281" s="7" t="n"/>
      <x:c r="W281" s="7" t="n"/>
      <x:c r="X281" s="7" t="n"/>
      <x:c r="Y281" s="7" t="n"/>
      <x:c r="Z281" s="7" t="n"/>
      <x:c r="AA281" s="7" t="n"/>
      <x:c r="AB281" s="7" t="n"/>
    </x:row>
    <x:row r="282" ht="20" customHeight="1">
      <x:c r="A282" s="79" t="inlineStr">
        <x:is>
          <x:t xml:space="preserve">Deer Park ISD</x:t>
        </x:is>
      </x:c>
      <x:c r="B282" s="79" t="inlineStr">
        <x:is>
          <x:t xml:space="preserve">TX</x:t>
        </x:is>
      </x:c>
      <x:c r="C282" s="79" t="inlineStr">
        <x:is>
          <x:t xml:space="preserve">Master's</x:t>
        </x:is>
      </x:c>
      <x:c r="D282" s="79" t="n">
        <x:v>5</x:v>
      </x:c>
      <x:c r="E282" s="79" t="n">
        <x:v>70500</x:v>
      </x:c>
      <x:c r="F282" s="79" t="inlineStr">
        <x:is>
          <x:t xml:space="preserve">2026-06-16</x:t>
        </x:is>
      </x:c>
      <x:c r="G282" s="7" t="n"/>
      <x:c r="H282" s="7" t="n"/>
      <x:c r="I282" s="7" t="n"/>
      <x:c r="J282" s="7" t="n"/>
      <x:c r="K282" s="7" t="n"/>
      <x:c r="L282" s="7" t="n"/>
      <x:c r="M282" s="7" t="n"/>
      <x:c r="N282" s="7" t="n"/>
      <x:c r="O282" s="7" t="n"/>
      <x:c r="P282" s="7" t="n"/>
      <x:c r="Q282" s="7" t="n"/>
      <x:c r="R282" s="7" t="n"/>
      <x:c r="S282" s="7" t="n"/>
      <x:c r="T282" s="7" t="n"/>
      <x:c r="U282" s="7" t="n"/>
      <x:c r="V282" s="7" t="n"/>
      <x:c r="W282" s="7" t="n"/>
      <x:c r="X282" s="7" t="n"/>
      <x:c r="Y282" s="7" t="n"/>
      <x:c r="Z282" s="7" t="n"/>
      <x:c r="AA282" s="7" t="n"/>
      <x:c r="AB282" s="7" t="n"/>
    </x:row>
    <x:row r="283" ht="20" customHeight="1">
      <x:c r="A283" s="79" t="inlineStr">
        <x:is>
          <x:t xml:space="preserve">Deer Park ISD</x:t>
        </x:is>
      </x:c>
      <x:c r="B283" s="79" t="inlineStr">
        <x:is>
          <x:t xml:space="preserve">TX</x:t>
        </x:is>
      </x:c>
      <x:c r="C283" s="79" t="inlineStr">
        <x:is>
          <x:t xml:space="preserve">Master's</x:t>
        </x:is>
      </x:c>
      <x:c r="D283" s="79" t="n">
        <x:v>6</x:v>
      </x:c>
      <x:c r="E283" s="79" t="n">
        <x:v>72000</x:v>
      </x:c>
      <x:c r="F283" s="79" t="inlineStr">
        <x:is>
          <x:t xml:space="preserve">2026-06-16</x:t>
        </x:is>
      </x:c>
      <x:c r="G283" s="7" t="n"/>
      <x:c r="H283" s="7" t="n"/>
      <x:c r="I283" s="7" t="n"/>
      <x:c r="J283" s="7" t="n"/>
      <x:c r="K283" s="7" t="n"/>
      <x:c r="L283" s="7" t="n"/>
      <x:c r="M283" s="7" t="n"/>
      <x:c r="N283" s="7" t="n"/>
      <x:c r="O283" s="7" t="n"/>
      <x:c r="P283" s="7" t="n"/>
      <x:c r="Q283" s="7" t="n"/>
      <x:c r="R283" s="7" t="n"/>
      <x:c r="S283" s="7" t="n"/>
      <x:c r="T283" s="7" t="n"/>
      <x:c r="U283" s="7" t="n"/>
      <x:c r="V283" s="7" t="n"/>
      <x:c r="W283" s="7" t="n"/>
      <x:c r="X283" s="7" t="n"/>
      <x:c r="Y283" s="7" t="n"/>
      <x:c r="Z283" s="7" t="n"/>
      <x:c r="AA283" s="7" t="n"/>
      <x:c r="AB283" s="7" t="n"/>
    </x:row>
    <x:row r="284" ht="20" customHeight="1">
      <x:c r="A284" s="79" t="inlineStr">
        <x:is>
          <x:t xml:space="preserve">Deer Park ISD</x:t>
        </x:is>
      </x:c>
      <x:c r="B284" s="79" t="inlineStr">
        <x:is>
          <x:t xml:space="preserve">TX</x:t>
        </x:is>
      </x:c>
      <x:c r="C284" s="79" t="inlineStr">
        <x:is>
          <x:t xml:space="preserve">Master's</x:t>
        </x:is>
      </x:c>
      <x:c r="D284" s="79" t="n">
        <x:v>7</x:v>
      </x:c>
      <x:c r="E284" s="79" t="n">
        <x:v>73500</x:v>
      </x:c>
      <x:c r="F284" s="79" t="inlineStr">
        <x:is>
          <x:t xml:space="preserve">2026-06-16</x:t>
        </x:is>
      </x:c>
      <x:c r="G284" s="7" t="n"/>
      <x:c r="H284" s="7" t="n"/>
      <x:c r="I284" s="7" t="n"/>
      <x:c r="J284" s="7" t="n"/>
      <x:c r="K284" s="7" t="n"/>
      <x:c r="L284" s="7" t="n"/>
      <x:c r="M284" s="7" t="n"/>
      <x:c r="N284" s="7" t="n"/>
      <x:c r="O284" s="7" t="n"/>
      <x:c r="P284" s="7" t="n"/>
      <x:c r="Q284" s="7" t="n"/>
      <x:c r="R284" s="7" t="n"/>
      <x:c r="S284" s="7" t="n"/>
      <x:c r="T284" s="7" t="n"/>
      <x:c r="U284" s="7" t="n"/>
      <x:c r="V284" s="7" t="n"/>
      <x:c r="W284" s="7" t="n"/>
      <x:c r="X284" s="7" t="n"/>
      <x:c r="Y284" s="7" t="n"/>
      <x:c r="Z284" s="7" t="n"/>
      <x:c r="AA284" s="7" t="n"/>
      <x:c r="AB284" s="7" t="n"/>
    </x:row>
    <x:row r="285" ht="20" customHeight="1">
      <x:c r="A285" s="79" t="inlineStr">
        <x:is>
          <x:t xml:space="preserve">Deer Park ISD</x:t>
        </x:is>
      </x:c>
      <x:c r="B285" s="79" t="inlineStr">
        <x:is>
          <x:t xml:space="preserve">TX</x:t>
        </x:is>
      </x:c>
      <x:c r="C285" s="79" t="inlineStr">
        <x:is>
          <x:t xml:space="preserve">Master's</x:t>
        </x:is>
      </x:c>
      <x:c r="D285" s="79" t="n">
        <x:v>8</x:v>
      </x:c>
      <x:c r="E285" s="79" t="n">
        <x:v>75000</x:v>
      </x:c>
      <x:c r="F285" s="79" t="inlineStr">
        <x:is>
          <x:t xml:space="preserve">2026-06-16</x:t>
        </x:is>
      </x:c>
      <x:c r="G285" s="7" t="n"/>
      <x:c r="H285" s="7" t="n"/>
      <x:c r="I285" s="7" t="n"/>
      <x:c r="J285" s="7" t="n"/>
      <x:c r="K285" s="7" t="n"/>
      <x:c r="L285" s="7" t="n"/>
      <x:c r="M285" s="7" t="n"/>
      <x:c r="N285" s="7" t="n"/>
      <x:c r="O285" s="7" t="n"/>
      <x:c r="P285" s="7" t="n"/>
      <x:c r="Q285" s="7" t="n"/>
      <x:c r="R285" s="7" t="n"/>
      <x:c r="S285" s="7" t="n"/>
      <x:c r="T285" s="7" t="n"/>
      <x:c r="U285" s="7" t="n"/>
      <x:c r="V285" s="7" t="n"/>
      <x:c r="W285" s="7" t="n"/>
      <x:c r="X285" s="7" t="n"/>
      <x:c r="Y285" s="7" t="n"/>
      <x:c r="Z285" s="7" t="n"/>
      <x:c r="AA285" s="7" t="n"/>
      <x:c r="AB285" s="7" t="n"/>
    </x:row>
    <x:row r="286" ht="20" customHeight="1">
      <x:c r="A286" s="79" t="inlineStr">
        <x:is>
          <x:t xml:space="preserve">Deer Park ISD</x:t>
        </x:is>
      </x:c>
      <x:c r="B286" s="79" t="inlineStr">
        <x:is>
          <x:t xml:space="preserve">TX</x:t>
        </x:is>
      </x:c>
      <x:c r="C286" s="79" t="inlineStr">
        <x:is>
          <x:t xml:space="preserve">Master's</x:t>
        </x:is>
      </x:c>
      <x:c r="D286" s="79" t="n">
        <x:v>9</x:v>
      </x:c>
      <x:c r="E286" s="79" t="n">
        <x:v>76500</x:v>
      </x:c>
      <x:c r="F286" s="79" t="inlineStr">
        <x:is>
          <x:t xml:space="preserve">2026-06-16</x:t>
        </x:is>
      </x:c>
      <x:c r="G286" s="7" t="n"/>
      <x:c r="H286" s="7" t="n"/>
      <x:c r="I286" s="7" t="n"/>
      <x:c r="J286" s="7" t="n"/>
      <x:c r="K286" s="7" t="n"/>
      <x:c r="L286" s="7" t="n"/>
      <x:c r="M286" s="7" t="n"/>
      <x:c r="N286" s="7" t="n"/>
      <x:c r="O286" s="7" t="n"/>
      <x:c r="P286" s="7" t="n"/>
      <x:c r="Q286" s="7" t="n"/>
      <x:c r="R286" s="7" t="n"/>
      <x:c r="S286" s="7" t="n"/>
      <x:c r="T286" s="7" t="n"/>
      <x:c r="U286" s="7" t="n"/>
      <x:c r="V286" s="7" t="n"/>
      <x:c r="W286" s="7" t="n"/>
      <x:c r="X286" s="7" t="n"/>
      <x:c r="Y286" s="7" t="n"/>
      <x:c r="Z286" s="7" t="n"/>
      <x:c r="AA286" s="7" t="n"/>
      <x:c r="AB286" s="7" t="n"/>
    </x:row>
    <x:row r="287" ht="20" customHeight="1">
      <x:c r="A287" s="79" t="inlineStr">
        <x:is>
          <x:t xml:space="preserve">Deer Park ISD</x:t>
        </x:is>
      </x:c>
      <x:c r="B287" s="79" t="inlineStr">
        <x:is>
          <x:t xml:space="preserve">TX</x:t>
        </x:is>
      </x:c>
      <x:c r="C287" s="79" t="inlineStr">
        <x:is>
          <x:t xml:space="preserve">Master's</x:t>
        </x:is>
      </x:c>
      <x:c r="D287" s="79" t="n">
        <x:v>10</x:v>
      </x:c>
      <x:c r="E287" s="79" t="n">
        <x:v>78000</x:v>
      </x:c>
      <x:c r="F287" s="79" t="inlineStr">
        <x:is>
          <x:t xml:space="preserve">2026-06-16</x:t>
        </x:is>
      </x:c>
      <x:c r="G287" s="7" t="n"/>
      <x:c r="H287" s="7" t="n"/>
      <x:c r="I287" s="7" t="n"/>
      <x:c r="J287" s="7" t="n"/>
      <x:c r="K287" s="7" t="n"/>
      <x:c r="L287" s="7" t="n"/>
      <x:c r="M287" s="7" t="n"/>
      <x:c r="N287" s="7" t="n"/>
      <x:c r="O287" s="7" t="n"/>
      <x:c r="P287" s="7" t="n"/>
      <x:c r="Q287" s="7" t="n"/>
      <x:c r="R287" s="7" t="n"/>
      <x:c r="S287" s="7" t="n"/>
      <x:c r="T287" s="7" t="n"/>
      <x:c r="U287" s="7" t="n"/>
      <x:c r="V287" s="7" t="n"/>
      <x:c r="W287" s="7" t="n"/>
      <x:c r="X287" s="7" t="n"/>
      <x:c r="Y287" s="7" t="n"/>
      <x:c r="Z287" s="7" t="n"/>
      <x:c r="AA287" s="7" t="n"/>
      <x:c r="AB287" s="7" t="n"/>
    </x:row>
    <x:row r="288" ht="20" customHeight="1">
      <x:c r="A288" s="12" t="inlineStr">
        <x:is>
          <x:t xml:space="preserve">Denver Public Schools</x:t>
        </x:is>
      </x:c>
      <x:c r="B288" s="12" t="inlineStr">
        <x:is>
          <x:t xml:space="preserve">CO</x:t>
        </x:is>
      </x:c>
      <x:c r="C288" s="12" t="inlineStr">
        <x:is>
          <x:t xml:space="preserve">Bachelor's</x:t>
        </x:is>
      </x:c>
      <x:c r="D288" s="13" t="n">
        <x:v>0</x:v>
      </x:c>
      <x:c r="E288" s="14" t="n">
        <x:v>57666</x:v>
      </x:c>
      <x:c r="F288" s="83" t="inlineStr">
        <x:is>
          <x:t xml:space="preserve">2026-06-10</x:t>
        </x:is>
      </x:c>
      <x:c r="G288" s="7" t="n"/>
      <x:c r="H288" s="7" t="n"/>
      <x:c r="I288" s="7" t="n"/>
      <x:c r="J288" s="7" t="n"/>
      <x:c r="K288" s="7" t="n"/>
      <x:c r="L288" s="7" t="n"/>
      <x:c r="M288" s="7" t="n"/>
      <x:c r="N288" s="7" t="n"/>
      <x:c r="O288" s="7" t="n"/>
      <x:c r="P288" s="7" t="n"/>
      <x:c r="Q288" s="7" t="n"/>
      <x:c r="R288" s="7" t="n"/>
      <x:c r="S288" s="7" t="n"/>
      <x:c r="T288" s="7" t="n"/>
      <x:c r="U288" s="7" t="n"/>
      <x:c r="V288" s="7" t="n"/>
      <x:c r="W288" s="7" t="n"/>
      <x:c r="X288" s="7" t="n"/>
      <x:c r="Y288" s="7" t="n"/>
      <x:c r="Z288" s="7" t="n"/>
      <x:c r="AA288" s="7" t="n"/>
      <x:c r="AB288" s="7" t="n"/>
    </x:row>
    <x:row r="289" ht="20" customHeight="1">
      <x:c r="A289" s="12" t="inlineStr">
        <x:is>
          <x:t xml:space="preserve">Denver Public Schools</x:t>
        </x:is>
      </x:c>
      <x:c r="B289" s="12" t="inlineStr">
        <x:is>
          <x:t xml:space="preserve">CO</x:t>
        </x:is>
      </x:c>
      <x:c r="C289" s="12" t="inlineStr">
        <x:is>
          <x:t xml:space="preserve">Bachelor's</x:t>
        </x:is>
      </x:c>
      <x:c r="D289" s="13" t="n">
        <x:v>1</x:v>
      </x:c>
      <x:c r="E289" s="14" t="n">
        <x:v>57666</x:v>
      </x:c>
      <x:c r="F289" s="83" t="inlineStr">
        <x:is>
          <x:t xml:space="preserve">2026-06-10</x:t>
        </x:is>
      </x:c>
      <x:c r="G289" s="7" t="n"/>
      <x:c r="H289" s="7" t="n"/>
      <x:c r="I289" s="7" t="n"/>
      <x:c r="J289" s="7" t="n"/>
      <x:c r="K289" s="7" t="n"/>
      <x:c r="L289" s="7" t="n"/>
      <x:c r="M289" s="7" t="n"/>
      <x:c r="N289" s="7" t="n"/>
      <x:c r="O289" s="7" t="n"/>
      <x:c r="P289" s="7" t="n"/>
      <x:c r="Q289" s="7" t="n"/>
      <x:c r="R289" s="7" t="n"/>
      <x:c r="S289" s="7" t="n"/>
      <x:c r="T289" s="7" t="n"/>
      <x:c r="U289" s="7" t="n"/>
      <x:c r="V289" s="7" t="n"/>
      <x:c r="W289" s="7" t="n"/>
      <x:c r="X289" s="7" t="n"/>
      <x:c r="Y289" s="7" t="n"/>
      <x:c r="Z289" s="7" t="n"/>
      <x:c r="AA289" s="7" t="n"/>
      <x:c r="AB289" s="7" t="n"/>
    </x:row>
    <x:row r="290" ht="20" customHeight="1">
      <x:c r="A290" s="12" t="inlineStr">
        <x:is>
          <x:t xml:space="preserve">Denver Public Schools</x:t>
        </x:is>
      </x:c>
      <x:c r="B290" s="12" t="inlineStr">
        <x:is>
          <x:t xml:space="preserve">CO</x:t>
        </x:is>
      </x:c>
      <x:c r="C290" s="12" t="inlineStr">
        <x:is>
          <x:t xml:space="preserve">Bachelor's</x:t>
        </x:is>
      </x:c>
      <x:c r="D290" s="13" t="n">
        <x:v>2</x:v>
      </x:c>
      <x:c r="E290" s="14" t="n">
        <x:v>58979</x:v>
      </x:c>
      <x:c r="F290" s="83" t="inlineStr">
        <x:is>
          <x:t xml:space="preserve">2026-06-10</x:t>
        </x:is>
      </x:c>
      <x:c r="G290" s="7" t="n"/>
      <x:c r="H290" s="7" t="n"/>
      <x:c r="I290" s="7" t="n"/>
      <x:c r="J290" s="7" t="n"/>
      <x:c r="K290" s="7" t="n"/>
      <x:c r="L290" s="7" t="n"/>
      <x:c r="M290" s="7" t="n"/>
      <x:c r="N290" s="7" t="n"/>
      <x:c r="O290" s="7" t="n"/>
      <x:c r="P290" s="7" t="n"/>
      <x:c r="Q290" s="7" t="n"/>
      <x:c r="R290" s="7" t="n"/>
      <x:c r="S290" s="7" t="n"/>
      <x:c r="T290" s="7" t="n"/>
      <x:c r="U290" s="7" t="n"/>
      <x:c r="V290" s="7" t="n"/>
      <x:c r="W290" s="7" t="n"/>
      <x:c r="X290" s="7" t="n"/>
      <x:c r="Y290" s="7" t="n"/>
      <x:c r="Z290" s="7" t="n"/>
      <x:c r="AA290" s="7" t="n"/>
      <x:c r="AB290" s="7" t="n"/>
    </x:row>
    <x:row r="291" ht="20" customHeight="1">
      <x:c r="A291" s="12" t="inlineStr">
        <x:is>
          <x:t xml:space="preserve">Denver Public Schools</x:t>
        </x:is>
      </x:c>
      <x:c r="B291" s="12" t="inlineStr">
        <x:is>
          <x:t xml:space="preserve">CO</x:t>
        </x:is>
      </x:c>
      <x:c r="C291" s="12" t="inlineStr">
        <x:is>
          <x:t xml:space="preserve">Bachelor's</x:t>
        </x:is>
      </x:c>
      <x:c r="D291" s="13" t="n">
        <x:v>3</x:v>
      </x:c>
      <x:c r="E291" s="14" t="n">
        <x:v>60897</x:v>
      </x:c>
      <x:c r="F291" s="83" t="inlineStr">
        <x:is>
          <x:t xml:space="preserve">2026-06-10</x:t>
        </x:is>
      </x:c>
      <x:c r="G291" s="7" t="n"/>
      <x:c r="H291" s="7" t="n"/>
      <x:c r="I291" s="7" t="n"/>
      <x:c r="J291" s="7" t="n"/>
      <x:c r="K291" s="7" t="n"/>
      <x:c r="L291" s="7" t="n"/>
      <x:c r="M291" s="7" t="n"/>
      <x:c r="N291" s="7" t="n"/>
      <x:c r="O291" s="7" t="n"/>
      <x:c r="P291" s="7" t="n"/>
      <x:c r="Q291" s="7" t="n"/>
      <x:c r="R291" s="7" t="n"/>
      <x:c r="S291" s="7" t="n"/>
      <x:c r="T291" s="7" t="n"/>
      <x:c r="U291" s="7" t="n"/>
      <x:c r="V291" s="7" t="n"/>
      <x:c r="W291" s="7" t="n"/>
      <x:c r="X291" s="7" t="n"/>
      <x:c r="Y291" s="7" t="n"/>
      <x:c r="Z291" s="7" t="n"/>
      <x:c r="AA291" s="7" t="n"/>
      <x:c r="AB291" s="7" t="n"/>
    </x:row>
    <x:row r="292" ht="20" customHeight="1">
      <x:c r="A292" s="12" t="inlineStr">
        <x:is>
          <x:t xml:space="preserve">Denver Public Schools</x:t>
        </x:is>
      </x:c>
      <x:c r="B292" s="12" t="inlineStr">
        <x:is>
          <x:t xml:space="preserve">CO</x:t>
        </x:is>
      </x:c>
      <x:c r="C292" s="12" t="inlineStr">
        <x:is>
          <x:t xml:space="preserve">Bachelor's</x:t>
        </x:is>
      </x:c>
      <x:c r="D292" s="13" t="n">
        <x:v>4</x:v>
      </x:c>
      <x:c r="E292" s="14" t="n">
        <x:v>62820</x:v>
      </x:c>
      <x:c r="F292" s="83" t="inlineStr">
        <x:is>
          <x:t xml:space="preserve">2026-06-10</x:t>
        </x:is>
      </x:c>
      <x:c r="G292" s="7" t="n"/>
      <x:c r="H292" s="7" t="n"/>
      <x:c r="I292" s="7" t="n"/>
      <x:c r="J292" s="7" t="n"/>
      <x:c r="K292" s="7" t="n"/>
      <x:c r="L292" s="7" t="n"/>
      <x:c r="M292" s="7" t="n"/>
      <x:c r="N292" s="7" t="n"/>
      <x:c r="O292" s="7" t="n"/>
      <x:c r="P292" s="7" t="n"/>
      <x:c r="Q292" s="7" t="n"/>
      <x:c r="R292" s="7" t="n"/>
      <x:c r="S292" s="7" t="n"/>
      <x:c r="T292" s="7" t="n"/>
      <x:c r="U292" s="7" t="n"/>
      <x:c r="V292" s="7" t="n"/>
      <x:c r="W292" s="7" t="n"/>
      <x:c r="X292" s="7" t="n"/>
      <x:c r="Y292" s="7" t="n"/>
      <x:c r="Z292" s="7" t="n"/>
      <x:c r="AA292" s="7" t="n"/>
      <x:c r="AB292" s="7" t="n"/>
    </x:row>
    <x:row r="293" ht="20" customHeight="1">
      <x:c r="A293" s="12" t="inlineStr">
        <x:is>
          <x:t xml:space="preserve">Denver Public Schools</x:t>
        </x:is>
      </x:c>
      <x:c r="B293" s="12" t="inlineStr">
        <x:is>
          <x:t xml:space="preserve">CO</x:t>
        </x:is>
      </x:c>
      <x:c r="C293" s="12" t="inlineStr">
        <x:is>
          <x:t xml:space="preserve">Bachelor's</x:t>
        </x:is>
      </x:c>
      <x:c r="D293" s="13" t="n">
        <x:v>5</x:v>
      </x:c>
      <x:c r="E293" s="14" t="n">
        <x:v>64743</x:v>
      </x:c>
      <x:c r="F293" s="83" t="inlineStr">
        <x:is>
          <x:t xml:space="preserve">2026-06-10</x:t>
        </x:is>
      </x:c>
      <x:c r="G293" s="7" t="n"/>
      <x:c r="H293" s="7" t="n"/>
      <x:c r="I293" s="7" t="n"/>
      <x:c r="J293" s="7" t="n"/>
      <x:c r="K293" s="7" t="n"/>
      <x:c r="L293" s="7" t="n"/>
      <x:c r="M293" s="7" t="n"/>
      <x:c r="N293" s="7" t="n"/>
      <x:c r="O293" s="7" t="n"/>
      <x:c r="P293" s="7" t="n"/>
      <x:c r="Q293" s="7" t="n"/>
      <x:c r="R293" s="7" t="n"/>
      <x:c r="S293" s="7" t="n"/>
      <x:c r="T293" s="7" t="n"/>
      <x:c r="U293" s="7" t="n"/>
      <x:c r="V293" s="7" t="n"/>
      <x:c r="W293" s="7" t="n"/>
      <x:c r="X293" s="7" t="n"/>
      <x:c r="Y293" s="7" t="n"/>
      <x:c r="Z293" s="7" t="n"/>
      <x:c r="AA293" s="7" t="n"/>
      <x:c r="AB293" s="7" t="n"/>
    </x:row>
    <x:row r="294" ht="20" customHeight="1">
      <x:c r="A294" s="12" t="inlineStr">
        <x:is>
          <x:t xml:space="preserve">Denver Public Schools</x:t>
        </x:is>
      </x:c>
      <x:c r="B294" s="12" t="inlineStr">
        <x:is>
          <x:t xml:space="preserve">CO</x:t>
        </x:is>
      </x:c>
      <x:c r="C294" s="12" t="inlineStr">
        <x:is>
          <x:t xml:space="preserve">Bachelor's</x:t>
        </x:is>
      </x:c>
      <x:c r="D294" s="13" t="n">
        <x:v>6</x:v>
      </x:c>
      <x:c r="E294" s="14" t="n">
        <x:v>66663</x:v>
      </x:c>
      <x:c r="F294" s="83" t="inlineStr">
        <x:is>
          <x:t xml:space="preserve">2026-06-10</x:t>
        </x:is>
      </x:c>
      <x:c r="G294" s="7" t="n"/>
      <x:c r="H294" s="7" t="n"/>
      <x:c r="I294" s="7" t="n"/>
      <x:c r="J294" s="7" t="n"/>
      <x:c r="K294" s="7" t="n"/>
      <x:c r="L294" s="7" t="n"/>
      <x:c r="M294" s="7" t="n"/>
      <x:c r="N294" s="7" t="n"/>
      <x:c r="O294" s="7" t="n"/>
      <x:c r="P294" s="7" t="n"/>
      <x:c r="Q294" s="7" t="n"/>
      <x:c r="R294" s="7" t="n"/>
      <x:c r="S294" s="7" t="n"/>
      <x:c r="T294" s="7" t="n"/>
      <x:c r="U294" s="7" t="n"/>
      <x:c r="V294" s="7" t="n"/>
      <x:c r="W294" s="7" t="n"/>
      <x:c r="X294" s="7" t="n"/>
      <x:c r="Y294" s="7" t="n"/>
      <x:c r="Z294" s="7" t="n"/>
      <x:c r="AA294" s="7" t="n"/>
      <x:c r="AB294" s="7" t="n"/>
    </x:row>
    <x:row r="295" ht="20" customHeight="1">
      <x:c r="A295" s="12" t="inlineStr">
        <x:is>
          <x:t xml:space="preserve">Denver Public Schools</x:t>
        </x:is>
      </x:c>
      <x:c r="B295" s="12" t="inlineStr">
        <x:is>
          <x:t xml:space="preserve">CO</x:t>
        </x:is>
      </x:c>
      <x:c r="C295" s="12" t="inlineStr">
        <x:is>
          <x:t xml:space="preserve">Bachelor's</x:t>
        </x:is>
      </x:c>
      <x:c r="D295" s="13" t="n">
        <x:v>7</x:v>
      </x:c>
      <x:c r="E295" s="14" t="n">
        <x:v>68586</x:v>
      </x:c>
      <x:c r="F295" s="83" t="inlineStr">
        <x:is>
          <x:t xml:space="preserve">2026-06-10</x:t>
        </x:is>
      </x:c>
      <x:c r="G295" s="7" t="n"/>
      <x:c r="H295" s="7" t="n"/>
      <x:c r="I295" s="7" t="n"/>
      <x:c r="J295" s="7" t="n"/>
      <x:c r="K295" s="7" t="n"/>
      <x:c r="L295" s="7" t="n"/>
      <x:c r="M295" s="7" t="n"/>
      <x:c r="N295" s="7" t="n"/>
      <x:c r="O295" s="7" t="n"/>
      <x:c r="P295" s="7" t="n"/>
      <x:c r="Q295" s="7" t="n"/>
      <x:c r="R295" s="7" t="n"/>
      <x:c r="S295" s="7" t="n"/>
      <x:c r="T295" s="7" t="n"/>
      <x:c r="U295" s="7" t="n"/>
      <x:c r="V295" s="7" t="n"/>
      <x:c r="W295" s="7" t="n"/>
      <x:c r="X295" s="7" t="n"/>
      <x:c r="Y295" s="7" t="n"/>
      <x:c r="Z295" s="7" t="n"/>
      <x:c r="AA295" s="7" t="n"/>
      <x:c r="AB295" s="7" t="n"/>
    </x:row>
    <x:row r="296" ht="20" customHeight="1">
      <x:c r="A296" s="12" t="inlineStr">
        <x:is>
          <x:t xml:space="preserve">Denver Public Schools</x:t>
        </x:is>
      </x:c>
      <x:c r="B296" s="12" t="inlineStr">
        <x:is>
          <x:t xml:space="preserve">CO</x:t>
        </x:is>
      </x:c>
      <x:c r="C296" s="12" t="inlineStr">
        <x:is>
          <x:t xml:space="preserve">Bachelor's</x:t>
        </x:is>
      </x:c>
      <x:c r="D296" s="13" t="n">
        <x:v>8</x:v>
      </x:c>
      <x:c r="E296" s="14" t="n">
        <x:v>70505</x:v>
      </x:c>
      <x:c r="F296" s="83" t="inlineStr">
        <x:is>
          <x:t xml:space="preserve">2026-06-10</x:t>
        </x:is>
      </x:c>
      <x:c r="G296" s="7" t="n"/>
      <x:c r="H296" s="7" t="n"/>
      <x:c r="I296" s="7" t="n"/>
      <x:c r="J296" s="7" t="n"/>
      <x:c r="K296" s="7" t="n"/>
      <x:c r="L296" s="7" t="n"/>
      <x:c r="M296" s="7" t="n"/>
      <x:c r="N296" s="7" t="n"/>
      <x:c r="O296" s="7" t="n"/>
      <x:c r="P296" s="7" t="n"/>
      <x:c r="Q296" s="7" t="n"/>
      <x:c r="R296" s="7" t="n"/>
      <x:c r="S296" s="7" t="n"/>
      <x:c r="T296" s="7" t="n"/>
      <x:c r="U296" s="7" t="n"/>
      <x:c r="V296" s="7" t="n"/>
      <x:c r="W296" s="7" t="n"/>
      <x:c r="X296" s="7" t="n"/>
      <x:c r="Y296" s="7" t="n"/>
      <x:c r="Z296" s="7" t="n"/>
      <x:c r="AA296" s="7" t="n"/>
      <x:c r="AB296" s="7" t="n"/>
    </x:row>
    <x:row r="297" ht="20" customHeight="1">
      <x:c r="A297" s="12" t="inlineStr">
        <x:is>
          <x:t xml:space="preserve">Denver Public Schools</x:t>
        </x:is>
      </x:c>
      <x:c r="B297" s="12" t="inlineStr">
        <x:is>
          <x:t xml:space="preserve">CO</x:t>
        </x:is>
      </x:c>
      <x:c r="C297" s="12" t="inlineStr">
        <x:is>
          <x:t xml:space="preserve">Bachelor's</x:t>
        </x:is>
      </x:c>
      <x:c r="D297" s="13" t="n">
        <x:v>9</x:v>
      </x:c>
      <x:c r="E297" s="14" t="n">
        <x:v>72428</x:v>
      </x:c>
      <x:c r="F297" s="83" t="inlineStr">
        <x:is>
          <x:t xml:space="preserve">2026-06-10</x:t>
        </x:is>
      </x:c>
      <x:c r="G297" s="7" t="n"/>
      <x:c r="H297" s="7" t="n"/>
      <x:c r="I297" s="7" t="n"/>
      <x:c r="J297" s="7" t="n"/>
      <x:c r="K297" s="7" t="n"/>
      <x:c r="L297" s="7" t="n"/>
      <x:c r="M297" s="7" t="n"/>
      <x:c r="N297" s="7" t="n"/>
      <x:c r="O297" s="7" t="n"/>
      <x:c r="P297" s="7" t="n"/>
      <x:c r="Q297" s="7" t="n"/>
      <x:c r="R297" s="7" t="n"/>
      <x:c r="S297" s="7" t="n"/>
      <x:c r="T297" s="7" t="n"/>
      <x:c r="U297" s="7" t="n"/>
      <x:c r="V297" s="7" t="n"/>
      <x:c r="W297" s="7" t="n"/>
      <x:c r="X297" s="7" t="n"/>
      <x:c r="Y297" s="7" t="n"/>
      <x:c r="Z297" s="7" t="n"/>
      <x:c r="AA297" s="7" t="n"/>
      <x:c r="AB297" s="7" t="n"/>
    </x:row>
    <x:row r="298" ht="20" customHeight="1">
      <x:c r="A298" s="12" t="inlineStr">
        <x:is>
          <x:t xml:space="preserve">Denver Public Schools</x:t>
        </x:is>
      </x:c>
      <x:c r="B298" s="12" t="inlineStr">
        <x:is>
          <x:t xml:space="preserve">CO</x:t>
        </x:is>
      </x:c>
      <x:c r="C298" s="12" t="inlineStr">
        <x:is>
          <x:t xml:space="preserve">Bachelor's</x:t>
        </x:is>
      </x:c>
      <x:c r="D298" s="13" t="n">
        <x:v>10</x:v>
      </x:c>
      <x:c r="E298" s="14" t="n">
        <x:v>74349</x:v>
      </x:c>
      <x:c r="F298" s="83" t="inlineStr">
        <x:is>
          <x:t xml:space="preserve">2026-06-10</x:t>
        </x:is>
      </x:c>
      <x:c r="G298" s="7" t="n"/>
      <x:c r="H298" s="7" t="n"/>
      <x:c r="I298" s="7" t="n"/>
      <x:c r="J298" s="7" t="n"/>
      <x:c r="K298" s="7" t="n"/>
      <x:c r="L298" s="7" t="n"/>
      <x:c r="M298" s="7" t="n"/>
      <x:c r="N298" s="7" t="n"/>
      <x:c r="O298" s="7" t="n"/>
      <x:c r="P298" s="7" t="n"/>
      <x:c r="Q298" s="7" t="n"/>
      <x:c r="R298" s="7" t="n"/>
      <x:c r="S298" s="7" t="n"/>
      <x:c r="T298" s="7" t="n"/>
      <x:c r="U298" s="7" t="n"/>
      <x:c r="V298" s="7" t="n"/>
      <x:c r="W298" s="7" t="n"/>
      <x:c r="X298" s="7" t="n"/>
      <x:c r="Y298" s="7" t="n"/>
      <x:c r="Z298" s="7" t="n"/>
      <x:c r="AA298" s="7" t="n"/>
      <x:c r="AB298" s="7" t="n"/>
    </x:row>
    <x:row r="299" ht="20" customHeight="1">
      <x:c r="A299" s="12" t="inlineStr">
        <x:is>
          <x:t xml:space="preserve">Denver Public Schools</x:t>
        </x:is>
      </x:c>
      <x:c r="B299" s="12" t="inlineStr">
        <x:is>
          <x:t xml:space="preserve">CO</x:t>
        </x:is>
      </x:c>
      <x:c r="C299" s="12" t="inlineStr">
        <x:is>
          <x:t xml:space="preserve">Master's</x:t>
        </x:is>
      </x:c>
      <x:c r="D299" s="13" t="n">
        <x:v>0</x:v>
      </x:c>
      <x:c r="E299" s="14" t="n">
        <x:v>63245</x:v>
      </x:c>
      <x:c r="F299" s="83" t="inlineStr">
        <x:is>
          <x:t xml:space="preserve">2026-06-10</x:t>
        </x:is>
      </x:c>
      <x:c r="G299" s="7" t="n"/>
      <x:c r="H299" s="7" t="n"/>
      <x:c r="I299" s="7" t="n"/>
      <x:c r="J299" s="7" t="n"/>
      <x:c r="K299" s="7" t="n"/>
      <x:c r="L299" s="7" t="n"/>
      <x:c r="M299" s="7" t="n"/>
      <x:c r="N299" s="7" t="n"/>
      <x:c r="O299" s="7" t="n"/>
      <x:c r="P299" s="7" t="n"/>
      <x:c r="Q299" s="7" t="n"/>
      <x:c r="R299" s="7" t="n"/>
      <x:c r="S299" s="7" t="n"/>
      <x:c r="T299" s="7" t="n"/>
      <x:c r="U299" s="7" t="n"/>
      <x:c r="V299" s="7" t="n"/>
      <x:c r="W299" s="7" t="n"/>
      <x:c r="X299" s="7" t="n"/>
      <x:c r="Y299" s="7" t="n"/>
      <x:c r="Z299" s="7" t="n"/>
      <x:c r="AA299" s="7" t="n"/>
      <x:c r="AB299" s="7" t="n"/>
    </x:row>
    <x:row r="300" ht="20" customHeight="1">
      <x:c r="A300" s="12" t="inlineStr">
        <x:is>
          <x:t xml:space="preserve">Denver Public Schools</x:t>
        </x:is>
      </x:c>
      <x:c r="B300" s="12" t="inlineStr">
        <x:is>
          <x:t xml:space="preserve">CO</x:t>
        </x:is>
      </x:c>
      <x:c r="C300" s="12" t="inlineStr">
        <x:is>
          <x:t xml:space="preserve">Master's</x:t>
        </x:is>
      </x:c>
      <x:c r="D300" s="13" t="n">
        <x:v>1</x:v>
      </x:c>
      <x:c r="E300" s="14" t="n">
        <x:v>63245</x:v>
      </x:c>
      <x:c r="F300" s="83" t="inlineStr">
        <x:is>
          <x:t xml:space="preserve">2026-06-10</x:t>
        </x:is>
      </x:c>
      <x:c r="G300" s="7" t="n"/>
      <x:c r="H300" s="7" t="n"/>
      <x:c r="I300" s="7" t="n"/>
      <x:c r="J300" s="7" t="n"/>
      <x:c r="K300" s="7" t="n"/>
      <x:c r="L300" s="7" t="n"/>
      <x:c r="M300" s="7" t="n"/>
      <x:c r="N300" s="7" t="n"/>
      <x:c r="O300" s="7" t="n"/>
      <x:c r="P300" s="7" t="n"/>
      <x:c r="Q300" s="7" t="n"/>
      <x:c r="R300" s="7" t="n"/>
      <x:c r="S300" s="7" t="n"/>
      <x:c r="T300" s="7" t="n"/>
      <x:c r="U300" s="7" t="n"/>
      <x:c r="V300" s="7" t="n"/>
      <x:c r="W300" s="7" t="n"/>
      <x:c r="X300" s="7" t="n"/>
      <x:c r="Y300" s="7" t="n"/>
      <x:c r="Z300" s="7" t="n"/>
      <x:c r="AA300" s="7" t="n"/>
      <x:c r="AB300" s="7" t="n"/>
    </x:row>
    <x:row r="301" ht="20" customHeight="1">
      <x:c r="A301" s="12" t="inlineStr">
        <x:is>
          <x:t xml:space="preserve">Denver Public Schools</x:t>
        </x:is>
      </x:c>
      <x:c r="B301" s="12" t="inlineStr">
        <x:is>
          <x:t xml:space="preserve">CO</x:t>
        </x:is>
      </x:c>
      <x:c r="C301" s="12" t="inlineStr">
        <x:is>
          <x:t xml:space="preserve">Master's</x:t>
        </x:is>
      </x:c>
      <x:c r="D301" s="13" t="n">
        <x:v>2</x:v>
      </x:c>
      <x:c r="E301" s="14" t="n">
        <x:v>65302</x:v>
      </x:c>
      <x:c r="F301" s="83" t="inlineStr">
        <x:is>
          <x:t xml:space="preserve">2026-06-10</x:t>
        </x:is>
      </x:c>
      <x:c r="G301" s="7" t="n"/>
      <x:c r="H301" s="7" t="n"/>
      <x:c r="I301" s="7" t="n"/>
      <x:c r="J301" s="7" t="n"/>
      <x:c r="K301" s="7" t="n"/>
      <x:c r="L301" s="7" t="n"/>
      <x:c r="M301" s="7" t="n"/>
      <x:c r="N301" s="7" t="n"/>
      <x:c r="O301" s="7" t="n"/>
      <x:c r="P301" s="7" t="n"/>
      <x:c r="Q301" s="7" t="n"/>
      <x:c r="R301" s="7" t="n"/>
      <x:c r="S301" s="7" t="n"/>
      <x:c r="T301" s="7" t="n"/>
      <x:c r="U301" s="7" t="n"/>
      <x:c r="V301" s="7" t="n"/>
      <x:c r="W301" s="7" t="n"/>
      <x:c r="X301" s="7" t="n"/>
      <x:c r="Y301" s="7" t="n"/>
      <x:c r="Z301" s="7" t="n"/>
      <x:c r="AA301" s="7" t="n"/>
      <x:c r="AB301" s="7" t="n"/>
    </x:row>
    <x:row r="302" ht="20" customHeight="1">
      <x:c r="A302" s="12" t="inlineStr">
        <x:is>
          <x:t xml:space="preserve">Denver Public Schools</x:t>
        </x:is>
      </x:c>
      <x:c r="B302" s="12" t="inlineStr">
        <x:is>
          <x:t xml:space="preserve">CO</x:t>
        </x:is>
      </x:c>
      <x:c r="C302" s="12" t="inlineStr">
        <x:is>
          <x:t xml:space="preserve">Master's</x:t>
        </x:is>
      </x:c>
      <x:c r="D302" s="13" t="n">
        <x:v>3</x:v>
      </x:c>
      <x:c r="E302" s="14" t="n">
        <x:v>67359</x:v>
      </x:c>
      <x:c r="F302" s="83" t="inlineStr">
        <x:is>
          <x:t xml:space="preserve">2026-06-10</x:t>
        </x:is>
      </x:c>
      <x:c r="G302" s="7" t="n"/>
      <x:c r="H302" s="7" t="n"/>
      <x:c r="I302" s="7" t="n"/>
      <x:c r="J302" s="7" t="n"/>
      <x:c r="K302" s="7" t="n"/>
      <x:c r="L302" s="7" t="n"/>
      <x:c r="M302" s="7" t="n"/>
      <x:c r="N302" s="7" t="n"/>
      <x:c r="O302" s="7" t="n"/>
      <x:c r="P302" s="7" t="n"/>
      <x:c r="Q302" s="7" t="n"/>
      <x:c r="R302" s="7" t="n"/>
      <x:c r="S302" s="7" t="n"/>
      <x:c r="T302" s="7" t="n"/>
      <x:c r="U302" s="7" t="n"/>
      <x:c r="V302" s="7" t="n"/>
      <x:c r="W302" s="7" t="n"/>
      <x:c r="X302" s="7" t="n"/>
      <x:c r="Y302" s="7" t="n"/>
      <x:c r="Z302" s="7" t="n"/>
      <x:c r="AA302" s="7" t="n"/>
      <x:c r="AB302" s="7" t="n"/>
    </x:row>
    <x:row r="303" ht="20" customHeight="1">
      <x:c r="A303" s="12" t="inlineStr">
        <x:is>
          <x:t xml:space="preserve">Denver Public Schools</x:t>
        </x:is>
      </x:c>
      <x:c r="B303" s="12" t="inlineStr">
        <x:is>
          <x:t xml:space="preserve">CO</x:t>
        </x:is>
      </x:c>
      <x:c r="C303" s="12" t="inlineStr">
        <x:is>
          <x:t xml:space="preserve">Master's</x:t>
        </x:is>
      </x:c>
      <x:c r="D303" s="13" t="n">
        <x:v>4</x:v>
      </x:c>
      <x:c r="E303" s="14" t="n">
        <x:v>69417</x:v>
      </x:c>
      <x:c r="F303" s="83" t="inlineStr">
        <x:is>
          <x:t xml:space="preserve">2026-06-10</x:t>
        </x:is>
      </x:c>
      <x:c r="G303" s="7" t="n"/>
      <x:c r="H303" s="7" t="n"/>
      <x:c r="I303" s="7" t="n"/>
      <x:c r="J303" s="7" t="n"/>
      <x:c r="K303" s="7" t="n"/>
      <x:c r="L303" s="7" t="n"/>
      <x:c r="M303" s="7" t="n"/>
      <x:c r="N303" s="7" t="n"/>
      <x:c r="O303" s="7" t="n"/>
      <x:c r="P303" s="7" t="n"/>
      <x:c r="Q303" s="7" t="n"/>
      <x:c r="R303" s="7" t="n"/>
      <x:c r="S303" s="7" t="n"/>
      <x:c r="T303" s="7" t="n"/>
      <x:c r="U303" s="7" t="n"/>
      <x:c r="V303" s="7" t="n"/>
      <x:c r="W303" s="7" t="n"/>
      <x:c r="X303" s="7" t="n"/>
      <x:c r="Y303" s="7" t="n"/>
      <x:c r="Z303" s="7" t="n"/>
      <x:c r="AA303" s="7" t="n"/>
      <x:c r="AB303" s="7" t="n"/>
    </x:row>
    <x:row r="304" ht="20" customHeight="1">
      <x:c r="A304" s="12" t="inlineStr">
        <x:is>
          <x:t xml:space="preserve">Denver Public Schools</x:t>
        </x:is>
      </x:c>
      <x:c r="B304" s="12" t="inlineStr">
        <x:is>
          <x:t xml:space="preserve">CO</x:t>
        </x:is>
      </x:c>
      <x:c r="C304" s="12" t="inlineStr">
        <x:is>
          <x:t xml:space="preserve">Master's</x:t>
        </x:is>
      </x:c>
      <x:c r="D304" s="13" t="n">
        <x:v>5</x:v>
      </x:c>
      <x:c r="E304" s="14" t="n">
        <x:v>71474</x:v>
      </x:c>
      <x:c r="F304" s="83" t="inlineStr">
        <x:is>
          <x:t xml:space="preserve">2026-06-10</x:t>
        </x:is>
      </x:c>
      <x:c r="G304" s="7" t="n"/>
      <x:c r="H304" s="7" t="n"/>
      <x:c r="I304" s="7" t="n"/>
      <x:c r="J304" s="7" t="n"/>
      <x:c r="K304" s="7" t="n"/>
      <x:c r="L304" s="7" t="n"/>
      <x:c r="M304" s="7" t="n"/>
      <x:c r="N304" s="7" t="n"/>
      <x:c r="O304" s="7" t="n"/>
      <x:c r="P304" s="7" t="n"/>
      <x:c r="Q304" s="7" t="n"/>
      <x:c r="R304" s="7" t="n"/>
      <x:c r="S304" s="7" t="n"/>
      <x:c r="T304" s="7" t="n"/>
      <x:c r="U304" s="7" t="n"/>
      <x:c r="V304" s="7" t="n"/>
      <x:c r="W304" s="7" t="n"/>
      <x:c r="X304" s="7" t="n"/>
      <x:c r="Y304" s="7" t="n"/>
      <x:c r="Z304" s="7" t="n"/>
      <x:c r="AA304" s="7" t="n"/>
      <x:c r="AB304" s="7" t="n"/>
    </x:row>
    <x:row r="305" ht="20" customHeight="1">
      <x:c r="A305" s="12" t="inlineStr">
        <x:is>
          <x:t xml:space="preserve">Denver Public Schools</x:t>
        </x:is>
      </x:c>
      <x:c r="B305" s="12" t="inlineStr">
        <x:is>
          <x:t xml:space="preserve">CO</x:t>
        </x:is>
      </x:c>
      <x:c r="C305" s="12" t="inlineStr">
        <x:is>
          <x:t xml:space="preserve">Master's</x:t>
        </x:is>
      </x:c>
      <x:c r="D305" s="13" t="n">
        <x:v>6</x:v>
      </x:c>
      <x:c r="E305" s="14" t="n">
        <x:v>73532</x:v>
      </x:c>
      <x:c r="F305" s="83" t="inlineStr">
        <x:is>
          <x:t xml:space="preserve">2026-06-10</x:t>
        </x:is>
      </x:c>
      <x:c r="G305" s="7" t="n"/>
      <x:c r="H305" s="7" t="n"/>
      <x:c r="I305" s="7" t="n"/>
      <x:c r="J305" s="7" t="n"/>
      <x:c r="K305" s="7" t="n"/>
      <x:c r="L305" s="7" t="n"/>
      <x:c r="M305" s="7" t="n"/>
      <x:c r="N305" s="7" t="n"/>
      <x:c r="O305" s="7" t="n"/>
      <x:c r="P305" s="7" t="n"/>
      <x:c r="Q305" s="7" t="n"/>
      <x:c r="R305" s="7" t="n"/>
      <x:c r="S305" s="7" t="n"/>
      <x:c r="T305" s="7" t="n"/>
      <x:c r="U305" s="7" t="n"/>
      <x:c r="V305" s="7" t="n"/>
      <x:c r="W305" s="7" t="n"/>
      <x:c r="X305" s="7" t="n"/>
      <x:c r="Y305" s="7" t="n"/>
      <x:c r="Z305" s="7" t="n"/>
      <x:c r="AA305" s="7" t="n"/>
      <x:c r="AB305" s="7" t="n"/>
    </x:row>
    <x:row r="306" ht="20" customHeight="1">
      <x:c r="A306" s="12" t="inlineStr">
        <x:is>
          <x:t xml:space="preserve">Denver Public Schools</x:t>
        </x:is>
      </x:c>
      <x:c r="B306" s="12" t="inlineStr">
        <x:is>
          <x:t xml:space="preserve">CO</x:t>
        </x:is>
      </x:c>
      <x:c r="C306" s="12" t="inlineStr">
        <x:is>
          <x:t xml:space="preserve">Master's</x:t>
        </x:is>
      </x:c>
      <x:c r="D306" s="13" t="n">
        <x:v>7</x:v>
      </x:c>
      <x:c r="E306" s="14" t="n">
        <x:v>75591</x:v>
      </x:c>
      <x:c r="F306" s="83" t="inlineStr">
        <x:is>
          <x:t xml:space="preserve">2026-06-10</x:t>
        </x:is>
      </x:c>
      <x:c r="G306" s="7" t="n"/>
      <x:c r="H306" s="7" t="n"/>
      <x:c r="I306" s="7" t="n"/>
      <x:c r="J306" s="7" t="n"/>
      <x:c r="K306" s="7" t="n"/>
      <x:c r="L306" s="7" t="n"/>
      <x:c r="M306" s="7" t="n"/>
      <x:c r="N306" s="7" t="n"/>
      <x:c r="O306" s="7" t="n"/>
      <x:c r="P306" s="7" t="n"/>
      <x:c r="Q306" s="7" t="n"/>
      <x:c r="R306" s="7" t="n"/>
      <x:c r="S306" s="7" t="n"/>
      <x:c r="T306" s="7" t="n"/>
      <x:c r="U306" s="7" t="n"/>
      <x:c r="V306" s="7" t="n"/>
      <x:c r="W306" s="7" t="n"/>
      <x:c r="X306" s="7" t="n"/>
      <x:c r="Y306" s="7" t="n"/>
      <x:c r="Z306" s="7" t="n"/>
      <x:c r="AA306" s="7" t="n"/>
      <x:c r="AB306" s="7" t="n"/>
    </x:row>
    <x:row r="307" ht="20" customHeight="1">
      <x:c r="A307" s="12" t="inlineStr">
        <x:is>
          <x:t xml:space="preserve">Denver Public Schools</x:t>
        </x:is>
      </x:c>
      <x:c r="B307" s="12" t="inlineStr">
        <x:is>
          <x:t xml:space="preserve">CO</x:t>
        </x:is>
      </x:c>
      <x:c r="C307" s="12" t="inlineStr">
        <x:is>
          <x:t xml:space="preserve">Master's</x:t>
        </x:is>
      </x:c>
      <x:c r="D307" s="13" t="n">
        <x:v>8</x:v>
      </x:c>
      <x:c r="E307" s="14" t="n">
        <x:v>77648</x:v>
      </x:c>
      <x:c r="F307" s="83" t="inlineStr">
        <x:is>
          <x:t xml:space="preserve">2026-06-10</x:t>
        </x:is>
      </x:c>
      <x:c r="G307" s="7" t="n"/>
      <x:c r="H307" s="7" t="n"/>
      <x:c r="I307" s="7" t="n"/>
      <x:c r="J307" s="7" t="n"/>
      <x:c r="K307" s="7" t="n"/>
      <x:c r="L307" s="7" t="n"/>
      <x:c r="M307" s="7" t="n"/>
      <x:c r="N307" s="7" t="n"/>
      <x:c r="O307" s="7" t="n"/>
      <x:c r="P307" s="7" t="n"/>
      <x:c r="Q307" s="7" t="n"/>
      <x:c r="R307" s="7" t="n"/>
      <x:c r="S307" s="7" t="n"/>
      <x:c r="T307" s="7" t="n"/>
      <x:c r="U307" s="7" t="n"/>
      <x:c r="V307" s="7" t="n"/>
      <x:c r="W307" s="7" t="n"/>
      <x:c r="X307" s="7" t="n"/>
      <x:c r="Y307" s="7" t="n"/>
      <x:c r="Z307" s="7" t="n"/>
      <x:c r="AA307" s="7" t="n"/>
      <x:c r="AB307" s="7" t="n"/>
    </x:row>
    <x:row r="308" ht="20" customHeight="1">
      <x:c r="A308" s="12" t="inlineStr">
        <x:is>
          <x:t xml:space="preserve">Denver Public Schools</x:t>
        </x:is>
      </x:c>
      <x:c r="B308" s="12" t="inlineStr">
        <x:is>
          <x:t xml:space="preserve">CO</x:t>
        </x:is>
      </x:c>
      <x:c r="C308" s="12" t="inlineStr">
        <x:is>
          <x:t xml:space="preserve">Master's</x:t>
        </x:is>
      </x:c>
      <x:c r="D308" s="13" t="n">
        <x:v>9</x:v>
      </x:c>
      <x:c r="E308" s="14" t="n">
        <x:v>79707</x:v>
      </x:c>
      <x:c r="F308" s="83" t="inlineStr">
        <x:is>
          <x:t xml:space="preserve">2026-06-10</x:t>
        </x:is>
      </x:c>
      <x:c r="G308" s="7" t="n"/>
      <x:c r="H308" s="7" t="n"/>
      <x:c r="I308" s="7" t="n"/>
      <x:c r="J308" s="7" t="n"/>
      <x:c r="K308" s="7" t="n"/>
      <x:c r="L308" s="7" t="n"/>
      <x:c r="M308" s="7" t="n"/>
      <x:c r="N308" s="7" t="n"/>
      <x:c r="O308" s="7" t="n"/>
      <x:c r="P308" s="7" t="n"/>
      <x:c r="Q308" s="7" t="n"/>
      <x:c r="R308" s="7" t="n"/>
      <x:c r="S308" s="7" t="n"/>
      <x:c r="T308" s="7" t="n"/>
      <x:c r="U308" s="7" t="n"/>
      <x:c r="V308" s="7" t="n"/>
      <x:c r="W308" s="7" t="n"/>
      <x:c r="X308" s="7" t="n"/>
      <x:c r="Y308" s="7" t="n"/>
      <x:c r="Z308" s="7" t="n"/>
      <x:c r="AA308" s="7" t="n"/>
      <x:c r="AB308" s="7" t="n"/>
    </x:row>
    <x:row r="309" ht="20" customHeight="1">
      <x:c r="A309" s="12" t="inlineStr">
        <x:is>
          <x:t xml:space="preserve">Denver Public Schools</x:t>
        </x:is>
      </x:c>
      <x:c r="B309" s="12" t="inlineStr">
        <x:is>
          <x:t xml:space="preserve">CO</x:t>
        </x:is>
      </x:c>
      <x:c r="C309" s="12" t="inlineStr">
        <x:is>
          <x:t xml:space="preserve">Master's</x:t>
        </x:is>
      </x:c>
      <x:c r="D309" s="13" t="n">
        <x:v>10</x:v>
      </x:c>
      <x:c r="E309" s="14" t="n">
        <x:v>81762</x:v>
      </x:c>
      <x:c r="F309" s="83" t="inlineStr">
        <x:is>
          <x:t xml:space="preserve">2026-06-10</x:t>
        </x:is>
      </x:c>
      <x:c r="G309" s="7" t="n"/>
      <x:c r="H309" s="7" t="n"/>
      <x:c r="I309" s="7" t="n"/>
      <x:c r="J309" s="7" t="n"/>
      <x:c r="K309" s="7" t="n"/>
      <x:c r="L309" s="7" t="n"/>
      <x:c r="M309" s="7" t="n"/>
      <x:c r="N309" s="7" t="n"/>
      <x:c r="O309" s="7" t="n"/>
      <x:c r="P309" s="7" t="n"/>
      <x:c r="Q309" s="7" t="n"/>
      <x:c r="R309" s="7" t="n"/>
      <x:c r="S309" s="7" t="n"/>
      <x:c r="T309" s="7" t="n"/>
      <x:c r="U309" s="7" t="n"/>
      <x:c r="V309" s="7" t="n"/>
      <x:c r="W309" s="7" t="n"/>
      <x:c r="X309" s="7" t="n"/>
      <x:c r="Y309" s="7" t="n"/>
      <x:c r="Z309" s="7" t="n"/>
      <x:c r="AA309" s="7" t="n"/>
      <x:c r="AB309" s="7" t="n"/>
    </x:row>
    <x:row r="310" ht="20" customHeight="1">
      <x:c r="A310" s="12" t="inlineStr">
        <x:is>
          <x:t xml:space="preserve">Eanes ISD</x:t>
        </x:is>
      </x:c>
      <x:c r="B310" s="12" t="inlineStr">
        <x:is>
          <x:t xml:space="preserve">TX</x:t>
        </x:is>
      </x:c>
      <x:c r="C310" s="12" t="inlineStr">
        <x:is>
          <x:t xml:space="preserve">Bachelor's</x:t>
        </x:is>
      </x:c>
      <x:c r="D310" s="13" t="n">
        <x:v>0</x:v>
      </x:c>
      <x:c r="E310" s="14" t="n">
        <x:v>57000</x:v>
      </x:c>
      <x:c r="F310" s="83" t="inlineStr">
        <x:is>
          <x:t xml:space="preserve">2026-06-10</x:t>
        </x:is>
      </x:c>
      <x:c r="G310" s="7" t="n"/>
      <x:c r="H310" s="7" t="n"/>
      <x:c r="I310" s="7" t="n"/>
      <x:c r="J310" s="7" t="n"/>
      <x:c r="K310" s="7" t="n"/>
      <x:c r="L310" s="7" t="n"/>
      <x:c r="M310" s="7" t="n"/>
      <x:c r="N310" s="7" t="n"/>
      <x:c r="O310" s="7" t="n"/>
      <x:c r="P310" s="7" t="n"/>
      <x:c r="Q310" s="7" t="n"/>
      <x:c r="R310" s="7" t="n"/>
      <x:c r="S310" s="7" t="n"/>
      <x:c r="T310" s="7" t="n"/>
      <x:c r="U310" s="7" t="n"/>
      <x:c r="V310" s="7" t="n"/>
      <x:c r="W310" s="7" t="n"/>
      <x:c r="X310" s="7" t="n"/>
      <x:c r="Y310" s="7" t="n"/>
      <x:c r="Z310" s="7" t="n"/>
      <x:c r="AA310" s="7" t="n"/>
      <x:c r="AB310" s="7" t="n"/>
    </x:row>
    <x:row r="311" ht="20" customHeight="1">
      <x:c r="A311" s="12" t="inlineStr">
        <x:is>
          <x:t xml:space="preserve">Eanes ISD</x:t>
        </x:is>
      </x:c>
      <x:c r="B311" s="12" t="inlineStr">
        <x:is>
          <x:t xml:space="preserve">TX</x:t>
        </x:is>
      </x:c>
      <x:c r="C311" s="12" t="inlineStr">
        <x:is>
          <x:t xml:space="preserve">Bachelor's</x:t>
        </x:is>
      </x:c>
      <x:c r="D311" s="13" t="n">
        <x:v>1</x:v>
      </x:c>
      <x:c r="E311" s="14" t="n">
        <x:v>57122</x:v>
      </x:c>
      <x:c r="F311" s="83" t="inlineStr">
        <x:is>
          <x:t xml:space="preserve">2026-06-10</x:t>
        </x:is>
      </x:c>
      <x:c r="G311" s="7" t="n"/>
      <x:c r="H311" s="7" t="n"/>
      <x:c r="I311" s="7" t="n"/>
      <x:c r="J311" s="7" t="n"/>
      <x:c r="K311" s="7" t="n"/>
      <x:c r="L311" s="7" t="n"/>
      <x:c r="M311" s="7" t="n"/>
      <x:c r="N311" s="7" t="n"/>
      <x:c r="O311" s="7" t="n"/>
      <x:c r="P311" s="7" t="n"/>
      <x:c r="Q311" s="7" t="n"/>
      <x:c r="R311" s="7" t="n"/>
      <x:c r="S311" s="7" t="n"/>
      <x:c r="T311" s="7" t="n"/>
      <x:c r="U311" s="7" t="n"/>
      <x:c r="V311" s="7" t="n"/>
      <x:c r="W311" s="7" t="n"/>
      <x:c r="X311" s="7" t="n"/>
      <x:c r="Y311" s="7" t="n"/>
      <x:c r="Z311" s="7" t="n"/>
      <x:c r="AA311" s="7" t="n"/>
      <x:c r="AB311" s="7" t="n"/>
    </x:row>
    <x:row r="312" ht="20" customHeight="1">
      <x:c r="A312" s="12" t="inlineStr">
        <x:is>
          <x:t xml:space="preserve">Eanes ISD</x:t>
        </x:is>
      </x:c>
      <x:c r="B312" s="12" t="inlineStr">
        <x:is>
          <x:t xml:space="preserve">TX</x:t>
        </x:is>
      </x:c>
      <x:c r="C312" s="12" t="inlineStr">
        <x:is>
          <x:t xml:space="preserve">Bachelor's</x:t>
        </x:is>
      </x:c>
      <x:c r="D312" s="13" t="n">
        <x:v>2</x:v>
      </x:c>
      <x:c r="E312" s="14" t="n">
        <x:v>57232</x:v>
      </x:c>
      <x:c r="F312" s="83" t="inlineStr">
        <x:is>
          <x:t xml:space="preserve">2026-06-10</x:t>
        </x:is>
      </x:c>
      <x:c r="G312" s="7" t="n"/>
      <x:c r="H312" s="7" t="n"/>
      <x:c r="I312" s="7" t="n"/>
      <x:c r="J312" s="7" t="n"/>
      <x:c r="K312" s="7" t="n"/>
      <x:c r="L312" s="7" t="n"/>
      <x:c r="M312" s="7" t="n"/>
      <x:c r="N312" s="7" t="n"/>
      <x:c r="O312" s="7" t="n"/>
      <x:c r="P312" s="7" t="n"/>
      <x:c r="Q312" s="7" t="n"/>
      <x:c r="R312" s="7" t="n"/>
      <x:c r="S312" s="7" t="n"/>
      <x:c r="T312" s="7" t="n"/>
      <x:c r="U312" s="7" t="n"/>
      <x:c r="V312" s="7" t="n"/>
      <x:c r="W312" s="7" t="n"/>
      <x:c r="X312" s="7" t="n"/>
      <x:c r="Y312" s="7" t="n"/>
      <x:c r="Z312" s="7" t="n"/>
      <x:c r="AA312" s="7" t="n"/>
      <x:c r="AB312" s="7" t="n"/>
    </x:row>
    <x:row r="313" ht="20" customHeight="1">
      <x:c r="A313" s="12" t="inlineStr">
        <x:is>
          <x:t xml:space="preserve">Eanes ISD</x:t>
        </x:is>
      </x:c>
      <x:c r="B313" s="12" t="inlineStr">
        <x:is>
          <x:t xml:space="preserve">TX</x:t>
        </x:is>
      </x:c>
      <x:c r="C313" s="12" t="inlineStr">
        <x:is>
          <x:t xml:space="preserve">Bachelor's</x:t>
        </x:is>
      </x:c>
      <x:c r="D313" s="13" t="n">
        <x:v>3</x:v>
      </x:c>
      <x:c r="E313" s="14" t="n">
        <x:v>59209</x:v>
      </x:c>
      <x:c r="F313" s="83" t="inlineStr">
        <x:is>
          <x:t xml:space="preserve">2026-06-10</x:t>
        </x:is>
      </x:c>
      <x:c r="G313" s="7" t="n"/>
      <x:c r="H313" s="7" t="n"/>
      <x:c r="I313" s="7" t="n"/>
      <x:c r="J313" s="7" t="n"/>
      <x:c r="K313" s="7" t="n"/>
      <x:c r="L313" s="7" t="n"/>
      <x:c r="M313" s="7" t="n"/>
      <x:c r="N313" s="7" t="n"/>
      <x:c r="O313" s="7" t="n"/>
      <x:c r="P313" s="7" t="n"/>
      <x:c r="Q313" s="7" t="n"/>
      <x:c r="R313" s="7" t="n"/>
      <x:c r="S313" s="7" t="n"/>
      <x:c r="T313" s="7" t="n"/>
      <x:c r="U313" s="7" t="n"/>
      <x:c r="V313" s="7" t="n"/>
      <x:c r="W313" s="7" t="n"/>
      <x:c r="X313" s="7" t="n"/>
      <x:c r="Y313" s="7" t="n"/>
      <x:c r="Z313" s="7" t="n"/>
      <x:c r="AA313" s="7" t="n"/>
      <x:c r="AB313" s="7" t="n"/>
    </x:row>
    <x:row r="314" ht="20" customHeight="1">
      <x:c r="A314" s="12" t="inlineStr">
        <x:is>
          <x:t xml:space="preserve">Eanes ISD</x:t>
        </x:is>
      </x:c>
      <x:c r="B314" s="12" t="inlineStr">
        <x:is>
          <x:t xml:space="preserve">TX</x:t>
        </x:is>
      </x:c>
      <x:c r="C314" s="12" t="inlineStr">
        <x:is>
          <x:t xml:space="preserve">Bachelor's</x:t>
        </x:is>
      </x:c>
      <x:c r="D314" s="13" t="n">
        <x:v>4</x:v>
      </x:c>
      <x:c r="E314" s="14" t="n">
        <x:v>59319</x:v>
      </x:c>
      <x:c r="F314" s="83" t="inlineStr">
        <x:is>
          <x:t xml:space="preserve">2026-06-10</x:t>
        </x:is>
      </x:c>
      <x:c r="G314" s="7" t="n"/>
      <x:c r="H314" s="7" t="n"/>
      <x:c r="I314" s="7" t="n"/>
      <x:c r="J314" s="7" t="n"/>
      <x:c r="K314" s="7" t="n"/>
      <x:c r="L314" s="7" t="n"/>
      <x:c r="M314" s="7" t="n"/>
      <x:c r="N314" s="7" t="n"/>
      <x:c r="O314" s="7" t="n"/>
      <x:c r="P314" s="7" t="n"/>
      <x:c r="Q314" s="7" t="n"/>
      <x:c r="R314" s="7" t="n"/>
      <x:c r="S314" s="7" t="n"/>
      <x:c r="T314" s="7" t="n"/>
      <x:c r="U314" s="7" t="n"/>
      <x:c r="V314" s="7" t="n"/>
      <x:c r="W314" s="7" t="n"/>
      <x:c r="X314" s="7" t="n"/>
      <x:c r="Y314" s="7" t="n"/>
      <x:c r="Z314" s="7" t="n"/>
      <x:c r="AA314" s="7" t="n"/>
      <x:c r="AB314" s="7" t="n"/>
    </x:row>
    <x:row r="315" ht="20" customHeight="1">
      <x:c r="A315" s="12" t="inlineStr">
        <x:is>
          <x:t xml:space="preserve">Eanes ISD</x:t>
        </x:is>
      </x:c>
      <x:c r="B315" s="12" t="inlineStr">
        <x:is>
          <x:t xml:space="preserve">TX</x:t>
        </x:is>
      </x:c>
      <x:c r="C315" s="12" t="inlineStr">
        <x:is>
          <x:t xml:space="preserve">Bachelor's</x:t>
        </x:is>
      </x:c>
      <x:c r="D315" s="13" t="n">
        <x:v>5</x:v>
      </x:c>
      <x:c r="E315" s="14" t="n">
        <x:v>61926</x:v>
      </x:c>
      <x:c r="F315" s="83" t="inlineStr">
        <x:is>
          <x:t xml:space="preserve">2026-06-10</x:t>
        </x:is>
      </x:c>
      <x:c r="G315" s="7" t="n"/>
      <x:c r="H315" s="7" t="n"/>
      <x:c r="I315" s="7" t="n"/>
      <x:c r="J315" s="7" t="n"/>
      <x:c r="K315" s="7" t="n"/>
      <x:c r="L315" s="7" t="n"/>
      <x:c r="M315" s="7" t="n"/>
      <x:c r="N315" s="7" t="n"/>
      <x:c r="O315" s="7" t="n"/>
      <x:c r="P315" s="7" t="n"/>
      <x:c r="Q315" s="7" t="n"/>
      <x:c r="R315" s="7" t="n"/>
      <x:c r="S315" s="7" t="n"/>
      <x:c r="T315" s="7" t="n"/>
      <x:c r="U315" s="7" t="n"/>
      <x:c r="V315" s="7" t="n"/>
      <x:c r="W315" s="7" t="n"/>
      <x:c r="X315" s="7" t="n"/>
      <x:c r="Y315" s="7" t="n"/>
      <x:c r="Z315" s="7" t="n"/>
      <x:c r="AA315" s="7" t="n"/>
      <x:c r="AB315" s="7" t="n"/>
    </x:row>
    <x:row r="316" ht="20" customHeight="1">
      <x:c r="A316" s="12" t="inlineStr">
        <x:is>
          <x:t xml:space="preserve">Eanes ISD</x:t>
        </x:is>
      </x:c>
      <x:c r="B316" s="12" t="inlineStr">
        <x:is>
          <x:t xml:space="preserve">TX</x:t>
        </x:is>
      </x:c>
      <x:c r="C316" s="12" t="inlineStr">
        <x:is>
          <x:t xml:space="preserve">Bachelor's</x:t>
        </x:is>
      </x:c>
      <x:c r="D316" s="13" t="n">
        <x:v>6</x:v>
      </x:c>
      <x:c r="E316" s="14" t="n">
        <x:v>62033</x:v>
      </x:c>
      <x:c r="F316" s="83" t="inlineStr">
        <x:is>
          <x:t xml:space="preserve">2026-06-10</x:t>
        </x:is>
      </x:c>
      <x:c r="G316" s="7" t="n"/>
      <x:c r="H316" s="7" t="n"/>
      <x:c r="I316" s="7" t="n"/>
      <x:c r="J316" s="7" t="n"/>
      <x:c r="K316" s="7" t="n"/>
      <x:c r="L316" s="7" t="n"/>
      <x:c r="M316" s="7" t="n"/>
      <x:c r="N316" s="7" t="n"/>
      <x:c r="O316" s="7" t="n"/>
      <x:c r="P316" s="7" t="n"/>
      <x:c r="Q316" s="7" t="n"/>
      <x:c r="R316" s="7" t="n"/>
      <x:c r="S316" s="7" t="n"/>
      <x:c r="T316" s="7" t="n"/>
      <x:c r="U316" s="7" t="n"/>
      <x:c r="V316" s="7" t="n"/>
      <x:c r="W316" s="7" t="n"/>
      <x:c r="X316" s="7" t="n"/>
      <x:c r="Y316" s="7" t="n"/>
      <x:c r="Z316" s="7" t="n"/>
      <x:c r="AA316" s="7" t="n"/>
      <x:c r="AB316" s="7" t="n"/>
    </x:row>
    <x:row r="317" ht="20" customHeight="1">
      <x:c r="A317" s="12" t="inlineStr">
        <x:is>
          <x:t xml:space="preserve">Eanes ISD</x:t>
        </x:is>
      </x:c>
      <x:c r="B317" s="12" t="inlineStr">
        <x:is>
          <x:t xml:space="preserve">TX</x:t>
        </x:is>
      </x:c>
      <x:c r="C317" s="12" t="inlineStr">
        <x:is>
          <x:t xml:space="preserve">Bachelor's</x:t>
        </x:is>
      </x:c>
      <x:c r="D317" s="13" t="n">
        <x:v>7</x:v>
      </x:c>
      <x:c r="E317" s="14" t="n">
        <x:v>62752</x:v>
      </x:c>
      <x:c r="F317" s="83" t="inlineStr">
        <x:is>
          <x:t xml:space="preserve">2026-06-10</x:t>
        </x:is>
      </x:c>
      <x:c r="G317" s="7" t="n"/>
      <x:c r="H317" s="7" t="n"/>
      <x:c r="I317" s="7" t="n"/>
      <x:c r="J317" s="7" t="n"/>
      <x:c r="K317" s="7" t="n"/>
      <x:c r="L317" s="7" t="n"/>
      <x:c r="M317" s="7" t="n"/>
      <x:c r="N317" s="7" t="n"/>
      <x:c r="O317" s="7" t="n"/>
      <x:c r="P317" s="7" t="n"/>
      <x:c r="Q317" s="7" t="n"/>
      <x:c r="R317" s="7" t="n"/>
      <x:c r="S317" s="7" t="n"/>
      <x:c r="T317" s="7" t="n"/>
      <x:c r="U317" s="7" t="n"/>
      <x:c r="V317" s="7" t="n"/>
      <x:c r="W317" s="7" t="n"/>
      <x:c r="X317" s="7" t="n"/>
      <x:c r="Y317" s="7" t="n"/>
      <x:c r="Z317" s="7" t="n"/>
      <x:c r="AA317" s="7" t="n"/>
      <x:c r="AB317" s="7" t="n"/>
    </x:row>
    <x:row r="318" ht="20" customHeight="1">
      <x:c r="A318" s="12" t="inlineStr">
        <x:is>
          <x:t xml:space="preserve">Eanes ISD</x:t>
        </x:is>
      </x:c>
      <x:c r="B318" s="12" t="inlineStr">
        <x:is>
          <x:t xml:space="preserve">TX</x:t>
        </x:is>
      </x:c>
      <x:c r="C318" s="12" t="inlineStr">
        <x:is>
          <x:t xml:space="preserve">Bachelor's</x:t>
        </x:is>
      </x:c>
      <x:c r="D318" s="13" t="n">
        <x:v>8</x:v>
      </x:c>
      <x:c r="E318" s="14" t="n">
        <x:v>62931</x:v>
      </x:c>
      <x:c r="F318" s="83" t="inlineStr">
        <x:is>
          <x:t xml:space="preserve">2026-06-10</x:t>
        </x:is>
      </x:c>
      <x:c r="G318" s="7" t="n"/>
      <x:c r="H318" s="7" t="n"/>
      <x:c r="I318" s="7" t="n"/>
      <x:c r="J318" s="7" t="n"/>
      <x:c r="K318" s="7" t="n"/>
      <x:c r="L318" s="7" t="n"/>
      <x:c r="M318" s="7" t="n"/>
      <x:c r="N318" s="7" t="n"/>
      <x:c r="O318" s="7" t="n"/>
      <x:c r="P318" s="7" t="n"/>
      <x:c r="Q318" s="7" t="n"/>
      <x:c r="R318" s="7" t="n"/>
      <x:c r="S318" s="7" t="n"/>
      <x:c r="T318" s="7" t="n"/>
      <x:c r="U318" s="7" t="n"/>
      <x:c r="V318" s="7" t="n"/>
      <x:c r="W318" s="7" t="n"/>
      <x:c r="X318" s="7" t="n"/>
      <x:c r="Y318" s="7" t="n"/>
      <x:c r="Z318" s="7" t="n"/>
      <x:c r="AA318" s="7" t="n"/>
      <x:c r="AB318" s="7" t="n"/>
    </x:row>
    <x:row r="319" ht="20" customHeight="1">
      <x:c r="A319" s="12" t="inlineStr">
        <x:is>
          <x:t xml:space="preserve">Eanes ISD</x:t>
        </x:is>
      </x:c>
      <x:c r="B319" s="12" t="inlineStr">
        <x:is>
          <x:t xml:space="preserve">TX</x:t>
        </x:is>
      </x:c>
      <x:c r="C319" s="12" t="inlineStr">
        <x:is>
          <x:t xml:space="preserve">Bachelor's</x:t>
        </x:is>
      </x:c>
      <x:c r="D319" s="13" t="n">
        <x:v>9</x:v>
      </x:c>
      <x:c r="E319" s="14" t="n">
        <x:v>63089</x:v>
      </x:c>
      <x:c r="F319" s="83" t="inlineStr">
        <x:is>
          <x:t xml:space="preserve">2026-06-10</x:t>
        </x:is>
      </x:c>
      <x:c r="G319" s="7" t="n"/>
      <x:c r="H319" s="7" t="n"/>
      <x:c r="I319" s="7" t="n"/>
      <x:c r="J319" s="7" t="n"/>
      <x:c r="K319" s="7" t="n"/>
      <x:c r="L319" s="7" t="n"/>
      <x:c r="M319" s="7" t="n"/>
      <x:c r="N319" s="7" t="n"/>
      <x:c r="O319" s="7" t="n"/>
      <x:c r="P319" s="7" t="n"/>
      <x:c r="Q319" s="7" t="n"/>
      <x:c r="R319" s="7" t="n"/>
      <x:c r="S319" s="7" t="n"/>
      <x:c r="T319" s="7" t="n"/>
      <x:c r="U319" s="7" t="n"/>
      <x:c r="V319" s="7" t="n"/>
      <x:c r="W319" s="7" t="n"/>
      <x:c r="X319" s="7" t="n"/>
      <x:c r="Y319" s="7" t="n"/>
      <x:c r="Z319" s="7" t="n"/>
      <x:c r="AA319" s="7" t="n"/>
      <x:c r="AB319" s="7" t="n"/>
    </x:row>
    <x:row r="320" ht="20" customHeight="1">
      <x:c r="A320" s="12" t="inlineStr">
        <x:is>
          <x:t xml:space="preserve">Eanes ISD</x:t>
        </x:is>
      </x:c>
      <x:c r="B320" s="12" t="inlineStr">
        <x:is>
          <x:t xml:space="preserve">TX</x:t>
        </x:is>
      </x:c>
      <x:c r="C320" s="12" t="inlineStr">
        <x:is>
          <x:t xml:space="preserve">Bachelor's</x:t>
        </x:is>
      </x:c>
      <x:c r="D320" s="13" t="n">
        <x:v>10</x:v>
      </x:c>
      <x:c r="E320" s="14" t="n">
        <x:v>63247</x:v>
      </x:c>
      <x:c r="F320" s="83" t="inlineStr">
        <x:is>
          <x:t xml:space="preserve">2026-06-10</x:t>
        </x:is>
      </x:c>
      <x:c r="G320" s="7" t="n"/>
      <x:c r="H320" s="7" t="n"/>
      <x:c r="I320" s="7" t="n"/>
      <x:c r="J320" s="7" t="n"/>
      <x:c r="K320" s="7" t="n"/>
      <x:c r="L320" s="7" t="n"/>
      <x:c r="M320" s="7" t="n"/>
      <x:c r="N320" s="7" t="n"/>
      <x:c r="O320" s="7" t="n"/>
      <x:c r="P320" s="7" t="n"/>
      <x:c r="Q320" s="7" t="n"/>
      <x:c r="R320" s="7" t="n"/>
      <x:c r="S320" s="7" t="n"/>
      <x:c r="T320" s="7" t="n"/>
      <x:c r="U320" s="7" t="n"/>
      <x:c r="V320" s="7" t="n"/>
      <x:c r="W320" s="7" t="n"/>
      <x:c r="X320" s="7" t="n"/>
      <x:c r="Y320" s="7" t="n"/>
      <x:c r="Z320" s="7" t="n"/>
      <x:c r="AA320" s="7" t="n"/>
      <x:c r="AB320" s="7" t="n"/>
    </x:row>
    <x:row r="321" ht="20" customHeight="1">
      <x:c r="A321" s="12" t="inlineStr">
        <x:is>
          <x:t xml:space="preserve">Eanes ISD</x:t>
        </x:is>
      </x:c>
      <x:c r="B321" s="12" t="inlineStr">
        <x:is>
          <x:t xml:space="preserve">TX</x:t>
        </x:is>
      </x:c>
      <x:c r="C321" s="12" t="inlineStr">
        <x:is>
          <x:t xml:space="preserve">Master's</x:t>
        </x:is>
      </x:c>
      <x:c r="D321" s="13" t="n">
        <x:v>0</x:v>
      </x:c>
      <x:c r="E321" s="14" t="n">
        <x:v>59600</x:v>
      </x:c>
      <x:c r="F321" s="83" t="inlineStr">
        <x:is>
          <x:t xml:space="preserve">2026-06-10</x:t>
        </x:is>
      </x:c>
      <x:c r="G321" s="7" t="n"/>
      <x:c r="H321" s="7" t="n"/>
      <x:c r="I321" s="7" t="n"/>
      <x:c r="J321" s="7" t="n"/>
      <x:c r="K321" s="7" t="n"/>
      <x:c r="L321" s="7" t="n"/>
      <x:c r="M321" s="7" t="n"/>
      <x:c r="N321" s="7" t="n"/>
      <x:c r="O321" s="7" t="n"/>
      <x:c r="P321" s="7" t="n"/>
      <x:c r="Q321" s="7" t="n"/>
      <x:c r="R321" s="7" t="n"/>
      <x:c r="S321" s="7" t="n"/>
      <x:c r="T321" s="7" t="n"/>
      <x:c r="U321" s="7" t="n"/>
      <x:c r="V321" s="7" t="n"/>
      <x:c r="W321" s="7" t="n"/>
      <x:c r="X321" s="7" t="n"/>
      <x:c r="Y321" s="7" t="n"/>
      <x:c r="Z321" s="7" t="n"/>
      <x:c r="AA321" s="7" t="n"/>
      <x:c r="AB321" s="7" t="n"/>
    </x:row>
    <x:row r="322" ht="20" customHeight="1">
      <x:c r="A322" s="12" t="inlineStr">
        <x:is>
          <x:t xml:space="preserve">Eanes ISD</x:t>
        </x:is>
      </x:c>
      <x:c r="B322" s="12" t="inlineStr">
        <x:is>
          <x:t xml:space="preserve">TX</x:t>
        </x:is>
      </x:c>
      <x:c r="C322" s="12" t="inlineStr">
        <x:is>
          <x:t xml:space="preserve">Master's</x:t>
        </x:is>
      </x:c>
      <x:c r="D322" s="13" t="n">
        <x:v>1</x:v>
      </x:c>
      <x:c r="E322" s="14" t="n">
        <x:v>59722</x:v>
      </x:c>
      <x:c r="F322" s="83" t="inlineStr">
        <x:is>
          <x:t xml:space="preserve">2026-06-10</x:t>
        </x:is>
      </x:c>
      <x:c r="G322" s="7" t="n"/>
      <x:c r="H322" s="7" t="n"/>
      <x:c r="I322" s="7" t="n"/>
      <x:c r="J322" s="7" t="n"/>
      <x:c r="K322" s="7" t="n"/>
      <x:c r="L322" s="7" t="n"/>
      <x:c r="M322" s="7" t="n"/>
      <x:c r="N322" s="7" t="n"/>
      <x:c r="O322" s="7" t="n"/>
      <x:c r="P322" s="7" t="n"/>
      <x:c r="Q322" s="7" t="n"/>
      <x:c r="R322" s="7" t="n"/>
      <x:c r="S322" s="7" t="n"/>
      <x:c r="T322" s="7" t="n"/>
      <x:c r="U322" s="7" t="n"/>
      <x:c r="V322" s="7" t="n"/>
      <x:c r="W322" s="7" t="n"/>
      <x:c r="X322" s="7" t="n"/>
      <x:c r="Y322" s="7" t="n"/>
      <x:c r="Z322" s="7" t="n"/>
      <x:c r="AA322" s="7" t="n"/>
      <x:c r="AB322" s="7" t="n"/>
    </x:row>
    <x:row r="323" ht="20" customHeight="1">
      <x:c r="A323" s="12" t="inlineStr">
        <x:is>
          <x:t xml:space="preserve">Eanes ISD</x:t>
        </x:is>
      </x:c>
      <x:c r="B323" s="12" t="inlineStr">
        <x:is>
          <x:t xml:space="preserve">TX</x:t>
        </x:is>
      </x:c>
      <x:c r="C323" s="12" t="inlineStr">
        <x:is>
          <x:t xml:space="preserve">Master's</x:t>
        </x:is>
      </x:c>
      <x:c r="D323" s="13" t="n">
        <x:v>2</x:v>
      </x:c>
      <x:c r="E323" s="14" t="n">
        <x:v>59832</x:v>
      </x:c>
      <x:c r="F323" s="83" t="inlineStr">
        <x:is>
          <x:t xml:space="preserve">2026-06-10</x:t>
        </x:is>
      </x:c>
      <x:c r="G323" s="7" t="n"/>
      <x:c r="H323" s="7" t="n"/>
      <x:c r="I323" s="7" t="n"/>
      <x:c r="J323" s="7" t="n"/>
      <x:c r="K323" s="7" t="n"/>
      <x:c r="L323" s="7" t="n"/>
      <x:c r="M323" s="7" t="n"/>
      <x:c r="N323" s="7" t="n"/>
      <x:c r="O323" s="7" t="n"/>
      <x:c r="P323" s="7" t="n"/>
      <x:c r="Q323" s="7" t="n"/>
      <x:c r="R323" s="7" t="n"/>
      <x:c r="S323" s="7" t="n"/>
      <x:c r="T323" s="7" t="n"/>
      <x:c r="U323" s="7" t="n"/>
      <x:c r="V323" s="7" t="n"/>
      <x:c r="W323" s="7" t="n"/>
      <x:c r="X323" s="7" t="n"/>
      <x:c r="Y323" s="7" t="n"/>
      <x:c r="Z323" s="7" t="n"/>
      <x:c r="AA323" s="7" t="n"/>
      <x:c r="AB323" s="7" t="n"/>
    </x:row>
    <x:row r="324" ht="20" customHeight="1">
      <x:c r="A324" s="12" t="inlineStr">
        <x:is>
          <x:t xml:space="preserve">Eanes ISD</x:t>
        </x:is>
      </x:c>
      <x:c r="B324" s="12" t="inlineStr">
        <x:is>
          <x:t xml:space="preserve">TX</x:t>
        </x:is>
      </x:c>
      <x:c r="C324" s="12" t="inlineStr">
        <x:is>
          <x:t xml:space="preserve">Master's</x:t>
        </x:is>
      </x:c>
      <x:c r="D324" s="13" t="n">
        <x:v>3</x:v>
      </x:c>
      <x:c r="E324" s="14" t="n">
        <x:v>61809</x:v>
      </x:c>
      <x:c r="F324" s="83" t="inlineStr">
        <x:is>
          <x:t xml:space="preserve">2026-06-10</x:t>
        </x:is>
      </x:c>
      <x:c r="G324" s="7" t="n"/>
      <x:c r="H324" s="7" t="n"/>
      <x:c r="I324" s="7" t="n"/>
      <x:c r="J324" s="7" t="n"/>
      <x:c r="K324" s="7" t="n"/>
      <x:c r="L324" s="7" t="n"/>
      <x:c r="M324" s="7" t="n"/>
      <x:c r="N324" s="7" t="n"/>
      <x:c r="O324" s="7" t="n"/>
      <x:c r="P324" s="7" t="n"/>
      <x:c r="Q324" s="7" t="n"/>
      <x:c r="R324" s="7" t="n"/>
      <x:c r="S324" s="7" t="n"/>
      <x:c r="T324" s="7" t="n"/>
      <x:c r="U324" s="7" t="n"/>
      <x:c r="V324" s="7" t="n"/>
      <x:c r="W324" s="7" t="n"/>
      <x:c r="X324" s="7" t="n"/>
      <x:c r="Y324" s="7" t="n"/>
      <x:c r="Z324" s="7" t="n"/>
      <x:c r="AA324" s="7" t="n"/>
      <x:c r="AB324" s="7" t="n"/>
    </x:row>
    <x:row r="325" ht="20" customHeight="1">
      <x:c r="A325" s="12" t="inlineStr">
        <x:is>
          <x:t xml:space="preserve">Eanes ISD</x:t>
        </x:is>
      </x:c>
      <x:c r="B325" s="12" t="inlineStr">
        <x:is>
          <x:t xml:space="preserve">TX</x:t>
        </x:is>
      </x:c>
      <x:c r="C325" s="12" t="inlineStr">
        <x:is>
          <x:t xml:space="preserve">Master's</x:t>
        </x:is>
      </x:c>
      <x:c r="D325" s="13" t="n">
        <x:v>4</x:v>
      </x:c>
      <x:c r="E325" s="14" t="n">
        <x:v>61919</x:v>
      </x:c>
      <x:c r="F325" s="83" t="inlineStr">
        <x:is>
          <x:t xml:space="preserve">2026-06-10</x:t>
        </x:is>
      </x:c>
      <x:c r="G325" s="7" t="n"/>
      <x:c r="H325" s="7" t="n"/>
      <x:c r="I325" s="7" t="n"/>
      <x:c r="J325" s="7" t="n"/>
      <x:c r="K325" s="7" t="n"/>
      <x:c r="L325" s="7" t="n"/>
      <x:c r="M325" s="7" t="n"/>
      <x:c r="N325" s="7" t="n"/>
      <x:c r="O325" s="7" t="n"/>
      <x:c r="P325" s="7" t="n"/>
      <x:c r="Q325" s="7" t="n"/>
      <x:c r="R325" s="7" t="n"/>
      <x:c r="S325" s="7" t="n"/>
      <x:c r="T325" s="7" t="n"/>
      <x:c r="U325" s="7" t="n"/>
      <x:c r="V325" s="7" t="n"/>
      <x:c r="W325" s="7" t="n"/>
      <x:c r="X325" s="7" t="n"/>
      <x:c r="Y325" s="7" t="n"/>
      <x:c r="Z325" s="7" t="n"/>
      <x:c r="AA325" s="7" t="n"/>
      <x:c r="AB325" s="7" t="n"/>
    </x:row>
    <x:row r="326" ht="20" customHeight="1">
      <x:c r="A326" s="12" t="inlineStr">
        <x:is>
          <x:t xml:space="preserve">Eanes ISD</x:t>
        </x:is>
      </x:c>
      <x:c r="B326" s="12" t="inlineStr">
        <x:is>
          <x:t xml:space="preserve">TX</x:t>
        </x:is>
      </x:c>
      <x:c r="C326" s="12" t="inlineStr">
        <x:is>
          <x:t xml:space="preserve">Master's</x:t>
        </x:is>
      </x:c>
      <x:c r="D326" s="13" t="n">
        <x:v>5</x:v>
      </x:c>
      <x:c r="E326" s="14" t="n">
        <x:v>64526</x:v>
      </x:c>
      <x:c r="F326" s="83" t="inlineStr">
        <x:is>
          <x:t xml:space="preserve">2026-06-10</x:t>
        </x:is>
      </x:c>
      <x:c r="G326" s="7" t="n"/>
      <x:c r="H326" s="7" t="n"/>
      <x:c r="I326" s="7" t="n"/>
      <x:c r="J326" s="7" t="n"/>
      <x:c r="K326" s="7" t="n"/>
      <x:c r="L326" s="7" t="n"/>
      <x:c r="M326" s="7" t="n"/>
      <x:c r="N326" s="7" t="n"/>
      <x:c r="O326" s="7" t="n"/>
      <x:c r="P326" s="7" t="n"/>
      <x:c r="Q326" s="7" t="n"/>
      <x:c r="R326" s="7" t="n"/>
      <x:c r="S326" s="7" t="n"/>
      <x:c r="T326" s="7" t="n"/>
      <x:c r="U326" s="7" t="n"/>
      <x:c r="V326" s="7" t="n"/>
      <x:c r="W326" s="7" t="n"/>
      <x:c r="X326" s="7" t="n"/>
      <x:c r="Y326" s="7" t="n"/>
      <x:c r="Z326" s="7" t="n"/>
      <x:c r="AA326" s="7" t="n"/>
      <x:c r="AB326" s="7" t="n"/>
    </x:row>
    <x:row r="327" ht="20" customHeight="1">
      <x:c r="A327" s="12" t="inlineStr">
        <x:is>
          <x:t xml:space="preserve">Eanes ISD</x:t>
        </x:is>
      </x:c>
      <x:c r="B327" s="12" t="inlineStr">
        <x:is>
          <x:t xml:space="preserve">TX</x:t>
        </x:is>
      </x:c>
      <x:c r="C327" s="12" t="inlineStr">
        <x:is>
          <x:t xml:space="preserve">Master's</x:t>
        </x:is>
      </x:c>
      <x:c r="D327" s="13" t="n">
        <x:v>6</x:v>
      </x:c>
      <x:c r="E327" s="14" t="n">
        <x:v>64633</x:v>
      </x:c>
      <x:c r="F327" s="83" t="inlineStr">
        <x:is>
          <x:t xml:space="preserve">2026-06-10</x:t>
        </x:is>
      </x:c>
      <x:c r="G327" s="7" t="n"/>
      <x:c r="H327" s="7" t="n"/>
      <x:c r="I327" s="7" t="n"/>
      <x:c r="J327" s="7" t="n"/>
      <x:c r="K327" s="7" t="n"/>
      <x:c r="L327" s="7" t="n"/>
      <x:c r="M327" s="7" t="n"/>
      <x:c r="N327" s="7" t="n"/>
      <x:c r="O327" s="7" t="n"/>
      <x:c r="P327" s="7" t="n"/>
      <x:c r="Q327" s="7" t="n"/>
      <x:c r="R327" s="7" t="n"/>
      <x:c r="S327" s="7" t="n"/>
      <x:c r="T327" s="7" t="n"/>
      <x:c r="U327" s="7" t="n"/>
      <x:c r="V327" s="7" t="n"/>
      <x:c r="W327" s="7" t="n"/>
      <x:c r="X327" s="7" t="n"/>
      <x:c r="Y327" s="7" t="n"/>
      <x:c r="Z327" s="7" t="n"/>
      <x:c r="AA327" s="7" t="n"/>
      <x:c r="AB327" s="7" t="n"/>
    </x:row>
    <x:row r="328" ht="20" customHeight="1">
      <x:c r="A328" s="12" t="inlineStr">
        <x:is>
          <x:t xml:space="preserve">Eanes ISD</x:t>
        </x:is>
      </x:c>
      <x:c r="B328" s="12" t="inlineStr">
        <x:is>
          <x:t xml:space="preserve">TX</x:t>
        </x:is>
      </x:c>
      <x:c r="C328" s="12" t="inlineStr">
        <x:is>
          <x:t xml:space="preserve">Master's</x:t>
        </x:is>
      </x:c>
      <x:c r="D328" s="13" t="n">
        <x:v>7</x:v>
      </x:c>
      <x:c r="E328" s="14" t="n">
        <x:v>65352</x:v>
      </x:c>
      <x:c r="F328" s="83" t="inlineStr">
        <x:is>
          <x:t xml:space="preserve">2026-06-10</x:t>
        </x:is>
      </x:c>
      <x:c r="G328" s="7" t="n"/>
      <x:c r="H328" s="7" t="n"/>
      <x:c r="I328" s="7" t="n"/>
      <x:c r="J328" s="7" t="n"/>
      <x:c r="K328" s="7" t="n"/>
      <x:c r="L328" s="7" t="n"/>
      <x:c r="M328" s="7" t="n"/>
      <x:c r="N328" s="7" t="n"/>
      <x:c r="O328" s="7" t="n"/>
      <x:c r="P328" s="7" t="n"/>
      <x:c r="Q328" s="7" t="n"/>
      <x:c r="R328" s="7" t="n"/>
      <x:c r="S328" s="7" t="n"/>
      <x:c r="T328" s="7" t="n"/>
      <x:c r="U328" s="7" t="n"/>
      <x:c r="V328" s="7" t="n"/>
      <x:c r="W328" s="7" t="n"/>
      <x:c r="X328" s="7" t="n"/>
      <x:c r="Y328" s="7" t="n"/>
      <x:c r="Z328" s="7" t="n"/>
      <x:c r="AA328" s="7" t="n"/>
      <x:c r="AB328" s="7" t="n"/>
    </x:row>
    <x:row r="329" ht="20" customHeight="1">
      <x:c r="A329" s="12" t="inlineStr">
        <x:is>
          <x:t xml:space="preserve">Eanes ISD</x:t>
        </x:is>
      </x:c>
      <x:c r="B329" s="12" t="inlineStr">
        <x:is>
          <x:t xml:space="preserve">TX</x:t>
        </x:is>
      </x:c>
      <x:c r="C329" s="12" t="inlineStr">
        <x:is>
          <x:t xml:space="preserve">Master's</x:t>
        </x:is>
      </x:c>
      <x:c r="D329" s="13" t="n">
        <x:v>8</x:v>
      </x:c>
      <x:c r="E329" s="14" t="n">
        <x:v>65531</x:v>
      </x:c>
      <x:c r="F329" s="83" t="inlineStr">
        <x:is>
          <x:t xml:space="preserve">2026-06-10</x:t>
        </x:is>
      </x:c>
      <x:c r="G329" s="7" t="n"/>
      <x:c r="H329" s="7" t="n"/>
      <x:c r="I329" s="7" t="n"/>
      <x:c r="J329" s="7" t="n"/>
      <x:c r="K329" s="7" t="n"/>
      <x:c r="L329" s="7" t="n"/>
      <x:c r="M329" s="7" t="n"/>
      <x:c r="N329" s="7" t="n"/>
      <x:c r="O329" s="7" t="n"/>
      <x:c r="P329" s="7" t="n"/>
      <x:c r="Q329" s="7" t="n"/>
      <x:c r="R329" s="7" t="n"/>
      <x:c r="S329" s="7" t="n"/>
      <x:c r="T329" s="7" t="n"/>
      <x:c r="U329" s="7" t="n"/>
      <x:c r="V329" s="7" t="n"/>
      <x:c r="W329" s="7" t="n"/>
      <x:c r="X329" s="7" t="n"/>
      <x:c r="Y329" s="7" t="n"/>
      <x:c r="Z329" s="7" t="n"/>
      <x:c r="AA329" s="7" t="n"/>
      <x:c r="AB329" s="7" t="n"/>
    </x:row>
    <x:row r="330" ht="20" customHeight="1">
      <x:c r="A330" s="12" t="inlineStr">
        <x:is>
          <x:t xml:space="preserve">Eanes ISD</x:t>
        </x:is>
      </x:c>
      <x:c r="B330" s="12" t="inlineStr">
        <x:is>
          <x:t xml:space="preserve">TX</x:t>
        </x:is>
      </x:c>
      <x:c r="C330" s="12" t="inlineStr">
        <x:is>
          <x:t xml:space="preserve">Master's</x:t>
        </x:is>
      </x:c>
      <x:c r="D330" s="13" t="n">
        <x:v>9</x:v>
      </x:c>
      <x:c r="E330" s="14" t="n">
        <x:v>65689</x:v>
      </x:c>
      <x:c r="F330" s="83" t="inlineStr">
        <x:is>
          <x:t xml:space="preserve">2026-06-10</x:t>
        </x:is>
      </x:c>
      <x:c r="G330" s="7" t="n"/>
      <x:c r="H330" s="7" t="n"/>
      <x:c r="I330" s="7" t="n"/>
      <x:c r="J330" s="7" t="n"/>
      <x:c r="K330" s="7" t="n"/>
      <x:c r="L330" s="7" t="n"/>
      <x:c r="M330" s="7" t="n"/>
      <x:c r="N330" s="7" t="n"/>
      <x:c r="O330" s="7" t="n"/>
      <x:c r="P330" s="7" t="n"/>
      <x:c r="Q330" s="7" t="n"/>
      <x:c r="R330" s="7" t="n"/>
      <x:c r="S330" s="7" t="n"/>
      <x:c r="T330" s="7" t="n"/>
      <x:c r="U330" s="7" t="n"/>
      <x:c r="V330" s="7" t="n"/>
      <x:c r="W330" s="7" t="n"/>
      <x:c r="X330" s="7" t="n"/>
      <x:c r="Y330" s="7" t="n"/>
      <x:c r="Z330" s="7" t="n"/>
      <x:c r="AA330" s="7" t="n"/>
      <x:c r="AB330" s="7" t="n"/>
    </x:row>
    <x:row r="331" ht="20" customHeight="1">
      <x:c r="A331" s="12" t="inlineStr">
        <x:is>
          <x:t xml:space="preserve">Eanes ISD</x:t>
        </x:is>
      </x:c>
      <x:c r="B331" s="12" t="inlineStr">
        <x:is>
          <x:t xml:space="preserve">TX</x:t>
        </x:is>
      </x:c>
      <x:c r="C331" s="12" t="inlineStr">
        <x:is>
          <x:t xml:space="preserve">Master's</x:t>
        </x:is>
      </x:c>
      <x:c r="D331" s="13" t="n">
        <x:v>10</x:v>
      </x:c>
      <x:c r="E331" s="14" t="n">
        <x:v>65847</x:v>
      </x:c>
      <x:c r="F331" s="83" t="inlineStr">
        <x:is>
          <x:t xml:space="preserve">2026-06-10</x:t>
        </x:is>
      </x:c>
      <x:c r="G331" s="7" t="n"/>
      <x:c r="H331" s="7" t="n"/>
      <x:c r="I331" s="7" t="n"/>
      <x:c r="J331" s="7" t="n"/>
      <x:c r="K331" s="7" t="n"/>
      <x:c r="L331" s="7" t="n"/>
      <x:c r="M331" s="7" t="n"/>
      <x:c r="N331" s="7" t="n"/>
      <x:c r="O331" s="7" t="n"/>
      <x:c r="P331" s="7" t="n"/>
      <x:c r="Q331" s="7" t="n"/>
      <x:c r="R331" s="7" t="n"/>
      <x:c r="S331" s="7" t="n"/>
      <x:c r="T331" s="7" t="n"/>
      <x:c r="U331" s="7" t="n"/>
      <x:c r="V331" s="7" t="n"/>
      <x:c r="W331" s="7" t="n"/>
      <x:c r="X331" s="7" t="n"/>
      <x:c r="Y331" s="7" t="n"/>
      <x:c r="Z331" s="7" t="n"/>
      <x:c r="AA331" s="7" t="n"/>
      <x:c r="AB331" s="7" t="n"/>
    </x:row>
    <x:row r="332" ht="20" customHeight="1">
      <x:c r="A332" s="12" t="inlineStr">
        <x:is>
          <x:t xml:space="preserve">Eden Prairie Schools</x:t>
        </x:is>
      </x:c>
      <x:c r="B332" s="12" t="inlineStr">
        <x:is>
          <x:t xml:space="preserve">MN</x:t>
        </x:is>
      </x:c>
      <x:c r="C332" s="12" t="inlineStr">
        <x:is>
          <x:t xml:space="preserve">Bachelor's</x:t>
        </x:is>
      </x:c>
      <x:c r="D332" s="13" t="n">
        <x:v>0</x:v>
      </x:c>
      <x:c r="E332" s="14" t="n">
        <x:v>51831</x:v>
      </x:c>
      <x:c r="F332" s="12" t="inlineStr">
        <x:is>
          <x:t xml:space="preserve">2026-06-15</x:t>
        </x:is>
      </x:c>
      <x:c r="G332" s="7" t="n"/>
      <x:c r="H332" s="7" t="n"/>
      <x:c r="I332" s="7" t="n"/>
      <x:c r="J332" s="7" t="n"/>
      <x:c r="K332" s="7" t="n"/>
      <x:c r="L332" s="7" t="n"/>
      <x:c r="M332" s="7" t="n"/>
      <x:c r="N332" s="7" t="n"/>
      <x:c r="O332" s="7" t="n"/>
      <x:c r="P332" s="7" t="n"/>
      <x:c r="Q332" s="7" t="n"/>
      <x:c r="R332" s="7" t="n"/>
      <x:c r="S332" s="7" t="n"/>
      <x:c r="T332" s="7" t="n"/>
      <x:c r="U332" s="7" t="n"/>
      <x:c r="V332" s="7" t="n"/>
      <x:c r="W332" s="7" t="n"/>
      <x:c r="X332" s="7" t="n"/>
      <x:c r="Y332" s="7" t="n"/>
      <x:c r="Z332" s="7" t="n"/>
      <x:c r="AA332" s="7" t="n"/>
      <x:c r="AB332" s="7" t="n"/>
    </x:row>
    <x:row r="333" ht="20" customHeight="1">
      <x:c r="A333" s="12" t="inlineStr">
        <x:is>
          <x:t xml:space="preserve">Eden Prairie Schools</x:t>
        </x:is>
      </x:c>
      <x:c r="B333" s="12" t="inlineStr">
        <x:is>
          <x:t xml:space="preserve">MN</x:t>
        </x:is>
      </x:c>
      <x:c r="C333" s="12" t="inlineStr">
        <x:is>
          <x:t xml:space="preserve">Bachelor's</x:t>
        </x:is>
      </x:c>
      <x:c r="D333" s="13" t="n">
        <x:v>1</x:v>
      </x:c>
      <x:c r="E333" s="14" t="n">
        <x:v>52538</x:v>
      </x:c>
      <x:c r="F333" s="12" t="inlineStr">
        <x:is>
          <x:t xml:space="preserve">2026-06-15</x:t>
        </x:is>
      </x:c>
      <x:c r="G333" s="7" t="n"/>
      <x:c r="H333" s="7" t="n"/>
      <x:c r="I333" s="7" t="n"/>
      <x:c r="J333" s="7" t="n"/>
      <x:c r="K333" s="7" t="n"/>
      <x:c r="L333" s="7" t="n"/>
      <x:c r="M333" s="7" t="n"/>
      <x:c r="N333" s="7" t="n"/>
      <x:c r="O333" s="7" t="n"/>
      <x:c r="P333" s="7" t="n"/>
      <x:c r="Q333" s="7" t="n"/>
      <x:c r="R333" s="7" t="n"/>
      <x:c r="S333" s="7" t="n"/>
      <x:c r="T333" s="7" t="n"/>
      <x:c r="U333" s="7" t="n"/>
      <x:c r="V333" s="7" t="n"/>
      <x:c r="W333" s="7" t="n"/>
      <x:c r="X333" s="7" t="n"/>
      <x:c r="Y333" s="7" t="n"/>
      <x:c r="Z333" s="7" t="n"/>
      <x:c r="AA333" s="7" t="n"/>
      <x:c r="AB333" s="7" t="n"/>
    </x:row>
    <x:row r="334" ht="20" customHeight="1">
      <x:c r="A334" s="12" t="inlineStr">
        <x:is>
          <x:t xml:space="preserve">Eden Prairie Schools</x:t>
        </x:is>
      </x:c>
      <x:c r="B334" s="12" t="inlineStr">
        <x:is>
          <x:t xml:space="preserve">MN</x:t>
        </x:is>
      </x:c>
      <x:c r="C334" s="12" t="inlineStr">
        <x:is>
          <x:t xml:space="preserve">Bachelor's</x:t>
        </x:is>
      </x:c>
      <x:c r="D334" s="13" t="n">
        <x:v>2</x:v>
      </x:c>
      <x:c r="E334" s="14" t="n">
        <x:v>54665</x:v>
      </x:c>
      <x:c r="F334" s="12" t="inlineStr">
        <x:is>
          <x:t xml:space="preserve">2026-06-15</x:t>
        </x:is>
      </x:c>
      <x:c r="G334" s="7" t="n"/>
      <x:c r="H334" s="7" t="n"/>
      <x:c r="I334" s="7" t="n"/>
      <x:c r="J334" s="7" t="n"/>
      <x:c r="K334" s="7" t="n"/>
      <x:c r="L334" s="7" t="n"/>
      <x:c r="M334" s="7" t="n"/>
      <x:c r="N334" s="7" t="n"/>
      <x:c r="O334" s="7" t="n"/>
      <x:c r="P334" s="7" t="n"/>
      <x:c r="Q334" s="7" t="n"/>
      <x:c r="R334" s="7" t="n"/>
      <x:c r="S334" s="7" t="n"/>
      <x:c r="T334" s="7" t="n"/>
      <x:c r="U334" s="7" t="n"/>
      <x:c r="V334" s="7" t="n"/>
      <x:c r="W334" s="7" t="n"/>
      <x:c r="X334" s="7" t="n"/>
      <x:c r="Y334" s="7" t="n"/>
      <x:c r="Z334" s="7" t="n"/>
      <x:c r="AA334" s="7" t="n"/>
      <x:c r="AB334" s="7" t="n"/>
    </x:row>
    <x:row r="335" ht="20" customHeight="1">
      <x:c r="A335" s="12" t="inlineStr">
        <x:is>
          <x:t xml:space="preserve">Eden Prairie Schools</x:t>
        </x:is>
      </x:c>
      <x:c r="B335" s="12" t="inlineStr">
        <x:is>
          <x:t xml:space="preserve">MN</x:t>
        </x:is>
      </x:c>
      <x:c r="C335" s="12" t="inlineStr">
        <x:is>
          <x:t xml:space="preserve">Bachelor's</x:t>
        </x:is>
      </x:c>
      <x:c r="D335" s="13" t="n">
        <x:v>3</x:v>
      </x:c>
      <x:c r="E335" s="14" t="n">
        <x:v>56789</x:v>
      </x:c>
      <x:c r="F335" s="12" t="inlineStr">
        <x:is>
          <x:t xml:space="preserve">2026-06-15</x:t>
        </x:is>
      </x:c>
      <x:c r="G335" s="7" t="n"/>
      <x:c r="H335" s="7" t="n"/>
      <x:c r="I335" s="7" t="n"/>
      <x:c r="J335" s="7" t="n"/>
      <x:c r="K335" s="7" t="n"/>
      <x:c r="L335" s="7" t="n"/>
      <x:c r="M335" s="7" t="n"/>
      <x:c r="N335" s="7" t="n"/>
      <x:c r="O335" s="7" t="n"/>
      <x:c r="P335" s="7" t="n"/>
      <x:c r="Q335" s="7" t="n"/>
      <x:c r="R335" s="7" t="n"/>
      <x:c r="S335" s="7" t="n"/>
      <x:c r="T335" s="7" t="n"/>
      <x:c r="U335" s="7" t="n"/>
      <x:c r="V335" s="7" t="n"/>
      <x:c r="W335" s="7" t="n"/>
      <x:c r="X335" s="7" t="n"/>
      <x:c r="Y335" s="7" t="n"/>
      <x:c r="Z335" s="7" t="n"/>
      <x:c r="AA335" s="7" t="n"/>
      <x:c r="AB335" s="7" t="n"/>
    </x:row>
    <x:row r="336" ht="20" customHeight="1">
      <x:c r="A336" s="12" t="inlineStr">
        <x:is>
          <x:t xml:space="preserve">Eden Prairie Schools</x:t>
        </x:is>
      </x:c>
      <x:c r="B336" s="12" t="inlineStr">
        <x:is>
          <x:t xml:space="preserve">MN</x:t>
        </x:is>
      </x:c>
      <x:c r="C336" s="12" t="inlineStr">
        <x:is>
          <x:t xml:space="preserve">Bachelor's</x:t>
        </x:is>
      </x:c>
      <x:c r="D336" s="13" t="n">
        <x:v>4</x:v>
      </x:c>
      <x:c r="E336" s="14" t="n">
        <x:v>58915</x:v>
      </x:c>
      <x:c r="F336" s="12" t="inlineStr">
        <x:is>
          <x:t xml:space="preserve">2026-06-15</x:t>
        </x:is>
      </x:c>
      <x:c r="G336" s="7" t="n"/>
      <x:c r="H336" s="7" t="n"/>
      <x:c r="I336" s="7" t="n"/>
      <x:c r="J336" s="7" t="n"/>
      <x:c r="K336" s="7" t="n"/>
      <x:c r="L336" s="7" t="n"/>
      <x:c r="M336" s="7" t="n"/>
      <x:c r="N336" s="7" t="n"/>
      <x:c r="O336" s="7" t="n"/>
      <x:c r="P336" s="7" t="n"/>
      <x:c r="Q336" s="7" t="n"/>
      <x:c r="R336" s="7" t="n"/>
      <x:c r="S336" s="7" t="n"/>
      <x:c r="T336" s="7" t="n"/>
      <x:c r="U336" s="7" t="n"/>
      <x:c r="V336" s="7" t="n"/>
      <x:c r="W336" s="7" t="n"/>
      <x:c r="X336" s="7" t="n"/>
      <x:c r="Y336" s="7" t="n"/>
      <x:c r="Z336" s="7" t="n"/>
      <x:c r="AA336" s="7" t="n"/>
      <x:c r="AB336" s="7" t="n"/>
    </x:row>
    <x:row r="337" ht="20" customHeight="1">
      <x:c r="A337" s="12" t="inlineStr">
        <x:is>
          <x:t xml:space="preserve">Eden Prairie Schools</x:t>
        </x:is>
      </x:c>
      <x:c r="B337" s="12" t="inlineStr">
        <x:is>
          <x:t xml:space="preserve">MN</x:t>
        </x:is>
      </x:c>
      <x:c r="C337" s="12" t="inlineStr">
        <x:is>
          <x:t xml:space="preserve">Bachelor's</x:t>
        </x:is>
      </x:c>
      <x:c r="D337" s="13" t="n">
        <x:v>5</x:v>
      </x:c>
      <x:c r="E337" s="14" t="n">
        <x:v>61041</x:v>
      </x:c>
      <x:c r="F337" s="12" t="inlineStr">
        <x:is>
          <x:t xml:space="preserve">2026-06-15</x:t>
        </x:is>
      </x:c>
      <x:c r="G337" s="7" t="n"/>
      <x:c r="H337" s="7" t="n"/>
      <x:c r="I337" s="7" t="n"/>
      <x:c r="J337" s="7" t="n"/>
      <x:c r="K337" s="7" t="n"/>
      <x:c r="L337" s="7" t="n"/>
      <x:c r="M337" s="7" t="n"/>
      <x:c r="N337" s="7" t="n"/>
      <x:c r="O337" s="7" t="n"/>
      <x:c r="P337" s="7" t="n"/>
      <x:c r="Q337" s="7" t="n"/>
      <x:c r="R337" s="7" t="n"/>
      <x:c r="S337" s="7" t="n"/>
      <x:c r="T337" s="7" t="n"/>
      <x:c r="U337" s="7" t="n"/>
      <x:c r="V337" s="7" t="n"/>
      <x:c r="W337" s="7" t="n"/>
      <x:c r="X337" s="7" t="n"/>
      <x:c r="Y337" s="7" t="n"/>
      <x:c r="Z337" s="7" t="n"/>
      <x:c r="AA337" s="7" t="n"/>
      <x:c r="AB337" s="7" t="n"/>
    </x:row>
    <x:row r="338" ht="20" customHeight="1">
      <x:c r="A338" s="12" t="inlineStr">
        <x:is>
          <x:t xml:space="preserve">Eden Prairie Schools</x:t>
        </x:is>
      </x:c>
      <x:c r="B338" s="12" t="inlineStr">
        <x:is>
          <x:t xml:space="preserve">MN</x:t>
        </x:is>
      </x:c>
      <x:c r="C338" s="12" t="inlineStr">
        <x:is>
          <x:t xml:space="preserve">Bachelor's</x:t>
        </x:is>
      </x:c>
      <x:c r="D338" s="13" t="n">
        <x:v>6</x:v>
      </x:c>
      <x:c r="E338" s="14" t="n">
        <x:v>63166</x:v>
      </x:c>
      <x:c r="F338" s="12" t="inlineStr">
        <x:is>
          <x:t xml:space="preserve">2026-06-15</x:t>
        </x:is>
      </x:c>
      <x:c r="G338" s="7" t="n"/>
      <x:c r="H338" s="7" t="n"/>
      <x:c r="I338" s="7" t="n"/>
      <x:c r="J338" s="7" t="n"/>
      <x:c r="K338" s="7" t="n"/>
      <x:c r="L338" s="7" t="n"/>
      <x:c r="M338" s="7" t="n"/>
      <x:c r="N338" s="7" t="n"/>
      <x:c r="O338" s="7" t="n"/>
      <x:c r="P338" s="7" t="n"/>
      <x:c r="Q338" s="7" t="n"/>
      <x:c r="R338" s="7" t="n"/>
      <x:c r="S338" s="7" t="n"/>
      <x:c r="T338" s="7" t="n"/>
      <x:c r="U338" s="7" t="n"/>
      <x:c r="V338" s="7" t="n"/>
      <x:c r="W338" s="7" t="n"/>
      <x:c r="X338" s="7" t="n"/>
      <x:c r="Y338" s="7" t="n"/>
      <x:c r="Z338" s="7" t="n"/>
      <x:c r="AA338" s="7" t="n"/>
      <x:c r="AB338" s="7" t="n"/>
    </x:row>
    <x:row r="339" ht="20" customHeight="1">
      <x:c r="A339" s="12" t="inlineStr">
        <x:is>
          <x:t xml:space="preserve">Eden Prairie Schools</x:t>
        </x:is>
      </x:c>
      <x:c r="B339" s="12" t="inlineStr">
        <x:is>
          <x:t xml:space="preserve">MN</x:t>
        </x:is>
      </x:c>
      <x:c r="C339" s="12" t="inlineStr">
        <x:is>
          <x:t xml:space="preserve">Bachelor's</x:t>
        </x:is>
      </x:c>
      <x:c r="D339" s="13" t="n">
        <x:v>7</x:v>
      </x:c>
      <x:c r="E339" s="14" t="n">
        <x:v>65293</x:v>
      </x:c>
      <x:c r="F339" s="12" t="inlineStr">
        <x:is>
          <x:t xml:space="preserve">2026-06-15</x:t>
        </x:is>
      </x:c>
      <x:c r="G339" s="7" t="n"/>
      <x:c r="H339" s="7" t="n"/>
      <x:c r="I339" s="7" t="n"/>
      <x:c r="J339" s="7" t="n"/>
      <x:c r="K339" s="7" t="n"/>
      <x:c r="L339" s="7" t="n"/>
      <x:c r="M339" s="7" t="n"/>
      <x:c r="N339" s="7" t="n"/>
      <x:c r="O339" s="7" t="n"/>
      <x:c r="P339" s="7" t="n"/>
      <x:c r="Q339" s="7" t="n"/>
      <x:c r="R339" s="7" t="n"/>
      <x:c r="S339" s="7" t="n"/>
      <x:c r="T339" s="7" t="n"/>
      <x:c r="U339" s="7" t="n"/>
      <x:c r="V339" s="7" t="n"/>
      <x:c r="W339" s="7" t="n"/>
      <x:c r="X339" s="7" t="n"/>
      <x:c r="Y339" s="7" t="n"/>
      <x:c r="Z339" s="7" t="n"/>
      <x:c r="AA339" s="7" t="n"/>
      <x:c r="AB339" s="7" t="n"/>
    </x:row>
    <x:row r="340" ht="20" customHeight="1">
      <x:c r="A340" s="12" t="inlineStr">
        <x:is>
          <x:t xml:space="preserve">Eden Prairie Schools</x:t>
        </x:is>
      </x:c>
      <x:c r="B340" s="12" t="inlineStr">
        <x:is>
          <x:t xml:space="preserve">MN</x:t>
        </x:is>
      </x:c>
      <x:c r="C340" s="12" t="inlineStr">
        <x:is>
          <x:t xml:space="preserve">Bachelor's</x:t>
        </x:is>
      </x:c>
      <x:c r="D340" s="13" t="n">
        <x:v>8</x:v>
      </x:c>
      <x:c r="E340" s="14" t="n">
        <x:v>67418</x:v>
      </x:c>
      <x:c r="F340" s="12" t="inlineStr">
        <x:is>
          <x:t xml:space="preserve">2026-06-15</x:t>
        </x:is>
      </x:c>
      <x:c r="G340" s="7" t="n"/>
      <x:c r="H340" s="7" t="n"/>
      <x:c r="I340" s="7" t="n"/>
      <x:c r="J340" s="7" t="n"/>
      <x:c r="K340" s="7" t="n"/>
      <x:c r="L340" s="7" t="n"/>
      <x:c r="M340" s="7" t="n"/>
      <x:c r="N340" s="7" t="n"/>
      <x:c r="O340" s="7" t="n"/>
      <x:c r="P340" s="7" t="n"/>
      <x:c r="Q340" s="7" t="n"/>
      <x:c r="R340" s="7" t="n"/>
      <x:c r="S340" s="7" t="n"/>
      <x:c r="T340" s="7" t="n"/>
      <x:c r="U340" s="7" t="n"/>
      <x:c r="V340" s="7" t="n"/>
      <x:c r="W340" s="7" t="n"/>
      <x:c r="X340" s="7" t="n"/>
      <x:c r="Y340" s="7" t="n"/>
      <x:c r="Z340" s="7" t="n"/>
      <x:c r="AA340" s="7" t="n"/>
      <x:c r="AB340" s="7" t="n"/>
    </x:row>
    <x:row r="341" ht="20" customHeight="1">
      <x:c r="A341" s="12" t="inlineStr">
        <x:is>
          <x:t xml:space="preserve">Eden Prairie Schools</x:t>
        </x:is>
      </x:c>
      <x:c r="B341" s="12" t="inlineStr">
        <x:is>
          <x:t xml:space="preserve">MN</x:t>
        </x:is>
      </x:c>
      <x:c r="C341" s="12" t="inlineStr">
        <x:is>
          <x:t xml:space="preserve">Bachelor's</x:t>
        </x:is>
      </x:c>
      <x:c r="D341" s="13" t="n">
        <x:v>9</x:v>
      </x:c>
      <x:c r="E341" s="14" t="n">
        <x:v>70817</x:v>
      </x:c>
      <x:c r="F341" s="12" t="inlineStr">
        <x:is>
          <x:t xml:space="preserve">2026-06-15</x:t>
        </x:is>
      </x:c>
      <x:c r="G341" s="7" t="n"/>
      <x:c r="H341" s="7" t="n"/>
      <x:c r="I341" s="7" t="n"/>
      <x:c r="J341" s="7" t="n"/>
      <x:c r="K341" s="7" t="n"/>
      <x:c r="L341" s="7" t="n"/>
      <x:c r="M341" s="7" t="n"/>
      <x:c r="N341" s="7" t="n"/>
      <x:c r="O341" s="7" t="n"/>
      <x:c r="P341" s="7" t="n"/>
      <x:c r="Q341" s="7" t="n"/>
      <x:c r="R341" s="7" t="n"/>
      <x:c r="S341" s="7" t="n"/>
      <x:c r="T341" s="7" t="n"/>
      <x:c r="U341" s="7" t="n"/>
      <x:c r="V341" s="7" t="n"/>
      <x:c r="W341" s="7" t="n"/>
      <x:c r="X341" s="7" t="n"/>
      <x:c r="Y341" s="7" t="n"/>
      <x:c r="Z341" s="7" t="n"/>
      <x:c r="AA341" s="7" t="n"/>
      <x:c r="AB341" s="7" t="n"/>
    </x:row>
    <x:row r="342" ht="20" customHeight="1">
      <x:c r="A342" s="12" t="inlineStr">
        <x:is>
          <x:t xml:space="preserve">Eden Prairie Schools</x:t>
        </x:is>
      </x:c>
      <x:c r="B342" s="12" t="inlineStr">
        <x:is>
          <x:t xml:space="preserve">MN</x:t>
        </x:is>
      </x:c>
      <x:c r="C342" s="12" t="inlineStr">
        <x:is>
          <x:t xml:space="preserve">Bachelor's</x:t>
        </x:is>
      </x:c>
      <x:c r="D342" s="13" t="n">
        <x:v>10</x:v>
      </x:c>
      <x:c r="E342" s="14" t="n">
        <x:v>70817</x:v>
      </x:c>
      <x:c r="F342" s="12" t="inlineStr">
        <x:is>
          <x:t xml:space="preserve">2026-06-15</x:t>
        </x:is>
      </x:c>
      <x:c r="G342" s="7" t="n"/>
      <x:c r="H342" s="7" t="n"/>
      <x:c r="I342" s="7" t="n"/>
      <x:c r="J342" s="7" t="n"/>
      <x:c r="K342" s="7" t="n"/>
      <x:c r="L342" s="7" t="n"/>
      <x:c r="M342" s="7" t="n"/>
      <x:c r="N342" s="7" t="n"/>
      <x:c r="O342" s="7" t="n"/>
      <x:c r="P342" s="7" t="n"/>
      <x:c r="Q342" s="7" t="n"/>
      <x:c r="R342" s="7" t="n"/>
      <x:c r="S342" s="7" t="n"/>
      <x:c r="T342" s="7" t="n"/>
      <x:c r="U342" s="7" t="n"/>
      <x:c r="V342" s="7" t="n"/>
      <x:c r="W342" s="7" t="n"/>
      <x:c r="X342" s="7" t="n"/>
      <x:c r="Y342" s="7" t="n"/>
      <x:c r="Z342" s="7" t="n"/>
      <x:c r="AA342" s="7" t="n"/>
      <x:c r="AB342" s="7" t="n"/>
    </x:row>
    <x:row r="343" ht="20" customHeight="1">
      <x:c r="A343" s="12" t="inlineStr">
        <x:is>
          <x:t xml:space="preserve">Eden Prairie Schools</x:t>
        </x:is>
      </x:c>
      <x:c r="B343" s="12" t="inlineStr">
        <x:is>
          <x:t xml:space="preserve">MN</x:t>
        </x:is>
      </x:c>
      <x:c r="C343" s="12" t="inlineStr">
        <x:is>
          <x:t xml:space="preserve">Master's</x:t>
        </x:is>
      </x:c>
      <x:c r="D343" s="13" t="n">
        <x:v>0</x:v>
      </x:c>
      <x:c r="E343" s="14" t="n">
        <x:v>66354</x:v>
      </x:c>
      <x:c r="F343" s="12" t="inlineStr">
        <x:is>
          <x:t xml:space="preserve">2026-06-15</x:t>
        </x:is>
      </x:c>
      <x:c r="G343" s="7" t="n"/>
      <x:c r="H343" s="7" t="n"/>
      <x:c r="I343" s="7" t="n"/>
      <x:c r="J343" s="7" t="n"/>
      <x:c r="K343" s="7" t="n"/>
      <x:c r="L343" s="7" t="n"/>
      <x:c r="M343" s="7" t="n"/>
      <x:c r="N343" s="7" t="n"/>
      <x:c r="O343" s="7" t="n"/>
      <x:c r="P343" s="7" t="n"/>
      <x:c r="Q343" s="7" t="n"/>
      <x:c r="R343" s="7" t="n"/>
      <x:c r="S343" s="7" t="n"/>
      <x:c r="T343" s="7" t="n"/>
      <x:c r="U343" s="7" t="n"/>
      <x:c r="V343" s="7" t="n"/>
      <x:c r="W343" s="7" t="n"/>
      <x:c r="X343" s="7" t="n"/>
      <x:c r="Y343" s="7" t="n"/>
      <x:c r="Z343" s="7" t="n"/>
      <x:c r="AA343" s="7" t="n"/>
      <x:c r="AB343" s="7" t="n"/>
    </x:row>
    <x:row r="344" ht="20" customHeight="1">
      <x:c r="A344" s="12" t="inlineStr">
        <x:is>
          <x:t xml:space="preserve">Eden Prairie Schools</x:t>
        </x:is>
      </x:c>
      <x:c r="B344" s="12" t="inlineStr">
        <x:is>
          <x:t xml:space="preserve">MN</x:t>
        </x:is>
      </x:c>
      <x:c r="C344" s="12" t="inlineStr">
        <x:is>
          <x:t xml:space="preserve">Master's</x:t>
        </x:is>
      </x:c>
      <x:c r="D344" s="13" t="n">
        <x:v>1</x:v>
      </x:c>
      <x:c r="E344" s="14" t="n">
        <x:v>67064</x:v>
      </x:c>
      <x:c r="F344" s="12" t="inlineStr">
        <x:is>
          <x:t xml:space="preserve">2026-06-15</x:t>
        </x:is>
      </x:c>
      <x:c r="G344" s="7" t="n"/>
      <x:c r="H344" s="7" t="n"/>
      <x:c r="I344" s="7" t="n"/>
      <x:c r="J344" s="7" t="n"/>
      <x:c r="K344" s="7" t="n"/>
      <x:c r="L344" s="7" t="n"/>
      <x:c r="M344" s="7" t="n"/>
      <x:c r="N344" s="7" t="n"/>
      <x:c r="O344" s="7" t="n"/>
      <x:c r="P344" s="7" t="n"/>
      <x:c r="Q344" s="7" t="n"/>
      <x:c r="R344" s="7" t="n"/>
      <x:c r="S344" s="7" t="n"/>
      <x:c r="T344" s="7" t="n"/>
      <x:c r="U344" s="7" t="n"/>
      <x:c r="V344" s="7" t="n"/>
      <x:c r="W344" s="7" t="n"/>
      <x:c r="X344" s="7" t="n"/>
      <x:c r="Y344" s="7" t="n"/>
      <x:c r="Z344" s="7" t="n"/>
      <x:c r="AA344" s="7" t="n"/>
      <x:c r="AB344" s="7" t="n"/>
    </x:row>
    <x:row r="345" ht="20" customHeight="1">
      <x:c r="A345" s="12" t="inlineStr">
        <x:is>
          <x:t xml:space="preserve">Eden Prairie Schools</x:t>
        </x:is>
      </x:c>
      <x:c r="B345" s="12" t="inlineStr">
        <x:is>
          <x:t xml:space="preserve">MN</x:t>
        </x:is>
      </x:c>
      <x:c r="C345" s="12" t="inlineStr">
        <x:is>
          <x:t xml:space="preserve">Master's</x:t>
        </x:is>
      </x:c>
      <x:c r="D345" s="13" t="n">
        <x:v>2</x:v>
      </x:c>
      <x:c r="E345" s="14" t="n">
        <x:v>69189</x:v>
      </x:c>
      <x:c r="F345" s="12" t="inlineStr">
        <x:is>
          <x:t xml:space="preserve">2026-06-15</x:t>
        </x:is>
      </x:c>
      <x:c r="G345" s="7" t="n"/>
      <x:c r="H345" s="7" t="n"/>
      <x:c r="I345" s="7" t="n"/>
      <x:c r="J345" s="7" t="n"/>
      <x:c r="K345" s="7" t="n"/>
      <x:c r="L345" s="7" t="n"/>
      <x:c r="M345" s="7" t="n"/>
      <x:c r="N345" s="7" t="n"/>
      <x:c r="O345" s="7" t="n"/>
      <x:c r="P345" s="7" t="n"/>
      <x:c r="Q345" s="7" t="n"/>
      <x:c r="R345" s="7" t="n"/>
      <x:c r="S345" s="7" t="n"/>
      <x:c r="T345" s="7" t="n"/>
      <x:c r="U345" s="7" t="n"/>
      <x:c r="V345" s="7" t="n"/>
      <x:c r="W345" s="7" t="n"/>
      <x:c r="X345" s="7" t="n"/>
      <x:c r="Y345" s="7" t="n"/>
      <x:c r="Z345" s="7" t="n"/>
      <x:c r="AA345" s="7" t="n"/>
      <x:c r="AB345" s="7" t="n"/>
    </x:row>
    <x:row r="346" ht="20" customHeight="1">
      <x:c r="A346" s="12" t="inlineStr">
        <x:is>
          <x:t xml:space="preserve">Eden Prairie Schools</x:t>
        </x:is>
      </x:c>
      <x:c r="B346" s="12" t="inlineStr">
        <x:is>
          <x:t xml:space="preserve">MN</x:t>
        </x:is>
      </x:c>
      <x:c r="C346" s="12" t="inlineStr">
        <x:is>
          <x:t xml:space="preserve">Master's</x:t>
        </x:is>
      </x:c>
      <x:c r="D346" s="13" t="n">
        <x:v>3</x:v>
      </x:c>
      <x:c r="E346" s="14" t="n">
        <x:v>71314</x:v>
      </x:c>
      <x:c r="F346" s="12" t="inlineStr">
        <x:is>
          <x:t xml:space="preserve">2026-06-15</x:t>
        </x:is>
      </x:c>
      <x:c r="G346" s="7" t="n"/>
      <x:c r="H346" s="7" t="n"/>
      <x:c r="I346" s="7" t="n"/>
      <x:c r="J346" s="7" t="n"/>
      <x:c r="K346" s="7" t="n"/>
      <x:c r="L346" s="7" t="n"/>
      <x:c r="M346" s="7" t="n"/>
      <x:c r="N346" s="7" t="n"/>
      <x:c r="O346" s="7" t="n"/>
      <x:c r="P346" s="7" t="n"/>
      <x:c r="Q346" s="7" t="n"/>
      <x:c r="R346" s="7" t="n"/>
      <x:c r="S346" s="7" t="n"/>
      <x:c r="T346" s="7" t="n"/>
      <x:c r="U346" s="7" t="n"/>
      <x:c r="V346" s="7" t="n"/>
      <x:c r="W346" s="7" t="n"/>
      <x:c r="X346" s="7" t="n"/>
      <x:c r="Y346" s="7" t="n"/>
      <x:c r="Z346" s="7" t="n"/>
      <x:c r="AA346" s="7" t="n"/>
      <x:c r="AB346" s="7" t="n"/>
    </x:row>
    <x:row r="347" ht="20" customHeight="1">
      <x:c r="A347" s="12" t="inlineStr">
        <x:is>
          <x:t xml:space="preserve">Eden Prairie Schools</x:t>
        </x:is>
      </x:c>
      <x:c r="B347" s="12" t="inlineStr">
        <x:is>
          <x:t xml:space="preserve">MN</x:t>
        </x:is>
      </x:c>
      <x:c r="C347" s="12" t="inlineStr">
        <x:is>
          <x:t xml:space="preserve">Master's</x:t>
        </x:is>
      </x:c>
      <x:c r="D347" s="13" t="n">
        <x:v>4</x:v>
      </x:c>
      <x:c r="E347" s="14" t="n">
        <x:v>73439</x:v>
      </x:c>
      <x:c r="F347" s="12" t="inlineStr">
        <x:is>
          <x:t xml:space="preserve">2026-06-15</x:t>
        </x:is>
      </x:c>
      <x:c r="G347" s="7" t="n"/>
      <x:c r="H347" s="7" t="n"/>
      <x:c r="I347" s="7" t="n"/>
      <x:c r="J347" s="7" t="n"/>
      <x:c r="K347" s="7" t="n"/>
      <x:c r="L347" s="7" t="n"/>
      <x:c r="M347" s="7" t="n"/>
      <x:c r="N347" s="7" t="n"/>
      <x:c r="O347" s="7" t="n"/>
      <x:c r="P347" s="7" t="n"/>
      <x:c r="Q347" s="7" t="n"/>
      <x:c r="R347" s="7" t="n"/>
      <x:c r="S347" s="7" t="n"/>
      <x:c r="T347" s="7" t="n"/>
      <x:c r="U347" s="7" t="n"/>
      <x:c r="V347" s="7" t="n"/>
      <x:c r="W347" s="7" t="n"/>
      <x:c r="X347" s="7" t="n"/>
      <x:c r="Y347" s="7" t="n"/>
      <x:c r="Z347" s="7" t="n"/>
      <x:c r="AA347" s="7" t="n"/>
      <x:c r="AB347" s="7" t="n"/>
    </x:row>
    <x:row r="348" ht="20" customHeight="1">
      <x:c r="A348" s="12" t="inlineStr">
        <x:is>
          <x:t xml:space="preserve">Eden Prairie Schools</x:t>
        </x:is>
      </x:c>
      <x:c r="B348" s="12" t="inlineStr">
        <x:is>
          <x:t xml:space="preserve">MN</x:t>
        </x:is>
      </x:c>
      <x:c r="C348" s="12" t="inlineStr">
        <x:is>
          <x:t xml:space="preserve">Master's</x:t>
        </x:is>
      </x:c>
      <x:c r="D348" s="13" t="n">
        <x:v>5</x:v>
      </x:c>
      <x:c r="E348" s="14" t="n">
        <x:v>75565</x:v>
      </x:c>
      <x:c r="F348" s="12" t="inlineStr">
        <x:is>
          <x:t xml:space="preserve">2026-06-15</x:t>
        </x:is>
      </x:c>
      <x:c r="G348" s="7" t="n"/>
      <x:c r="H348" s="7" t="n"/>
      <x:c r="I348" s="7" t="n"/>
      <x:c r="J348" s="7" t="n"/>
      <x:c r="K348" s="7" t="n"/>
      <x:c r="L348" s="7" t="n"/>
      <x:c r="M348" s="7" t="n"/>
      <x:c r="N348" s="7" t="n"/>
      <x:c r="O348" s="7" t="n"/>
      <x:c r="P348" s="7" t="n"/>
      <x:c r="Q348" s="7" t="n"/>
      <x:c r="R348" s="7" t="n"/>
      <x:c r="S348" s="7" t="n"/>
      <x:c r="T348" s="7" t="n"/>
      <x:c r="U348" s="7" t="n"/>
      <x:c r="V348" s="7" t="n"/>
      <x:c r="W348" s="7" t="n"/>
      <x:c r="X348" s="7" t="n"/>
      <x:c r="Y348" s="7" t="n"/>
      <x:c r="Z348" s="7" t="n"/>
      <x:c r="AA348" s="7" t="n"/>
      <x:c r="AB348" s="7" t="n"/>
    </x:row>
    <x:row r="349" ht="20" customHeight="1">
      <x:c r="A349" s="12" t="inlineStr">
        <x:is>
          <x:t xml:space="preserve">Eden Prairie Schools</x:t>
        </x:is>
      </x:c>
      <x:c r="B349" s="12" t="inlineStr">
        <x:is>
          <x:t xml:space="preserve">MN</x:t>
        </x:is>
      </x:c>
      <x:c r="C349" s="12" t="inlineStr">
        <x:is>
          <x:t xml:space="preserve">Master's</x:t>
        </x:is>
      </x:c>
      <x:c r="D349" s="13" t="n">
        <x:v>6</x:v>
      </x:c>
      <x:c r="E349" s="14" t="n">
        <x:v>77690</x:v>
      </x:c>
      <x:c r="F349" s="12" t="inlineStr">
        <x:is>
          <x:t xml:space="preserve">2026-06-15</x:t>
        </x:is>
      </x:c>
      <x:c r="G349" s="7" t="n"/>
      <x:c r="H349" s="7" t="n"/>
      <x:c r="I349" s="7" t="n"/>
      <x:c r="J349" s="7" t="n"/>
      <x:c r="K349" s="7" t="n"/>
      <x:c r="L349" s="7" t="n"/>
      <x:c r="M349" s="7" t="n"/>
      <x:c r="N349" s="7" t="n"/>
      <x:c r="O349" s="7" t="n"/>
      <x:c r="P349" s="7" t="n"/>
      <x:c r="Q349" s="7" t="n"/>
      <x:c r="R349" s="7" t="n"/>
      <x:c r="S349" s="7" t="n"/>
      <x:c r="T349" s="7" t="n"/>
      <x:c r="U349" s="7" t="n"/>
      <x:c r="V349" s="7" t="n"/>
      <x:c r="W349" s="7" t="n"/>
      <x:c r="X349" s="7" t="n"/>
      <x:c r="Y349" s="7" t="n"/>
      <x:c r="Z349" s="7" t="n"/>
      <x:c r="AA349" s="7" t="n"/>
      <x:c r="AB349" s="7" t="n"/>
    </x:row>
    <x:row r="350" ht="20" customHeight="1">
      <x:c r="A350" s="12" t="inlineStr">
        <x:is>
          <x:t xml:space="preserve">Eden Prairie Schools</x:t>
        </x:is>
      </x:c>
      <x:c r="B350" s="12" t="inlineStr">
        <x:is>
          <x:t xml:space="preserve">MN</x:t>
        </x:is>
      </x:c>
      <x:c r="C350" s="12" t="inlineStr">
        <x:is>
          <x:t xml:space="preserve">Master's</x:t>
        </x:is>
      </x:c>
      <x:c r="D350" s="13" t="n">
        <x:v>7</x:v>
      </x:c>
      <x:c r="E350" s="14" t="n">
        <x:v>79816</x:v>
      </x:c>
      <x:c r="F350" s="12" t="inlineStr">
        <x:is>
          <x:t xml:space="preserve">2026-06-15</x:t>
        </x:is>
      </x:c>
      <x:c r="G350" s="7" t="n"/>
      <x:c r="H350" s="7" t="n"/>
      <x:c r="I350" s="7" t="n"/>
      <x:c r="J350" s="7" t="n"/>
      <x:c r="K350" s="7" t="n"/>
      <x:c r="L350" s="7" t="n"/>
      <x:c r="M350" s="7" t="n"/>
      <x:c r="N350" s="7" t="n"/>
      <x:c r="O350" s="7" t="n"/>
      <x:c r="P350" s="7" t="n"/>
      <x:c r="Q350" s="7" t="n"/>
      <x:c r="R350" s="7" t="n"/>
      <x:c r="S350" s="7" t="n"/>
      <x:c r="T350" s="7" t="n"/>
      <x:c r="U350" s="7" t="n"/>
      <x:c r="V350" s="7" t="n"/>
      <x:c r="W350" s="7" t="n"/>
      <x:c r="X350" s="7" t="n"/>
      <x:c r="Y350" s="7" t="n"/>
      <x:c r="Z350" s="7" t="n"/>
      <x:c r="AA350" s="7" t="n"/>
      <x:c r="AB350" s="7" t="n"/>
    </x:row>
    <x:row r="351" ht="20" customHeight="1">
      <x:c r="A351" s="12" t="inlineStr">
        <x:is>
          <x:t xml:space="preserve">Eden Prairie Schools</x:t>
        </x:is>
      </x:c>
      <x:c r="B351" s="12" t="inlineStr">
        <x:is>
          <x:t xml:space="preserve">MN</x:t>
        </x:is>
      </x:c>
      <x:c r="C351" s="12" t="inlineStr">
        <x:is>
          <x:t xml:space="preserve">Master's</x:t>
        </x:is>
      </x:c>
      <x:c r="D351" s="13" t="n">
        <x:v>8</x:v>
      </x:c>
      <x:c r="E351" s="14" t="n">
        <x:v>81942</x:v>
      </x:c>
      <x:c r="F351" s="12" t="inlineStr">
        <x:is>
          <x:t xml:space="preserve">2026-06-15</x:t>
        </x:is>
      </x:c>
      <x:c r="G351" s="7" t="n"/>
      <x:c r="H351" s="7" t="n"/>
      <x:c r="I351" s="7" t="n"/>
      <x:c r="J351" s="7" t="n"/>
      <x:c r="K351" s="7" t="n"/>
      <x:c r="L351" s="7" t="n"/>
      <x:c r="M351" s="7" t="n"/>
      <x:c r="N351" s="7" t="n"/>
      <x:c r="O351" s="7" t="n"/>
      <x:c r="P351" s="7" t="n"/>
      <x:c r="Q351" s="7" t="n"/>
      <x:c r="R351" s="7" t="n"/>
      <x:c r="S351" s="7" t="n"/>
      <x:c r="T351" s="7" t="n"/>
      <x:c r="U351" s="7" t="n"/>
      <x:c r="V351" s="7" t="n"/>
      <x:c r="W351" s="7" t="n"/>
      <x:c r="X351" s="7" t="n"/>
      <x:c r="Y351" s="7" t="n"/>
      <x:c r="Z351" s="7" t="n"/>
      <x:c r="AA351" s="7" t="n"/>
      <x:c r="AB351" s="7" t="n"/>
    </x:row>
    <x:row r="352" ht="20" customHeight="1">
      <x:c r="A352" s="12" t="inlineStr">
        <x:is>
          <x:t xml:space="preserve">Eden Prairie Schools</x:t>
        </x:is>
      </x:c>
      <x:c r="B352" s="12" t="inlineStr">
        <x:is>
          <x:t xml:space="preserve">MN</x:t>
        </x:is>
      </x:c>
      <x:c r="C352" s="12" t="inlineStr">
        <x:is>
          <x:t xml:space="preserve">Master's</x:t>
        </x:is>
      </x:c>
      <x:c r="D352" s="13" t="n">
        <x:v>9</x:v>
      </x:c>
      <x:c r="E352" s="14" t="n">
        <x:v>94481</x:v>
      </x:c>
      <x:c r="F352" s="12" t="inlineStr">
        <x:is>
          <x:t xml:space="preserve">2026-06-15</x:t>
        </x:is>
      </x:c>
      <x:c r="G352" s="7" t="n"/>
      <x:c r="H352" s="7" t="n"/>
      <x:c r="I352" s="7" t="n"/>
      <x:c r="J352" s="7" t="n"/>
      <x:c r="K352" s="7" t="n"/>
      <x:c r="L352" s="7" t="n"/>
      <x:c r="M352" s="7" t="n"/>
      <x:c r="N352" s="7" t="n"/>
      <x:c r="O352" s="7" t="n"/>
      <x:c r="P352" s="7" t="n"/>
      <x:c r="Q352" s="7" t="n"/>
      <x:c r="R352" s="7" t="n"/>
      <x:c r="S352" s="7" t="n"/>
      <x:c r="T352" s="7" t="n"/>
      <x:c r="U352" s="7" t="n"/>
      <x:c r="V352" s="7" t="n"/>
      <x:c r="W352" s="7" t="n"/>
      <x:c r="X352" s="7" t="n"/>
      <x:c r="Y352" s="7" t="n"/>
      <x:c r="Z352" s="7" t="n"/>
      <x:c r="AA352" s="7" t="n"/>
      <x:c r="AB352" s="7" t="n"/>
    </x:row>
    <x:row r="353" ht="20" customHeight="1">
      <x:c r="A353" s="12" t="inlineStr">
        <x:is>
          <x:t xml:space="preserve">Eden Prairie Schools</x:t>
        </x:is>
      </x:c>
      <x:c r="B353" s="12" t="inlineStr">
        <x:is>
          <x:t xml:space="preserve">MN</x:t>
        </x:is>
      </x:c>
      <x:c r="C353" s="12" t="inlineStr">
        <x:is>
          <x:t xml:space="preserve">Master's</x:t>
        </x:is>
      </x:c>
      <x:c r="D353" s="13" t="n">
        <x:v>10</x:v>
      </x:c>
      <x:c r="E353" s="14" t="n">
        <x:v>94481</x:v>
      </x:c>
      <x:c r="F353" s="12" t="inlineStr">
        <x:is>
          <x:t xml:space="preserve">2026-06-15</x:t>
        </x:is>
      </x:c>
      <x:c r="G353" s="7" t="n"/>
      <x:c r="H353" s="7" t="n"/>
      <x:c r="I353" s="7" t="n"/>
      <x:c r="J353" s="7" t="n"/>
      <x:c r="K353" s="7" t="n"/>
      <x:c r="L353" s="7" t="n"/>
      <x:c r="M353" s="7" t="n"/>
      <x:c r="N353" s="7" t="n"/>
      <x:c r="O353" s="7" t="n"/>
      <x:c r="P353" s="7" t="n"/>
      <x:c r="Q353" s="7" t="n"/>
      <x:c r="R353" s="7" t="n"/>
      <x:c r="S353" s="7" t="n"/>
      <x:c r="T353" s="7" t="n"/>
      <x:c r="U353" s="7" t="n"/>
      <x:c r="V353" s="7" t="n"/>
      <x:c r="W353" s="7" t="n"/>
      <x:c r="X353" s="7" t="n"/>
      <x:c r="Y353" s="7" t="n"/>
      <x:c r="Z353" s="7" t="n"/>
      <x:c r="AA353" s="7" t="n"/>
      <x:c r="AB353" s="7" t="n"/>
    </x:row>
    <x:row r="354" ht="20" customHeight="1">
      <x:c r="A354" s="79" t="inlineStr">
        <x:is>
          <x:t xml:space="preserve">Edina Public Schools</x:t>
        </x:is>
      </x:c>
      <x:c r="B354" s="79" t="inlineStr">
        <x:is>
          <x:t xml:space="preserve">MN</x:t>
        </x:is>
      </x:c>
      <x:c r="C354" s="79" t="inlineStr">
        <x:is>
          <x:t xml:space="preserve">Bachelor's</x:t>
        </x:is>
      </x:c>
      <x:c r="D354" s="79" t="n">
        <x:v>0</x:v>
      </x:c>
      <x:c r="E354" s="80" t="n">
        <x:v>51384</x:v>
      </x:c>
      <x:c r="F354" s="79" t="inlineStr">
        <x:is>
          <x:t xml:space="preserve">2026-06-16</x:t>
        </x:is>
      </x:c>
      <x:c r="G354" s="7" t="n"/>
      <x:c r="H354" s="7" t="n"/>
      <x:c r="I354" s="7" t="n"/>
      <x:c r="J354" s="7" t="n"/>
      <x:c r="K354" s="7" t="n"/>
      <x:c r="L354" s="7" t="n"/>
      <x:c r="M354" s="7" t="n"/>
      <x:c r="N354" s="7" t="n"/>
      <x:c r="O354" s="7" t="n"/>
      <x:c r="P354" s="7" t="n"/>
      <x:c r="Q354" s="7" t="n"/>
      <x:c r="R354" s="7" t="n"/>
      <x:c r="S354" s="7" t="n"/>
      <x:c r="T354" s="7" t="n"/>
      <x:c r="U354" s="7" t="n"/>
      <x:c r="V354" s="7" t="n"/>
      <x:c r="W354" s="7" t="n"/>
      <x:c r="X354" s="7" t="n"/>
      <x:c r="Y354" s="7" t="n"/>
      <x:c r="Z354" s="7" t="n"/>
      <x:c r="AA354" s="7" t="n"/>
      <x:c r="AB354" s="7" t="n"/>
    </x:row>
    <x:row r="355" ht="20" customHeight="1">
      <x:c r="A355" s="79" t="inlineStr">
        <x:is>
          <x:t xml:space="preserve">Edina Public Schools</x:t>
        </x:is>
      </x:c>
      <x:c r="B355" s="79" t="inlineStr">
        <x:is>
          <x:t xml:space="preserve">MN</x:t>
        </x:is>
      </x:c>
      <x:c r="C355" s="79" t="inlineStr">
        <x:is>
          <x:t xml:space="preserve">Bachelor's</x:t>
        </x:is>
      </x:c>
      <x:c r="D355" s="79" t="n">
        <x:v>1</x:v>
      </x:c>
      <x:c r="E355" s="80" t="n">
        <x:v>51384</x:v>
      </x:c>
      <x:c r="F355" s="79" t="inlineStr">
        <x:is>
          <x:t xml:space="preserve">2026-06-16</x:t>
        </x:is>
      </x:c>
      <x:c r="G355" s="7" t="n"/>
      <x:c r="H355" s="7" t="n"/>
      <x:c r="I355" s="7" t="n"/>
      <x:c r="J355" s="7" t="n"/>
      <x:c r="K355" s="7" t="n"/>
      <x:c r="L355" s="7" t="n"/>
      <x:c r="M355" s="7" t="n"/>
      <x:c r="N355" s="7" t="n"/>
      <x:c r="O355" s="7" t="n"/>
      <x:c r="P355" s="7" t="n"/>
      <x:c r="Q355" s="7" t="n"/>
      <x:c r="R355" s="7" t="n"/>
      <x:c r="S355" s="7" t="n"/>
      <x:c r="T355" s="7" t="n"/>
      <x:c r="U355" s="7" t="n"/>
      <x:c r="V355" s="7" t="n"/>
      <x:c r="W355" s="7" t="n"/>
      <x:c r="X355" s="7" t="n"/>
      <x:c r="Y355" s="7" t="n"/>
      <x:c r="Z355" s="7" t="n"/>
      <x:c r="AA355" s="7" t="n"/>
      <x:c r="AB355" s="7" t="n"/>
    </x:row>
    <x:row r="356" ht="20" customHeight="1">
      <x:c r="A356" s="79" t="inlineStr">
        <x:is>
          <x:t xml:space="preserve">Edina Public Schools</x:t>
        </x:is>
      </x:c>
      <x:c r="B356" s="79" t="inlineStr">
        <x:is>
          <x:t xml:space="preserve">MN</x:t>
        </x:is>
      </x:c>
      <x:c r="C356" s="79" t="inlineStr">
        <x:is>
          <x:t xml:space="preserve">Bachelor's</x:t>
        </x:is>
      </x:c>
      <x:c r="D356" s="79" t="n">
        <x:v>2</x:v>
      </x:c>
      <x:c r="E356" s="80" t="n">
        <x:v>53141</x:v>
      </x:c>
      <x:c r="F356" s="79" t="inlineStr">
        <x:is>
          <x:t xml:space="preserve">2026-06-16</x:t>
        </x:is>
      </x:c>
      <x:c r="G356" s="7" t="n"/>
      <x:c r="H356" s="7" t="n"/>
      <x:c r="I356" s="7" t="n"/>
      <x:c r="J356" s="7" t="n"/>
      <x:c r="K356" s="7" t="n"/>
      <x:c r="L356" s="7" t="n"/>
      <x:c r="M356" s="7" t="n"/>
      <x:c r="N356" s="7" t="n"/>
      <x:c r="O356" s="7" t="n"/>
      <x:c r="P356" s="7" t="n"/>
      <x:c r="Q356" s="7" t="n"/>
      <x:c r="R356" s="7" t="n"/>
      <x:c r="S356" s="7" t="n"/>
      <x:c r="T356" s="7" t="n"/>
      <x:c r="U356" s="7" t="n"/>
      <x:c r="V356" s="7" t="n"/>
      <x:c r="W356" s="7" t="n"/>
      <x:c r="X356" s="7" t="n"/>
      <x:c r="Y356" s="7" t="n"/>
      <x:c r="Z356" s="7" t="n"/>
      <x:c r="AA356" s="7" t="n"/>
      <x:c r="AB356" s="7" t="n"/>
    </x:row>
    <x:row r="357" ht="20" customHeight="1">
      <x:c r="A357" s="79" t="inlineStr">
        <x:is>
          <x:t xml:space="preserve">Edina Public Schools</x:t>
        </x:is>
      </x:c>
      <x:c r="B357" s="79" t="inlineStr">
        <x:is>
          <x:t xml:space="preserve">MN</x:t>
        </x:is>
      </x:c>
      <x:c r="C357" s="79" t="inlineStr">
        <x:is>
          <x:t xml:space="preserve">Bachelor's</x:t>
        </x:is>
      </x:c>
      <x:c r="D357" s="79" t="n">
        <x:v>3</x:v>
      </x:c>
      <x:c r="E357" s="80" t="n">
        <x:v>54476</x:v>
      </x:c>
      <x:c r="F357" s="79" t="inlineStr">
        <x:is>
          <x:t xml:space="preserve">2026-06-16</x:t>
        </x:is>
      </x:c>
      <x:c r="G357" s="7" t="n"/>
      <x:c r="H357" s="7" t="n"/>
      <x:c r="I357" s="7" t="n"/>
      <x:c r="J357" s="7" t="n"/>
      <x:c r="K357" s="7" t="n"/>
      <x:c r="L357" s="7" t="n"/>
      <x:c r="M357" s="7" t="n"/>
      <x:c r="N357" s="7" t="n"/>
      <x:c r="O357" s="7" t="n"/>
      <x:c r="P357" s="7" t="n"/>
      <x:c r="Q357" s="7" t="n"/>
      <x:c r="R357" s="7" t="n"/>
      <x:c r="S357" s="7" t="n"/>
      <x:c r="T357" s="7" t="n"/>
      <x:c r="U357" s="7" t="n"/>
      <x:c r="V357" s="7" t="n"/>
      <x:c r="W357" s="7" t="n"/>
      <x:c r="X357" s="7" t="n"/>
      <x:c r="Y357" s="7" t="n"/>
      <x:c r="Z357" s="7" t="n"/>
      <x:c r="AA357" s="7" t="n"/>
      <x:c r="AB357" s="7" t="n"/>
    </x:row>
    <x:row r="358" ht="20" customHeight="1">
      <x:c r="A358" s="79" t="inlineStr">
        <x:is>
          <x:t xml:space="preserve">Edina Public Schools</x:t>
        </x:is>
      </x:c>
      <x:c r="B358" s="79" t="inlineStr">
        <x:is>
          <x:t xml:space="preserve">MN</x:t>
        </x:is>
      </x:c>
      <x:c r="C358" s="79" t="inlineStr">
        <x:is>
          <x:t xml:space="preserve">Bachelor's</x:t>
        </x:is>
      </x:c>
      <x:c r="D358" s="79" t="n">
        <x:v>4</x:v>
      </x:c>
      <x:c r="E358" s="80" t="n">
        <x:v>55777</x:v>
      </x:c>
      <x:c r="F358" s="79" t="inlineStr">
        <x:is>
          <x:t xml:space="preserve">2026-06-16</x:t>
        </x:is>
      </x:c>
      <x:c r="G358" s="7" t="n"/>
      <x:c r="H358" s="7" t="n"/>
      <x:c r="I358" s="7" t="n"/>
      <x:c r="J358" s="7" t="n"/>
      <x:c r="K358" s="7" t="n"/>
      <x:c r="L358" s="7" t="n"/>
      <x:c r="M358" s="7" t="n"/>
      <x:c r="N358" s="7" t="n"/>
      <x:c r="O358" s="7" t="n"/>
      <x:c r="P358" s="7" t="n"/>
      <x:c r="Q358" s="7" t="n"/>
      <x:c r="R358" s="7" t="n"/>
      <x:c r="S358" s="7" t="n"/>
      <x:c r="T358" s="7" t="n"/>
      <x:c r="U358" s="7" t="n"/>
      <x:c r="V358" s="7" t="n"/>
      <x:c r="W358" s="7" t="n"/>
      <x:c r="X358" s="7" t="n"/>
      <x:c r="Y358" s="7" t="n"/>
      <x:c r="Z358" s="7" t="n"/>
      <x:c r="AA358" s="7" t="n"/>
      <x:c r="AB358" s="7" t="n"/>
    </x:row>
    <x:row r="359" ht="20" customHeight="1">
      <x:c r="A359" s="79" t="inlineStr">
        <x:is>
          <x:t xml:space="preserve">Edina Public Schools</x:t>
        </x:is>
      </x:c>
      <x:c r="B359" s="79" t="inlineStr">
        <x:is>
          <x:t xml:space="preserve">MN</x:t>
        </x:is>
      </x:c>
      <x:c r="C359" s="79" t="inlineStr">
        <x:is>
          <x:t xml:space="preserve">Bachelor's</x:t>
        </x:is>
      </x:c>
      <x:c r="D359" s="79" t="n">
        <x:v>5</x:v>
      </x:c>
      <x:c r="E359" s="80" t="n">
        <x:v>57050</x:v>
      </x:c>
      <x:c r="F359" s="79" t="inlineStr">
        <x:is>
          <x:t xml:space="preserve">2026-06-16</x:t>
        </x:is>
      </x:c>
      <x:c r="G359" s="7" t="n"/>
      <x:c r="H359" s="7" t="n"/>
      <x:c r="I359" s="7" t="n"/>
      <x:c r="J359" s="7" t="n"/>
      <x:c r="K359" s="7" t="n"/>
      <x:c r="L359" s="7" t="n"/>
      <x:c r="M359" s="7" t="n"/>
      <x:c r="N359" s="7" t="n"/>
      <x:c r="O359" s="7" t="n"/>
      <x:c r="P359" s="7" t="n"/>
      <x:c r="Q359" s="7" t="n"/>
      <x:c r="R359" s="7" t="n"/>
      <x:c r="S359" s="7" t="n"/>
      <x:c r="T359" s="7" t="n"/>
      <x:c r="U359" s="7" t="n"/>
      <x:c r="V359" s="7" t="n"/>
      <x:c r="W359" s="7" t="n"/>
      <x:c r="X359" s="7" t="n"/>
      <x:c r="Y359" s="7" t="n"/>
      <x:c r="Z359" s="7" t="n"/>
      <x:c r="AA359" s="7" t="n"/>
      <x:c r="AB359" s="7" t="n"/>
    </x:row>
    <x:row r="360" ht="20" customHeight="1">
      <x:c r="A360" s="79" t="inlineStr">
        <x:is>
          <x:t xml:space="preserve">Edina Public Schools</x:t>
        </x:is>
      </x:c>
      <x:c r="B360" s="79" t="inlineStr">
        <x:is>
          <x:t xml:space="preserve">MN</x:t>
        </x:is>
      </x:c>
      <x:c r="C360" s="79" t="inlineStr">
        <x:is>
          <x:t xml:space="preserve">Bachelor's</x:t>
        </x:is>
      </x:c>
      <x:c r="D360" s="79" t="n">
        <x:v>6</x:v>
      </x:c>
      <x:c r="E360" s="80" t="n">
        <x:v>58292</x:v>
      </x:c>
      <x:c r="F360" s="79" t="inlineStr">
        <x:is>
          <x:t xml:space="preserve">2026-06-16</x:t>
        </x:is>
      </x:c>
      <x:c r="G360" s="7" t="n"/>
      <x:c r="H360" s="7" t="n"/>
      <x:c r="I360" s="7" t="n"/>
      <x:c r="J360" s="7" t="n"/>
      <x:c r="K360" s="7" t="n"/>
      <x:c r="L360" s="7" t="n"/>
      <x:c r="M360" s="7" t="n"/>
      <x:c r="N360" s="7" t="n"/>
      <x:c r="O360" s="7" t="n"/>
      <x:c r="P360" s="7" t="n"/>
      <x:c r="Q360" s="7" t="n"/>
      <x:c r="R360" s="7" t="n"/>
      <x:c r="S360" s="7" t="n"/>
      <x:c r="T360" s="7" t="n"/>
      <x:c r="U360" s="7" t="n"/>
      <x:c r="V360" s="7" t="n"/>
      <x:c r="W360" s="7" t="n"/>
      <x:c r="X360" s="7" t="n"/>
      <x:c r="Y360" s="7" t="n"/>
      <x:c r="Z360" s="7" t="n"/>
      <x:c r="AA360" s="7" t="n"/>
      <x:c r="AB360" s="7" t="n"/>
    </x:row>
    <x:row r="361" ht="20" customHeight="1">
      <x:c r="A361" s="79" t="inlineStr">
        <x:is>
          <x:t xml:space="preserve">Edina Public Schools</x:t>
        </x:is>
      </x:c>
      <x:c r="B361" s="79" t="inlineStr">
        <x:is>
          <x:t xml:space="preserve">MN</x:t>
        </x:is>
      </x:c>
      <x:c r="C361" s="79" t="inlineStr">
        <x:is>
          <x:t xml:space="preserve">Bachelor's</x:t>
        </x:is>
      </x:c>
      <x:c r="D361" s="79" t="n">
        <x:v>7</x:v>
      </x:c>
      <x:c r="E361" s="80" t="n">
        <x:v>59503</x:v>
      </x:c>
      <x:c r="F361" s="79" t="inlineStr">
        <x:is>
          <x:t xml:space="preserve">2026-06-16</x:t>
        </x:is>
      </x:c>
      <x:c r="G361" s="7" t="n"/>
      <x:c r="H361" s="7" t="n"/>
      <x:c r="I361" s="7" t="n"/>
      <x:c r="J361" s="7" t="n"/>
      <x:c r="K361" s="7" t="n"/>
      <x:c r="L361" s="7" t="n"/>
      <x:c r="M361" s="7" t="n"/>
      <x:c r="N361" s="7" t="n"/>
      <x:c r="O361" s="7" t="n"/>
      <x:c r="P361" s="7" t="n"/>
      <x:c r="Q361" s="7" t="n"/>
      <x:c r="R361" s="7" t="n"/>
      <x:c r="S361" s="7" t="n"/>
      <x:c r="T361" s="7" t="n"/>
      <x:c r="U361" s="7" t="n"/>
      <x:c r="V361" s="7" t="n"/>
      <x:c r="W361" s="7" t="n"/>
      <x:c r="X361" s="7" t="n"/>
      <x:c r="Y361" s="7" t="n"/>
      <x:c r="Z361" s="7" t="n"/>
      <x:c r="AA361" s="7" t="n"/>
      <x:c r="AB361" s="7" t="n"/>
    </x:row>
    <x:row r="362" ht="20" customHeight="1">
      <x:c r="A362" s="79" t="inlineStr">
        <x:is>
          <x:t xml:space="preserve">Edina Public Schools</x:t>
        </x:is>
      </x:c>
      <x:c r="B362" s="79" t="inlineStr">
        <x:is>
          <x:t xml:space="preserve">MN</x:t>
        </x:is>
      </x:c>
      <x:c r="C362" s="79" t="inlineStr">
        <x:is>
          <x:t xml:space="preserve">Bachelor's</x:t>
        </x:is>
      </x:c>
      <x:c r="D362" s="79" t="n">
        <x:v>8</x:v>
      </x:c>
      <x:c r="E362" s="80" t="n">
        <x:v>60683</x:v>
      </x:c>
      <x:c r="F362" s="79" t="inlineStr">
        <x:is>
          <x:t xml:space="preserve">2026-06-16</x:t>
        </x:is>
      </x:c>
      <x:c r="G362" s="7" t="n"/>
      <x:c r="H362" s="7" t="n"/>
      <x:c r="I362" s="7" t="n"/>
      <x:c r="J362" s="7" t="n"/>
      <x:c r="K362" s="7" t="n"/>
      <x:c r="L362" s="7" t="n"/>
      <x:c r="M362" s="7" t="n"/>
      <x:c r="N362" s="7" t="n"/>
      <x:c r="O362" s="7" t="n"/>
      <x:c r="P362" s="7" t="n"/>
      <x:c r="Q362" s="7" t="n"/>
      <x:c r="R362" s="7" t="n"/>
      <x:c r="S362" s="7" t="n"/>
      <x:c r="T362" s="7" t="n"/>
      <x:c r="U362" s="7" t="n"/>
      <x:c r="V362" s="7" t="n"/>
      <x:c r="W362" s="7" t="n"/>
      <x:c r="X362" s="7" t="n"/>
      <x:c r="Y362" s="7" t="n"/>
      <x:c r="Z362" s="7" t="n"/>
      <x:c r="AA362" s="7" t="n"/>
      <x:c r="AB362" s="7" t="n"/>
    </x:row>
    <x:row r="363" ht="20" customHeight="1">
      <x:c r="A363" s="79" t="inlineStr">
        <x:is>
          <x:t xml:space="preserve">Edina Public Schools</x:t>
        </x:is>
      </x:c>
      <x:c r="B363" s="79" t="inlineStr">
        <x:is>
          <x:t xml:space="preserve">MN</x:t>
        </x:is>
      </x:c>
      <x:c r="C363" s="79" t="inlineStr">
        <x:is>
          <x:t xml:space="preserve">Bachelor's</x:t>
        </x:is>
      </x:c>
      <x:c r="D363" s="79" t="n">
        <x:v>9</x:v>
      </x:c>
      <x:c r="E363" s="80" t="n">
        <x:v>61837</x:v>
      </x:c>
      <x:c r="F363" s="79" t="inlineStr">
        <x:is>
          <x:t xml:space="preserve">2026-06-16</x:t>
        </x:is>
      </x:c>
      <x:c r="G363" s="7" t="n"/>
      <x:c r="H363" s="7" t="n"/>
      <x:c r="I363" s="7" t="n"/>
      <x:c r="J363" s="7" t="n"/>
      <x:c r="K363" s="7" t="n"/>
      <x:c r="L363" s="7" t="n"/>
      <x:c r="M363" s="7" t="n"/>
      <x:c r="N363" s="7" t="n"/>
      <x:c r="O363" s="7" t="n"/>
      <x:c r="P363" s="7" t="n"/>
      <x:c r="Q363" s="7" t="n"/>
      <x:c r="R363" s="7" t="n"/>
      <x:c r="S363" s="7" t="n"/>
      <x:c r="T363" s="7" t="n"/>
      <x:c r="U363" s="7" t="n"/>
      <x:c r="V363" s="7" t="n"/>
      <x:c r="W363" s="7" t="n"/>
      <x:c r="X363" s="7" t="n"/>
      <x:c r="Y363" s="7" t="n"/>
      <x:c r="Z363" s="7" t="n"/>
      <x:c r="AA363" s="7" t="n"/>
      <x:c r="AB363" s="7" t="n"/>
    </x:row>
    <x:row r="364" ht="20" customHeight="1">
      <x:c r="A364" s="79" t="inlineStr">
        <x:is>
          <x:t xml:space="preserve">Edina Public Schools</x:t>
        </x:is>
      </x:c>
      <x:c r="B364" s="79" t="inlineStr">
        <x:is>
          <x:t xml:space="preserve">MN</x:t>
        </x:is>
      </x:c>
      <x:c r="C364" s="79" t="inlineStr">
        <x:is>
          <x:t xml:space="preserve">Bachelor's</x:t>
        </x:is>
      </x:c>
      <x:c r="D364" s="79" t="n">
        <x:v>10</x:v>
      </x:c>
      <x:c r="E364" s="80" t="n">
        <x:v>62962</x:v>
      </x:c>
      <x:c r="F364" s="79" t="inlineStr">
        <x:is>
          <x:t xml:space="preserve">2026-06-16</x:t>
        </x:is>
      </x:c>
      <x:c r="G364" s="7" t="n"/>
      <x:c r="H364" s="7" t="n"/>
      <x:c r="I364" s="7" t="n"/>
      <x:c r="J364" s="7" t="n"/>
      <x:c r="K364" s="7" t="n"/>
      <x:c r="L364" s="7" t="n"/>
      <x:c r="M364" s="7" t="n"/>
      <x:c r="N364" s="7" t="n"/>
      <x:c r="O364" s="7" t="n"/>
      <x:c r="P364" s="7" t="n"/>
      <x:c r="Q364" s="7" t="n"/>
      <x:c r="R364" s="7" t="n"/>
      <x:c r="S364" s="7" t="n"/>
      <x:c r="T364" s="7" t="n"/>
      <x:c r="U364" s="7" t="n"/>
      <x:c r="V364" s="7" t="n"/>
      <x:c r="W364" s="7" t="n"/>
      <x:c r="X364" s="7" t="n"/>
      <x:c r="Y364" s="7" t="n"/>
      <x:c r="Z364" s="7" t="n"/>
      <x:c r="AA364" s="7" t="n"/>
      <x:c r="AB364" s="7" t="n"/>
    </x:row>
    <x:row r="365" ht="20" customHeight="1">
      <x:c r="A365" s="79" t="inlineStr">
        <x:is>
          <x:t xml:space="preserve">Edina Public Schools</x:t>
        </x:is>
      </x:c>
      <x:c r="B365" s="79" t="inlineStr">
        <x:is>
          <x:t xml:space="preserve">MN</x:t>
        </x:is>
      </x:c>
      <x:c r="C365" s="79" t="inlineStr">
        <x:is>
          <x:t xml:space="preserve">Master's</x:t>
        </x:is>
      </x:c>
      <x:c r="D365" s="79" t="n">
        <x:v>0</x:v>
      </x:c>
      <x:c r="E365" s="80" t="n">
        <x:v>59903</x:v>
      </x:c>
      <x:c r="F365" s="79" t="inlineStr">
        <x:is>
          <x:t xml:space="preserve">2026-06-16</x:t>
        </x:is>
      </x:c>
      <x:c r="G365" s="7" t="n"/>
      <x:c r="H365" s="7" t="n"/>
      <x:c r="I365" s="7" t="n"/>
      <x:c r="J365" s="7" t="n"/>
      <x:c r="K365" s="7" t="n"/>
      <x:c r="L365" s="7" t="n"/>
      <x:c r="M365" s="7" t="n"/>
      <x:c r="N365" s="7" t="n"/>
      <x:c r="O365" s="7" t="n"/>
      <x:c r="P365" s="7" t="n"/>
      <x:c r="Q365" s="7" t="n"/>
      <x:c r="R365" s="7" t="n"/>
      <x:c r="S365" s="7" t="n"/>
      <x:c r="T365" s="7" t="n"/>
      <x:c r="U365" s="7" t="n"/>
      <x:c r="V365" s="7" t="n"/>
      <x:c r="W365" s="7" t="n"/>
      <x:c r="X365" s="7" t="n"/>
      <x:c r="Y365" s="7" t="n"/>
      <x:c r="Z365" s="7" t="n"/>
      <x:c r="AA365" s="7" t="n"/>
      <x:c r="AB365" s="7" t="n"/>
    </x:row>
    <x:row r="366" ht="20" customHeight="1">
      <x:c r="A366" s="79" t="inlineStr">
        <x:is>
          <x:t xml:space="preserve">Edina Public Schools</x:t>
        </x:is>
      </x:c>
      <x:c r="B366" s="79" t="inlineStr">
        <x:is>
          <x:t xml:space="preserve">MN</x:t>
        </x:is>
      </x:c>
      <x:c r="C366" s="79" t="inlineStr">
        <x:is>
          <x:t xml:space="preserve">Master's</x:t>
        </x:is>
      </x:c>
      <x:c r="D366" s="79" t="n">
        <x:v>1</x:v>
      </x:c>
      <x:c r="E366" s="80" t="n">
        <x:v>59903</x:v>
      </x:c>
      <x:c r="F366" s="79" t="inlineStr">
        <x:is>
          <x:t xml:space="preserve">2026-06-16</x:t>
        </x:is>
      </x:c>
      <x:c r="G366" s="7" t="n"/>
      <x:c r="H366" s="7" t="n"/>
      <x:c r="I366" s="7" t="n"/>
      <x:c r="J366" s="7" t="n"/>
      <x:c r="K366" s="7" t="n"/>
      <x:c r="L366" s="7" t="n"/>
      <x:c r="M366" s="7" t="n"/>
      <x:c r="N366" s="7" t="n"/>
      <x:c r="O366" s="7" t="n"/>
      <x:c r="P366" s="7" t="n"/>
      <x:c r="Q366" s="7" t="n"/>
      <x:c r="R366" s="7" t="n"/>
      <x:c r="S366" s="7" t="n"/>
      <x:c r="T366" s="7" t="n"/>
      <x:c r="U366" s="7" t="n"/>
      <x:c r="V366" s="7" t="n"/>
      <x:c r="W366" s="7" t="n"/>
      <x:c r="X366" s="7" t="n"/>
      <x:c r="Y366" s="7" t="n"/>
      <x:c r="Z366" s="7" t="n"/>
      <x:c r="AA366" s="7" t="n"/>
      <x:c r="AB366" s="7" t="n"/>
    </x:row>
    <x:row r="367" ht="20" customHeight="1">
      <x:c r="A367" s="79" t="inlineStr">
        <x:is>
          <x:t xml:space="preserve">Edina Public Schools</x:t>
        </x:is>
      </x:c>
      <x:c r="B367" s="79" t="inlineStr">
        <x:is>
          <x:t xml:space="preserve">MN</x:t>
        </x:is>
      </x:c>
      <x:c r="C367" s="79" t="inlineStr">
        <x:is>
          <x:t xml:space="preserve">Master's</x:t>
        </x:is>
      </x:c>
      <x:c r="D367" s="79" t="n">
        <x:v>2</x:v>
      </x:c>
      <x:c r="E367" s="80" t="n">
        <x:v>63195</x:v>
      </x:c>
      <x:c r="F367" s="79" t="inlineStr">
        <x:is>
          <x:t xml:space="preserve">2026-06-16</x:t>
        </x:is>
      </x:c>
      <x:c r="G367" s="7" t="n"/>
      <x:c r="H367" s="7" t="n"/>
      <x:c r="I367" s="7" t="n"/>
      <x:c r="J367" s="7" t="n"/>
      <x:c r="K367" s="7" t="n"/>
      <x:c r="L367" s="7" t="n"/>
      <x:c r="M367" s="7" t="n"/>
      <x:c r="N367" s="7" t="n"/>
      <x:c r="O367" s="7" t="n"/>
      <x:c r="P367" s="7" t="n"/>
      <x:c r="Q367" s="7" t="n"/>
      <x:c r="R367" s="7" t="n"/>
      <x:c r="S367" s="7" t="n"/>
      <x:c r="T367" s="7" t="n"/>
      <x:c r="U367" s="7" t="n"/>
      <x:c r="V367" s="7" t="n"/>
      <x:c r="W367" s="7" t="n"/>
      <x:c r="X367" s="7" t="n"/>
      <x:c r="Y367" s="7" t="n"/>
      <x:c r="Z367" s="7" t="n"/>
      <x:c r="AA367" s="7" t="n"/>
      <x:c r="AB367" s="7" t="n"/>
    </x:row>
    <x:row r="368" ht="20" customHeight="1">
      <x:c r="A368" s="79" t="inlineStr">
        <x:is>
          <x:t xml:space="preserve">Edina Public Schools</x:t>
        </x:is>
      </x:c>
      <x:c r="B368" s="79" t="inlineStr">
        <x:is>
          <x:t xml:space="preserve">MN</x:t>
        </x:is>
      </x:c>
      <x:c r="C368" s="79" t="inlineStr">
        <x:is>
          <x:t xml:space="preserve">Master's</x:t>
        </x:is>
      </x:c>
      <x:c r="D368" s="79" t="n">
        <x:v>3</x:v>
      </x:c>
      <x:c r="E368" s="80" t="n">
        <x:v>65354</x:v>
      </x:c>
      <x:c r="F368" s="79" t="inlineStr">
        <x:is>
          <x:t xml:space="preserve">2026-06-16</x:t>
        </x:is>
      </x:c>
      <x:c r="G368" s="7" t="n"/>
      <x:c r="H368" s="7" t="n"/>
      <x:c r="I368" s="7" t="n"/>
      <x:c r="J368" s="7" t="n"/>
      <x:c r="K368" s="7" t="n"/>
      <x:c r="L368" s="7" t="n"/>
      <x:c r="M368" s="7" t="n"/>
      <x:c r="N368" s="7" t="n"/>
      <x:c r="O368" s="7" t="n"/>
      <x:c r="P368" s="7" t="n"/>
      <x:c r="Q368" s="7" t="n"/>
      <x:c r="R368" s="7" t="n"/>
      <x:c r="S368" s="7" t="n"/>
      <x:c r="T368" s="7" t="n"/>
      <x:c r="U368" s="7" t="n"/>
      <x:c r="V368" s="7" t="n"/>
      <x:c r="W368" s="7" t="n"/>
      <x:c r="X368" s="7" t="n"/>
      <x:c r="Y368" s="7" t="n"/>
      <x:c r="Z368" s="7" t="n"/>
      <x:c r="AA368" s="7" t="n"/>
      <x:c r="AB368" s="7" t="n"/>
    </x:row>
    <x:row r="369" ht="20" customHeight="1">
      <x:c r="A369" s="79" t="inlineStr">
        <x:is>
          <x:t xml:space="preserve">Edina Public Schools</x:t>
        </x:is>
      </x:c>
      <x:c r="B369" s="79" t="inlineStr">
        <x:is>
          <x:t xml:space="preserve">MN</x:t>
        </x:is>
      </x:c>
      <x:c r="C369" s="79" t="inlineStr">
        <x:is>
          <x:t xml:space="preserve">Master's</x:t>
        </x:is>
      </x:c>
      <x:c r="D369" s="79" t="n">
        <x:v>4</x:v>
      </x:c>
      <x:c r="E369" s="80" t="n">
        <x:v>67462</x:v>
      </x:c>
      <x:c r="F369" s="79" t="inlineStr">
        <x:is>
          <x:t xml:space="preserve">2026-06-16</x:t>
        </x:is>
      </x:c>
      <x:c r="G369" s="7" t="n"/>
      <x:c r="H369" s="7" t="n"/>
      <x:c r="I369" s="7" t="n"/>
      <x:c r="J369" s="7" t="n"/>
      <x:c r="K369" s="7" t="n"/>
      <x:c r="L369" s="7" t="n"/>
      <x:c r="M369" s="7" t="n"/>
      <x:c r="N369" s="7" t="n"/>
      <x:c r="O369" s="7" t="n"/>
      <x:c r="P369" s="7" t="n"/>
      <x:c r="Q369" s="7" t="n"/>
      <x:c r="R369" s="7" t="n"/>
      <x:c r="S369" s="7" t="n"/>
      <x:c r="T369" s="7" t="n"/>
      <x:c r="U369" s="7" t="n"/>
      <x:c r="V369" s="7" t="n"/>
      <x:c r="W369" s="7" t="n"/>
      <x:c r="X369" s="7" t="n"/>
      <x:c r="Y369" s="7" t="n"/>
      <x:c r="Z369" s="7" t="n"/>
      <x:c r="AA369" s="7" t="n"/>
      <x:c r="AB369" s="7" t="n"/>
    </x:row>
    <x:row r="370" ht="20" customHeight="1">
      <x:c r="A370" s="79" t="inlineStr">
        <x:is>
          <x:t xml:space="preserve">Edina Public Schools</x:t>
        </x:is>
      </x:c>
      <x:c r="B370" s="79" t="inlineStr">
        <x:is>
          <x:t xml:space="preserve">MN</x:t>
        </x:is>
      </x:c>
      <x:c r="C370" s="79" t="inlineStr">
        <x:is>
          <x:t xml:space="preserve">Master's</x:t>
        </x:is>
      </x:c>
      <x:c r="D370" s="79" t="n">
        <x:v>5</x:v>
      </x:c>
      <x:c r="E370" s="80" t="n">
        <x:v>69525</x:v>
      </x:c>
      <x:c r="F370" s="79" t="inlineStr">
        <x:is>
          <x:t xml:space="preserve">2026-06-16</x:t>
        </x:is>
      </x:c>
      <x:c r="G370" s="7" t="n"/>
      <x:c r="H370" s="7" t="n"/>
      <x:c r="I370" s="7" t="n"/>
      <x:c r="J370" s="7" t="n"/>
      <x:c r="K370" s="7" t="n"/>
      <x:c r="L370" s="7" t="n"/>
      <x:c r="M370" s="7" t="n"/>
      <x:c r="N370" s="7" t="n"/>
      <x:c r="O370" s="7" t="n"/>
      <x:c r="P370" s="7" t="n"/>
      <x:c r="Q370" s="7" t="n"/>
      <x:c r="R370" s="7" t="n"/>
      <x:c r="S370" s="7" t="n"/>
      <x:c r="T370" s="7" t="n"/>
      <x:c r="U370" s="7" t="n"/>
      <x:c r="V370" s="7" t="n"/>
      <x:c r="W370" s="7" t="n"/>
      <x:c r="X370" s="7" t="n"/>
      <x:c r="Y370" s="7" t="n"/>
      <x:c r="Z370" s="7" t="n"/>
      <x:c r="AA370" s="7" t="n"/>
      <x:c r="AB370" s="7" t="n"/>
    </x:row>
    <x:row r="371" ht="20" customHeight="1">
      <x:c r="A371" s="79" t="inlineStr">
        <x:is>
          <x:t xml:space="preserve">Edina Public Schools</x:t>
        </x:is>
      </x:c>
      <x:c r="B371" s="79" t="inlineStr">
        <x:is>
          <x:t xml:space="preserve">MN</x:t>
        </x:is>
      </x:c>
      <x:c r="C371" s="79" t="inlineStr">
        <x:is>
          <x:t xml:space="preserve">Master's</x:t>
        </x:is>
      </x:c>
      <x:c r="D371" s="79" t="n">
        <x:v>6</x:v>
      </x:c>
      <x:c r="E371" s="80" t="n">
        <x:v>71541</x:v>
      </x:c>
      <x:c r="F371" s="79" t="inlineStr">
        <x:is>
          <x:t xml:space="preserve">2026-06-16</x:t>
        </x:is>
      </x:c>
      <x:c r="G371" s="7" t="n"/>
      <x:c r="H371" s="7" t="n"/>
      <x:c r="I371" s="7" t="n"/>
      <x:c r="J371" s="7" t="n"/>
      <x:c r="K371" s="7" t="n"/>
      <x:c r="L371" s="7" t="n"/>
      <x:c r="M371" s="7" t="n"/>
      <x:c r="N371" s="7" t="n"/>
      <x:c r="O371" s="7" t="n"/>
      <x:c r="P371" s="7" t="n"/>
      <x:c r="Q371" s="7" t="n"/>
      <x:c r="R371" s="7" t="n"/>
      <x:c r="S371" s="7" t="n"/>
      <x:c r="T371" s="7" t="n"/>
      <x:c r="U371" s="7" t="n"/>
      <x:c r="V371" s="7" t="n"/>
      <x:c r="W371" s="7" t="n"/>
      <x:c r="X371" s="7" t="n"/>
      <x:c r="Y371" s="7" t="n"/>
      <x:c r="Z371" s="7" t="n"/>
      <x:c r="AA371" s="7" t="n"/>
      <x:c r="AB371" s="7" t="n"/>
    </x:row>
    <x:row r="372" ht="20" customHeight="1">
      <x:c r="A372" s="79" t="inlineStr">
        <x:is>
          <x:t xml:space="preserve">Edina Public Schools</x:t>
        </x:is>
      </x:c>
      <x:c r="B372" s="79" t="inlineStr">
        <x:is>
          <x:t xml:space="preserve">MN</x:t>
        </x:is>
      </x:c>
      <x:c r="C372" s="79" t="inlineStr">
        <x:is>
          <x:t xml:space="preserve">Master's</x:t>
        </x:is>
      </x:c>
      <x:c r="D372" s="79" t="n">
        <x:v>7</x:v>
      </x:c>
      <x:c r="E372" s="80" t="n">
        <x:v>73510</x:v>
      </x:c>
      <x:c r="F372" s="79" t="inlineStr">
        <x:is>
          <x:t xml:space="preserve">2026-06-16</x:t>
        </x:is>
      </x:c>
      <x:c r="G372" s="7" t="n"/>
      <x:c r="H372" s="7" t="n"/>
      <x:c r="I372" s="7" t="n"/>
      <x:c r="J372" s="7" t="n"/>
      <x:c r="K372" s="7" t="n"/>
      <x:c r="L372" s="7" t="n"/>
      <x:c r="M372" s="7" t="n"/>
      <x:c r="N372" s="7" t="n"/>
      <x:c r="O372" s="7" t="n"/>
      <x:c r="P372" s="7" t="n"/>
      <x:c r="Q372" s="7" t="n"/>
      <x:c r="R372" s="7" t="n"/>
      <x:c r="S372" s="7" t="n"/>
      <x:c r="T372" s="7" t="n"/>
      <x:c r="U372" s="7" t="n"/>
      <x:c r="V372" s="7" t="n"/>
      <x:c r="W372" s="7" t="n"/>
      <x:c r="X372" s="7" t="n"/>
      <x:c r="Y372" s="7" t="n"/>
      <x:c r="Z372" s="7" t="n"/>
      <x:c r="AA372" s="7" t="n"/>
      <x:c r="AB372" s="7" t="n"/>
    </x:row>
    <x:row r="373" ht="20" customHeight="1">
      <x:c r="A373" s="79" t="inlineStr">
        <x:is>
          <x:t xml:space="preserve">Edina Public Schools</x:t>
        </x:is>
      </x:c>
      <x:c r="B373" s="79" t="inlineStr">
        <x:is>
          <x:t xml:space="preserve">MN</x:t>
        </x:is>
      </x:c>
      <x:c r="C373" s="79" t="inlineStr">
        <x:is>
          <x:t xml:space="preserve">Master's</x:t>
        </x:is>
      </x:c>
      <x:c r="D373" s="79" t="n">
        <x:v>8</x:v>
      </x:c>
      <x:c r="E373" s="80" t="n">
        <x:v>75432</x:v>
      </x:c>
      <x:c r="F373" s="79" t="inlineStr">
        <x:is>
          <x:t xml:space="preserve">2026-06-16</x:t>
        </x:is>
      </x:c>
      <x:c r="G373" s="7" t="n"/>
      <x:c r="H373" s="7" t="n"/>
      <x:c r="I373" s="7" t="n"/>
      <x:c r="J373" s="7" t="n"/>
      <x:c r="K373" s="7" t="n"/>
      <x:c r="L373" s="7" t="n"/>
      <x:c r="M373" s="7" t="n"/>
      <x:c r="N373" s="7" t="n"/>
      <x:c r="O373" s="7" t="n"/>
      <x:c r="P373" s="7" t="n"/>
      <x:c r="Q373" s="7" t="n"/>
      <x:c r="R373" s="7" t="n"/>
      <x:c r="S373" s="7" t="n"/>
      <x:c r="T373" s="7" t="n"/>
      <x:c r="U373" s="7" t="n"/>
      <x:c r="V373" s="7" t="n"/>
      <x:c r="W373" s="7" t="n"/>
      <x:c r="X373" s="7" t="n"/>
      <x:c r="Y373" s="7" t="n"/>
      <x:c r="Z373" s="7" t="n"/>
      <x:c r="AA373" s="7" t="n"/>
      <x:c r="AB373" s="7" t="n"/>
    </x:row>
    <x:row r="374" ht="20" customHeight="1">
      <x:c r="A374" s="79" t="inlineStr">
        <x:is>
          <x:t xml:space="preserve">Edina Public Schools</x:t>
        </x:is>
      </x:c>
      <x:c r="B374" s="79" t="inlineStr">
        <x:is>
          <x:t xml:space="preserve">MN</x:t>
        </x:is>
      </x:c>
      <x:c r="C374" s="79" t="inlineStr">
        <x:is>
          <x:t xml:space="preserve">Master's</x:t>
        </x:is>
      </x:c>
      <x:c r="D374" s="79" t="n">
        <x:v>9</x:v>
      </x:c>
      <x:c r="E374" s="80" t="n">
        <x:v>77312</x:v>
      </x:c>
      <x:c r="F374" s="79" t="inlineStr">
        <x:is>
          <x:t xml:space="preserve">2026-06-16</x:t>
        </x:is>
      </x:c>
      <x:c r="G374" s="7" t="n"/>
      <x:c r="H374" s="7" t="n"/>
      <x:c r="I374" s="7" t="n"/>
      <x:c r="J374" s="7" t="n"/>
      <x:c r="K374" s="7" t="n"/>
      <x:c r="L374" s="7" t="n"/>
      <x:c r="M374" s="7" t="n"/>
      <x:c r="N374" s="7" t="n"/>
      <x:c r="O374" s="7" t="n"/>
      <x:c r="P374" s="7" t="n"/>
      <x:c r="Q374" s="7" t="n"/>
      <x:c r="R374" s="7" t="n"/>
      <x:c r="S374" s="7" t="n"/>
      <x:c r="T374" s="7" t="n"/>
      <x:c r="U374" s="7" t="n"/>
      <x:c r="V374" s="7" t="n"/>
      <x:c r="W374" s="7" t="n"/>
      <x:c r="X374" s="7" t="n"/>
      <x:c r="Y374" s="7" t="n"/>
      <x:c r="Z374" s="7" t="n"/>
      <x:c r="AA374" s="7" t="n"/>
      <x:c r="AB374" s="7" t="n"/>
    </x:row>
    <x:row r="375" ht="20" customHeight="1">
      <x:c r="A375" s="79" t="inlineStr">
        <x:is>
          <x:t xml:space="preserve">Edina Public Schools</x:t>
        </x:is>
      </x:c>
      <x:c r="B375" s="79" t="inlineStr">
        <x:is>
          <x:t xml:space="preserve">MN</x:t>
        </x:is>
      </x:c>
      <x:c r="C375" s="79" t="inlineStr">
        <x:is>
          <x:t xml:space="preserve">Master's</x:t>
        </x:is>
      </x:c>
      <x:c r="D375" s="79" t="n">
        <x:v>10</x:v>
      </x:c>
      <x:c r="E375" s="80" t="n">
        <x:v>79146</x:v>
      </x:c>
      <x:c r="F375" s="79" t="inlineStr">
        <x:is>
          <x:t xml:space="preserve">2026-06-16</x:t>
        </x:is>
      </x:c>
      <x:c r="G375" s="7" t="n"/>
      <x:c r="H375" s="7" t="n"/>
      <x:c r="I375" s="7" t="n"/>
      <x:c r="J375" s="7" t="n"/>
      <x:c r="K375" s="7" t="n"/>
      <x:c r="L375" s="7" t="n"/>
      <x:c r="M375" s="7" t="n"/>
      <x:c r="N375" s="7" t="n"/>
      <x:c r="O375" s="7" t="n"/>
      <x:c r="P375" s="7" t="n"/>
      <x:c r="Q375" s="7" t="n"/>
      <x:c r="R375" s="7" t="n"/>
      <x:c r="S375" s="7" t="n"/>
      <x:c r="T375" s="7" t="n"/>
      <x:c r="U375" s="7" t="n"/>
      <x:c r="V375" s="7" t="n"/>
      <x:c r="W375" s="7" t="n"/>
      <x:c r="X375" s="7" t="n"/>
      <x:c r="Y375" s="7" t="n"/>
      <x:c r="Z375" s="7" t="n"/>
      <x:c r="AA375" s="7" t="n"/>
      <x:c r="AB375" s="7" t="n"/>
    </x:row>
    <x:row r="376" ht="20" customHeight="1">
      <x:c r="A376" s="12" t="inlineStr">
        <x:is>
          <x:t xml:space="preserve">Flagstaff Unified School District</x:t>
        </x:is>
      </x:c>
      <x:c r="B376" s="12" t="inlineStr">
        <x:is>
          <x:t xml:space="preserve">AZ</x:t>
        </x:is>
      </x:c>
      <x:c r="C376" s="12" t="inlineStr">
        <x:is>
          <x:t xml:space="preserve">Bachelor's</x:t>
        </x:is>
      </x:c>
      <x:c r="D376" s="13" t="n">
        <x:v>0</x:v>
      </x:c>
      <x:c r="E376" s="14" t="n">
        <x:v>50910</x:v>
      </x:c>
      <x:c r="F376" s="83" t="inlineStr">
        <x:is>
          <x:t xml:space="preserve">2026-06-11</x:t>
        </x:is>
      </x:c>
      <x:c r="G376" s="7" t="n"/>
      <x:c r="H376" s="7" t="n"/>
      <x:c r="I376" s="7" t="n"/>
      <x:c r="J376" s="7" t="n"/>
      <x:c r="K376" s="7" t="n"/>
      <x:c r="L376" s="7" t="n"/>
      <x:c r="M376" s="7" t="n"/>
      <x:c r="N376" s="7" t="n"/>
      <x:c r="O376" s="7" t="n"/>
      <x:c r="P376" s="7" t="n"/>
      <x:c r="Q376" s="7" t="n"/>
      <x:c r="R376" s="7" t="n"/>
      <x:c r="S376" s="7" t="n"/>
      <x:c r="T376" s="7" t="n"/>
      <x:c r="U376" s="7" t="n"/>
      <x:c r="V376" s="7" t="n"/>
      <x:c r="W376" s="7" t="n"/>
      <x:c r="X376" s="7" t="n"/>
      <x:c r="Y376" s="7" t="n"/>
      <x:c r="Z376" s="7" t="n"/>
      <x:c r="AA376" s="7" t="n"/>
      <x:c r="AB376" s="7" t="n"/>
    </x:row>
    <x:row r="377" ht="20" customHeight="1">
      <x:c r="A377" s="12" t="inlineStr">
        <x:is>
          <x:t xml:space="preserve">Flagstaff Unified School District</x:t>
        </x:is>
      </x:c>
      <x:c r="B377" s="12" t="inlineStr">
        <x:is>
          <x:t xml:space="preserve">AZ</x:t>
        </x:is>
      </x:c>
      <x:c r="C377" s="12" t="inlineStr">
        <x:is>
          <x:t xml:space="preserve">Bachelor's</x:t>
        </x:is>
      </x:c>
      <x:c r="D377" s="13" t="n">
        <x:v>1</x:v>
      </x:c>
      <x:c r="E377" s="14" t="n">
        <x:v>51548</x:v>
      </x:c>
      <x:c r="F377" s="83" t="inlineStr">
        <x:is>
          <x:t xml:space="preserve">2026-06-11</x:t>
        </x:is>
      </x:c>
      <x:c r="G377" s="7" t="n"/>
      <x:c r="H377" s="7" t="n"/>
      <x:c r="I377" s="7" t="n"/>
      <x:c r="J377" s="7" t="n"/>
      <x:c r="K377" s="7" t="n"/>
      <x:c r="L377" s="7" t="n"/>
      <x:c r="M377" s="7" t="n"/>
      <x:c r="N377" s="7" t="n"/>
      <x:c r="O377" s="7" t="n"/>
      <x:c r="P377" s="7" t="n"/>
      <x:c r="Q377" s="7" t="n"/>
      <x:c r="R377" s="7" t="n"/>
      <x:c r="S377" s="7" t="n"/>
      <x:c r="T377" s="7" t="n"/>
      <x:c r="U377" s="7" t="n"/>
      <x:c r="V377" s="7" t="n"/>
      <x:c r="W377" s="7" t="n"/>
      <x:c r="X377" s="7" t="n"/>
      <x:c r="Y377" s="7" t="n"/>
      <x:c r="Z377" s="7" t="n"/>
      <x:c r="AA377" s="7" t="n"/>
      <x:c r="AB377" s="7" t="n"/>
    </x:row>
    <x:row r="378" ht="20" customHeight="1">
      <x:c r="A378" s="12" t="inlineStr">
        <x:is>
          <x:t xml:space="preserve">Flagstaff Unified School District</x:t>
        </x:is>
      </x:c>
      <x:c r="B378" s="12" t="inlineStr">
        <x:is>
          <x:t xml:space="preserve">AZ</x:t>
        </x:is>
      </x:c>
      <x:c r="C378" s="12" t="inlineStr">
        <x:is>
          <x:t xml:space="preserve">Bachelor's</x:t>
        </x:is>
      </x:c>
      <x:c r="D378" s="13" t="n">
        <x:v>2</x:v>
      </x:c>
      <x:c r="E378" s="14" t="n">
        <x:v>52185</x:v>
      </x:c>
      <x:c r="F378" s="83" t="inlineStr">
        <x:is>
          <x:t xml:space="preserve">2026-06-11</x:t>
        </x:is>
      </x:c>
      <x:c r="G378" s="7" t="n"/>
      <x:c r="H378" s="7" t="n"/>
      <x:c r="I378" s="7" t="n"/>
      <x:c r="J378" s="7" t="n"/>
      <x:c r="K378" s="7" t="n"/>
      <x:c r="L378" s="7" t="n"/>
      <x:c r="M378" s="7" t="n"/>
      <x:c r="N378" s="7" t="n"/>
      <x:c r="O378" s="7" t="n"/>
      <x:c r="P378" s="7" t="n"/>
      <x:c r="Q378" s="7" t="n"/>
      <x:c r="R378" s="7" t="n"/>
      <x:c r="S378" s="7" t="n"/>
      <x:c r="T378" s="7" t="n"/>
      <x:c r="U378" s="7" t="n"/>
      <x:c r="V378" s="7" t="n"/>
      <x:c r="W378" s="7" t="n"/>
      <x:c r="X378" s="7" t="n"/>
      <x:c r="Y378" s="7" t="n"/>
      <x:c r="Z378" s="7" t="n"/>
      <x:c r="AA378" s="7" t="n"/>
      <x:c r="AB378" s="7" t="n"/>
    </x:row>
    <x:row r="379" ht="20" customHeight="1">
      <x:c r="A379" s="12" t="inlineStr">
        <x:is>
          <x:t xml:space="preserve">Flagstaff Unified School District</x:t>
        </x:is>
      </x:c>
      <x:c r="B379" s="12" t="inlineStr">
        <x:is>
          <x:t xml:space="preserve">AZ</x:t>
        </x:is>
      </x:c>
      <x:c r="C379" s="12" t="inlineStr">
        <x:is>
          <x:t xml:space="preserve">Bachelor's</x:t>
        </x:is>
      </x:c>
      <x:c r="D379" s="13" t="n">
        <x:v>3</x:v>
      </x:c>
      <x:c r="E379" s="14" t="n">
        <x:v>52823</x:v>
      </x:c>
      <x:c r="F379" s="83" t="inlineStr">
        <x:is>
          <x:t xml:space="preserve">2026-06-11</x:t>
        </x:is>
      </x:c>
      <x:c r="G379" s="7" t="n"/>
      <x:c r="H379" s="7" t="n"/>
      <x:c r="I379" s="7" t="n"/>
      <x:c r="J379" s="7" t="n"/>
      <x:c r="K379" s="7" t="n"/>
      <x:c r="L379" s="7" t="n"/>
      <x:c r="M379" s="7" t="n"/>
      <x:c r="N379" s="7" t="n"/>
      <x:c r="O379" s="7" t="n"/>
      <x:c r="P379" s="7" t="n"/>
      <x:c r="Q379" s="7" t="n"/>
      <x:c r="R379" s="7" t="n"/>
      <x:c r="S379" s="7" t="n"/>
      <x:c r="T379" s="7" t="n"/>
      <x:c r="U379" s="7" t="n"/>
      <x:c r="V379" s="7" t="n"/>
      <x:c r="W379" s="7" t="n"/>
      <x:c r="X379" s="7" t="n"/>
      <x:c r="Y379" s="7" t="n"/>
      <x:c r="Z379" s="7" t="n"/>
      <x:c r="AA379" s="7" t="n"/>
      <x:c r="AB379" s="7" t="n"/>
    </x:row>
    <x:row r="380" ht="20" customHeight="1">
      <x:c r="A380" s="12" t="inlineStr">
        <x:is>
          <x:t xml:space="preserve">Flagstaff Unified School District</x:t>
        </x:is>
      </x:c>
      <x:c r="B380" s="12" t="inlineStr">
        <x:is>
          <x:t xml:space="preserve">AZ</x:t>
        </x:is>
      </x:c>
      <x:c r="C380" s="12" t="inlineStr">
        <x:is>
          <x:t xml:space="preserve">Bachelor's</x:t>
        </x:is>
      </x:c>
      <x:c r="D380" s="13" t="n">
        <x:v>4</x:v>
      </x:c>
      <x:c r="E380" s="14" t="n">
        <x:v>53460</x:v>
      </x:c>
      <x:c r="F380" s="83" t="inlineStr">
        <x:is>
          <x:t xml:space="preserve">2026-06-11</x:t>
        </x:is>
      </x:c>
      <x:c r="G380" s="7" t="n"/>
      <x:c r="H380" s="7" t="n"/>
      <x:c r="I380" s="7" t="n"/>
      <x:c r="J380" s="7" t="n"/>
      <x:c r="K380" s="7" t="n"/>
      <x:c r="L380" s="7" t="n"/>
      <x:c r="M380" s="7" t="n"/>
      <x:c r="N380" s="7" t="n"/>
      <x:c r="O380" s="7" t="n"/>
      <x:c r="P380" s="7" t="n"/>
      <x:c r="Q380" s="7" t="n"/>
      <x:c r="R380" s="7" t="n"/>
      <x:c r="S380" s="7" t="n"/>
      <x:c r="T380" s="7" t="n"/>
      <x:c r="U380" s="7" t="n"/>
      <x:c r="V380" s="7" t="n"/>
      <x:c r="W380" s="7" t="n"/>
      <x:c r="X380" s="7" t="n"/>
      <x:c r="Y380" s="7" t="n"/>
      <x:c r="Z380" s="7" t="n"/>
      <x:c r="AA380" s="7" t="n"/>
      <x:c r="AB380" s="7" t="n"/>
    </x:row>
    <x:row r="381" ht="20" customHeight="1">
      <x:c r="A381" s="12" t="inlineStr">
        <x:is>
          <x:t xml:space="preserve">Flagstaff Unified School District</x:t>
        </x:is>
      </x:c>
      <x:c r="B381" s="12" t="inlineStr">
        <x:is>
          <x:t xml:space="preserve">AZ</x:t>
        </x:is>
      </x:c>
      <x:c r="C381" s="12" t="inlineStr">
        <x:is>
          <x:t xml:space="preserve">Bachelor's</x:t>
        </x:is>
      </x:c>
      <x:c r="D381" s="13" t="n">
        <x:v>5</x:v>
      </x:c>
      <x:c r="E381" s="14" t="n">
        <x:v>54098</x:v>
      </x:c>
      <x:c r="F381" s="83" t="inlineStr">
        <x:is>
          <x:t xml:space="preserve">2026-06-11</x:t>
        </x:is>
      </x:c>
      <x:c r="G381" s="7" t="n"/>
      <x:c r="H381" s="7" t="n"/>
      <x:c r="I381" s="7" t="n"/>
      <x:c r="J381" s="7" t="n"/>
      <x:c r="K381" s="7" t="n"/>
      <x:c r="L381" s="7" t="n"/>
      <x:c r="M381" s="7" t="n"/>
      <x:c r="N381" s="7" t="n"/>
      <x:c r="O381" s="7" t="n"/>
      <x:c r="P381" s="7" t="n"/>
      <x:c r="Q381" s="7" t="n"/>
      <x:c r="R381" s="7" t="n"/>
      <x:c r="S381" s="7" t="n"/>
      <x:c r="T381" s="7" t="n"/>
      <x:c r="U381" s="7" t="n"/>
      <x:c r="V381" s="7" t="n"/>
      <x:c r="W381" s="7" t="n"/>
      <x:c r="X381" s="7" t="n"/>
      <x:c r="Y381" s="7" t="n"/>
      <x:c r="Z381" s="7" t="n"/>
      <x:c r="AA381" s="7" t="n"/>
      <x:c r="AB381" s="7" t="n"/>
    </x:row>
    <x:row r="382" ht="20" customHeight="1">
      <x:c r="A382" s="12" t="inlineStr">
        <x:is>
          <x:t xml:space="preserve">Flagstaff Unified School District</x:t>
        </x:is>
      </x:c>
      <x:c r="B382" s="12" t="inlineStr">
        <x:is>
          <x:t xml:space="preserve">AZ</x:t>
        </x:is>
      </x:c>
      <x:c r="C382" s="12" t="inlineStr">
        <x:is>
          <x:t xml:space="preserve">Bachelor's</x:t>
        </x:is>
      </x:c>
      <x:c r="D382" s="13" t="n">
        <x:v>6</x:v>
      </x:c>
      <x:c r="E382" s="14" t="n">
        <x:v>54735</x:v>
      </x:c>
      <x:c r="F382" s="83" t="inlineStr">
        <x:is>
          <x:t xml:space="preserve">2026-06-11</x:t>
        </x:is>
      </x:c>
      <x:c r="G382" s="7" t="n"/>
      <x:c r="H382" s="7" t="n"/>
      <x:c r="I382" s="7" t="n"/>
      <x:c r="J382" s="7" t="n"/>
      <x:c r="K382" s="7" t="n"/>
      <x:c r="L382" s="7" t="n"/>
      <x:c r="M382" s="7" t="n"/>
      <x:c r="N382" s="7" t="n"/>
      <x:c r="O382" s="7" t="n"/>
      <x:c r="P382" s="7" t="n"/>
      <x:c r="Q382" s="7" t="n"/>
      <x:c r="R382" s="7" t="n"/>
      <x:c r="S382" s="7" t="n"/>
      <x:c r="T382" s="7" t="n"/>
      <x:c r="U382" s="7" t="n"/>
      <x:c r="V382" s="7" t="n"/>
      <x:c r="W382" s="7" t="n"/>
      <x:c r="X382" s="7" t="n"/>
      <x:c r="Y382" s="7" t="n"/>
      <x:c r="Z382" s="7" t="n"/>
      <x:c r="AA382" s="7" t="n"/>
      <x:c r="AB382" s="7" t="n"/>
    </x:row>
    <x:row r="383" ht="20" customHeight="1">
      <x:c r="A383" s="12" t="inlineStr">
        <x:is>
          <x:t xml:space="preserve">Flagstaff Unified School District</x:t>
        </x:is>
      </x:c>
      <x:c r="B383" s="12" t="inlineStr">
        <x:is>
          <x:t xml:space="preserve">AZ</x:t>
        </x:is>
      </x:c>
      <x:c r="C383" s="12" t="inlineStr">
        <x:is>
          <x:t xml:space="preserve">Bachelor's</x:t>
        </x:is>
      </x:c>
      <x:c r="D383" s="13" t="n">
        <x:v>7</x:v>
      </x:c>
      <x:c r="E383" s="14" t="n">
        <x:v>55373</x:v>
      </x:c>
      <x:c r="F383" s="83" t="inlineStr">
        <x:is>
          <x:t xml:space="preserve">2026-06-11</x:t>
        </x:is>
      </x:c>
      <x:c r="G383" s="7" t="n"/>
      <x:c r="H383" s="7" t="n"/>
      <x:c r="I383" s="7" t="n"/>
      <x:c r="J383" s="7" t="n"/>
      <x:c r="K383" s="7" t="n"/>
      <x:c r="L383" s="7" t="n"/>
      <x:c r="M383" s="7" t="n"/>
      <x:c r="N383" s="7" t="n"/>
      <x:c r="O383" s="7" t="n"/>
      <x:c r="P383" s="7" t="n"/>
      <x:c r="Q383" s="7" t="n"/>
      <x:c r="R383" s="7" t="n"/>
      <x:c r="S383" s="7" t="n"/>
      <x:c r="T383" s="7" t="n"/>
      <x:c r="U383" s="7" t="n"/>
      <x:c r="V383" s="7" t="n"/>
      <x:c r="W383" s="7" t="n"/>
      <x:c r="X383" s="7" t="n"/>
      <x:c r="Y383" s="7" t="n"/>
      <x:c r="Z383" s="7" t="n"/>
      <x:c r="AA383" s="7" t="n"/>
      <x:c r="AB383" s="7" t="n"/>
    </x:row>
    <x:row r="384" ht="20" customHeight="1">
      <x:c r="A384" s="12" t="inlineStr">
        <x:is>
          <x:t xml:space="preserve">Flagstaff Unified School District</x:t>
        </x:is>
      </x:c>
      <x:c r="B384" s="12" t="inlineStr">
        <x:is>
          <x:t xml:space="preserve">AZ</x:t>
        </x:is>
      </x:c>
      <x:c r="C384" s="12" t="inlineStr">
        <x:is>
          <x:t xml:space="preserve">Bachelor's</x:t>
        </x:is>
      </x:c>
      <x:c r="D384" s="13" t="n">
        <x:v>8</x:v>
      </x:c>
      <x:c r="E384" s="14" t="n">
        <x:v>56010</x:v>
      </x:c>
      <x:c r="F384" s="83" t="inlineStr">
        <x:is>
          <x:t xml:space="preserve">2026-06-11</x:t>
        </x:is>
      </x:c>
      <x:c r="G384" s="7" t="n"/>
      <x:c r="H384" s="7" t="n"/>
      <x:c r="I384" s="7" t="n"/>
      <x:c r="J384" s="7" t="n"/>
      <x:c r="K384" s="7" t="n"/>
      <x:c r="L384" s="7" t="n"/>
      <x:c r="M384" s="7" t="n"/>
      <x:c r="N384" s="7" t="n"/>
      <x:c r="O384" s="7" t="n"/>
      <x:c r="P384" s="7" t="n"/>
      <x:c r="Q384" s="7" t="n"/>
      <x:c r="R384" s="7" t="n"/>
      <x:c r="S384" s="7" t="n"/>
      <x:c r="T384" s="7" t="n"/>
      <x:c r="U384" s="7" t="n"/>
      <x:c r="V384" s="7" t="n"/>
      <x:c r="W384" s="7" t="n"/>
      <x:c r="X384" s="7" t="n"/>
      <x:c r="Y384" s="7" t="n"/>
      <x:c r="Z384" s="7" t="n"/>
      <x:c r="AA384" s="7" t="n"/>
      <x:c r="AB384" s="7" t="n"/>
    </x:row>
    <x:row r="385" ht="20" customHeight="1">
      <x:c r="A385" s="12" t="inlineStr">
        <x:is>
          <x:t xml:space="preserve">Flagstaff Unified School District</x:t>
        </x:is>
      </x:c>
      <x:c r="B385" s="12" t="inlineStr">
        <x:is>
          <x:t xml:space="preserve">AZ</x:t>
        </x:is>
      </x:c>
      <x:c r="C385" s="12" t="inlineStr">
        <x:is>
          <x:t xml:space="preserve">Bachelor's</x:t>
        </x:is>
      </x:c>
      <x:c r="D385" s="13" t="n">
        <x:v>9</x:v>
      </x:c>
      <x:c r="E385" s="14" t="n">
        <x:v>56648</x:v>
      </x:c>
      <x:c r="F385" s="83" t="inlineStr">
        <x:is>
          <x:t xml:space="preserve">2026-06-11</x:t>
        </x:is>
      </x:c>
      <x:c r="G385" s="7" t="n"/>
      <x:c r="H385" s="7" t="n"/>
      <x:c r="I385" s="7" t="n"/>
      <x:c r="J385" s="7" t="n"/>
      <x:c r="K385" s="7" t="n"/>
      <x:c r="L385" s="7" t="n"/>
      <x:c r="M385" s="7" t="n"/>
      <x:c r="N385" s="7" t="n"/>
      <x:c r="O385" s="7" t="n"/>
      <x:c r="P385" s="7" t="n"/>
      <x:c r="Q385" s="7" t="n"/>
      <x:c r="R385" s="7" t="n"/>
      <x:c r="S385" s="7" t="n"/>
      <x:c r="T385" s="7" t="n"/>
      <x:c r="U385" s="7" t="n"/>
      <x:c r="V385" s="7" t="n"/>
      <x:c r="W385" s="7" t="n"/>
      <x:c r="X385" s="7" t="n"/>
      <x:c r="Y385" s="7" t="n"/>
      <x:c r="Z385" s="7" t="n"/>
      <x:c r="AA385" s="7" t="n"/>
      <x:c r="AB385" s="7" t="n"/>
    </x:row>
    <x:row r="386" ht="20" customHeight="1">
      <x:c r="A386" s="12" t="inlineStr">
        <x:is>
          <x:t xml:space="preserve">Flagstaff Unified School District</x:t>
        </x:is>
      </x:c>
      <x:c r="B386" s="12" t="inlineStr">
        <x:is>
          <x:t xml:space="preserve">AZ</x:t>
        </x:is>
      </x:c>
      <x:c r="C386" s="12" t="inlineStr">
        <x:is>
          <x:t xml:space="preserve">Bachelor's</x:t>
        </x:is>
      </x:c>
      <x:c r="D386" s="13" t="n">
        <x:v>10</x:v>
      </x:c>
      <x:c r="E386" s="14" t="n">
        <x:v>57285</x:v>
      </x:c>
      <x:c r="F386" s="83" t="inlineStr">
        <x:is>
          <x:t xml:space="preserve">2026-06-11</x:t>
        </x:is>
      </x:c>
      <x:c r="G386" s="7" t="n"/>
      <x:c r="H386" s="7" t="n"/>
      <x:c r="I386" s="7" t="n"/>
      <x:c r="J386" s="7" t="n"/>
      <x:c r="K386" s="7" t="n"/>
      <x:c r="L386" s="7" t="n"/>
      <x:c r="M386" s="7" t="n"/>
      <x:c r="N386" s="7" t="n"/>
      <x:c r="O386" s="7" t="n"/>
      <x:c r="P386" s="7" t="n"/>
      <x:c r="Q386" s="7" t="n"/>
      <x:c r="R386" s="7" t="n"/>
      <x:c r="S386" s="7" t="n"/>
      <x:c r="T386" s="7" t="n"/>
      <x:c r="U386" s="7" t="n"/>
      <x:c r="V386" s="7" t="n"/>
      <x:c r="W386" s="7" t="n"/>
      <x:c r="X386" s="7" t="n"/>
      <x:c r="Y386" s="7" t="n"/>
      <x:c r="Z386" s="7" t="n"/>
      <x:c r="AA386" s="7" t="n"/>
      <x:c r="AB386" s="7" t="n"/>
    </x:row>
    <x:row r="387" ht="20" customHeight="1">
      <x:c r="A387" s="12" t="inlineStr">
        <x:is>
          <x:t xml:space="preserve">Flagstaff Unified School District</x:t>
        </x:is>
      </x:c>
      <x:c r="B387" s="12" t="inlineStr">
        <x:is>
          <x:t xml:space="preserve">AZ</x:t>
        </x:is>
      </x:c>
      <x:c r="C387" s="12" t="inlineStr">
        <x:is>
          <x:t xml:space="preserve">Master's</x:t>
        </x:is>
      </x:c>
      <x:c r="D387" s="13" t="n">
        <x:v>0</x:v>
      </x:c>
      <x:c r="E387" s="14" t="n">
        <x:v>50910</x:v>
      </x:c>
      <x:c r="F387" s="83" t="inlineStr">
        <x:is>
          <x:t xml:space="preserve">2026-06-11</x:t>
        </x:is>
      </x:c>
      <x:c r="G387" s="7" t="n"/>
      <x:c r="H387" s="7" t="n"/>
      <x:c r="I387" s="7" t="n"/>
      <x:c r="J387" s="7" t="n"/>
      <x:c r="K387" s="7" t="n"/>
      <x:c r="L387" s="7" t="n"/>
      <x:c r="M387" s="7" t="n"/>
      <x:c r="N387" s="7" t="n"/>
      <x:c r="O387" s="7" t="n"/>
      <x:c r="P387" s="7" t="n"/>
      <x:c r="Q387" s="7" t="n"/>
      <x:c r="R387" s="7" t="n"/>
      <x:c r="S387" s="7" t="n"/>
      <x:c r="T387" s="7" t="n"/>
      <x:c r="U387" s="7" t="n"/>
      <x:c r="V387" s="7" t="n"/>
      <x:c r="W387" s="7" t="n"/>
      <x:c r="X387" s="7" t="n"/>
      <x:c r="Y387" s="7" t="n"/>
      <x:c r="Z387" s="7" t="n"/>
      <x:c r="AA387" s="7" t="n"/>
      <x:c r="AB387" s="7" t="n"/>
    </x:row>
    <x:row r="388" ht="20" customHeight="1">
      <x:c r="A388" s="12" t="inlineStr">
        <x:is>
          <x:t xml:space="preserve">Flagstaff Unified School District</x:t>
        </x:is>
      </x:c>
      <x:c r="B388" s="12" t="inlineStr">
        <x:is>
          <x:t xml:space="preserve">AZ</x:t>
        </x:is>
      </x:c>
      <x:c r="C388" s="12" t="inlineStr">
        <x:is>
          <x:t xml:space="preserve">Master's</x:t>
        </x:is>
      </x:c>
      <x:c r="D388" s="13" t="n">
        <x:v>1</x:v>
      </x:c>
      <x:c r="E388" s="14" t="n">
        <x:v>51548</x:v>
      </x:c>
      <x:c r="F388" s="83" t="inlineStr">
        <x:is>
          <x:t xml:space="preserve">2026-06-11</x:t>
        </x:is>
      </x:c>
      <x:c r="G388" s="7" t="n"/>
      <x:c r="H388" s="7" t="n"/>
      <x:c r="I388" s="7" t="n"/>
      <x:c r="J388" s="7" t="n"/>
      <x:c r="K388" s="7" t="n"/>
      <x:c r="L388" s="7" t="n"/>
      <x:c r="M388" s="7" t="n"/>
      <x:c r="N388" s="7" t="n"/>
      <x:c r="O388" s="7" t="n"/>
      <x:c r="P388" s="7" t="n"/>
      <x:c r="Q388" s="7" t="n"/>
      <x:c r="R388" s="7" t="n"/>
      <x:c r="S388" s="7" t="n"/>
      <x:c r="T388" s="7" t="n"/>
      <x:c r="U388" s="7" t="n"/>
      <x:c r="V388" s="7" t="n"/>
      <x:c r="W388" s="7" t="n"/>
      <x:c r="X388" s="7" t="n"/>
      <x:c r="Y388" s="7" t="n"/>
      <x:c r="Z388" s="7" t="n"/>
      <x:c r="AA388" s="7" t="n"/>
      <x:c r="AB388" s="7" t="n"/>
    </x:row>
    <x:row r="389" ht="20" customHeight="1">
      <x:c r="A389" s="12" t="inlineStr">
        <x:is>
          <x:t xml:space="preserve">Flagstaff Unified School District</x:t>
        </x:is>
      </x:c>
      <x:c r="B389" s="12" t="inlineStr">
        <x:is>
          <x:t xml:space="preserve">AZ</x:t>
        </x:is>
      </x:c>
      <x:c r="C389" s="12" t="inlineStr">
        <x:is>
          <x:t xml:space="preserve">Master's</x:t>
        </x:is>
      </x:c>
      <x:c r="D389" s="13" t="n">
        <x:v>2</x:v>
      </x:c>
      <x:c r="E389" s="14" t="n">
        <x:v>52185</x:v>
      </x:c>
      <x:c r="F389" s="83" t="inlineStr">
        <x:is>
          <x:t xml:space="preserve">2026-06-11</x:t>
        </x:is>
      </x:c>
      <x:c r="G389" s="7" t="n"/>
      <x:c r="H389" s="7" t="n"/>
      <x:c r="I389" s="7" t="n"/>
      <x:c r="J389" s="7" t="n"/>
      <x:c r="K389" s="7" t="n"/>
      <x:c r="L389" s="7" t="n"/>
      <x:c r="M389" s="7" t="n"/>
      <x:c r="N389" s="7" t="n"/>
      <x:c r="O389" s="7" t="n"/>
      <x:c r="P389" s="7" t="n"/>
      <x:c r="Q389" s="7" t="n"/>
      <x:c r="R389" s="7" t="n"/>
      <x:c r="S389" s="7" t="n"/>
      <x:c r="T389" s="7" t="n"/>
      <x:c r="U389" s="7" t="n"/>
      <x:c r="V389" s="7" t="n"/>
      <x:c r="W389" s="7" t="n"/>
      <x:c r="X389" s="7" t="n"/>
      <x:c r="Y389" s="7" t="n"/>
      <x:c r="Z389" s="7" t="n"/>
      <x:c r="AA389" s="7" t="n"/>
      <x:c r="AB389" s="7" t="n"/>
    </x:row>
    <x:row r="390" ht="20" customHeight="1">
      <x:c r="A390" s="12" t="inlineStr">
        <x:is>
          <x:t xml:space="preserve">Flagstaff Unified School District</x:t>
        </x:is>
      </x:c>
      <x:c r="B390" s="12" t="inlineStr">
        <x:is>
          <x:t xml:space="preserve">AZ</x:t>
        </x:is>
      </x:c>
      <x:c r="C390" s="12" t="inlineStr">
        <x:is>
          <x:t xml:space="preserve">Master's</x:t>
        </x:is>
      </x:c>
      <x:c r="D390" s="13" t="n">
        <x:v>3</x:v>
      </x:c>
      <x:c r="E390" s="14" t="n">
        <x:v>52823</x:v>
      </x:c>
      <x:c r="F390" s="83" t="inlineStr">
        <x:is>
          <x:t xml:space="preserve">2026-06-11</x:t>
        </x:is>
      </x:c>
      <x:c r="G390" s="7" t="n"/>
      <x:c r="H390" s="7" t="n"/>
      <x:c r="I390" s="7" t="n"/>
      <x:c r="J390" s="7" t="n"/>
      <x:c r="K390" s="7" t="n"/>
      <x:c r="L390" s="7" t="n"/>
      <x:c r="M390" s="7" t="n"/>
      <x:c r="N390" s="7" t="n"/>
      <x:c r="O390" s="7" t="n"/>
      <x:c r="P390" s="7" t="n"/>
      <x:c r="Q390" s="7" t="n"/>
      <x:c r="R390" s="7" t="n"/>
      <x:c r="S390" s="7" t="n"/>
      <x:c r="T390" s="7" t="n"/>
      <x:c r="U390" s="7" t="n"/>
      <x:c r="V390" s="7" t="n"/>
      <x:c r="W390" s="7" t="n"/>
      <x:c r="X390" s="7" t="n"/>
      <x:c r="Y390" s="7" t="n"/>
      <x:c r="Z390" s="7" t="n"/>
      <x:c r="AA390" s="7" t="n"/>
      <x:c r="AB390" s="7" t="n"/>
    </x:row>
    <x:row r="391" ht="20" customHeight="1">
      <x:c r="A391" s="12" t="inlineStr">
        <x:is>
          <x:t xml:space="preserve">Flagstaff Unified School District</x:t>
        </x:is>
      </x:c>
      <x:c r="B391" s="12" t="inlineStr">
        <x:is>
          <x:t xml:space="preserve">AZ</x:t>
        </x:is>
      </x:c>
      <x:c r="C391" s="12" t="inlineStr">
        <x:is>
          <x:t xml:space="preserve">Master's</x:t>
        </x:is>
      </x:c>
      <x:c r="D391" s="13" t="n">
        <x:v>4</x:v>
      </x:c>
      <x:c r="E391" s="14" t="n">
        <x:v>53460</x:v>
      </x:c>
      <x:c r="F391" s="83" t="inlineStr">
        <x:is>
          <x:t xml:space="preserve">2026-06-11</x:t>
        </x:is>
      </x:c>
      <x:c r="G391" s="7" t="n"/>
      <x:c r="H391" s="7" t="n"/>
      <x:c r="I391" s="7" t="n"/>
      <x:c r="J391" s="7" t="n"/>
      <x:c r="K391" s="7" t="n"/>
      <x:c r="L391" s="7" t="n"/>
      <x:c r="M391" s="7" t="n"/>
      <x:c r="N391" s="7" t="n"/>
      <x:c r="O391" s="7" t="n"/>
      <x:c r="P391" s="7" t="n"/>
      <x:c r="Q391" s="7" t="n"/>
      <x:c r="R391" s="7" t="n"/>
      <x:c r="S391" s="7" t="n"/>
      <x:c r="T391" s="7" t="n"/>
      <x:c r="U391" s="7" t="n"/>
      <x:c r="V391" s="7" t="n"/>
      <x:c r="W391" s="7" t="n"/>
      <x:c r="X391" s="7" t="n"/>
      <x:c r="Y391" s="7" t="n"/>
      <x:c r="Z391" s="7" t="n"/>
      <x:c r="AA391" s="7" t="n"/>
      <x:c r="AB391" s="7" t="n"/>
    </x:row>
    <x:row r="392" ht="20" customHeight="1">
      <x:c r="A392" s="12" t="inlineStr">
        <x:is>
          <x:t xml:space="preserve">Flagstaff Unified School District</x:t>
        </x:is>
      </x:c>
      <x:c r="B392" s="12" t="inlineStr">
        <x:is>
          <x:t xml:space="preserve">AZ</x:t>
        </x:is>
      </x:c>
      <x:c r="C392" s="12" t="inlineStr">
        <x:is>
          <x:t xml:space="preserve">Master's</x:t>
        </x:is>
      </x:c>
      <x:c r="D392" s="13" t="n">
        <x:v>5</x:v>
      </x:c>
      <x:c r="E392" s="14" t="n">
        <x:v>54098</x:v>
      </x:c>
      <x:c r="F392" s="83" t="inlineStr">
        <x:is>
          <x:t xml:space="preserve">2026-06-11</x:t>
        </x:is>
      </x:c>
      <x:c r="G392" s="7" t="n"/>
      <x:c r="H392" s="7" t="n"/>
      <x:c r="I392" s="7" t="n"/>
      <x:c r="J392" s="7" t="n"/>
      <x:c r="K392" s="7" t="n"/>
      <x:c r="L392" s="7" t="n"/>
      <x:c r="M392" s="7" t="n"/>
      <x:c r="N392" s="7" t="n"/>
      <x:c r="O392" s="7" t="n"/>
      <x:c r="P392" s="7" t="n"/>
      <x:c r="Q392" s="7" t="n"/>
      <x:c r="R392" s="7" t="n"/>
      <x:c r="S392" s="7" t="n"/>
      <x:c r="T392" s="7" t="n"/>
      <x:c r="U392" s="7" t="n"/>
      <x:c r="V392" s="7" t="n"/>
      <x:c r="W392" s="7" t="n"/>
      <x:c r="X392" s="7" t="n"/>
      <x:c r="Y392" s="7" t="n"/>
      <x:c r="Z392" s="7" t="n"/>
      <x:c r="AA392" s="7" t="n"/>
      <x:c r="AB392" s="7" t="n"/>
    </x:row>
    <x:row r="393" ht="20" customHeight="1">
      <x:c r="A393" s="12" t="inlineStr">
        <x:is>
          <x:t xml:space="preserve">Flagstaff Unified School District</x:t>
        </x:is>
      </x:c>
      <x:c r="B393" s="12" t="inlineStr">
        <x:is>
          <x:t xml:space="preserve">AZ</x:t>
        </x:is>
      </x:c>
      <x:c r="C393" s="12" t="inlineStr">
        <x:is>
          <x:t xml:space="preserve">Master's</x:t>
        </x:is>
      </x:c>
      <x:c r="D393" s="13" t="n">
        <x:v>6</x:v>
      </x:c>
      <x:c r="E393" s="14" t="n">
        <x:v>54735</x:v>
      </x:c>
      <x:c r="F393" s="83" t="inlineStr">
        <x:is>
          <x:t xml:space="preserve">2026-06-11</x:t>
        </x:is>
      </x:c>
      <x:c r="G393" s="7" t="n"/>
      <x:c r="H393" s="7" t="n"/>
      <x:c r="I393" s="7" t="n"/>
      <x:c r="J393" s="7" t="n"/>
      <x:c r="K393" s="7" t="n"/>
      <x:c r="L393" s="7" t="n"/>
      <x:c r="M393" s="7" t="n"/>
      <x:c r="N393" s="7" t="n"/>
      <x:c r="O393" s="7" t="n"/>
      <x:c r="P393" s="7" t="n"/>
      <x:c r="Q393" s="7" t="n"/>
      <x:c r="R393" s="7" t="n"/>
      <x:c r="S393" s="7" t="n"/>
      <x:c r="T393" s="7" t="n"/>
      <x:c r="U393" s="7" t="n"/>
      <x:c r="V393" s="7" t="n"/>
      <x:c r="W393" s="7" t="n"/>
      <x:c r="X393" s="7" t="n"/>
      <x:c r="Y393" s="7" t="n"/>
      <x:c r="Z393" s="7" t="n"/>
      <x:c r="AA393" s="7" t="n"/>
      <x:c r="AB393" s="7" t="n"/>
    </x:row>
    <x:row r="394" ht="20" customHeight="1">
      <x:c r="A394" s="12" t="inlineStr">
        <x:is>
          <x:t xml:space="preserve">Flagstaff Unified School District</x:t>
        </x:is>
      </x:c>
      <x:c r="B394" s="12" t="inlineStr">
        <x:is>
          <x:t xml:space="preserve">AZ</x:t>
        </x:is>
      </x:c>
      <x:c r="C394" s="12" t="inlineStr">
        <x:is>
          <x:t xml:space="preserve">Master's</x:t>
        </x:is>
      </x:c>
      <x:c r="D394" s="13" t="n">
        <x:v>7</x:v>
      </x:c>
      <x:c r="E394" s="14" t="n">
        <x:v>55373</x:v>
      </x:c>
      <x:c r="F394" s="83" t="inlineStr">
        <x:is>
          <x:t xml:space="preserve">2026-06-11</x:t>
        </x:is>
      </x:c>
      <x:c r="G394" s="7" t="n"/>
      <x:c r="H394" s="7" t="n"/>
      <x:c r="I394" s="7" t="n"/>
      <x:c r="J394" s="7" t="n"/>
      <x:c r="K394" s="7" t="n"/>
      <x:c r="L394" s="7" t="n"/>
      <x:c r="M394" s="7" t="n"/>
      <x:c r="N394" s="7" t="n"/>
      <x:c r="O394" s="7" t="n"/>
      <x:c r="P394" s="7" t="n"/>
      <x:c r="Q394" s="7" t="n"/>
      <x:c r="R394" s="7" t="n"/>
      <x:c r="S394" s="7" t="n"/>
      <x:c r="T394" s="7" t="n"/>
      <x:c r="U394" s="7" t="n"/>
      <x:c r="V394" s="7" t="n"/>
      <x:c r="W394" s="7" t="n"/>
      <x:c r="X394" s="7" t="n"/>
      <x:c r="Y394" s="7" t="n"/>
      <x:c r="Z394" s="7" t="n"/>
      <x:c r="AA394" s="7" t="n"/>
      <x:c r="AB394" s="7" t="n"/>
    </x:row>
    <x:row r="395" ht="20" customHeight="1">
      <x:c r="A395" s="12" t="inlineStr">
        <x:is>
          <x:t xml:space="preserve">Flagstaff Unified School District</x:t>
        </x:is>
      </x:c>
      <x:c r="B395" s="12" t="inlineStr">
        <x:is>
          <x:t xml:space="preserve">AZ</x:t>
        </x:is>
      </x:c>
      <x:c r="C395" s="12" t="inlineStr">
        <x:is>
          <x:t xml:space="preserve">Master's</x:t>
        </x:is>
      </x:c>
      <x:c r="D395" s="13" t="n">
        <x:v>8</x:v>
      </x:c>
      <x:c r="E395" s="14" t="n">
        <x:v>56010</x:v>
      </x:c>
      <x:c r="F395" s="83" t="inlineStr">
        <x:is>
          <x:t xml:space="preserve">2026-06-11</x:t>
        </x:is>
      </x:c>
      <x:c r="G395" s="7" t="n"/>
      <x:c r="H395" s="7" t="n"/>
      <x:c r="I395" s="7" t="n"/>
      <x:c r="J395" s="7" t="n"/>
      <x:c r="K395" s="7" t="n"/>
      <x:c r="L395" s="7" t="n"/>
      <x:c r="M395" s="7" t="n"/>
      <x:c r="N395" s="7" t="n"/>
      <x:c r="O395" s="7" t="n"/>
      <x:c r="P395" s="7" t="n"/>
      <x:c r="Q395" s="7" t="n"/>
      <x:c r="R395" s="7" t="n"/>
      <x:c r="S395" s="7" t="n"/>
      <x:c r="T395" s="7" t="n"/>
      <x:c r="U395" s="7" t="n"/>
      <x:c r="V395" s="7" t="n"/>
      <x:c r="W395" s="7" t="n"/>
      <x:c r="X395" s="7" t="n"/>
      <x:c r="Y395" s="7" t="n"/>
      <x:c r="Z395" s="7" t="n"/>
      <x:c r="AA395" s="7" t="n"/>
      <x:c r="AB395" s="7" t="n"/>
    </x:row>
    <x:row r="396" ht="20" customHeight="1">
      <x:c r="A396" s="12" t="inlineStr">
        <x:is>
          <x:t xml:space="preserve">Flagstaff Unified School District</x:t>
        </x:is>
      </x:c>
      <x:c r="B396" s="12" t="inlineStr">
        <x:is>
          <x:t xml:space="preserve">AZ</x:t>
        </x:is>
      </x:c>
      <x:c r="C396" s="12" t="inlineStr">
        <x:is>
          <x:t xml:space="preserve">Master's</x:t>
        </x:is>
      </x:c>
      <x:c r="D396" s="13" t="n">
        <x:v>9</x:v>
      </x:c>
      <x:c r="E396" s="14" t="n">
        <x:v>56648</x:v>
      </x:c>
      <x:c r="F396" s="83" t="inlineStr">
        <x:is>
          <x:t xml:space="preserve">2026-06-11</x:t>
        </x:is>
      </x:c>
      <x:c r="G396" s="7" t="n"/>
      <x:c r="H396" s="7" t="n"/>
      <x:c r="I396" s="7" t="n"/>
      <x:c r="J396" s="7" t="n"/>
      <x:c r="K396" s="7" t="n"/>
      <x:c r="L396" s="7" t="n"/>
      <x:c r="M396" s="7" t="n"/>
      <x:c r="N396" s="7" t="n"/>
      <x:c r="O396" s="7" t="n"/>
      <x:c r="P396" s="7" t="n"/>
      <x:c r="Q396" s="7" t="n"/>
      <x:c r="R396" s="7" t="n"/>
      <x:c r="S396" s="7" t="n"/>
      <x:c r="T396" s="7" t="n"/>
      <x:c r="U396" s="7" t="n"/>
      <x:c r="V396" s="7" t="n"/>
      <x:c r="W396" s="7" t="n"/>
      <x:c r="X396" s="7" t="n"/>
      <x:c r="Y396" s="7" t="n"/>
      <x:c r="Z396" s="7" t="n"/>
      <x:c r="AA396" s="7" t="n"/>
      <x:c r="AB396" s="7" t="n"/>
    </x:row>
    <x:row r="397" ht="20" customHeight="1">
      <x:c r="A397" s="12" t="inlineStr">
        <x:is>
          <x:t xml:space="preserve">Flagstaff Unified School District</x:t>
        </x:is>
      </x:c>
      <x:c r="B397" s="12" t="inlineStr">
        <x:is>
          <x:t xml:space="preserve">AZ</x:t>
        </x:is>
      </x:c>
      <x:c r="C397" s="12" t="inlineStr">
        <x:is>
          <x:t xml:space="preserve">Master's</x:t>
        </x:is>
      </x:c>
      <x:c r="D397" s="13" t="n">
        <x:v>10</x:v>
      </x:c>
      <x:c r="E397" s="14" t="n">
        <x:v>57285</x:v>
      </x:c>
      <x:c r="F397" s="83" t="inlineStr">
        <x:is>
          <x:t xml:space="preserve">2026-06-11</x:t>
        </x:is>
      </x:c>
      <x:c r="G397" s="7" t="n"/>
      <x:c r="H397" s="7" t="n"/>
      <x:c r="I397" s="7" t="n"/>
      <x:c r="J397" s="7" t="n"/>
      <x:c r="K397" s="7" t="n"/>
      <x:c r="L397" s="7" t="n"/>
      <x:c r="M397" s="7" t="n"/>
      <x:c r="N397" s="7" t="n"/>
      <x:c r="O397" s="7" t="n"/>
      <x:c r="P397" s="7" t="n"/>
      <x:c r="Q397" s="7" t="n"/>
      <x:c r="R397" s="7" t="n"/>
      <x:c r="S397" s="7" t="n"/>
      <x:c r="T397" s="7" t="n"/>
      <x:c r="U397" s="7" t="n"/>
      <x:c r="V397" s="7" t="n"/>
      <x:c r="W397" s="7" t="n"/>
      <x:c r="X397" s="7" t="n"/>
      <x:c r="Y397" s="7" t="n"/>
      <x:c r="Z397" s="7" t="n"/>
      <x:c r="AA397" s="7" t="n"/>
      <x:c r="AB397" s="7" t="n"/>
    </x:row>
    <x:row r="398" ht="20" customHeight="1">
      <x:c r="A398" s="79" t="inlineStr">
        <x:is>
          <x:t xml:space="preserve">Galena Park ISD</x:t>
        </x:is>
      </x:c>
      <x:c r="B398" s="79" t="inlineStr">
        <x:is>
          <x:t xml:space="preserve">TX</x:t>
        </x:is>
      </x:c>
      <x:c r="C398" s="79" t="inlineStr">
        <x:is>
          <x:t xml:space="preserve">Bachelor's</x:t>
        </x:is>
      </x:c>
      <x:c r="D398" s="79" t="n">
        <x:v>0</x:v>
      </x:c>
      <x:c r="E398" s="79" t="n">
        <x:v>66575</x:v>
      </x:c>
      <x:c r="F398" s="79" t="inlineStr">
        <x:is>
          <x:t xml:space="preserve">2026-06-16</x:t>
        </x:is>
      </x:c>
      <x:c r="G398" s="7" t="n"/>
      <x:c r="H398" s="7" t="n"/>
      <x:c r="I398" s="7" t="n"/>
      <x:c r="J398" s="7" t="n"/>
      <x:c r="K398" s="7" t="n"/>
      <x:c r="L398" s="7" t="n"/>
      <x:c r="M398" s="7" t="n"/>
      <x:c r="N398" s="7" t="n"/>
      <x:c r="O398" s="7" t="n"/>
      <x:c r="P398" s="7" t="n"/>
      <x:c r="Q398" s="7" t="n"/>
      <x:c r="R398" s="7" t="n"/>
      <x:c r="S398" s="7" t="n"/>
      <x:c r="T398" s="7" t="n"/>
      <x:c r="U398" s="7" t="n"/>
      <x:c r="V398" s="7" t="n"/>
      <x:c r="W398" s="7" t="n"/>
      <x:c r="X398" s="7" t="n"/>
      <x:c r="Y398" s="7" t="n"/>
      <x:c r="Z398" s="7" t="n"/>
      <x:c r="AA398" s="7" t="n"/>
      <x:c r="AB398" s="7" t="n"/>
    </x:row>
    <x:row r="399" ht="20" customHeight="1">
      <x:c r="A399" s="79" t="inlineStr">
        <x:is>
          <x:t xml:space="preserve">Galena Park ISD</x:t>
        </x:is>
      </x:c>
      <x:c r="B399" s="79" t="inlineStr">
        <x:is>
          <x:t xml:space="preserve">TX</x:t>
        </x:is>
      </x:c>
      <x:c r="C399" s="79" t="inlineStr">
        <x:is>
          <x:t xml:space="preserve">Bachelor's</x:t>
        </x:is>
      </x:c>
      <x:c r="D399" s="79" t="n">
        <x:v>1</x:v>
      </x:c>
      <x:c r="E399" s="79" t="n">
        <x:v>67600</x:v>
      </x:c>
      <x:c r="F399" s="79" t="inlineStr">
        <x:is>
          <x:t xml:space="preserve">2026-06-16</x:t>
        </x:is>
      </x:c>
      <x:c r="G399" s="7" t="n"/>
      <x:c r="H399" s="7" t="n"/>
      <x:c r="I399" s="7" t="n"/>
      <x:c r="J399" s="7" t="n"/>
      <x:c r="K399" s="7" t="n"/>
      <x:c r="L399" s="7" t="n"/>
      <x:c r="M399" s="7" t="n"/>
      <x:c r="N399" s="7" t="n"/>
      <x:c r="O399" s="7" t="n"/>
      <x:c r="P399" s="7" t="n"/>
      <x:c r="Q399" s="7" t="n"/>
      <x:c r="R399" s="7" t="n"/>
      <x:c r="S399" s="7" t="n"/>
      <x:c r="T399" s="7" t="n"/>
      <x:c r="U399" s="7" t="n"/>
      <x:c r="V399" s="7" t="n"/>
      <x:c r="W399" s="7" t="n"/>
      <x:c r="X399" s="7" t="n"/>
      <x:c r="Y399" s="7" t="n"/>
      <x:c r="Z399" s="7" t="n"/>
      <x:c r="AA399" s="7" t="n"/>
      <x:c r="AB399" s="7" t="n"/>
    </x:row>
    <x:row r="400" ht="20" customHeight="1">
      <x:c r="A400" s="79" t="inlineStr">
        <x:is>
          <x:t xml:space="preserve">Galena Park ISD</x:t>
        </x:is>
      </x:c>
      <x:c r="B400" s="79" t="inlineStr">
        <x:is>
          <x:t xml:space="preserve">TX</x:t>
        </x:is>
      </x:c>
      <x:c r="C400" s="79" t="inlineStr">
        <x:is>
          <x:t xml:space="preserve">Bachelor's</x:t>
        </x:is>
      </x:c>
      <x:c r="D400" s="79" t="n">
        <x:v>2</x:v>
      </x:c>
      <x:c r="E400" s="79" t="n">
        <x:v>68625</x:v>
      </x:c>
      <x:c r="F400" s="79" t="inlineStr">
        <x:is>
          <x:t xml:space="preserve">2026-06-16</x:t>
        </x:is>
      </x:c>
      <x:c r="G400" s="7" t="n"/>
      <x:c r="H400" s="7" t="n"/>
      <x:c r="I400" s="7" t="n"/>
      <x:c r="J400" s="7" t="n"/>
      <x:c r="K400" s="7" t="n"/>
      <x:c r="L400" s="7" t="n"/>
      <x:c r="M400" s="7" t="n"/>
      <x:c r="N400" s="7" t="n"/>
      <x:c r="O400" s="7" t="n"/>
      <x:c r="P400" s="7" t="n"/>
      <x:c r="Q400" s="7" t="n"/>
      <x:c r="R400" s="7" t="n"/>
      <x:c r="S400" s="7" t="n"/>
      <x:c r="T400" s="7" t="n"/>
      <x:c r="U400" s="7" t="n"/>
      <x:c r="V400" s="7" t="n"/>
      <x:c r="W400" s="7" t="n"/>
      <x:c r="X400" s="7" t="n"/>
      <x:c r="Y400" s="7" t="n"/>
      <x:c r="Z400" s="7" t="n"/>
      <x:c r="AA400" s="7" t="n"/>
      <x:c r="AB400" s="7" t="n"/>
    </x:row>
    <x:row r="401" ht="20" customHeight="1">
      <x:c r="A401" s="79" t="inlineStr">
        <x:is>
          <x:t xml:space="preserve">Galena Park ISD</x:t>
        </x:is>
      </x:c>
      <x:c r="B401" s="79" t="inlineStr">
        <x:is>
          <x:t xml:space="preserve">TX</x:t>
        </x:is>
      </x:c>
      <x:c r="C401" s="79" t="inlineStr">
        <x:is>
          <x:t xml:space="preserve">Bachelor's</x:t>
        </x:is>
      </x:c>
      <x:c r="D401" s="79" t="n">
        <x:v>3</x:v>
      </x:c>
      <x:c r="E401" s="79" t="n">
        <x:v>69650</x:v>
      </x:c>
      <x:c r="F401" s="79" t="inlineStr">
        <x:is>
          <x:t xml:space="preserve">2026-06-16</x:t>
        </x:is>
      </x:c>
      <x:c r="G401" s="7" t="n"/>
      <x:c r="H401" s="7" t="n"/>
      <x:c r="I401" s="7" t="n"/>
      <x:c r="J401" s="7" t="n"/>
      <x:c r="K401" s="7" t="n"/>
      <x:c r="L401" s="7" t="n"/>
      <x:c r="M401" s="7" t="n"/>
      <x:c r="N401" s="7" t="n"/>
      <x:c r="O401" s="7" t="n"/>
      <x:c r="P401" s="7" t="n"/>
      <x:c r="Q401" s="7" t="n"/>
      <x:c r="R401" s="7" t="n"/>
      <x:c r="S401" s="7" t="n"/>
      <x:c r="T401" s="7" t="n"/>
      <x:c r="U401" s="7" t="n"/>
      <x:c r="V401" s="7" t="n"/>
      <x:c r="W401" s="7" t="n"/>
      <x:c r="X401" s="7" t="n"/>
      <x:c r="Y401" s="7" t="n"/>
      <x:c r="Z401" s="7" t="n"/>
      <x:c r="AA401" s="7" t="n"/>
      <x:c r="AB401" s="7" t="n"/>
    </x:row>
    <x:row r="402" ht="20" customHeight="1">
      <x:c r="A402" s="79" t="inlineStr">
        <x:is>
          <x:t xml:space="preserve">Galena Park ISD</x:t>
        </x:is>
      </x:c>
      <x:c r="B402" s="79" t="inlineStr">
        <x:is>
          <x:t xml:space="preserve">TX</x:t>
        </x:is>
      </x:c>
      <x:c r="C402" s="79" t="inlineStr">
        <x:is>
          <x:t xml:space="preserve">Bachelor's</x:t>
        </x:is>
      </x:c>
      <x:c r="D402" s="79" t="n">
        <x:v>4</x:v>
      </x:c>
      <x:c r="E402" s="79" t="n">
        <x:v>70675</x:v>
      </x:c>
      <x:c r="F402" s="79" t="inlineStr">
        <x:is>
          <x:t xml:space="preserve">2026-06-16</x:t>
        </x:is>
      </x:c>
      <x:c r="G402" s="7" t="n"/>
      <x:c r="H402" s="7" t="n"/>
      <x:c r="I402" s="7" t="n"/>
      <x:c r="J402" s="7" t="n"/>
      <x:c r="K402" s="7" t="n"/>
      <x:c r="L402" s="7" t="n"/>
      <x:c r="M402" s="7" t="n"/>
      <x:c r="N402" s="7" t="n"/>
      <x:c r="O402" s="7" t="n"/>
      <x:c r="P402" s="7" t="n"/>
      <x:c r="Q402" s="7" t="n"/>
      <x:c r="R402" s="7" t="n"/>
      <x:c r="S402" s="7" t="n"/>
      <x:c r="T402" s="7" t="n"/>
      <x:c r="U402" s="7" t="n"/>
      <x:c r="V402" s="7" t="n"/>
      <x:c r="W402" s="7" t="n"/>
      <x:c r="X402" s="7" t="n"/>
      <x:c r="Y402" s="7" t="n"/>
      <x:c r="Z402" s="7" t="n"/>
      <x:c r="AA402" s="7" t="n"/>
      <x:c r="AB402" s="7" t="n"/>
    </x:row>
    <x:row r="403" ht="20" customHeight="1">
      <x:c r="A403" s="79" t="inlineStr">
        <x:is>
          <x:t xml:space="preserve">Galena Park ISD</x:t>
        </x:is>
      </x:c>
      <x:c r="B403" s="79" t="inlineStr">
        <x:is>
          <x:t xml:space="preserve">TX</x:t>
        </x:is>
      </x:c>
      <x:c r="C403" s="79" t="inlineStr">
        <x:is>
          <x:t xml:space="preserve">Bachelor's</x:t>
        </x:is>
      </x:c>
      <x:c r="D403" s="79" t="n">
        <x:v>5</x:v>
      </x:c>
      <x:c r="E403" s="79" t="n">
        <x:v>71700</x:v>
      </x:c>
      <x:c r="F403" s="79" t="inlineStr">
        <x:is>
          <x:t xml:space="preserve">2026-06-16</x:t>
        </x:is>
      </x:c>
      <x:c r="G403" s="7" t="n"/>
      <x:c r="H403" s="7" t="n"/>
      <x:c r="I403" s="7" t="n"/>
      <x:c r="J403" s="7" t="n"/>
      <x:c r="K403" s="7" t="n"/>
      <x:c r="L403" s="7" t="n"/>
      <x:c r="M403" s="7" t="n"/>
      <x:c r="N403" s="7" t="n"/>
      <x:c r="O403" s="7" t="n"/>
      <x:c r="P403" s="7" t="n"/>
      <x:c r="Q403" s="7" t="n"/>
      <x:c r="R403" s="7" t="n"/>
      <x:c r="S403" s="7" t="n"/>
      <x:c r="T403" s="7" t="n"/>
      <x:c r="U403" s="7" t="n"/>
      <x:c r="V403" s="7" t="n"/>
      <x:c r="W403" s="7" t="n"/>
      <x:c r="X403" s="7" t="n"/>
      <x:c r="Y403" s="7" t="n"/>
      <x:c r="Z403" s="7" t="n"/>
      <x:c r="AA403" s="7" t="n"/>
      <x:c r="AB403" s="7" t="n"/>
    </x:row>
    <x:row r="404" ht="20" customHeight="1">
      <x:c r="A404" s="79" t="inlineStr">
        <x:is>
          <x:t xml:space="preserve">Galena Park ISD</x:t>
        </x:is>
      </x:c>
      <x:c r="B404" s="79" t="inlineStr">
        <x:is>
          <x:t xml:space="preserve">TX</x:t>
        </x:is>
      </x:c>
      <x:c r="C404" s="79" t="inlineStr">
        <x:is>
          <x:t xml:space="preserve">Bachelor's</x:t>
        </x:is>
      </x:c>
      <x:c r="D404" s="79" t="n">
        <x:v>6</x:v>
      </x:c>
      <x:c r="E404" s="79" t="n">
        <x:v>72000</x:v>
      </x:c>
      <x:c r="F404" s="79" t="inlineStr">
        <x:is>
          <x:t xml:space="preserve">2026-06-16</x:t>
        </x:is>
      </x:c>
      <x:c r="G404" s="7" t="n"/>
      <x:c r="H404" s="7" t="n"/>
      <x:c r="I404" s="7" t="n"/>
      <x:c r="J404" s="7" t="n"/>
      <x:c r="K404" s="7" t="n"/>
      <x:c r="L404" s="7" t="n"/>
      <x:c r="M404" s="7" t="n"/>
      <x:c r="N404" s="7" t="n"/>
      <x:c r="O404" s="7" t="n"/>
      <x:c r="P404" s="7" t="n"/>
      <x:c r="Q404" s="7" t="n"/>
      <x:c r="R404" s="7" t="n"/>
      <x:c r="S404" s="7" t="n"/>
      <x:c r="T404" s="7" t="n"/>
      <x:c r="U404" s="7" t="n"/>
      <x:c r="V404" s="7" t="n"/>
      <x:c r="W404" s="7" t="n"/>
      <x:c r="X404" s="7" t="n"/>
      <x:c r="Y404" s="7" t="n"/>
      <x:c r="Z404" s="7" t="n"/>
      <x:c r="AA404" s="7" t="n"/>
      <x:c r="AB404" s="7" t="n"/>
    </x:row>
    <x:row r="405" ht="20" customHeight="1">
      <x:c r="A405" s="79" t="inlineStr">
        <x:is>
          <x:t xml:space="preserve">Galena Park ISD</x:t>
        </x:is>
      </x:c>
      <x:c r="B405" s="79" t="inlineStr">
        <x:is>
          <x:t xml:space="preserve">TX</x:t>
        </x:is>
      </x:c>
      <x:c r="C405" s="79" t="inlineStr">
        <x:is>
          <x:t xml:space="preserve">Bachelor's</x:t>
        </x:is>
      </x:c>
      <x:c r="D405" s="79" t="n">
        <x:v>7</x:v>
      </x:c>
      <x:c r="E405" s="79" t="n">
        <x:v>72300</x:v>
      </x:c>
      <x:c r="F405" s="79" t="inlineStr">
        <x:is>
          <x:t xml:space="preserve">2026-06-16</x:t>
        </x:is>
      </x:c>
      <x:c r="G405" s="7" t="n"/>
      <x:c r="H405" s="7" t="n"/>
      <x:c r="I405" s="7" t="n"/>
      <x:c r="J405" s="7" t="n"/>
      <x:c r="K405" s="7" t="n"/>
      <x:c r="L405" s="7" t="n"/>
      <x:c r="M405" s="7" t="n"/>
      <x:c r="N405" s="7" t="n"/>
      <x:c r="O405" s="7" t="n"/>
      <x:c r="P405" s="7" t="n"/>
      <x:c r="Q405" s="7" t="n"/>
      <x:c r="R405" s="7" t="n"/>
      <x:c r="S405" s="7" t="n"/>
      <x:c r="T405" s="7" t="n"/>
      <x:c r="U405" s="7" t="n"/>
      <x:c r="V405" s="7" t="n"/>
      <x:c r="W405" s="7" t="n"/>
      <x:c r="X405" s="7" t="n"/>
      <x:c r="Y405" s="7" t="n"/>
      <x:c r="Z405" s="7" t="n"/>
      <x:c r="AA405" s="7" t="n"/>
      <x:c r="AB405" s="7" t="n"/>
    </x:row>
    <x:row r="406" ht="20" customHeight="1">
      <x:c r="A406" s="79" t="inlineStr">
        <x:is>
          <x:t xml:space="preserve">Galena Park ISD</x:t>
        </x:is>
      </x:c>
      <x:c r="B406" s="79" t="inlineStr">
        <x:is>
          <x:t xml:space="preserve">TX</x:t>
        </x:is>
      </x:c>
      <x:c r="C406" s="79" t="inlineStr">
        <x:is>
          <x:t xml:space="preserve">Bachelor's</x:t>
        </x:is>
      </x:c>
      <x:c r="D406" s="79" t="n">
        <x:v>8</x:v>
      </x:c>
      <x:c r="E406" s="79" t="n">
        <x:v>72600</x:v>
      </x:c>
      <x:c r="F406" s="79" t="inlineStr">
        <x:is>
          <x:t xml:space="preserve">2026-06-16</x:t>
        </x:is>
      </x:c>
      <x:c r="G406" s="7" t="n"/>
      <x:c r="H406" s="7" t="n"/>
      <x:c r="I406" s="7" t="n"/>
      <x:c r="J406" s="7" t="n"/>
      <x:c r="K406" s="7" t="n"/>
      <x:c r="L406" s="7" t="n"/>
      <x:c r="M406" s="7" t="n"/>
      <x:c r="N406" s="7" t="n"/>
      <x:c r="O406" s="7" t="n"/>
      <x:c r="P406" s="7" t="n"/>
      <x:c r="Q406" s="7" t="n"/>
      <x:c r="R406" s="7" t="n"/>
      <x:c r="S406" s="7" t="n"/>
      <x:c r="T406" s="7" t="n"/>
      <x:c r="U406" s="7" t="n"/>
      <x:c r="V406" s="7" t="n"/>
      <x:c r="W406" s="7" t="n"/>
      <x:c r="X406" s="7" t="n"/>
      <x:c r="Y406" s="7" t="n"/>
      <x:c r="Z406" s="7" t="n"/>
      <x:c r="AA406" s="7" t="n"/>
      <x:c r="AB406" s="7" t="n"/>
    </x:row>
    <x:row r="407" ht="20" customHeight="1">
      <x:c r="A407" s="79" t="inlineStr">
        <x:is>
          <x:t xml:space="preserve">Galena Park ISD</x:t>
        </x:is>
      </x:c>
      <x:c r="B407" s="79" t="inlineStr">
        <x:is>
          <x:t xml:space="preserve">TX</x:t>
        </x:is>
      </x:c>
      <x:c r="C407" s="79" t="inlineStr">
        <x:is>
          <x:t xml:space="preserve">Bachelor's</x:t>
        </x:is>
      </x:c>
      <x:c r="D407" s="79" t="n">
        <x:v>9</x:v>
      </x:c>
      <x:c r="E407" s="79" t="n">
        <x:v>72900</x:v>
      </x:c>
      <x:c r="F407" s="79" t="inlineStr">
        <x:is>
          <x:t xml:space="preserve">2026-06-16</x:t>
        </x:is>
      </x:c>
      <x:c r="G407" s="7" t="n"/>
      <x:c r="H407" s="7" t="n"/>
      <x:c r="I407" s="7" t="n"/>
      <x:c r="J407" s="7" t="n"/>
      <x:c r="K407" s="7" t="n"/>
      <x:c r="L407" s="7" t="n"/>
      <x:c r="M407" s="7" t="n"/>
      <x:c r="N407" s="7" t="n"/>
      <x:c r="O407" s="7" t="n"/>
      <x:c r="P407" s="7" t="n"/>
      <x:c r="Q407" s="7" t="n"/>
      <x:c r="R407" s="7" t="n"/>
      <x:c r="S407" s="7" t="n"/>
      <x:c r="T407" s="7" t="n"/>
      <x:c r="U407" s="7" t="n"/>
      <x:c r="V407" s="7" t="n"/>
      <x:c r="W407" s="7" t="n"/>
      <x:c r="X407" s="7" t="n"/>
      <x:c r="Y407" s="7" t="n"/>
      <x:c r="Z407" s="7" t="n"/>
      <x:c r="AA407" s="7" t="n"/>
      <x:c r="AB407" s="7" t="n"/>
    </x:row>
    <x:row r="408" ht="20" customHeight="1">
      <x:c r="A408" s="79" t="inlineStr">
        <x:is>
          <x:t xml:space="preserve">Galena Park ISD</x:t>
        </x:is>
      </x:c>
      <x:c r="B408" s="79" t="inlineStr">
        <x:is>
          <x:t xml:space="preserve">TX</x:t>
        </x:is>
      </x:c>
      <x:c r="C408" s="79" t="inlineStr">
        <x:is>
          <x:t xml:space="preserve">Bachelor's</x:t>
        </x:is>
      </x:c>
      <x:c r="D408" s="79" t="n">
        <x:v>10</x:v>
      </x:c>
      <x:c r="E408" s="79" t="n">
        <x:v>73200</x:v>
      </x:c>
      <x:c r="F408" s="79" t="inlineStr">
        <x:is>
          <x:t xml:space="preserve">2026-06-16</x:t>
        </x:is>
      </x:c>
      <x:c r="G408" s="7" t="n"/>
      <x:c r="H408" s="7" t="n"/>
      <x:c r="I408" s="7" t="n"/>
      <x:c r="J408" s="7" t="n"/>
      <x:c r="K408" s="7" t="n"/>
      <x:c r="L408" s="7" t="n"/>
      <x:c r="M408" s="7" t="n"/>
      <x:c r="N408" s="7" t="n"/>
      <x:c r="O408" s="7" t="n"/>
      <x:c r="P408" s="7" t="n"/>
      <x:c r="Q408" s="7" t="n"/>
      <x:c r="R408" s="7" t="n"/>
      <x:c r="S408" s="7" t="n"/>
      <x:c r="T408" s="7" t="n"/>
      <x:c r="U408" s="7" t="n"/>
      <x:c r="V408" s="7" t="n"/>
      <x:c r="W408" s="7" t="n"/>
      <x:c r="X408" s="7" t="n"/>
      <x:c r="Y408" s="7" t="n"/>
      <x:c r="Z408" s="7" t="n"/>
      <x:c r="AA408" s="7" t="n"/>
      <x:c r="AB408" s="7" t="n"/>
    </x:row>
    <x:row r="409" ht="20" customHeight="1">
      <x:c r="A409" s="79" t="inlineStr">
        <x:is>
          <x:t xml:space="preserve">Galena Park ISD</x:t>
        </x:is>
      </x:c>
      <x:c r="B409" s="79" t="inlineStr">
        <x:is>
          <x:t xml:space="preserve">TX</x:t>
        </x:is>
      </x:c>
      <x:c r="C409" s="79" t="inlineStr">
        <x:is>
          <x:t xml:space="preserve">Master's</x:t>
        </x:is>
      </x:c>
      <x:c r="D409" s="79" t="n">
        <x:v>0</x:v>
      </x:c>
      <x:c r="E409" s="79" t="n">
        <x:v>68575</x:v>
      </x:c>
      <x:c r="F409" s="79" t="inlineStr">
        <x:is>
          <x:t xml:space="preserve">2026-06-16</x:t>
        </x:is>
      </x:c>
      <x:c r="G409" s="7" t="n"/>
      <x:c r="H409" s="7" t="n"/>
      <x:c r="I409" s="7" t="n"/>
      <x:c r="J409" s="7" t="n"/>
      <x:c r="K409" s="7" t="n"/>
      <x:c r="L409" s="7" t="n"/>
      <x:c r="M409" s="7" t="n"/>
      <x:c r="N409" s="7" t="n"/>
      <x:c r="O409" s="7" t="n"/>
      <x:c r="P409" s="7" t="n"/>
      <x:c r="Q409" s="7" t="n"/>
      <x:c r="R409" s="7" t="n"/>
      <x:c r="S409" s="7" t="n"/>
      <x:c r="T409" s="7" t="n"/>
      <x:c r="U409" s="7" t="n"/>
      <x:c r="V409" s="7" t="n"/>
      <x:c r="W409" s="7" t="n"/>
      <x:c r="X409" s="7" t="n"/>
      <x:c r="Y409" s="7" t="n"/>
      <x:c r="Z409" s="7" t="n"/>
      <x:c r="AA409" s="7" t="n"/>
      <x:c r="AB409" s="7" t="n"/>
    </x:row>
    <x:row r="410" ht="20" customHeight="1">
      <x:c r="A410" s="79" t="inlineStr">
        <x:is>
          <x:t xml:space="preserve">Galena Park ISD</x:t>
        </x:is>
      </x:c>
      <x:c r="B410" s="79" t="inlineStr">
        <x:is>
          <x:t xml:space="preserve">TX</x:t>
        </x:is>
      </x:c>
      <x:c r="C410" s="79" t="inlineStr">
        <x:is>
          <x:t xml:space="preserve">Master's</x:t>
        </x:is>
      </x:c>
      <x:c r="D410" s="79" t="n">
        <x:v>1</x:v>
      </x:c>
      <x:c r="E410" s="79" t="n">
        <x:v>69600</x:v>
      </x:c>
      <x:c r="F410" s="79" t="inlineStr">
        <x:is>
          <x:t xml:space="preserve">2026-06-16</x:t>
        </x:is>
      </x:c>
      <x:c r="G410" s="7" t="n"/>
      <x:c r="H410" s="7" t="n"/>
      <x:c r="I410" s="7" t="n"/>
      <x:c r="J410" s="7" t="n"/>
      <x:c r="K410" s="7" t="n"/>
      <x:c r="L410" s="7" t="n"/>
      <x:c r="M410" s="7" t="n"/>
      <x:c r="N410" s="7" t="n"/>
      <x:c r="O410" s="7" t="n"/>
      <x:c r="P410" s="7" t="n"/>
      <x:c r="Q410" s="7" t="n"/>
      <x:c r="R410" s="7" t="n"/>
      <x:c r="S410" s="7" t="n"/>
      <x:c r="T410" s="7" t="n"/>
      <x:c r="U410" s="7" t="n"/>
      <x:c r="V410" s="7" t="n"/>
      <x:c r="W410" s="7" t="n"/>
      <x:c r="X410" s="7" t="n"/>
      <x:c r="Y410" s="7" t="n"/>
      <x:c r="Z410" s="7" t="n"/>
      <x:c r="AA410" s="7" t="n"/>
      <x:c r="AB410" s="7" t="n"/>
    </x:row>
    <x:row r="411" ht="20" customHeight="1">
      <x:c r="A411" s="79" t="inlineStr">
        <x:is>
          <x:t xml:space="preserve">Galena Park ISD</x:t>
        </x:is>
      </x:c>
      <x:c r="B411" s="79" t="inlineStr">
        <x:is>
          <x:t xml:space="preserve">TX</x:t>
        </x:is>
      </x:c>
      <x:c r="C411" s="79" t="inlineStr">
        <x:is>
          <x:t xml:space="preserve">Master's</x:t>
        </x:is>
      </x:c>
      <x:c r="D411" s="79" t="n">
        <x:v>2</x:v>
      </x:c>
      <x:c r="E411" s="79" t="n">
        <x:v>70625</x:v>
      </x:c>
      <x:c r="F411" s="79" t="inlineStr">
        <x:is>
          <x:t xml:space="preserve">2026-06-16</x:t>
        </x:is>
      </x:c>
      <x:c r="G411" s="7" t="n"/>
      <x:c r="H411" s="7" t="n"/>
      <x:c r="I411" s="7" t="n"/>
      <x:c r="J411" s="7" t="n"/>
      <x:c r="K411" s="7" t="n"/>
      <x:c r="L411" s="7" t="n"/>
      <x:c r="M411" s="7" t="n"/>
      <x:c r="N411" s="7" t="n"/>
      <x:c r="O411" s="7" t="n"/>
      <x:c r="P411" s="7" t="n"/>
      <x:c r="Q411" s="7" t="n"/>
      <x:c r="R411" s="7" t="n"/>
      <x:c r="S411" s="7" t="n"/>
      <x:c r="T411" s="7" t="n"/>
      <x:c r="U411" s="7" t="n"/>
      <x:c r="V411" s="7" t="n"/>
      <x:c r="W411" s="7" t="n"/>
      <x:c r="X411" s="7" t="n"/>
      <x:c r="Y411" s="7" t="n"/>
      <x:c r="Z411" s="7" t="n"/>
      <x:c r="AA411" s="7" t="n"/>
      <x:c r="AB411" s="7" t="n"/>
    </x:row>
    <x:row r="412" ht="20" customHeight="1">
      <x:c r="A412" s="79" t="inlineStr">
        <x:is>
          <x:t xml:space="preserve">Galena Park ISD</x:t>
        </x:is>
      </x:c>
      <x:c r="B412" s="79" t="inlineStr">
        <x:is>
          <x:t xml:space="preserve">TX</x:t>
        </x:is>
      </x:c>
      <x:c r="C412" s="79" t="inlineStr">
        <x:is>
          <x:t xml:space="preserve">Master's</x:t>
        </x:is>
      </x:c>
      <x:c r="D412" s="79" t="n">
        <x:v>3</x:v>
      </x:c>
      <x:c r="E412" s="79" t="n">
        <x:v>71650</x:v>
      </x:c>
      <x:c r="F412" s="79" t="inlineStr">
        <x:is>
          <x:t xml:space="preserve">2026-06-16</x:t>
        </x:is>
      </x:c>
      <x:c r="G412" s="7" t="n"/>
      <x:c r="H412" s="7" t="n"/>
      <x:c r="I412" s="7" t="n"/>
      <x:c r="J412" s="7" t="n"/>
      <x:c r="K412" s="7" t="n"/>
      <x:c r="L412" s="7" t="n"/>
      <x:c r="M412" s="7" t="n"/>
      <x:c r="N412" s="7" t="n"/>
      <x:c r="O412" s="7" t="n"/>
      <x:c r="P412" s="7" t="n"/>
      <x:c r="Q412" s="7" t="n"/>
      <x:c r="R412" s="7" t="n"/>
      <x:c r="S412" s="7" t="n"/>
      <x:c r="T412" s="7" t="n"/>
      <x:c r="U412" s="7" t="n"/>
      <x:c r="V412" s="7" t="n"/>
      <x:c r="W412" s="7" t="n"/>
      <x:c r="X412" s="7" t="n"/>
      <x:c r="Y412" s="7" t="n"/>
      <x:c r="Z412" s="7" t="n"/>
      <x:c r="AA412" s="7" t="n"/>
      <x:c r="AB412" s="7" t="n"/>
    </x:row>
    <x:row r="413" ht="20" customHeight="1">
      <x:c r="A413" s="79" t="inlineStr">
        <x:is>
          <x:t xml:space="preserve">Galena Park ISD</x:t>
        </x:is>
      </x:c>
      <x:c r="B413" s="79" t="inlineStr">
        <x:is>
          <x:t xml:space="preserve">TX</x:t>
        </x:is>
      </x:c>
      <x:c r="C413" s="79" t="inlineStr">
        <x:is>
          <x:t xml:space="preserve">Master's</x:t>
        </x:is>
      </x:c>
      <x:c r="D413" s="79" t="n">
        <x:v>4</x:v>
      </x:c>
      <x:c r="E413" s="79" t="n">
        <x:v>72675</x:v>
      </x:c>
      <x:c r="F413" s="79" t="inlineStr">
        <x:is>
          <x:t xml:space="preserve">2026-06-16</x:t>
        </x:is>
      </x:c>
      <x:c r="G413" s="7" t="n"/>
      <x:c r="H413" s="7" t="n"/>
      <x:c r="I413" s="7" t="n"/>
      <x:c r="J413" s="7" t="n"/>
      <x:c r="K413" s="7" t="n"/>
      <x:c r="L413" s="7" t="n"/>
      <x:c r="M413" s="7" t="n"/>
      <x:c r="N413" s="7" t="n"/>
      <x:c r="O413" s="7" t="n"/>
      <x:c r="P413" s="7" t="n"/>
      <x:c r="Q413" s="7" t="n"/>
      <x:c r="R413" s="7" t="n"/>
      <x:c r="S413" s="7" t="n"/>
      <x:c r="T413" s="7" t="n"/>
      <x:c r="U413" s="7" t="n"/>
      <x:c r="V413" s="7" t="n"/>
      <x:c r="W413" s="7" t="n"/>
      <x:c r="X413" s="7" t="n"/>
      <x:c r="Y413" s="7" t="n"/>
      <x:c r="Z413" s="7" t="n"/>
      <x:c r="AA413" s="7" t="n"/>
      <x:c r="AB413" s="7" t="n"/>
    </x:row>
    <x:row r="414" ht="20" customHeight="1">
      <x:c r="A414" s="79" t="inlineStr">
        <x:is>
          <x:t xml:space="preserve">Galena Park ISD</x:t>
        </x:is>
      </x:c>
      <x:c r="B414" s="79" t="inlineStr">
        <x:is>
          <x:t xml:space="preserve">TX</x:t>
        </x:is>
      </x:c>
      <x:c r="C414" s="79" t="inlineStr">
        <x:is>
          <x:t xml:space="preserve">Master's</x:t>
        </x:is>
      </x:c>
      <x:c r="D414" s="79" t="n">
        <x:v>5</x:v>
      </x:c>
      <x:c r="E414" s="79" t="n">
        <x:v>73700</x:v>
      </x:c>
      <x:c r="F414" s="79" t="inlineStr">
        <x:is>
          <x:t xml:space="preserve">2026-06-16</x:t>
        </x:is>
      </x:c>
      <x:c r="G414" s="7" t="n"/>
      <x:c r="H414" s="7" t="n"/>
      <x:c r="I414" s="7" t="n"/>
      <x:c r="J414" s="7" t="n"/>
      <x:c r="K414" s="7" t="n"/>
      <x:c r="L414" s="7" t="n"/>
      <x:c r="M414" s="7" t="n"/>
      <x:c r="N414" s="7" t="n"/>
      <x:c r="O414" s="7" t="n"/>
      <x:c r="P414" s="7" t="n"/>
      <x:c r="Q414" s="7" t="n"/>
      <x:c r="R414" s="7" t="n"/>
      <x:c r="S414" s="7" t="n"/>
      <x:c r="T414" s="7" t="n"/>
      <x:c r="U414" s="7" t="n"/>
      <x:c r="V414" s="7" t="n"/>
      <x:c r="W414" s="7" t="n"/>
      <x:c r="X414" s="7" t="n"/>
      <x:c r="Y414" s="7" t="n"/>
      <x:c r="Z414" s="7" t="n"/>
      <x:c r="AA414" s="7" t="n"/>
      <x:c r="AB414" s="7" t="n"/>
    </x:row>
    <x:row r="415" ht="20" customHeight="1">
      <x:c r="A415" s="79" t="inlineStr">
        <x:is>
          <x:t xml:space="preserve">Galena Park ISD</x:t>
        </x:is>
      </x:c>
      <x:c r="B415" s="79" t="inlineStr">
        <x:is>
          <x:t xml:space="preserve">TX</x:t>
        </x:is>
      </x:c>
      <x:c r="C415" s="79" t="inlineStr">
        <x:is>
          <x:t xml:space="preserve">Master's</x:t>
        </x:is>
      </x:c>
      <x:c r="D415" s="79" t="n">
        <x:v>6</x:v>
      </x:c>
      <x:c r="E415" s="79" t="n">
        <x:v>74000</x:v>
      </x:c>
      <x:c r="F415" s="79" t="inlineStr">
        <x:is>
          <x:t xml:space="preserve">2026-06-16</x:t>
        </x:is>
      </x:c>
      <x:c r="G415" s="7" t="n"/>
      <x:c r="H415" s="7" t="n"/>
      <x:c r="I415" s="7" t="n"/>
      <x:c r="J415" s="7" t="n"/>
      <x:c r="K415" s="7" t="n"/>
      <x:c r="L415" s="7" t="n"/>
      <x:c r="M415" s="7" t="n"/>
      <x:c r="N415" s="7" t="n"/>
      <x:c r="O415" s="7" t="n"/>
      <x:c r="P415" s="7" t="n"/>
      <x:c r="Q415" s="7" t="n"/>
      <x:c r="R415" s="7" t="n"/>
      <x:c r="S415" s="7" t="n"/>
      <x:c r="T415" s="7" t="n"/>
      <x:c r="U415" s="7" t="n"/>
      <x:c r="V415" s="7" t="n"/>
      <x:c r="W415" s="7" t="n"/>
      <x:c r="X415" s="7" t="n"/>
      <x:c r="Y415" s="7" t="n"/>
      <x:c r="Z415" s="7" t="n"/>
      <x:c r="AA415" s="7" t="n"/>
      <x:c r="AB415" s="7" t="n"/>
    </x:row>
    <x:row r="416" ht="20" customHeight="1">
      <x:c r="A416" s="79" t="inlineStr">
        <x:is>
          <x:t xml:space="preserve">Galena Park ISD</x:t>
        </x:is>
      </x:c>
      <x:c r="B416" s="79" t="inlineStr">
        <x:is>
          <x:t xml:space="preserve">TX</x:t>
        </x:is>
      </x:c>
      <x:c r="C416" s="79" t="inlineStr">
        <x:is>
          <x:t xml:space="preserve">Master's</x:t>
        </x:is>
      </x:c>
      <x:c r="D416" s="79" t="n">
        <x:v>7</x:v>
      </x:c>
      <x:c r="E416" s="79" t="n">
        <x:v>74300</x:v>
      </x:c>
      <x:c r="F416" s="79" t="inlineStr">
        <x:is>
          <x:t xml:space="preserve">2026-06-16</x:t>
        </x:is>
      </x:c>
      <x:c r="G416" s="7" t="n"/>
      <x:c r="H416" s="7" t="n"/>
      <x:c r="I416" s="7" t="n"/>
      <x:c r="J416" s="7" t="n"/>
      <x:c r="K416" s="7" t="n"/>
      <x:c r="L416" s="7" t="n"/>
      <x:c r="M416" s="7" t="n"/>
      <x:c r="N416" s="7" t="n"/>
      <x:c r="O416" s="7" t="n"/>
      <x:c r="P416" s="7" t="n"/>
      <x:c r="Q416" s="7" t="n"/>
      <x:c r="R416" s="7" t="n"/>
      <x:c r="S416" s="7" t="n"/>
      <x:c r="T416" s="7" t="n"/>
      <x:c r="U416" s="7" t="n"/>
      <x:c r="V416" s="7" t="n"/>
      <x:c r="W416" s="7" t="n"/>
      <x:c r="X416" s="7" t="n"/>
      <x:c r="Y416" s="7" t="n"/>
      <x:c r="Z416" s="7" t="n"/>
      <x:c r="AA416" s="7" t="n"/>
      <x:c r="AB416" s="7" t="n"/>
    </x:row>
    <x:row r="417" ht="20" customHeight="1">
      <x:c r="A417" s="79" t="inlineStr">
        <x:is>
          <x:t xml:space="preserve">Galena Park ISD</x:t>
        </x:is>
      </x:c>
      <x:c r="B417" s="79" t="inlineStr">
        <x:is>
          <x:t xml:space="preserve">TX</x:t>
        </x:is>
      </x:c>
      <x:c r="C417" s="79" t="inlineStr">
        <x:is>
          <x:t xml:space="preserve">Master's</x:t>
        </x:is>
      </x:c>
      <x:c r="D417" s="79" t="n">
        <x:v>8</x:v>
      </x:c>
      <x:c r="E417" s="79" t="n">
        <x:v>74600</x:v>
      </x:c>
      <x:c r="F417" s="79" t="inlineStr">
        <x:is>
          <x:t xml:space="preserve">2026-06-16</x:t>
        </x:is>
      </x:c>
      <x:c r="G417" s="7" t="n"/>
      <x:c r="H417" s="7" t="n"/>
      <x:c r="I417" s="7" t="n"/>
      <x:c r="J417" s="7" t="n"/>
      <x:c r="K417" s="7" t="n"/>
      <x:c r="L417" s="7" t="n"/>
      <x:c r="M417" s="7" t="n"/>
      <x:c r="N417" s="7" t="n"/>
      <x:c r="O417" s="7" t="n"/>
      <x:c r="P417" s="7" t="n"/>
      <x:c r="Q417" s="7" t="n"/>
      <x:c r="R417" s="7" t="n"/>
      <x:c r="S417" s="7" t="n"/>
      <x:c r="T417" s="7" t="n"/>
      <x:c r="U417" s="7" t="n"/>
      <x:c r="V417" s="7" t="n"/>
      <x:c r="W417" s="7" t="n"/>
      <x:c r="X417" s="7" t="n"/>
      <x:c r="Y417" s="7" t="n"/>
      <x:c r="Z417" s="7" t="n"/>
      <x:c r="AA417" s="7" t="n"/>
      <x:c r="AB417" s="7" t="n"/>
    </x:row>
    <x:row r="418" ht="20" customHeight="1">
      <x:c r="A418" s="79" t="inlineStr">
        <x:is>
          <x:t xml:space="preserve">Galena Park ISD</x:t>
        </x:is>
      </x:c>
      <x:c r="B418" s="79" t="inlineStr">
        <x:is>
          <x:t xml:space="preserve">TX</x:t>
        </x:is>
      </x:c>
      <x:c r="C418" s="79" t="inlineStr">
        <x:is>
          <x:t xml:space="preserve">Master's</x:t>
        </x:is>
      </x:c>
      <x:c r="D418" s="79" t="n">
        <x:v>9</x:v>
      </x:c>
      <x:c r="E418" s="79" t="n">
        <x:v>74900</x:v>
      </x:c>
      <x:c r="F418" s="79" t="inlineStr">
        <x:is>
          <x:t xml:space="preserve">2026-06-16</x:t>
        </x:is>
      </x:c>
      <x:c r="G418" s="7" t="n"/>
      <x:c r="H418" s="7" t="n"/>
      <x:c r="I418" s="7" t="n"/>
      <x:c r="J418" s="7" t="n"/>
      <x:c r="K418" s="7" t="n"/>
      <x:c r="L418" s="7" t="n"/>
      <x:c r="M418" s="7" t="n"/>
      <x:c r="N418" s="7" t="n"/>
      <x:c r="O418" s="7" t="n"/>
      <x:c r="P418" s="7" t="n"/>
      <x:c r="Q418" s="7" t="n"/>
      <x:c r="R418" s="7" t="n"/>
      <x:c r="S418" s="7" t="n"/>
      <x:c r="T418" s="7" t="n"/>
      <x:c r="U418" s="7" t="n"/>
      <x:c r="V418" s="7" t="n"/>
      <x:c r="W418" s="7" t="n"/>
      <x:c r="X418" s="7" t="n"/>
      <x:c r="Y418" s="7" t="n"/>
      <x:c r="Z418" s="7" t="n"/>
      <x:c r="AA418" s="7" t="n"/>
      <x:c r="AB418" s="7" t="n"/>
    </x:row>
    <x:row r="419" ht="20" customHeight="1">
      <x:c r="A419" s="79" t="inlineStr">
        <x:is>
          <x:t xml:space="preserve">Galena Park ISD</x:t>
        </x:is>
      </x:c>
      <x:c r="B419" s="79" t="inlineStr">
        <x:is>
          <x:t xml:space="preserve">TX</x:t>
        </x:is>
      </x:c>
      <x:c r="C419" s="79" t="inlineStr">
        <x:is>
          <x:t xml:space="preserve">Master's</x:t>
        </x:is>
      </x:c>
      <x:c r="D419" s="79" t="n">
        <x:v>10</x:v>
      </x:c>
      <x:c r="E419" s="79" t="n">
        <x:v>75200</x:v>
      </x:c>
      <x:c r="F419" s="79" t="inlineStr">
        <x:is>
          <x:t xml:space="preserve">2026-06-16</x:t>
        </x:is>
      </x:c>
      <x:c r="G419" s="7" t="n"/>
      <x:c r="H419" s="7" t="n"/>
      <x:c r="I419" s="7" t="n"/>
      <x:c r="J419" s="7" t="n"/>
      <x:c r="K419" s="7" t="n"/>
      <x:c r="L419" s="7" t="n"/>
      <x:c r="M419" s="7" t="n"/>
      <x:c r="N419" s="7" t="n"/>
      <x:c r="O419" s="7" t="n"/>
      <x:c r="P419" s="7" t="n"/>
      <x:c r="Q419" s="7" t="n"/>
      <x:c r="R419" s="7" t="n"/>
      <x:c r="S419" s="7" t="n"/>
      <x:c r="T419" s="7" t="n"/>
      <x:c r="U419" s="7" t="n"/>
      <x:c r="V419" s="7" t="n"/>
      <x:c r="W419" s="7" t="n"/>
      <x:c r="X419" s="7" t="n"/>
      <x:c r="Y419" s="7" t="n"/>
      <x:c r="Z419" s="7" t="n"/>
      <x:c r="AA419" s="7" t="n"/>
      <x:c r="AB419" s="7" t="n"/>
    </x:row>
    <x:row r="420" ht="20" customHeight="1">
      <x:c r="A420" s="12" t="inlineStr">
        <x:is>
          <x:t xml:space="preserve">Glenbrook High School District 225</x:t>
        </x:is>
      </x:c>
      <x:c r="B420" s="12" t="inlineStr">
        <x:is>
          <x:t xml:space="preserve">IL</x:t>
        </x:is>
      </x:c>
      <x:c r="C420" s="12" t="inlineStr">
        <x:is>
          <x:t xml:space="preserve">Bachelor's</x:t>
        </x:is>
      </x:c>
      <x:c r="D420" s="13" t="n">
        <x:v>0</x:v>
      </x:c>
      <x:c r="E420" s="14" t="n">
        <x:v>69929</x:v>
      </x:c>
      <x:c r="F420" s="12" t="inlineStr">
        <x:is>
          <x:t xml:space="preserve">2026-06-15</x:t>
        </x:is>
      </x:c>
      <x:c r="G420" s="7" t="n"/>
      <x:c r="H420" s="7" t="n"/>
      <x:c r="I420" s="7" t="n"/>
      <x:c r="J420" s="7" t="n"/>
      <x:c r="K420" s="7" t="n"/>
      <x:c r="L420" s="7" t="n"/>
      <x:c r="M420" s="7" t="n"/>
      <x:c r="N420" s="7" t="n"/>
      <x:c r="O420" s="7" t="n"/>
      <x:c r="P420" s="7" t="n"/>
      <x:c r="Q420" s="7" t="n"/>
      <x:c r="R420" s="7" t="n"/>
      <x:c r="S420" s="7" t="n"/>
      <x:c r="T420" s="7" t="n"/>
      <x:c r="U420" s="7" t="n"/>
      <x:c r="V420" s="7" t="n"/>
      <x:c r="W420" s="7" t="n"/>
      <x:c r="X420" s="7" t="n"/>
      <x:c r="Y420" s="7" t="n"/>
      <x:c r="Z420" s="7" t="n"/>
      <x:c r="AA420" s="7" t="n"/>
      <x:c r="AB420" s="7" t="n"/>
    </x:row>
    <x:row r="421" ht="20" customHeight="1">
      <x:c r="A421" s="12" t="inlineStr">
        <x:is>
          <x:t xml:space="preserve">Glenbrook High School District 225</x:t>
        </x:is>
      </x:c>
      <x:c r="B421" s="12" t="inlineStr">
        <x:is>
          <x:t xml:space="preserve">IL</x:t>
        </x:is>
      </x:c>
      <x:c r="C421" s="12" t="inlineStr">
        <x:is>
          <x:t xml:space="preserve">Bachelor's</x:t>
        </x:is>
      </x:c>
      <x:c r="D421" s="13" t="n">
        <x:v>1</x:v>
      </x:c>
      <x:c r="E421" s="14" t="n">
        <x:v>71327</x:v>
      </x:c>
      <x:c r="F421" s="12" t="inlineStr">
        <x:is>
          <x:t xml:space="preserve">2026-06-15</x:t>
        </x:is>
      </x:c>
      <x:c r="G421" s="7" t="n"/>
      <x:c r="H421" s="7" t="n"/>
      <x:c r="I421" s="7" t="n"/>
      <x:c r="J421" s="7" t="n"/>
      <x:c r="K421" s="7" t="n"/>
      <x:c r="L421" s="7" t="n"/>
      <x:c r="M421" s="7" t="n"/>
      <x:c r="N421" s="7" t="n"/>
      <x:c r="O421" s="7" t="n"/>
      <x:c r="P421" s="7" t="n"/>
      <x:c r="Q421" s="7" t="n"/>
      <x:c r="R421" s="7" t="n"/>
      <x:c r="S421" s="7" t="n"/>
      <x:c r="T421" s="7" t="n"/>
      <x:c r="U421" s="7" t="n"/>
      <x:c r="V421" s="7" t="n"/>
      <x:c r="W421" s="7" t="n"/>
      <x:c r="X421" s="7" t="n"/>
      <x:c r="Y421" s="7" t="n"/>
      <x:c r="Z421" s="7" t="n"/>
      <x:c r="AA421" s="7" t="n"/>
      <x:c r="AB421" s="7" t="n"/>
    </x:row>
    <x:row r="422" ht="20" customHeight="1">
      <x:c r="A422" s="12" t="inlineStr">
        <x:is>
          <x:t xml:space="preserve">Glenbrook High School District 225</x:t>
        </x:is>
      </x:c>
      <x:c r="B422" s="12" t="inlineStr">
        <x:is>
          <x:t xml:space="preserve">IL</x:t>
        </x:is>
      </x:c>
      <x:c r="C422" s="12" t="inlineStr">
        <x:is>
          <x:t xml:space="preserve">Bachelor's</x:t>
        </x:is>
      </x:c>
      <x:c r="D422" s="13" t="n">
        <x:v>2</x:v>
      </x:c>
      <x:c r="E422" s="14" t="n">
        <x:v>72754</x:v>
      </x:c>
      <x:c r="F422" s="12" t="inlineStr">
        <x:is>
          <x:t xml:space="preserve">2026-06-15</x:t>
        </x:is>
      </x:c>
      <x:c r="G422" s="7" t="n"/>
      <x:c r="H422" s="7" t="n"/>
      <x:c r="I422" s="7" t="n"/>
      <x:c r="J422" s="7" t="n"/>
      <x:c r="K422" s="7" t="n"/>
      <x:c r="L422" s="7" t="n"/>
      <x:c r="M422" s="7" t="n"/>
      <x:c r="N422" s="7" t="n"/>
      <x:c r="O422" s="7" t="n"/>
      <x:c r="P422" s="7" t="n"/>
      <x:c r="Q422" s="7" t="n"/>
      <x:c r="R422" s="7" t="n"/>
      <x:c r="S422" s="7" t="n"/>
      <x:c r="T422" s="7" t="n"/>
      <x:c r="U422" s="7" t="n"/>
      <x:c r="V422" s="7" t="n"/>
      <x:c r="W422" s="7" t="n"/>
      <x:c r="X422" s="7" t="n"/>
      <x:c r="Y422" s="7" t="n"/>
      <x:c r="Z422" s="7" t="n"/>
      <x:c r="AA422" s="7" t="n"/>
      <x:c r="AB422" s="7" t="n"/>
    </x:row>
    <x:row r="423" ht="20" customHeight="1">
      <x:c r="A423" s="12" t="inlineStr">
        <x:is>
          <x:t xml:space="preserve">Glenbrook High School District 225</x:t>
        </x:is>
      </x:c>
      <x:c r="B423" s="12" t="inlineStr">
        <x:is>
          <x:t xml:space="preserve">IL</x:t>
        </x:is>
      </x:c>
      <x:c r="C423" s="12" t="inlineStr">
        <x:is>
          <x:t xml:space="preserve">Bachelor's</x:t>
        </x:is>
      </x:c>
      <x:c r="D423" s="13" t="n">
        <x:v>3</x:v>
      </x:c>
      <x:c r="E423" s="14" t="n">
        <x:v>74209</x:v>
      </x:c>
      <x:c r="F423" s="12" t="inlineStr">
        <x:is>
          <x:t xml:space="preserve">2026-06-15</x:t>
        </x:is>
      </x:c>
      <x:c r="G423" s="7" t="n"/>
      <x:c r="H423" s="7" t="n"/>
      <x:c r="I423" s="7" t="n"/>
      <x:c r="J423" s="7" t="n"/>
      <x:c r="K423" s="7" t="n"/>
      <x:c r="L423" s="7" t="n"/>
      <x:c r="M423" s="7" t="n"/>
      <x:c r="N423" s="7" t="n"/>
      <x:c r="O423" s="7" t="n"/>
      <x:c r="P423" s="7" t="n"/>
      <x:c r="Q423" s="7" t="n"/>
      <x:c r="R423" s="7" t="n"/>
      <x:c r="S423" s="7" t="n"/>
      <x:c r="T423" s="7" t="n"/>
      <x:c r="U423" s="7" t="n"/>
      <x:c r="V423" s="7" t="n"/>
      <x:c r="W423" s="7" t="n"/>
      <x:c r="X423" s="7" t="n"/>
      <x:c r="Y423" s="7" t="n"/>
      <x:c r="Z423" s="7" t="n"/>
      <x:c r="AA423" s="7" t="n"/>
      <x:c r="AB423" s="7" t="n"/>
    </x:row>
    <x:row r="424" ht="20" customHeight="1">
      <x:c r="A424" s="12" t="inlineStr">
        <x:is>
          <x:t xml:space="preserve">Glenbrook High School District 225</x:t>
        </x:is>
      </x:c>
      <x:c r="B424" s="12" t="inlineStr">
        <x:is>
          <x:t xml:space="preserve">IL</x:t>
        </x:is>
      </x:c>
      <x:c r="C424" s="12" t="inlineStr">
        <x:is>
          <x:t xml:space="preserve">Bachelor's</x:t>
        </x:is>
      </x:c>
      <x:c r="D424" s="13" t="n">
        <x:v>4</x:v>
      </x:c>
      <x:c r="E424" s="14" t="n">
        <x:v>75693</x:v>
      </x:c>
      <x:c r="F424" s="12" t="inlineStr">
        <x:is>
          <x:t xml:space="preserve">2026-06-15</x:t>
        </x:is>
      </x:c>
      <x:c r="G424" s="7" t="n"/>
      <x:c r="H424" s="7" t="n"/>
      <x:c r="I424" s="7" t="n"/>
      <x:c r="J424" s="7" t="n"/>
      <x:c r="K424" s="7" t="n"/>
      <x:c r="L424" s="7" t="n"/>
      <x:c r="M424" s="7" t="n"/>
      <x:c r="N424" s="7" t="n"/>
      <x:c r="O424" s="7" t="n"/>
      <x:c r="P424" s="7" t="n"/>
      <x:c r="Q424" s="7" t="n"/>
      <x:c r="R424" s="7" t="n"/>
      <x:c r="S424" s="7" t="n"/>
      <x:c r="T424" s="7" t="n"/>
      <x:c r="U424" s="7" t="n"/>
      <x:c r="V424" s="7" t="n"/>
      <x:c r="W424" s="7" t="n"/>
      <x:c r="X424" s="7" t="n"/>
      <x:c r="Y424" s="7" t="n"/>
      <x:c r="Z424" s="7" t="n"/>
      <x:c r="AA424" s="7" t="n"/>
      <x:c r="AB424" s="7" t="n"/>
    </x:row>
    <x:row r="425" ht="20" customHeight="1">
      <x:c r="A425" s="12" t="inlineStr">
        <x:is>
          <x:t xml:space="preserve">Glenbrook High School District 225</x:t>
        </x:is>
      </x:c>
      <x:c r="B425" s="12" t="inlineStr">
        <x:is>
          <x:t xml:space="preserve">IL</x:t>
        </x:is>
      </x:c>
      <x:c r="C425" s="12" t="inlineStr">
        <x:is>
          <x:t xml:space="preserve">Bachelor's</x:t>
        </x:is>
      </x:c>
      <x:c r="D425" s="13" t="n">
        <x:v>5</x:v>
      </x:c>
      <x:c r="E425" s="14" t="n">
        <x:v>77208</x:v>
      </x:c>
      <x:c r="F425" s="12" t="inlineStr">
        <x:is>
          <x:t xml:space="preserve">2026-06-15</x:t>
        </x:is>
      </x:c>
      <x:c r="G425" s="7" t="n"/>
      <x:c r="H425" s="7" t="n"/>
      <x:c r="I425" s="7" t="n"/>
      <x:c r="J425" s="7" t="n"/>
      <x:c r="K425" s="7" t="n"/>
      <x:c r="L425" s="7" t="n"/>
      <x:c r="M425" s="7" t="n"/>
      <x:c r="N425" s="7" t="n"/>
      <x:c r="O425" s="7" t="n"/>
      <x:c r="P425" s="7" t="n"/>
      <x:c r="Q425" s="7" t="n"/>
      <x:c r="R425" s="7" t="n"/>
      <x:c r="S425" s="7" t="n"/>
      <x:c r="T425" s="7" t="n"/>
      <x:c r="U425" s="7" t="n"/>
      <x:c r="V425" s="7" t="n"/>
      <x:c r="W425" s="7" t="n"/>
      <x:c r="X425" s="7" t="n"/>
      <x:c r="Y425" s="7" t="n"/>
      <x:c r="Z425" s="7" t="n"/>
      <x:c r="AA425" s="7" t="n"/>
      <x:c r="AB425" s="7" t="n"/>
    </x:row>
    <x:row r="426" ht="20" customHeight="1">
      <x:c r="A426" s="12" t="inlineStr">
        <x:is>
          <x:t xml:space="preserve">Glenbrook High School District 225</x:t>
        </x:is>
      </x:c>
      <x:c r="B426" s="12" t="inlineStr">
        <x:is>
          <x:t xml:space="preserve">IL</x:t>
        </x:is>
      </x:c>
      <x:c r="C426" s="12" t="inlineStr">
        <x:is>
          <x:t xml:space="preserve">Bachelor's</x:t>
        </x:is>
      </x:c>
      <x:c r="D426" s="13" t="n">
        <x:v>6</x:v>
      </x:c>
      <x:c r="E426" s="14" t="n">
        <x:v>78751</x:v>
      </x:c>
      <x:c r="F426" s="12" t="inlineStr">
        <x:is>
          <x:t xml:space="preserve">2026-06-15</x:t>
        </x:is>
      </x:c>
      <x:c r="G426" s="7" t="n"/>
      <x:c r="H426" s="7" t="n"/>
      <x:c r="I426" s="7" t="n"/>
      <x:c r="J426" s="7" t="n"/>
      <x:c r="K426" s="7" t="n"/>
      <x:c r="L426" s="7" t="n"/>
      <x:c r="M426" s="7" t="n"/>
      <x:c r="N426" s="7" t="n"/>
      <x:c r="O426" s="7" t="n"/>
      <x:c r="P426" s="7" t="n"/>
      <x:c r="Q426" s="7" t="n"/>
      <x:c r="R426" s="7" t="n"/>
      <x:c r="S426" s="7" t="n"/>
      <x:c r="T426" s="7" t="n"/>
      <x:c r="U426" s="7" t="n"/>
      <x:c r="V426" s="7" t="n"/>
      <x:c r="W426" s="7" t="n"/>
      <x:c r="X426" s="7" t="n"/>
      <x:c r="Y426" s="7" t="n"/>
      <x:c r="Z426" s="7" t="n"/>
      <x:c r="AA426" s="7" t="n"/>
      <x:c r="AB426" s="7" t="n"/>
    </x:row>
    <x:row r="427" ht="20" customHeight="1">
      <x:c r="A427" s="12" t="inlineStr">
        <x:is>
          <x:t xml:space="preserve">Glenbrook High School District 225</x:t>
        </x:is>
      </x:c>
      <x:c r="B427" s="12" t="inlineStr">
        <x:is>
          <x:t xml:space="preserve">IL</x:t>
        </x:is>
      </x:c>
      <x:c r="C427" s="12" t="inlineStr">
        <x:is>
          <x:t xml:space="preserve">Bachelor's</x:t>
        </x:is>
      </x:c>
      <x:c r="D427" s="13" t="n">
        <x:v>7</x:v>
      </x:c>
      <x:c r="E427" s="14" t="n">
        <x:v>80327</x:v>
      </x:c>
      <x:c r="F427" s="12" t="inlineStr">
        <x:is>
          <x:t xml:space="preserve">2026-06-15</x:t>
        </x:is>
      </x:c>
      <x:c r="G427" s="7" t="n"/>
      <x:c r="H427" s="7" t="n"/>
      <x:c r="I427" s="7" t="n"/>
      <x:c r="J427" s="7" t="n"/>
      <x:c r="K427" s="7" t="n"/>
      <x:c r="L427" s="7" t="n"/>
      <x:c r="M427" s="7" t="n"/>
      <x:c r="N427" s="7" t="n"/>
      <x:c r="O427" s="7" t="n"/>
      <x:c r="P427" s="7" t="n"/>
      <x:c r="Q427" s="7" t="n"/>
      <x:c r="R427" s="7" t="n"/>
      <x:c r="S427" s="7" t="n"/>
      <x:c r="T427" s="7" t="n"/>
      <x:c r="U427" s="7" t="n"/>
      <x:c r="V427" s="7" t="n"/>
      <x:c r="W427" s="7" t="n"/>
      <x:c r="X427" s="7" t="n"/>
      <x:c r="Y427" s="7" t="n"/>
      <x:c r="Z427" s="7" t="n"/>
      <x:c r="AA427" s="7" t="n"/>
      <x:c r="AB427" s="7" t="n"/>
    </x:row>
    <x:row r="428" ht="20" customHeight="1">
      <x:c r="A428" s="12" t="inlineStr">
        <x:is>
          <x:t xml:space="preserve">Glenbrook High School District 225</x:t>
        </x:is>
      </x:c>
      <x:c r="B428" s="12" t="inlineStr">
        <x:is>
          <x:t xml:space="preserve">IL</x:t>
        </x:is>
      </x:c>
      <x:c r="C428" s="12" t="inlineStr">
        <x:is>
          <x:t xml:space="preserve">Bachelor's</x:t>
        </x:is>
      </x:c>
      <x:c r="D428" s="13" t="n">
        <x:v>8</x:v>
      </x:c>
      <x:c r="E428" s="14" t="n">
        <x:v>81933</x:v>
      </x:c>
      <x:c r="F428" s="12" t="inlineStr">
        <x:is>
          <x:t xml:space="preserve">2026-06-15</x:t>
        </x:is>
      </x:c>
      <x:c r="G428" s="7" t="n"/>
      <x:c r="H428" s="7" t="n"/>
      <x:c r="I428" s="7" t="n"/>
      <x:c r="J428" s="7" t="n"/>
      <x:c r="K428" s="7" t="n"/>
      <x:c r="L428" s="7" t="n"/>
      <x:c r="M428" s="7" t="n"/>
      <x:c r="N428" s="7" t="n"/>
      <x:c r="O428" s="7" t="n"/>
      <x:c r="P428" s="7" t="n"/>
      <x:c r="Q428" s="7" t="n"/>
      <x:c r="R428" s="7" t="n"/>
      <x:c r="S428" s="7" t="n"/>
      <x:c r="T428" s="7" t="n"/>
      <x:c r="U428" s="7" t="n"/>
      <x:c r="V428" s="7" t="n"/>
      <x:c r="W428" s="7" t="n"/>
      <x:c r="X428" s="7" t="n"/>
      <x:c r="Y428" s="7" t="n"/>
      <x:c r="Z428" s="7" t="n"/>
      <x:c r="AA428" s="7" t="n"/>
      <x:c r="AB428" s="7" t="n"/>
    </x:row>
    <x:row r="429" ht="20" customHeight="1">
      <x:c r="A429" s="12" t="inlineStr">
        <x:is>
          <x:t xml:space="preserve">Glenbrook High School District 225</x:t>
        </x:is>
      </x:c>
      <x:c r="B429" s="12" t="inlineStr">
        <x:is>
          <x:t xml:space="preserve">IL</x:t>
        </x:is>
      </x:c>
      <x:c r="C429" s="12" t="inlineStr">
        <x:is>
          <x:t xml:space="preserve">Bachelor's</x:t>
        </x:is>
      </x:c>
      <x:c r="D429" s="13" t="n">
        <x:v>9</x:v>
      </x:c>
      <x:c r="E429" s="14" t="n">
        <x:v>83571</x:v>
      </x:c>
      <x:c r="F429" s="12" t="inlineStr">
        <x:is>
          <x:t xml:space="preserve">2026-06-15</x:t>
        </x:is>
      </x:c>
      <x:c r="G429" s="7" t="n"/>
      <x:c r="H429" s="7" t="n"/>
      <x:c r="I429" s="7" t="n"/>
      <x:c r="J429" s="7" t="n"/>
      <x:c r="K429" s="7" t="n"/>
      <x:c r="L429" s="7" t="n"/>
      <x:c r="M429" s="7" t="n"/>
      <x:c r="N429" s="7" t="n"/>
      <x:c r="O429" s="7" t="n"/>
      <x:c r="P429" s="7" t="n"/>
      <x:c r="Q429" s="7" t="n"/>
      <x:c r="R429" s="7" t="n"/>
      <x:c r="S429" s="7" t="n"/>
      <x:c r="T429" s="7" t="n"/>
      <x:c r="U429" s="7" t="n"/>
      <x:c r="V429" s="7" t="n"/>
      <x:c r="W429" s="7" t="n"/>
      <x:c r="X429" s="7" t="n"/>
      <x:c r="Y429" s="7" t="n"/>
      <x:c r="Z429" s="7" t="n"/>
      <x:c r="AA429" s="7" t="n"/>
      <x:c r="AB429" s="7" t="n"/>
    </x:row>
    <x:row r="430" ht="20" customHeight="1">
      <x:c r="A430" s="12" t="inlineStr">
        <x:is>
          <x:t xml:space="preserve">Glenbrook High School District 225</x:t>
        </x:is>
      </x:c>
      <x:c r="B430" s="12" t="inlineStr">
        <x:is>
          <x:t xml:space="preserve">IL</x:t>
        </x:is>
      </x:c>
      <x:c r="C430" s="12" t="inlineStr">
        <x:is>
          <x:t xml:space="preserve">Bachelor's</x:t>
        </x:is>
      </x:c>
      <x:c r="D430" s="13" t="n">
        <x:v>10</x:v>
      </x:c>
      <x:c r="E430" s="14" t="n">
        <x:v>85244</x:v>
      </x:c>
      <x:c r="F430" s="12" t="inlineStr">
        <x:is>
          <x:t xml:space="preserve">2026-06-15</x:t>
        </x:is>
      </x:c>
      <x:c r="G430" s="7" t="n"/>
      <x:c r="H430" s="7" t="n"/>
      <x:c r="I430" s="7" t="n"/>
      <x:c r="J430" s="7" t="n"/>
      <x:c r="K430" s="7" t="n"/>
      <x:c r="L430" s="7" t="n"/>
      <x:c r="M430" s="7" t="n"/>
      <x:c r="N430" s="7" t="n"/>
      <x:c r="O430" s="7" t="n"/>
      <x:c r="P430" s="7" t="n"/>
      <x:c r="Q430" s="7" t="n"/>
      <x:c r="R430" s="7" t="n"/>
      <x:c r="S430" s="7" t="n"/>
      <x:c r="T430" s="7" t="n"/>
      <x:c r="U430" s="7" t="n"/>
      <x:c r="V430" s="7" t="n"/>
      <x:c r="W430" s="7" t="n"/>
      <x:c r="X430" s="7" t="n"/>
      <x:c r="Y430" s="7" t="n"/>
      <x:c r="Z430" s="7" t="n"/>
      <x:c r="AA430" s="7" t="n"/>
      <x:c r="AB430" s="7" t="n"/>
    </x:row>
    <x:row r="431" ht="20" customHeight="1">
      <x:c r="A431" s="12" t="inlineStr">
        <x:is>
          <x:t xml:space="preserve">Glenbrook High School District 225</x:t>
        </x:is>
      </x:c>
      <x:c r="B431" s="12" t="inlineStr">
        <x:is>
          <x:t xml:space="preserve">IL</x:t>
        </x:is>
      </x:c>
      <x:c r="C431" s="12" t="inlineStr">
        <x:is>
          <x:t xml:space="preserve">Master's</x:t>
        </x:is>
      </x:c>
      <x:c r="D431" s="13" t="n">
        <x:v>0</x:v>
      </x:c>
      <x:c r="E431" s="14" t="n">
        <x:v>81169</x:v>
      </x:c>
      <x:c r="F431" s="12" t="inlineStr">
        <x:is>
          <x:t xml:space="preserve">2026-06-15</x:t>
        </x:is>
      </x:c>
      <x:c r="G431" s="7" t="n"/>
      <x:c r="H431" s="7" t="n"/>
      <x:c r="I431" s="7" t="n"/>
      <x:c r="J431" s="7" t="n"/>
      <x:c r="K431" s="7" t="n"/>
      <x:c r="L431" s="7" t="n"/>
      <x:c r="M431" s="7" t="n"/>
      <x:c r="N431" s="7" t="n"/>
      <x:c r="O431" s="7" t="n"/>
      <x:c r="P431" s="7" t="n"/>
      <x:c r="Q431" s="7" t="n"/>
      <x:c r="R431" s="7" t="n"/>
      <x:c r="S431" s="7" t="n"/>
      <x:c r="T431" s="7" t="n"/>
      <x:c r="U431" s="7" t="n"/>
      <x:c r="V431" s="7" t="n"/>
      <x:c r="W431" s="7" t="n"/>
      <x:c r="X431" s="7" t="n"/>
      <x:c r="Y431" s="7" t="n"/>
      <x:c r="Z431" s="7" t="n"/>
      <x:c r="AA431" s="7" t="n"/>
      <x:c r="AB431" s="7" t="n"/>
    </x:row>
    <x:row r="432" ht="20" customHeight="1">
      <x:c r="A432" s="12" t="inlineStr">
        <x:is>
          <x:t xml:space="preserve">Glenbrook High School District 225</x:t>
        </x:is>
      </x:c>
      <x:c r="B432" s="12" t="inlineStr">
        <x:is>
          <x:t xml:space="preserve">IL</x:t>
        </x:is>
      </x:c>
      <x:c r="C432" s="12" t="inlineStr">
        <x:is>
          <x:t xml:space="preserve">Master's</x:t>
        </x:is>
      </x:c>
      <x:c r="D432" s="13" t="n">
        <x:v>1</x:v>
      </x:c>
      <x:c r="E432" s="14" t="n">
        <x:v>82792</x:v>
      </x:c>
      <x:c r="F432" s="12" t="inlineStr">
        <x:is>
          <x:t xml:space="preserve">2026-06-15</x:t>
        </x:is>
      </x:c>
      <x:c r="G432" s="7" t="n"/>
      <x:c r="H432" s="7" t="n"/>
      <x:c r="I432" s="7" t="n"/>
      <x:c r="J432" s="7" t="n"/>
      <x:c r="K432" s="7" t="n"/>
      <x:c r="L432" s="7" t="n"/>
      <x:c r="M432" s="7" t="n"/>
      <x:c r="N432" s="7" t="n"/>
      <x:c r="O432" s="7" t="n"/>
      <x:c r="P432" s="7" t="n"/>
      <x:c r="Q432" s="7" t="n"/>
      <x:c r="R432" s="7" t="n"/>
      <x:c r="S432" s="7" t="n"/>
      <x:c r="T432" s="7" t="n"/>
      <x:c r="U432" s="7" t="n"/>
      <x:c r="V432" s="7" t="n"/>
      <x:c r="W432" s="7" t="n"/>
      <x:c r="X432" s="7" t="n"/>
      <x:c r="Y432" s="7" t="n"/>
      <x:c r="Z432" s="7" t="n"/>
      <x:c r="AA432" s="7" t="n"/>
      <x:c r="AB432" s="7" t="n"/>
    </x:row>
    <x:row r="433" ht="20" customHeight="1">
      <x:c r="A433" s="12" t="inlineStr">
        <x:is>
          <x:t xml:space="preserve">Glenbrook High School District 225</x:t>
        </x:is>
      </x:c>
      <x:c r="B433" s="12" t="inlineStr">
        <x:is>
          <x:t xml:space="preserve">IL</x:t>
        </x:is>
      </x:c>
      <x:c r="C433" s="12" t="inlineStr">
        <x:is>
          <x:t xml:space="preserve">Master's</x:t>
        </x:is>
      </x:c>
      <x:c r="D433" s="13" t="n">
        <x:v>2</x:v>
      </x:c>
      <x:c r="E433" s="14" t="n">
        <x:v>84448</x:v>
      </x:c>
      <x:c r="F433" s="12" t="inlineStr">
        <x:is>
          <x:t xml:space="preserve">2026-06-15</x:t>
        </x:is>
      </x:c>
      <x:c r="G433" s="7" t="n"/>
      <x:c r="H433" s="7" t="n"/>
      <x:c r="I433" s="7" t="n"/>
      <x:c r="J433" s="7" t="n"/>
      <x:c r="K433" s="7" t="n"/>
      <x:c r="L433" s="7" t="n"/>
      <x:c r="M433" s="7" t="n"/>
      <x:c r="N433" s="7" t="n"/>
      <x:c r="O433" s="7" t="n"/>
      <x:c r="P433" s="7" t="n"/>
      <x:c r="Q433" s="7" t="n"/>
      <x:c r="R433" s="7" t="n"/>
      <x:c r="S433" s="7" t="n"/>
      <x:c r="T433" s="7" t="n"/>
      <x:c r="U433" s="7" t="n"/>
      <x:c r="V433" s="7" t="n"/>
      <x:c r="W433" s="7" t="n"/>
      <x:c r="X433" s="7" t="n"/>
      <x:c r="Y433" s="7" t="n"/>
      <x:c r="Z433" s="7" t="n"/>
      <x:c r="AA433" s="7" t="n"/>
      <x:c r="AB433" s="7" t="n"/>
    </x:row>
    <x:row r="434" ht="20" customHeight="1">
      <x:c r="A434" s="12" t="inlineStr">
        <x:is>
          <x:t xml:space="preserve">Glenbrook High School District 225</x:t>
        </x:is>
      </x:c>
      <x:c r="B434" s="12" t="inlineStr">
        <x:is>
          <x:t xml:space="preserve">IL</x:t>
        </x:is>
      </x:c>
      <x:c r="C434" s="12" t="inlineStr">
        <x:is>
          <x:t xml:space="preserve">Master's</x:t>
        </x:is>
      </x:c>
      <x:c r="D434" s="13" t="n">
        <x:v>3</x:v>
      </x:c>
      <x:c r="E434" s="14" t="n">
        <x:v>86137</x:v>
      </x:c>
      <x:c r="F434" s="12" t="inlineStr">
        <x:is>
          <x:t xml:space="preserve">2026-06-15</x:t>
        </x:is>
      </x:c>
      <x:c r="G434" s="7" t="n"/>
      <x:c r="H434" s="7" t="n"/>
      <x:c r="I434" s="7" t="n"/>
      <x:c r="J434" s="7" t="n"/>
      <x:c r="K434" s="7" t="n"/>
      <x:c r="L434" s="7" t="n"/>
      <x:c r="M434" s="7" t="n"/>
      <x:c r="N434" s="7" t="n"/>
      <x:c r="O434" s="7" t="n"/>
      <x:c r="P434" s="7" t="n"/>
      <x:c r="Q434" s="7" t="n"/>
      <x:c r="R434" s="7" t="n"/>
      <x:c r="S434" s="7" t="n"/>
      <x:c r="T434" s="7" t="n"/>
      <x:c r="U434" s="7" t="n"/>
      <x:c r="V434" s="7" t="n"/>
      <x:c r="W434" s="7" t="n"/>
      <x:c r="X434" s="7" t="n"/>
      <x:c r="Y434" s="7" t="n"/>
      <x:c r="Z434" s="7" t="n"/>
      <x:c r="AA434" s="7" t="n"/>
      <x:c r="AB434" s="7" t="n"/>
    </x:row>
    <x:row r="435" ht="20" customHeight="1">
      <x:c r="A435" s="12" t="inlineStr">
        <x:is>
          <x:t xml:space="preserve">Glenbrook High School District 225</x:t>
        </x:is>
      </x:c>
      <x:c r="B435" s="12" t="inlineStr">
        <x:is>
          <x:t xml:space="preserve">IL</x:t>
        </x:is>
      </x:c>
      <x:c r="C435" s="12" t="inlineStr">
        <x:is>
          <x:t xml:space="preserve">Master's</x:t>
        </x:is>
      </x:c>
      <x:c r="D435" s="13" t="n">
        <x:v>4</x:v>
      </x:c>
      <x:c r="E435" s="14" t="n">
        <x:v>87859</x:v>
      </x:c>
      <x:c r="F435" s="12" t="inlineStr">
        <x:is>
          <x:t xml:space="preserve">2026-06-15</x:t>
        </x:is>
      </x:c>
      <x:c r="G435" s="7" t="n"/>
      <x:c r="H435" s="7" t="n"/>
      <x:c r="I435" s="7" t="n"/>
      <x:c r="J435" s="7" t="n"/>
      <x:c r="K435" s="7" t="n"/>
      <x:c r="L435" s="7" t="n"/>
      <x:c r="M435" s="7" t="n"/>
      <x:c r="N435" s="7" t="n"/>
      <x:c r="O435" s="7" t="n"/>
      <x:c r="P435" s="7" t="n"/>
      <x:c r="Q435" s="7" t="n"/>
      <x:c r="R435" s="7" t="n"/>
      <x:c r="S435" s="7" t="n"/>
      <x:c r="T435" s="7" t="n"/>
      <x:c r="U435" s="7" t="n"/>
      <x:c r="V435" s="7" t="n"/>
      <x:c r="W435" s="7" t="n"/>
      <x:c r="X435" s="7" t="n"/>
      <x:c r="Y435" s="7" t="n"/>
      <x:c r="Z435" s="7" t="n"/>
      <x:c r="AA435" s="7" t="n"/>
      <x:c r="AB435" s="7" t="n"/>
    </x:row>
    <x:row r="436" ht="20" customHeight="1">
      <x:c r="A436" s="12" t="inlineStr">
        <x:is>
          <x:t xml:space="preserve">Glenbrook High School District 225</x:t>
        </x:is>
      </x:c>
      <x:c r="B436" s="12" t="inlineStr">
        <x:is>
          <x:t xml:space="preserve">IL</x:t>
        </x:is>
      </x:c>
      <x:c r="C436" s="12" t="inlineStr">
        <x:is>
          <x:t xml:space="preserve">Master's</x:t>
        </x:is>
      </x:c>
      <x:c r="D436" s="13" t="n">
        <x:v>5</x:v>
      </x:c>
      <x:c r="E436" s="14" t="n">
        <x:v>89616</x:v>
      </x:c>
      <x:c r="F436" s="12" t="inlineStr">
        <x:is>
          <x:t xml:space="preserve">2026-06-15</x:t>
        </x:is>
      </x:c>
      <x:c r="G436" s="7" t="n"/>
      <x:c r="H436" s="7" t="n"/>
      <x:c r="I436" s="7" t="n"/>
      <x:c r="J436" s="7" t="n"/>
      <x:c r="K436" s="7" t="n"/>
      <x:c r="L436" s="7" t="n"/>
      <x:c r="M436" s="7" t="n"/>
      <x:c r="N436" s="7" t="n"/>
      <x:c r="O436" s="7" t="n"/>
      <x:c r="P436" s="7" t="n"/>
      <x:c r="Q436" s="7" t="n"/>
      <x:c r="R436" s="7" t="n"/>
      <x:c r="S436" s="7" t="n"/>
      <x:c r="T436" s="7" t="n"/>
      <x:c r="U436" s="7" t="n"/>
      <x:c r="V436" s="7" t="n"/>
      <x:c r="W436" s="7" t="n"/>
      <x:c r="X436" s="7" t="n"/>
      <x:c r="Y436" s="7" t="n"/>
      <x:c r="Z436" s="7" t="n"/>
      <x:c r="AA436" s="7" t="n"/>
      <x:c r="AB436" s="7" t="n"/>
    </x:row>
    <x:row r="437" ht="20" customHeight="1">
      <x:c r="A437" s="12" t="inlineStr">
        <x:is>
          <x:t xml:space="preserve">Glenbrook High School District 225</x:t>
        </x:is>
      </x:c>
      <x:c r="B437" s="12" t="inlineStr">
        <x:is>
          <x:t xml:space="preserve">IL</x:t>
        </x:is>
      </x:c>
      <x:c r="C437" s="12" t="inlineStr">
        <x:is>
          <x:t xml:space="preserve">Master's</x:t>
        </x:is>
      </x:c>
      <x:c r="D437" s="13" t="n">
        <x:v>6</x:v>
      </x:c>
      <x:c r="E437" s="14" t="n">
        <x:v>91410</x:v>
      </x:c>
      <x:c r="F437" s="12" t="inlineStr">
        <x:is>
          <x:t xml:space="preserve">2026-06-15</x:t>
        </x:is>
      </x:c>
      <x:c r="G437" s="7" t="n"/>
      <x:c r="H437" s="7" t="n"/>
      <x:c r="I437" s="7" t="n"/>
      <x:c r="J437" s="7" t="n"/>
      <x:c r="K437" s="7" t="n"/>
      <x:c r="L437" s="7" t="n"/>
      <x:c r="M437" s="7" t="n"/>
      <x:c r="N437" s="7" t="n"/>
      <x:c r="O437" s="7" t="n"/>
      <x:c r="P437" s="7" t="n"/>
      <x:c r="Q437" s="7" t="n"/>
      <x:c r="R437" s="7" t="n"/>
      <x:c r="S437" s="7" t="n"/>
      <x:c r="T437" s="7" t="n"/>
      <x:c r="U437" s="7" t="n"/>
      <x:c r="V437" s="7" t="n"/>
      <x:c r="W437" s="7" t="n"/>
      <x:c r="X437" s="7" t="n"/>
      <x:c r="Y437" s="7" t="n"/>
      <x:c r="Z437" s="7" t="n"/>
      <x:c r="AA437" s="7" t="n"/>
      <x:c r="AB437" s="7" t="n"/>
    </x:row>
    <x:row r="438" ht="20" customHeight="1">
      <x:c r="A438" s="12" t="inlineStr">
        <x:is>
          <x:t xml:space="preserve">Glenbrook High School District 225</x:t>
        </x:is>
      </x:c>
      <x:c r="B438" s="12" t="inlineStr">
        <x:is>
          <x:t xml:space="preserve">IL</x:t>
        </x:is>
      </x:c>
      <x:c r="C438" s="12" t="inlineStr">
        <x:is>
          <x:t xml:space="preserve">Master's</x:t>
        </x:is>
      </x:c>
      <x:c r="D438" s="13" t="n">
        <x:v>7</x:v>
      </x:c>
      <x:c r="E438" s="14" t="n">
        <x:v>93237</x:v>
      </x:c>
      <x:c r="F438" s="12" t="inlineStr">
        <x:is>
          <x:t xml:space="preserve">2026-06-15</x:t>
        </x:is>
      </x:c>
      <x:c r="G438" s="7" t="n"/>
      <x:c r="H438" s="7" t="n"/>
      <x:c r="I438" s="7" t="n"/>
      <x:c r="J438" s="7" t="n"/>
      <x:c r="K438" s="7" t="n"/>
      <x:c r="L438" s="7" t="n"/>
      <x:c r="M438" s="7" t="n"/>
      <x:c r="N438" s="7" t="n"/>
      <x:c r="O438" s="7" t="n"/>
      <x:c r="P438" s="7" t="n"/>
      <x:c r="Q438" s="7" t="n"/>
      <x:c r="R438" s="7" t="n"/>
      <x:c r="S438" s="7" t="n"/>
      <x:c r="T438" s="7" t="n"/>
      <x:c r="U438" s="7" t="n"/>
      <x:c r="V438" s="7" t="n"/>
      <x:c r="W438" s="7" t="n"/>
      <x:c r="X438" s="7" t="n"/>
      <x:c r="Y438" s="7" t="n"/>
      <x:c r="Z438" s="7" t="n"/>
      <x:c r="AA438" s="7" t="n"/>
      <x:c r="AB438" s="7" t="n"/>
    </x:row>
    <x:row r="439" ht="20" customHeight="1">
      <x:c r="A439" s="12" t="inlineStr">
        <x:is>
          <x:t xml:space="preserve">Glenbrook High School District 225</x:t>
        </x:is>
      </x:c>
      <x:c r="B439" s="12" t="inlineStr">
        <x:is>
          <x:t xml:space="preserve">IL</x:t>
        </x:is>
      </x:c>
      <x:c r="C439" s="12" t="inlineStr">
        <x:is>
          <x:t xml:space="preserve">Master's</x:t>
        </x:is>
      </x:c>
      <x:c r="D439" s="13" t="n">
        <x:v>8</x:v>
      </x:c>
      <x:c r="E439" s="14" t="n">
        <x:v>95103</x:v>
      </x:c>
      <x:c r="F439" s="12" t="inlineStr">
        <x:is>
          <x:t xml:space="preserve">2026-06-15</x:t>
        </x:is>
      </x:c>
      <x:c r="G439" s="7" t="n"/>
      <x:c r="H439" s="7" t="n"/>
      <x:c r="I439" s="7" t="n"/>
      <x:c r="J439" s="7" t="n"/>
      <x:c r="K439" s="7" t="n"/>
      <x:c r="L439" s="7" t="n"/>
      <x:c r="M439" s="7" t="n"/>
      <x:c r="N439" s="7" t="n"/>
      <x:c r="O439" s="7" t="n"/>
      <x:c r="P439" s="7" t="n"/>
      <x:c r="Q439" s="7" t="n"/>
      <x:c r="R439" s="7" t="n"/>
      <x:c r="S439" s="7" t="n"/>
      <x:c r="T439" s="7" t="n"/>
      <x:c r="U439" s="7" t="n"/>
      <x:c r="V439" s="7" t="n"/>
      <x:c r="W439" s="7" t="n"/>
      <x:c r="X439" s="7" t="n"/>
      <x:c r="Y439" s="7" t="n"/>
      <x:c r="Z439" s="7" t="n"/>
      <x:c r="AA439" s="7" t="n"/>
      <x:c r="AB439" s="7" t="n"/>
    </x:row>
    <x:row r="440" ht="20" customHeight="1">
      <x:c r="A440" s="12" t="inlineStr">
        <x:is>
          <x:t xml:space="preserve">Glenbrook High School District 225</x:t>
        </x:is>
      </x:c>
      <x:c r="B440" s="12" t="inlineStr">
        <x:is>
          <x:t xml:space="preserve">IL</x:t>
        </x:is>
      </x:c>
      <x:c r="C440" s="12" t="inlineStr">
        <x:is>
          <x:t xml:space="preserve">Master's</x:t>
        </x:is>
      </x:c>
      <x:c r="D440" s="13" t="n">
        <x:v>9</x:v>
      </x:c>
      <x:c r="E440" s="14" t="n">
        <x:v>97004</x:v>
      </x:c>
      <x:c r="F440" s="12" t="inlineStr">
        <x:is>
          <x:t xml:space="preserve">2026-06-15</x:t>
        </x:is>
      </x:c>
      <x:c r="G440" s="7" t="n"/>
      <x:c r="H440" s="7" t="n"/>
      <x:c r="I440" s="7" t="n"/>
      <x:c r="J440" s="7" t="n"/>
      <x:c r="K440" s="7" t="n"/>
      <x:c r="L440" s="7" t="n"/>
      <x:c r="M440" s="7" t="n"/>
      <x:c r="N440" s="7" t="n"/>
      <x:c r="O440" s="7" t="n"/>
      <x:c r="P440" s="7" t="n"/>
      <x:c r="Q440" s="7" t="n"/>
      <x:c r="R440" s="7" t="n"/>
      <x:c r="S440" s="7" t="n"/>
      <x:c r="T440" s="7" t="n"/>
      <x:c r="U440" s="7" t="n"/>
      <x:c r="V440" s="7" t="n"/>
      <x:c r="W440" s="7" t="n"/>
      <x:c r="X440" s="7" t="n"/>
      <x:c r="Y440" s="7" t="n"/>
      <x:c r="Z440" s="7" t="n"/>
      <x:c r="AA440" s="7" t="n"/>
      <x:c r="AB440" s="7" t="n"/>
    </x:row>
    <x:row r="441" ht="20" customHeight="1">
      <x:c r="A441" s="12" t="inlineStr">
        <x:is>
          <x:t xml:space="preserve">Glenbrook High School District 225</x:t>
        </x:is>
      </x:c>
      <x:c r="B441" s="12" t="inlineStr">
        <x:is>
          <x:t xml:space="preserve">IL</x:t>
        </x:is>
      </x:c>
      <x:c r="C441" s="12" t="inlineStr">
        <x:is>
          <x:t xml:space="preserve">Master's</x:t>
        </x:is>
      </x:c>
      <x:c r="D441" s="13" t="n">
        <x:v>10</x:v>
      </x:c>
      <x:c r="E441" s="14" t="n">
        <x:v>98944</x:v>
      </x:c>
      <x:c r="F441" s="12" t="inlineStr">
        <x:is>
          <x:t xml:space="preserve">2026-06-15</x:t>
        </x:is>
      </x:c>
      <x:c r="G441" s="7" t="n"/>
      <x:c r="H441" s="7" t="n"/>
      <x:c r="I441" s="7" t="n"/>
      <x:c r="J441" s="7" t="n"/>
      <x:c r="K441" s="7" t="n"/>
      <x:c r="L441" s="7" t="n"/>
      <x:c r="M441" s="7" t="n"/>
      <x:c r="N441" s="7" t="n"/>
      <x:c r="O441" s="7" t="n"/>
      <x:c r="P441" s="7" t="n"/>
      <x:c r="Q441" s="7" t="n"/>
      <x:c r="R441" s="7" t="n"/>
      <x:c r="S441" s="7" t="n"/>
      <x:c r="T441" s="7" t="n"/>
      <x:c r="U441" s="7" t="n"/>
      <x:c r="V441" s="7" t="n"/>
      <x:c r="W441" s="7" t="n"/>
      <x:c r="X441" s="7" t="n"/>
      <x:c r="Y441" s="7" t="n"/>
      <x:c r="Z441" s="7" t="n"/>
      <x:c r="AA441" s="7" t="n"/>
      <x:c r="AB441" s="7" t="n"/>
    </x:row>
    <x:row r="442" ht="20" customHeight="1">
      <x:c r="A442" s="12" t="inlineStr">
        <x:is>
          <x:t xml:space="preserve">Glendale Union High School District</x:t>
        </x:is>
      </x:c>
      <x:c r="B442" s="12" t="inlineStr">
        <x:is>
          <x:t xml:space="preserve">AZ</x:t>
        </x:is>
      </x:c>
      <x:c r="C442" s="12" t="inlineStr">
        <x:is>
          <x:t xml:space="preserve">Bachelor's</x:t>
        </x:is>
      </x:c>
      <x:c r="D442" s="13" t="n">
        <x:v>0</x:v>
      </x:c>
      <x:c r="E442" s="14" t="n">
        <x:v>51326</x:v>
      </x:c>
      <x:c r="F442" s="83" t="str">
        <x:v>2026-06-17</x:v>
      </x:c>
      <x:c r="G442" s="7" t="n"/>
      <x:c r="H442" s="7" t="n"/>
      <x:c r="I442" s="7" t="n"/>
      <x:c r="J442" s="7" t="n"/>
      <x:c r="K442" s="7" t="n"/>
      <x:c r="L442" s="7" t="n"/>
      <x:c r="M442" s="7" t="n"/>
      <x:c r="N442" s="7" t="n"/>
      <x:c r="O442" s="7" t="n"/>
      <x:c r="P442" s="7" t="n"/>
      <x:c r="Q442" s="7" t="n"/>
      <x:c r="R442" s="7" t="n"/>
      <x:c r="S442" s="7" t="n"/>
      <x:c r="T442" s="7" t="n"/>
      <x:c r="U442" s="7" t="n"/>
      <x:c r="V442" s="7" t="n"/>
      <x:c r="W442" s="7" t="n"/>
      <x:c r="X442" s="7" t="n"/>
      <x:c r="Y442" s="7" t="n"/>
      <x:c r="Z442" s="7" t="n"/>
      <x:c r="AA442" s="7" t="n"/>
      <x:c r="AB442" s="7" t="n"/>
    </x:row>
    <x:row r="443" ht="20" customHeight="1">
      <x:c r="A443" s="12" t="inlineStr">
        <x:is>
          <x:t xml:space="preserve">Glendale Union High School District</x:t>
        </x:is>
      </x:c>
      <x:c r="B443" s="12" t="inlineStr">
        <x:is>
          <x:t xml:space="preserve">AZ</x:t>
        </x:is>
      </x:c>
      <x:c r="C443" s="12" t="inlineStr">
        <x:is>
          <x:t xml:space="preserve">Bachelor's</x:t>
        </x:is>
      </x:c>
      <x:c r="D443" s="13" t="n">
        <x:v>1</x:v>
      </x:c>
      <x:c r="E443" s="14" t="n">
        <x:v>51664</x:v>
      </x:c>
      <x:c r="F443" s="83" t="str">
        <x:v>2026-06-17</x:v>
      </x:c>
      <x:c r="G443" s="7" t="n"/>
      <x:c r="H443" s="7" t="n"/>
      <x:c r="I443" s="7" t="n"/>
      <x:c r="J443" s="7" t="n"/>
      <x:c r="K443" s="7" t="n"/>
      <x:c r="L443" s="7" t="n"/>
      <x:c r="M443" s="7" t="n"/>
      <x:c r="N443" s="7" t="n"/>
      <x:c r="O443" s="7" t="n"/>
      <x:c r="P443" s="7" t="n"/>
      <x:c r="Q443" s="7" t="n"/>
      <x:c r="R443" s="7" t="n"/>
      <x:c r="S443" s="7" t="n"/>
      <x:c r="T443" s="7" t="n"/>
      <x:c r="U443" s="7" t="n"/>
      <x:c r="V443" s="7" t="n"/>
      <x:c r="W443" s="7" t="n"/>
      <x:c r="X443" s="7" t="n"/>
      <x:c r="Y443" s="7" t="n"/>
      <x:c r="Z443" s="7" t="n"/>
      <x:c r="AA443" s="7" t="n"/>
      <x:c r="AB443" s="7" t="n"/>
    </x:row>
    <x:row r="444" ht="20" customHeight="1">
      <x:c r="A444" s="12" t="inlineStr">
        <x:is>
          <x:t xml:space="preserve">Glendale Union High School District</x:t>
        </x:is>
      </x:c>
      <x:c r="B444" s="12" t="inlineStr">
        <x:is>
          <x:t xml:space="preserve">AZ</x:t>
        </x:is>
      </x:c>
      <x:c r="C444" s="12" t="inlineStr">
        <x:is>
          <x:t xml:space="preserve">Bachelor's</x:t>
        </x:is>
      </x:c>
      <x:c r="D444" s="13" t="n">
        <x:v>2</x:v>
      </x:c>
      <x:c r="E444" s="14" t="n">
        <x:v>52342</x:v>
      </x:c>
      <x:c r="F444" s="83" t="str">
        <x:v>2026-06-17</x:v>
      </x:c>
      <x:c r="G444" s="7" t="n"/>
      <x:c r="H444" s="7" t="n"/>
      <x:c r="I444" s="7" t="n"/>
      <x:c r="J444" s="7" t="n"/>
      <x:c r="K444" s="7" t="n"/>
      <x:c r="L444" s="7" t="n"/>
      <x:c r="M444" s="7" t="n"/>
      <x:c r="N444" s="7" t="n"/>
      <x:c r="O444" s="7" t="n"/>
      <x:c r="P444" s="7" t="n"/>
      <x:c r="Q444" s="7" t="n"/>
      <x:c r="R444" s="7" t="n"/>
      <x:c r="S444" s="7" t="n"/>
      <x:c r="T444" s="7" t="n"/>
      <x:c r="U444" s="7" t="n"/>
      <x:c r="V444" s="7" t="n"/>
      <x:c r="W444" s="7" t="n"/>
      <x:c r="X444" s="7" t="n"/>
      <x:c r="Y444" s="7" t="n"/>
      <x:c r="Z444" s="7" t="n"/>
      <x:c r="AA444" s="7" t="n"/>
      <x:c r="AB444" s="7" t="n"/>
    </x:row>
    <x:row r="445" ht="20" customHeight="1">
      <x:c r="A445" s="12" t="inlineStr">
        <x:is>
          <x:t xml:space="preserve">Glendale Union High School District</x:t>
        </x:is>
      </x:c>
      <x:c r="B445" s="12" t="inlineStr">
        <x:is>
          <x:t xml:space="preserve">AZ</x:t>
        </x:is>
      </x:c>
      <x:c r="C445" s="12" t="inlineStr">
        <x:is>
          <x:t xml:space="preserve">Bachelor's</x:t>
        </x:is>
      </x:c>
      <x:c r="D445" s="13" t="n">
        <x:v>3</x:v>
      </x:c>
      <x:c r="E445" s="14" t="n">
        <x:v>53020</x:v>
      </x:c>
      <x:c r="F445" s="83" t="str">
        <x:v>2026-06-17</x:v>
      </x:c>
      <x:c r="G445" s="7" t="n"/>
      <x:c r="H445" s="7" t="n"/>
      <x:c r="I445" s="7" t="n"/>
      <x:c r="J445" s="7" t="n"/>
      <x:c r="K445" s="7" t="n"/>
      <x:c r="L445" s="7" t="n"/>
      <x:c r="M445" s="7" t="n"/>
      <x:c r="N445" s="7" t="n"/>
      <x:c r="O445" s="7" t="n"/>
      <x:c r="P445" s="7" t="n"/>
      <x:c r="Q445" s="7" t="n"/>
      <x:c r="R445" s="7" t="n"/>
      <x:c r="S445" s="7" t="n"/>
      <x:c r="T445" s="7" t="n"/>
      <x:c r="U445" s="7" t="n"/>
      <x:c r="V445" s="7" t="n"/>
      <x:c r="W445" s="7" t="n"/>
      <x:c r="X445" s="7" t="n"/>
      <x:c r="Y445" s="7" t="n"/>
      <x:c r="Z445" s="7" t="n"/>
      <x:c r="AA445" s="7" t="n"/>
      <x:c r="AB445" s="7" t="n"/>
    </x:row>
    <x:row r="446" ht="20" customHeight="1">
      <x:c r="A446" s="12" t="inlineStr">
        <x:is>
          <x:t xml:space="preserve">Glendale Union High School District</x:t>
        </x:is>
      </x:c>
      <x:c r="B446" s="12" t="inlineStr">
        <x:is>
          <x:t xml:space="preserve">AZ</x:t>
        </x:is>
      </x:c>
      <x:c r="C446" s="12" t="inlineStr">
        <x:is>
          <x:t xml:space="preserve">Bachelor's</x:t>
        </x:is>
      </x:c>
      <x:c r="D446" s="13" t="n">
        <x:v>4</x:v>
      </x:c>
      <x:c r="E446" s="14" t="n">
        <x:v>53698</x:v>
      </x:c>
      <x:c r="F446" s="83" t="str">
        <x:v>2026-06-17</x:v>
      </x:c>
      <x:c r="G446" s="7" t="n"/>
      <x:c r="H446" s="7" t="n"/>
      <x:c r="I446" s="7" t="n"/>
      <x:c r="J446" s="7" t="n"/>
      <x:c r="K446" s="7" t="n"/>
      <x:c r="L446" s="7" t="n"/>
      <x:c r="M446" s="7" t="n"/>
      <x:c r="N446" s="7" t="n"/>
      <x:c r="O446" s="7" t="n"/>
      <x:c r="P446" s="7" t="n"/>
      <x:c r="Q446" s="7" t="n"/>
      <x:c r="R446" s="7" t="n"/>
      <x:c r="S446" s="7" t="n"/>
      <x:c r="T446" s="7" t="n"/>
      <x:c r="U446" s="7" t="n"/>
      <x:c r="V446" s="7" t="n"/>
      <x:c r="W446" s="7" t="n"/>
      <x:c r="X446" s="7" t="n"/>
      <x:c r="Y446" s="7" t="n"/>
      <x:c r="Z446" s="7" t="n"/>
      <x:c r="AA446" s="7" t="n"/>
      <x:c r="AB446" s="7" t="n"/>
    </x:row>
    <x:row r="447" ht="20" customHeight="1">
      <x:c r="A447" s="12" t="inlineStr">
        <x:is>
          <x:t xml:space="preserve">Glendale Union High School District</x:t>
        </x:is>
      </x:c>
      <x:c r="B447" s="12" t="inlineStr">
        <x:is>
          <x:t xml:space="preserve">AZ</x:t>
        </x:is>
      </x:c>
      <x:c r="C447" s="12" t="inlineStr">
        <x:is>
          <x:t xml:space="preserve">Bachelor's</x:t>
        </x:is>
      </x:c>
      <x:c r="D447" s="13" t="n">
        <x:v>5</x:v>
      </x:c>
      <x:c r="E447" s="14" t="n">
        <x:v>54376</x:v>
      </x:c>
      <x:c r="F447" s="83" t="str">
        <x:v>2026-06-17</x:v>
      </x:c>
      <x:c r="G447" s="7" t="n"/>
      <x:c r="H447" s="7" t="n"/>
      <x:c r="I447" s="7" t="n"/>
      <x:c r="J447" s="7" t="n"/>
      <x:c r="K447" s="7" t="n"/>
      <x:c r="L447" s="7" t="n"/>
      <x:c r="M447" s="7" t="n"/>
      <x:c r="N447" s="7" t="n"/>
      <x:c r="O447" s="7" t="n"/>
      <x:c r="P447" s="7" t="n"/>
      <x:c r="Q447" s="7" t="n"/>
      <x:c r="R447" s="7" t="n"/>
      <x:c r="S447" s="7" t="n"/>
      <x:c r="T447" s="7" t="n"/>
      <x:c r="U447" s="7" t="n"/>
      <x:c r="V447" s="7" t="n"/>
      <x:c r="W447" s="7" t="n"/>
      <x:c r="X447" s="7" t="n"/>
      <x:c r="Y447" s="7" t="n"/>
      <x:c r="Z447" s="7" t="n"/>
      <x:c r="AA447" s="7" t="n"/>
      <x:c r="AB447" s="7" t="n"/>
    </x:row>
    <x:row r="448" ht="20" customHeight="1">
      <x:c r="A448" s="12" t="inlineStr">
        <x:is>
          <x:t xml:space="preserve">Glendale Union High School District</x:t>
        </x:is>
      </x:c>
      <x:c r="B448" s="12" t="inlineStr">
        <x:is>
          <x:t xml:space="preserve">AZ</x:t>
        </x:is>
      </x:c>
      <x:c r="C448" s="12" t="inlineStr">
        <x:is>
          <x:t xml:space="preserve">Bachelor's</x:t>
        </x:is>
      </x:c>
      <x:c r="D448" s="13" t="n">
        <x:v>6</x:v>
      </x:c>
      <x:c r="E448" s="14" t="n">
        <x:v>55053</x:v>
      </x:c>
      <x:c r="F448" s="83" t="str">
        <x:v>2026-06-17</x:v>
      </x:c>
      <x:c r="G448" s="7" t="n"/>
      <x:c r="H448" s="7" t="n"/>
      <x:c r="I448" s="7" t="n"/>
      <x:c r="J448" s="7" t="n"/>
      <x:c r="K448" s="7" t="n"/>
      <x:c r="L448" s="7" t="n"/>
      <x:c r="M448" s="7" t="n"/>
      <x:c r="N448" s="7" t="n"/>
      <x:c r="O448" s="7" t="n"/>
      <x:c r="P448" s="7" t="n"/>
      <x:c r="Q448" s="7" t="n"/>
      <x:c r="R448" s="7" t="n"/>
      <x:c r="S448" s="7" t="n"/>
      <x:c r="T448" s="7" t="n"/>
      <x:c r="U448" s="7" t="n"/>
      <x:c r="V448" s="7" t="n"/>
      <x:c r="W448" s="7" t="n"/>
      <x:c r="X448" s="7" t="n"/>
      <x:c r="Y448" s="7" t="n"/>
      <x:c r="Z448" s="7" t="n"/>
      <x:c r="AA448" s="7" t="n"/>
      <x:c r="AB448" s="7" t="n"/>
    </x:row>
    <x:row r="449" ht="20" customHeight="1">
      <x:c r="A449" s="12" t="inlineStr">
        <x:is>
          <x:t xml:space="preserve">Glendale Union High School District</x:t>
        </x:is>
      </x:c>
      <x:c r="B449" s="12" t="inlineStr">
        <x:is>
          <x:t xml:space="preserve">AZ</x:t>
        </x:is>
      </x:c>
      <x:c r="C449" s="12" t="inlineStr">
        <x:is>
          <x:t xml:space="preserve">Bachelor's</x:t>
        </x:is>
      </x:c>
      <x:c r="D449" s="13" t="n">
        <x:v>7</x:v>
      </x:c>
      <x:c r="E449" s="14" t="n">
        <x:v>55731</x:v>
      </x:c>
      <x:c r="F449" s="83" t="str">
        <x:v>2026-06-17</x:v>
      </x:c>
      <x:c r="G449" s="7" t="n"/>
      <x:c r="H449" s="7" t="n"/>
      <x:c r="I449" s="7" t="n"/>
      <x:c r="J449" s="7" t="n"/>
      <x:c r="K449" s="7" t="n"/>
      <x:c r="L449" s="7" t="n"/>
      <x:c r="M449" s="7" t="n"/>
      <x:c r="N449" s="7" t="n"/>
      <x:c r="O449" s="7" t="n"/>
      <x:c r="P449" s="7" t="n"/>
      <x:c r="Q449" s="7" t="n"/>
      <x:c r="R449" s="7" t="n"/>
      <x:c r="S449" s="7" t="n"/>
      <x:c r="T449" s="7" t="n"/>
      <x:c r="U449" s="7" t="n"/>
      <x:c r="V449" s="7" t="n"/>
      <x:c r="W449" s="7" t="n"/>
      <x:c r="X449" s="7" t="n"/>
      <x:c r="Y449" s="7" t="n"/>
      <x:c r="Z449" s="7" t="n"/>
      <x:c r="AA449" s="7" t="n"/>
      <x:c r="AB449" s="7" t="n"/>
    </x:row>
    <x:row r="450" ht="20" customHeight="1">
      <x:c r="A450" s="12" t="inlineStr">
        <x:is>
          <x:t xml:space="preserve">Glendale Union High School District</x:t>
        </x:is>
      </x:c>
      <x:c r="B450" s="12" t="inlineStr">
        <x:is>
          <x:t xml:space="preserve">AZ</x:t>
        </x:is>
      </x:c>
      <x:c r="C450" s="12" t="inlineStr">
        <x:is>
          <x:t xml:space="preserve">Bachelor's</x:t>
        </x:is>
      </x:c>
      <x:c r="D450" s="13" t="n">
        <x:v>8</x:v>
      </x:c>
      <x:c r="E450" s="14" t="n">
        <x:v>56409</x:v>
      </x:c>
      <x:c r="F450" s="83" t="str">
        <x:v>2026-06-17</x:v>
      </x:c>
      <x:c r="G450" s="7" t="n"/>
      <x:c r="H450" s="7" t="n"/>
      <x:c r="I450" s="7" t="n"/>
      <x:c r="J450" s="7" t="n"/>
      <x:c r="K450" s="7" t="n"/>
      <x:c r="L450" s="7" t="n"/>
      <x:c r="M450" s="7" t="n"/>
      <x:c r="N450" s="7" t="n"/>
      <x:c r="O450" s="7" t="n"/>
      <x:c r="P450" s="7" t="n"/>
      <x:c r="Q450" s="7" t="n"/>
      <x:c r="R450" s="7" t="n"/>
      <x:c r="S450" s="7" t="n"/>
      <x:c r="T450" s="7" t="n"/>
      <x:c r="U450" s="7" t="n"/>
      <x:c r="V450" s="7" t="n"/>
      <x:c r="W450" s="7" t="n"/>
      <x:c r="X450" s="7" t="n"/>
      <x:c r="Y450" s="7" t="n"/>
      <x:c r="Z450" s="7" t="n"/>
      <x:c r="AA450" s="7" t="n"/>
      <x:c r="AB450" s="7" t="n"/>
    </x:row>
    <x:row r="451" ht="20" customHeight="1">
      <x:c r="A451" s="12" t="inlineStr">
        <x:is>
          <x:t xml:space="preserve">Glendale Union High School District</x:t>
        </x:is>
      </x:c>
      <x:c r="B451" s="12" t="inlineStr">
        <x:is>
          <x:t xml:space="preserve">AZ</x:t>
        </x:is>
      </x:c>
      <x:c r="C451" s="12" t="inlineStr">
        <x:is>
          <x:t xml:space="preserve">Bachelor's</x:t>
        </x:is>
      </x:c>
      <x:c r="D451" s="13" t="n">
        <x:v>9</x:v>
      </x:c>
      <x:c r="E451" s="14" t="n">
        <x:v>57087</x:v>
      </x:c>
      <x:c r="F451" s="83" t="str">
        <x:v>2026-06-17</x:v>
      </x:c>
      <x:c r="G451" s="7" t="n"/>
      <x:c r="H451" s="7" t="n"/>
      <x:c r="I451" s="7" t="n"/>
      <x:c r="J451" s="7" t="n"/>
      <x:c r="K451" s="7" t="n"/>
      <x:c r="L451" s="7" t="n"/>
      <x:c r="M451" s="7" t="n"/>
      <x:c r="N451" s="7" t="n"/>
      <x:c r="O451" s="7" t="n"/>
      <x:c r="P451" s="7" t="n"/>
      <x:c r="Q451" s="7" t="n"/>
      <x:c r="R451" s="7" t="n"/>
      <x:c r="S451" s="7" t="n"/>
      <x:c r="T451" s="7" t="n"/>
      <x:c r="U451" s="7" t="n"/>
      <x:c r="V451" s="7" t="n"/>
      <x:c r="W451" s="7" t="n"/>
      <x:c r="X451" s="7" t="n"/>
      <x:c r="Y451" s="7" t="n"/>
      <x:c r="Z451" s="7" t="n"/>
      <x:c r="AA451" s="7" t="n"/>
      <x:c r="AB451" s="7" t="n"/>
    </x:row>
    <x:row r="452" ht="20" customHeight="1">
      <x:c r="A452" s="12" t="inlineStr">
        <x:is>
          <x:t xml:space="preserve">Glendale Union High School District</x:t>
        </x:is>
      </x:c>
      <x:c r="B452" s="12" t="inlineStr">
        <x:is>
          <x:t xml:space="preserve">AZ</x:t>
        </x:is>
      </x:c>
      <x:c r="C452" s="12" t="inlineStr">
        <x:is>
          <x:t xml:space="preserve">Bachelor's</x:t>
        </x:is>
      </x:c>
      <x:c r="D452" s="13" t="n">
        <x:v>10</x:v>
      </x:c>
      <x:c r="E452" s="14" t="n">
        <x:v>57764</x:v>
      </x:c>
      <x:c r="F452" s="83" t="str">
        <x:v>2026-06-17</x:v>
      </x:c>
      <x:c r="G452" s="7" t="n"/>
      <x:c r="H452" s="7" t="n"/>
      <x:c r="I452" s="7" t="n"/>
      <x:c r="J452" s="7" t="n"/>
      <x:c r="K452" s="7" t="n"/>
      <x:c r="L452" s="7" t="n"/>
      <x:c r="M452" s="7" t="n"/>
      <x:c r="N452" s="7" t="n"/>
      <x:c r="O452" s="7" t="n"/>
      <x:c r="P452" s="7" t="n"/>
      <x:c r="Q452" s="7" t="n"/>
      <x:c r="R452" s="7" t="n"/>
      <x:c r="S452" s="7" t="n"/>
      <x:c r="T452" s="7" t="n"/>
      <x:c r="U452" s="7" t="n"/>
      <x:c r="V452" s="7" t="n"/>
      <x:c r="W452" s="7" t="n"/>
      <x:c r="X452" s="7" t="n"/>
      <x:c r="Y452" s="7" t="n"/>
      <x:c r="Z452" s="7" t="n"/>
      <x:c r="AA452" s="7" t="n"/>
      <x:c r="AB452" s="7" t="n"/>
    </x:row>
    <x:row r="453" ht="20" customHeight="1">
      <x:c r="A453" s="12" t="inlineStr">
        <x:is>
          <x:t xml:space="preserve">Glendale Union High School District</x:t>
        </x:is>
      </x:c>
      <x:c r="B453" s="12" t="inlineStr">
        <x:is>
          <x:t xml:space="preserve">AZ</x:t>
        </x:is>
      </x:c>
      <x:c r="C453" s="12" t="inlineStr">
        <x:is>
          <x:t xml:space="preserve">Master's</x:t>
        </x:is>
      </x:c>
      <x:c r="D453" s="13" t="n">
        <x:v>0</x:v>
      </x:c>
      <x:c r="E453" s="14" t="n">
        <x:v>54656</x:v>
      </x:c>
      <x:c r="F453" s="83" t="str">
        <x:v>2026-06-17</x:v>
      </x:c>
      <x:c r="G453" s="7" t="n"/>
      <x:c r="H453" s="7" t="n"/>
      <x:c r="I453" s="7" t="n"/>
      <x:c r="J453" s="7" t="n"/>
      <x:c r="K453" s="7" t="n"/>
      <x:c r="L453" s="7" t="n"/>
      <x:c r="M453" s="7" t="n"/>
      <x:c r="N453" s="7" t="n"/>
      <x:c r="O453" s="7" t="n"/>
      <x:c r="P453" s="7" t="n"/>
      <x:c r="Q453" s="7" t="n"/>
      <x:c r="R453" s="7" t="n"/>
      <x:c r="S453" s="7" t="n"/>
      <x:c r="T453" s="7" t="n"/>
      <x:c r="U453" s="7" t="n"/>
      <x:c r="V453" s="7" t="n"/>
      <x:c r="W453" s="7" t="n"/>
      <x:c r="X453" s="7" t="n"/>
      <x:c r="Y453" s="7" t="n"/>
      <x:c r="Z453" s="7" t="n"/>
      <x:c r="AA453" s="7" t="n"/>
      <x:c r="AB453" s="7" t="n"/>
    </x:row>
    <x:row r="454" ht="20" customHeight="1">
      <x:c r="A454" s="12" t="inlineStr">
        <x:is>
          <x:t xml:space="preserve">Glendale Union High School District</x:t>
        </x:is>
      </x:c>
      <x:c r="B454" s="12" t="inlineStr">
        <x:is>
          <x:t xml:space="preserve">AZ</x:t>
        </x:is>
      </x:c>
      <x:c r="C454" s="12" t="inlineStr">
        <x:is>
          <x:t xml:space="preserve">Master's</x:t>
        </x:is>
      </x:c>
      <x:c r="D454" s="13" t="n">
        <x:v>1</x:v>
      </x:c>
      <x:c r="E454" s="14" t="n">
        <x:v>54995</x:v>
      </x:c>
      <x:c r="F454" s="83" t="str">
        <x:v>2026-06-17</x:v>
      </x:c>
      <x:c r="G454" s="7" t="n"/>
      <x:c r="H454" s="7" t="n"/>
      <x:c r="I454" s="7" t="n"/>
      <x:c r="J454" s="7" t="n"/>
      <x:c r="K454" s="7" t="n"/>
      <x:c r="L454" s="7" t="n"/>
      <x:c r="M454" s="7" t="n"/>
      <x:c r="N454" s="7" t="n"/>
      <x:c r="O454" s="7" t="n"/>
      <x:c r="P454" s="7" t="n"/>
      <x:c r="Q454" s="7" t="n"/>
      <x:c r="R454" s="7" t="n"/>
      <x:c r="S454" s="7" t="n"/>
      <x:c r="T454" s="7" t="n"/>
      <x:c r="U454" s="7" t="n"/>
      <x:c r="V454" s="7" t="n"/>
      <x:c r="W454" s="7" t="n"/>
      <x:c r="X454" s="7" t="n"/>
      <x:c r="Y454" s="7" t="n"/>
      <x:c r="Z454" s="7" t="n"/>
      <x:c r="AA454" s="7" t="n"/>
      <x:c r="AB454" s="7" t="n"/>
    </x:row>
    <x:row r="455" ht="20" customHeight="1">
      <x:c r="A455" s="12" t="inlineStr">
        <x:is>
          <x:t xml:space="preserve">Glendale Union High School District</x:t>
        </x:is>
      </x:c>
      <x:c r="B455" s="12" t="inlineStr">
        <x:is>
          <x:t xml:space="preserve">AZ</x:t>
        </x:is>
      </x:c>
      <x:c r="C455" s="12" t="inlineStr">
        <x:is>
          <x:t xml:space="preserve">Master's</x:t>
        </x:is>
      </x:c>
      <x:c r="D455" s="13" t="n">
        <x:v>2</x:v>
      </x:c>
      <x:c r="E455" s="14" t="n">
        <x:v>55899</x:v>
      </x:c>
      <x:c r="F455" s="83" t="str">
        <x:v>2026-06-17</x:v>
      </x:c>
      <x:c r="G455" s="7" t="n"/>
      <x:c r="H455" s="7" t="n"/>
      <x:c r="I455" s="7" t="n"/>
      <x:c r="J455" s="7" t="n"/>
      <x:c r="K455" s="7" t="n"/>
      <x:c r="L455" s="7" t="n"/>
      <x:c r="M455" s="7" t="n"/>
      <x:c r="N455" s="7" t="n"/>
      <x:c r="O455" s="7" t="n"/>
      <x:c r="P455" s="7" t="n"/>
      <x:c r="Q455" s="7" t="n"/>
      <x:c r="R455" s="7" t="n"/>
      <x:c r="S455" s="7" t="n"/>
      <x:c r="T455" s="7" t="n"/>
      <x:c r="U455" s="7" t="n"/>
      <x:c r="V455" s="7" t="n"/>
      <x:c r="W455" s="7" t="n"/>
      <x:c r="X455" s="7" t="n"/>
      <x:c r="Y455" s="7" t="n"/>
      <x:c r="Z455" s="7" t="n"/>
      <x:c r="AA455" s="7" t="n"/>
      <x:c r="AB455" s="7" t="n"/>
    </x:row>
    <x:row r="456" ht="20" customHeight="1">
      <x:c r="A456" s="12" t="inlineStr">
        <x:is>
          <x:t xml:space="preserve">Glendale Union High School District</x:t>
        </x:is>
      </x:c>
      <x:c r="B456" s="12" t="inlineStr">
        <x:is>
          <x:t xml:space="preserve">AZ</x:t>
        </x:is>
      </x:c>
      <x:c r="C456" s="12" t="inlineStr">
        <x:is>
          <x:t xml:space="preserve">Master's</x:t>
        </x:is>
      </x:c>
      <x:c r="D456" s="13" t="n">
        <x:v>3</x:v>
      </x:c>
      <x:c r="E456" s="14" t="n">
        <x:v>56803</x:v>
      </x:c>
      <x:c r="F456" s="83" t="str">
        <x:v>2026-06-17</x:v>
      </x:c>
      <x:c r="G456" s="7" t="n"/>
      <x:c r="H456" s="7" t="n"/>
      <x:c r="I456" s="7" t="n"/>
      <x:c r="J456" s="7" t="n"/>
      <x:c r="K456" s="7" t="n"/>
      <x:c r="L456" s="7" t="n"/>
      <x:c r="M456" s="7" t="n"/>
      <x:c r="N456" s="7" t="n"/>
      <x:c r="O456" s="7" t="n"/>
      <x:c r="P456" s="7" t="n"/>
      <x:c r="Q456" s="7" t="n"/>
      <x:c r="R456" s="7" t="n"/>
      <x:c r="S456" s="7" t="n"/>
      <x:c r="T456" s="7" t="n"/>
      <x:c r="U456" s="7" t="n"/>
      <x:c r="V456" s="7" t="n"/>
      <x:c r="W456" s="7" t="n"/>
      <x:c r="X456" s="7" t="n"/>
      <x:c r="Y456" s="7" t="n"/>
      <x:c r="Z456" s="7" t="n"/>
      <x:c r="AA456" s="7" t="n"/>
      <x:c r="AB456" s="7" t="n"/>
    </x:row>
    <x:row r="457" ht="20" customHeight="1">
      <x:c r="A457" s="12" t="inlineStr">
        <x:is>
          <x:t xml:space="preserve">Glendale Union High School District</x:t>
        </x:is>
      </x:c>
      <x:c r="B457" s="12" t="inlineStr">
        <x:is>
          <x:t xml:space="preserve">AZ</x:t>
        </x:is>
      </x:c>
      <x:c r="C457" s="12" t="inlineStr">
        <x:is>
          <x:t xml:space="preserve">Master's</x:t>
        </x:is>
      </x:c>
      <x:c r="D457" s="13" t="n">
        <x:v>4</x:v>
      </x:c>
      <x:c r="E457" s="14" t="n">
        <x:v>57706</x:v>
      </x:c>
      <x:c r="F457" s="83" t="str">
        <x:v>2026-06-17</x:v>
      </x:c>
      <x:c r="G457" s="7" t="n"/>
      <x:c r="H457" s="7" t="n"/>
      <x:c r="I457" s="7" t="n"/>
      <x:c r="J457" s="7" t="n"/>
      <x:c r="K457" s="7" t="n"/>
      <x:c r="L457" s="7" t="n"/>
      <x:c r="M457" s="7" t="n"/>
      <x:c r="N457" s="7" t="n"/>
      <x:c r="O457" s="7" t="n"/>
      <x:c r="P457" s="7" t="n"/>
      <x:c r="Q457" s="7" t="n"/>
      <x:c r="R457" s="7" t="n"/>
      <x:c r="S457" s="7" t="n"/>
      <x:c r="T457" s="7" t="n"/>
      <x:c r="U457" s="7" t="n"/>
      <x:c r="V457" s="7" t="n"/>
      <x:c r="W457" s="7" t="n"/>
      <x:c r="X457" s="7" t="n"/>
      <x:c r="Y457" s="7" t="n"/>
      <x:c r="Z457" s="7" t="n"/>
      <x:c r="AA457" s="7" t="n"/>
      <x:c r="AB457" s="7" t="n"/>
    </x:row>
    <x:row r="458" ht="20" customHeight="1">
      <x:c r="A458" s="12" t="inlineStr">
        <x:is>
          <x:t xml:space="preserve">Glendale Union High School District</x:t>
        </x:is>
      </x:c>
      <x:c r="B458" s="12" t="inlineStr">
        <x:is>
          <x:t xml:space="preserve">AZ</x:t>
        </x:is>
      </x:c>
      <x:c r="C458" s="12" t="inlineStr">
        <x:is>
          <x:t xml:space="preserve">Master's</x:t>
        </x:is>
      </x:c>
      <x:c r="D458" s="13" t="n">
        <x:v>5</x:v>
      </x:c>
      <x:c r="E458" s="14" t="n">
        <x:v>58610</x:v>
      </x:c>
      <x:c r="F458" s="83" t="str">
        <x:v>2026-06-17</x:v>
      </x:c>
      <x:c r="G458" s="7" t="n"/>
      <x:c r="H458" s="7" t="n"/>
      <x:c r="I458" s="7" t="n"/>
      <x:c r="J458" s="7" t="n"/>
      <x:c r="K458" s="7" t="n"/>
      <x:c r="L458" s="7" t="n"/>
      <x:c r="M458" s="7" t="n"/>
      <x:c r="N458" s="7" t="n"/>
      <x:c r="O458" s="7" t="n"/>
      <x:c r="P458" s="7" t="n"/>
      <x:c r="Q458" s="7" t="n"/>
      <x:c r="R458" s="7" t="n"/>
      <x:c r="S458" s="7" t="n"/>
      <x:c r="T458" s="7" t="n"/>
      <x:c r="U458" s="7" t="n"/>
      <x:c r="V458" s="7" t="n"/>
      <x:c r="W458" s="7" t="n"/>
      <x:c r="X458" s="7" t="n"/>
      <x:c r="Y458" s="7" t="n"/>
      <x:c r="Z458" s="7" t="n"/>
      <x:c r="AA458" s="7" t="n"/>
      <x:c r="AB458" s="7" t="n"/>
    </x:row>
    <x:row r="459" ht="20" customHeight="1">
      <x:c r="A459" s="12" t="inlineStr">
        <x:is>
          <x:t xml:space="preserve">Glendale Union High School District</x:t>
        </x:is>
      </x:c>
      <x:c r="B459" s="12" t="inlineStr">
        <x:is>
          <x:t xml:space="preserve">AZ</x:t>
        </x:is>
      </x:c>
      <x:c r="C459" s="12" t="inlineStr">
        <x:is>
          <x:t xml:space="preserve">Master's</x:t>
        </x:is>
      </x:c>
      <x:c r="D459" s="13" t="n">
        <x:v>6</x:v>
      </x:c>
      <x:c r="E459" s="14" t="n">
        <x:v>59514</x:v>
      </x:c>
      <x:c r="F459" s="83" t="str">
        <x:v>2026-06-17</x:v>
      </x:c>
      <x:c r="G459" s="7" t="n"/>
      <x:c r="H459" s="7" t="n"/>
      <x:c r="I459" s="7" t="n"/>
      <x:c r="J459" s="7" t="n"/>
      <x:c r="K459" s="7" t="n"/>
      <x:c r="L459" s="7" t="n"/>
      <x:c r="M459" s="7" t="n"/>
      <x:c r="N459" s="7" t="n"/>
      <x:c r="O459" s="7" t="n"/>
      <x:c r="P459" s="7" t="n"/>
      <x:c r="Q459" s="7" t="n"/>
      <x:c r="R459" s="7" t="n"/>
      <x:c r="S459" s="7" t="n"/>
      <x:c r="T459" s="7" t="n"/>
      <x:c r="U459" s="7" t="n"/>
      <x:c r="V459" s="7" t="n"/>
      <x:c r="W459" s="7" t="n"/>
      <x:c r="X459" s="7" t="n"/>
      <x:c r="Y459" s="7" t="n"/>
      <x:c r="Z459" s="7" t="n"/>
      <x:c r="AA459" s="7" t="n"/>
      <x:c r="AB459" s="7" t="n"/>
    </x:row>
    <x:row r="460" ht="20" customHeight="1">
      <x:c r="A460" s="12" t="inlineStr">
        <x:is>
          <x:t xml:space="preserve">Glendale Union High School District</x:t>
        </x:is>
      </x:c>
      <x:c r="B460" s="12" t="inlineStr">
        <x:is>
          <x:t xml:space="preserve">AZ</x:t>
        </x:is>
      </x:c>
      <x:c r="C460" s="12" t="inlineStr">
        <x:is>
          <x:t xml:space="preserve">Master's</x:t>
        </x:is>
      </x:c>
      <x:c r="D460" s="13" t="n">
        <x:v>7</x:v>
      </x:c>
      <x:c r="E460" s="14" t="n">
        <x:v>60417</x:v>
      </x:c>
      <x:c r="F460" s="83" t="str">
        <x:v>2026-06-17</x:v>
      </x:c>
      <x:c r="G460" s="7" t="n"/>
      <x:c r="H460" s="7" t="n"/>
      <x:c r="I460" s="7" t="n"/>
      <x:c r="J460" s="7" t="n"/>
      <x:c r="K460" s="7" t="n"/>
      <x:c r="L460" s="7" t="n"/>
      <x:c r="M460" s="7" t="n"/>
      <x:c r="N460" s="7" t="n"/>
      <x:c r="O460" s="7" t="n"/>
      <x:c r="P460" s="7" t="n"/>
      <x:c r="Q460" s="7" t="n"/>
      <x:c r="R460" s="7" t="n"/>
      <x:c r="S460" s="7" t="n"/>
      <x:c r="T460" s="7" t="n"/>
      <x:c r="U460" s="7" t="n"/>
      <x:c r="V460" s="7" t="n"/>
      <x:c r="W460" s="7" t="n"/>
      <x:c r="X460" s="7" t="n"/>
      <x:c r="Y460" s="7" t="n"/>
      <x:c r="Z460" s="7" t="n"/>
      <x:c r="AA460" s="7" t="n"/>
      <x:c r="AB460" s="7" t="n"/>
    </x:row>
    <x:row r="461" ht="20" customHeight="1">
      <x:c r="A461" s="12" t="inlineStr">
        <x:is>
          <x:t xml:space="preserve">Glendale Union High School District</x:t>
        </x:is>
      </x:c>
      <x:c r="B461" s="12" t="inlineStr">
        <x:is>
          <x:t xml:space="preserve">AZ</x:t>
        </x:is>
      </x:c>
      <x:c r="C461" s="12" t="inlineStr">
        <x:is>
          <x:t xml:space="preserve">Master's</x:t>
        </x:is>
      </x:c>
      <x:c r="D461" s="13" t="n">
        <x:v>8</x:v>
      </x:c>
      <x:c r="E461" s="14" t="n">
        <x:v>61321</x:v>
      </x:c>
      <x:c r="F461" s="83" t="str">
        <x:v>2026-06-17</x:v>
      </x:c>
      <x:c r="G461" s="7" t="n"/>
      <x:c r="H461" s="7" t="n"/>
      <x:c r="I461" s="7" t="n"/>
      <x:c r="J461" s="7" t="n"/>
      <x:c r="K461" s="7" t="n"/>
      <x:c r="L461" s="7" t="n"/>
      <x:c r="M461" s="7" t="n"/>
      <x:c r="N461" s="7" t="n"/>
      <x:c r="O461" s="7" t="n"/>
      <x:c r="P461" s="7" t="n"/>
      <x:c r="Q461" s="7" t="n"/>
      <x:c r="R461" s="7" t="n"/>
      <x:c r="S461" s="7" t="n"/>
      <x:c r="T461" s="7" t="n"/>
      <x:c r="U461" s="7" t="n"/>
      <x:c r="V461" s="7" t="n"/>
      <x:c r="W461" s="7" t="n"/>
      <x:c r="X461" s="7" t="n"/>
      <x:c r="Y461" s="7" t="n"/>
      <x:c r="Z461" s="7" t="n"/>
      <x:c r="AA461" s="7" t="n"/>
      <x:c r="AB461" s="7" t="n"/>
    </x:row>
    <x:row r="462" ht="20" customHeight="1">
      <x:c r="A462" s="12" t="inlineStr">
        <x:is>
          <x:t xml:space="preserve">Glendale Union High School District</x:t>
        </x:is>
      </x:c>
      <x:c r="B462" s="12" t="inlineStr">
        <x:is>
          <x:t xml:space="preserve">AZ</x:t>
        </x:is>
      </x:c>
      <x:c r="C462" s="12" t="inlineStr">
        <x:is>
          <x:t xml:space="preserve">Master's</x:t>
        </x:is>
      </x:c>
      <x:c r="D462" s="13" t="n">
        <x:v>9</x:v>
      </x:c>
      <x:c r="E462" s="14" t="n">
        <x:v>62225</x:v>
      </x:c>
      <x:c r="F462" s="83" t="str">
        <x:v>2026-06-17</x:v>
      </x:c>
      <x:c r="G462" s="7" t="n"/>
      <x:c r="H462" s="7" t="n"/>
      <x:c r="I462" s="7" t="n"/>
      <x:c r="J462" s="7" t="n"/>
      <x:c r="K462" s="7" t="n"/>
      <x:c r="L462" s="7" t="n"/>
      <x:c r="M462" s="7" t="n"/>
      <x:c r="N462" s="7" t="n"/>
      <x:c r="O462" s="7" t="n"/>
      <x:c r="P462" s="7" t="n"/>
      <x:c r="Q462" s="7" t="n"/>
      <x:c r="R462" s="7" t="n"/>
      <x:c r="S462" s="7" t="n"/>
      <x:c r="T462" s="7" t="n"/>
      <x:c r="U462" s="7" t="n"/>
      <x:c r="V462" s="7" t="n"/>
      <x:c r="W462" s="7" t="n"/>
      <x:c r="X462" s="7" t="n"/>
      <x:c r="Y462" s="7" t="n"/>
      <x:c r="Z462" s="7" t="n"/>
      <x:c r="AA462" s="7" t="n"/>
      <x:c r="AB462" s="7" t="n"/>
    </x:row>
    <x:row r="463" ht="20" customHeight="1">
      <x:c r="A463" s="12" t="inlineStr">
        <x:is>
          <x:t xml:space="preserve">Glendale Union High School District</x:t>
        </x:is>
      </x:c>
      <x:c r="B463" s="12" t="inlineStr">
        <x:is>
          <x:t xml:space="preserve">AZ</x:t>
        </x:is>
      </x:c>
      <x:c r="C463" s="12" t="inlineStr">
        <x:is>
          <x:t xml:space="preserve">Master's</x:t>
        </x:is>
      </x:c>
      <x:c r="D463" s="13" t="n">
        <x:v>10</x:v>
      </x:c>
      <x:c r="E463" s="14" t="n">
        <x:v>63128</x:v>
      </x:c>
      <x:c r="F463" s="83" t="str">
        <x:v>2026-06-17</x:v>
      </x:c>
      <x:c r="G463" s="7" t="n"/>
      <x:c r="H463" s="7" t="n"/>
      <x:c r="I463" s="7" t="n"/>
      <x:c r="J463" s="7" t="n"/>
      <x:c r="K463" s="7" t="n"/>
      <x:c r="L463" s="7" t="n"/>
      <x:c r="M463" s="7" t="n"/>
      <x:c r="N463" s="7" t="n"/>
      <x:c r="O463" s="7" t="n"/>
      <x:c r="P463" s="7" t="n"/>
      <x:c r="Q463" s="7" t="n"/>
      <x:c r="R463" s="7" t="n"/>
      <x:c r="S463" s="7" t="n"/>
      <x:c r="T463" s="7" t="n"/>
      <x:c r="U463" s="7" t="n"/>
      <x:c r="V463" s="7" t="n"/>
      <x:c r="W463" s="7" t="n"/>
      <x:c r="X463" s="7" t="n"/>
      <x:c r="Y463" s="7" t="n"/>
      <x:c r="Z463" s="7" t="n"/>
      <x:c r="AA463" s="7" t="n"/>
      <x:c r="AB463" s="7" t="n"/>
    </x:row>
    <x:row r="464" ht="20" customHeight="1">
      <x:c r="A464" s="12" t="inlineStr">
        <x:is>
          <x:t xml:space="preserve">Glendora Unified School District</x:t>
        </x:is>
      </x:c>
      <x:c r="B464" s="12" t="inlineStr">
        <x:is>
          <x:t xml:space="preserve">CA</x:t>
        </x:is>
      </x:c>
      <x:c r="C464" s="12" t="inlineStr">
        <x:is>
          <x:t xml:space="preserve">Bachelor's</x:t>
        </x:is>
      </x:c>
      <x:c r="D464" s="13" t="n">
        <x:v>0</x:v>
      </x:c>
      <x:c r="E464" s="14" t="n">
        <x:v>55384</x:v>
      </x:c>
      <x:c r="F464" s="83" t="inlineStr">
        <x:is>
          <x:t xml:space="preserve">2026-06-10</x:t>
        </x:is>
      </x:c>
      <x:c r="G464" s="7" t="n"/>
      <x:c r="H464" s="7" t="n"/>
      <x:c r="I464" s="7" t="n"/>
      <x:c r="J464" s="7" t="n"/>
      <x:c r="K464" s="7" t="n"/>
      <x:c r="L464" s="7" t="n"/>
      <x:c r="M464" s="7" t="n"/>
      <x:c r="N464" s="7" t="n"/>
      <x:c r="O464" s="7" t="n"/>
      <x:c r="P464" s="7" t="n"/>
      <x:c r="Q464" s="7" t="n"/>
      <x:c r="R464" s="7" t="n"/>
      <x:c r="S464" s="7" t="n"/>
      <x:c r="T464" s="7" t="n"/>
      <x:c r="U464" s="7" t="n"/>
      <x:c r="V464" s="7" t="n"/>
      <x:c r="W464" s="7" t="n"/>
      <x:c r="X464" s="7" t="n"/>
      <x:c r="Y464" s="7" t="n"/>
      <x:c r="Z464" s="7" t="n"/>
      <x:c r="AA464" s="7" t="n"/>
      <x:c r="AB464" s="7" t="n"/>
    </x:row>
    <x:row r="465" ht="20" customHeight="1">
      <x:c r="A465" s="12" t="inlineStr">
        <x:is>
          <x:t xml:space="preserve">Glendora Unified School District</x:t>
        </x:is>
      </x:c>
      <x:c r="B465" s="12" t="inlineStr">
        <x:is>
          <x:t xml:space="preserve">CA</x:t>
        </x:is>
      </x:c>
      <x:c r="C465" s="12" t="inlineStr">
        <x:is>
          <x:t xml:space="preserve">Bachelor's</x:t>
        </x:is>
      </x:c>
      <x:c r="D465" s="13" t="n">
        <x:v>1</x:v>
      </x:c>
      <x:c r="E465" s="14" t="n">
        <x:v>55384</x:v>
      </x:c>
      <x:c r="F465" s="83" t="inlineStr">
        <x:is>
          <x:t xml:space="preserve">2026-06-10</x:t>
        </x:is>
      </x:c>
      <x:c r="G465" s="7" t="n"/>
      <x:c r="H465" s="7" t="n"/>
      <x:c r="I465" s="7" t="n"/>
      <x:c r="J465" s="7" t="n"/>
      <x:c r="K465" s="7" t="n"/>
      <x:c r="L465" s="7" t="n"/>
      <x:c r="M465" s="7" t="n"/>
      <x:c r="N465" s="7" t="n"/>
      <x:c r="O465" s="7" t="n"/>
      <x:c r="P465" s="7" t="n"/>
      <x:c r="Q465" s="7" t="n"/>
      <x:c r="R465" s="7" t="n"/>
      <x:c r="S465" s="7" t="n"/>
      <x:c r="T465" s="7" t="n"/>
      <x:c r="U465" s="7" t="n"/>
      <x:c r="V465" s="7" t="n"/>
      <x:c r="W465" s="7" t="n"/>
      <x:c r="X465" s="7" t="n"/>
      <x:c r="Y465" s="7" t="n"/>
      <x:c r="Z465" s="7" t="n"/>
      <x:c r="AA465" s="7" t="n"/>
      <x:c r="AB465" s="7" t="n"/>
    </x:row>
    <x:row r="466" ht="20" customHeight="1">
      <x:c r="A466" s="12" t="inlineStr">
        <x:is>
          <x:t xml:space="preserve">Glendora Unified School District</x:t>
        </x:is>
      </x:c>
      <x:c r="B466" s="12" t="inlineStr">
        <x:is>
          <x:t xml:space="preserve">CA</x:t>
        </x:is>
      </x:c>
      <x:c r="C466" s="12" t="inlineStr">
        <x:is>
          <x:t xml:space="preserve">Bachelor's</x:t>
        </x:is>
      </x:c>
      <x:c r="D466" s="13" t="n">
        <x:v>2</x:v>
      </x:c>
      <x:c r="E466" s="14" t="n">
        <x:v>57598</x:v>
      </x:c>
      <x:c r="F466" s="83" t="inlineStr">
        <x:is>
          <x:t xml:space="preserve">2026-06-10</x:t>
        </x:is>
      </x:c>
      <x:c r="G466" s="7" t="n"/>
      <x:c r="H466" s="7" t="n"/>
      <x:c r="I466" s="7" t="n"/>
      <x:c r="J466" s="7" t="n"/>
      <x:c r="K466" s="7" t="n"/>
      <x:c r="L466" s="7" t="n"/>
      <x:c r="M466" s="7" t="n"/>
      <x:c r="N466" s="7" t="n"/>
      <x:c r="O466" s="7" t="n"/>
      <x:c r="P466" s="7" t="n"/>
      <x:c r="Q466" s="7" t="n"/>
      <x:c r="R466" s="7" t="n"/>
      <x:c r="S466" s="7" t="n"/>
      <x:c r="T466" s="7" t="n"/>
      <x:c r="U466" s="7" t="n"/>
      <x:c r="V466" s="7" t="n"/>
      <x:c r="W466" s="7" t="n"/>
      <x:c r="X466" s="7" t="n"/>
      <x:c r="Y466" s="7" t="n"/>
      <x:c r="Z466" s="7" t="n"/>
      <x:c r="AA466" s="7" t="n"/>
      <x:c r="AB466" s="7" t="n"/>
    </x:row>
    <x:row r="467" ht="20" customHeight="1">
      <x:c r="A467" s="12" t="inlineStr">
        <x:is>
          <x:t xml:space="preserve">Glendora Unified School District</x:t>
        </x:is>
      </x:c>
      <x:c r="B467" s="12" t="inlineStr">
        <x:is>
          <x:t xml:space="preserve">CA</x:t>
        </x:is>
      </x:c>
      <x:c r="C467" s="12" t="inlineStr">
        <x:is>
          <x:t xml:space="preserve">Bachelor's</x:t>
        </x:is>
      </x:c>
      <x:c r="D467" s="13" t="n">
        <x:v>3</x:v>
      </x:c>
      <x:c r="E467" s="14" t="n">
        <x:v>59779</x:v>
      </x:c>
      <x:c r="F467" s="83" t="inlineStr">
        <x:is>
          <x:t xml:space="preserve">2026-06-10</x:t>
        </x:is>
      </x:c>
      <x:c r="G467" s="7" t="n"/>
      <x:c r="H467" s="7" t="n"/>
      <x:c r="I467" s="7" t="n"/>
      <x:c r="J467" s="7" t="n"/>
      <x:c r="K467" s="7" t="n"/>
      <x:c r="L467" s="7" t="n"/>
      <x:c r="M467" s="7" t="n"/>
      <x:c r="N467" s="7" t="n"/>
      <x:c r="O467" s="7" t="n"/>
      <x:c r="P467" s="7" t="n"/>
      <x:c r="Q467" s="7" t="n"/>
      <x:c r="R467" s="7" t="n"/>
      <x:c r="S467" s="7" t="n"/>
      <x:c r="T467" s="7" t="n"/>
      <x:c r="U467" s="7" t="n"/>
      <x:c r="V467" s="7" t="n"/>
      <x:c r="W467" s="7" t="n"/>
      <x:c r="X467" s="7" t="n"/>
      <x:c r="Y467" s="7" t="n"/>
      <x:c r="Z467" s="7" t="n"/>
      <x:c r="AA467" s="7" t="n"/>
      <x:c r="AB467" s="7" t="n"/>
    </x:row>
    <x:row r="468" ht="20" customHeight="1">
      <x:c r="A468" s="12" t="inlineStr">
        <x:is>
          <x:t xml:space="preserve">Glendora Unified School District</x:t>
        </x:is>
      </x:c>
      <x:c r="B468" s="12" t="inlineStr">
        <x:is>
          <x:t xml:space="preserve">CA</x:t>
        </x:is>
      </x:c>
      <x:c r="C468" s="12" t="inlineStr">
        <x:is>
          <x:t xml:space="preserve">Bachelor's</x:t>
        </x:is>
      </x:c>
      <x:c r="D468" s="13" t="n">
        <x:v>4</x:v>
      </x:c>
      <x:c r="E468" s="14" t="n">
        <x:v>61994</x:v>
      </x:c>
      <x:c r="F468" s="83" t="inlineStr">
        <x:is>
          <x:t xml:space="preserve">2026-06-10</x:t>
        </x:is>
      </x:c>
      <x:c r="G468" s="7" t="n"/>
      <x:c r="H468" s="7" t="n"/>
      <x:c r="I468" s="7" t="n"/>
      <x:c r="J468" s="7" t="n"/>
      <x:c r="K468" s="7" t="n"/>
      <x:c r="L468" s="7" t="n"/>
      <x:c r="M468" s="7" t="n"/>
      <x:c r="N468" s="7" t="n"/>
      <x:c r="O468" s="7" t="n"/>
      <x:c r="P468" s="7" t="n"/>
      <x:c r="Q468" s="7" t="n"/>
      <x:c r="R468" s="7" t="n"/>
      <x:c r="S468" s="7" t="n"/>
      <x:c r="T468" s="7" t="n"/>
      <x:c r="U468" s="7" t="n"/>
      <x:c r="V468" s="7" t="n"/>
      <x:c r="W468" s="7" t="n"/>
      <x:c r="X468" s="7" t="n"/>
      <x:c r="Y468" s="7" t="n"/>
      <x:c r="Z468" s="7" t="n"/>
      <x:c r="AA468" s="7" t="n"/>
      <x:c r="AB468" s="7" t="n"/>
    </x:row>
    <x:row r="469" ht="20" customHeight="1">
      <x:c r="A469" s="12" t="inlineStr">
        <x:is>
          <x:t xml:space="preserve">Glendora Unified School District</x:t>
        </x:is>
      </x:c>
      <x:c r="B469" s="12" t="inlineStr">
        <x:is>
          <x:t xml:space="preserve">CA</x:t>
        </x:is>
      </x:c>
      <x:c r="C469" s="12" t="inlineStr">
        <x:is>
          <x:t xml:space="preserve">Bachelor's</x:t>
        </x:is>
      </x:c>
      <x:c r="D469" s="13" t="n">
        <x:v>5</x:v>
      </x:c>
      <x:c r="E469" s="14" t="n">
        <x:v>64186</x:v>
      </x:c>
      <x:c r="F469" s="83" t="inlineStr">
        <x:is>
          <x:t xml:space="preserve">2026-06-10</x:t>
        </x:is>
      </x:c>
      <x:c r="G469" s="7" t="n"/>
      <x:c r="H469" s="7" t="n"/>
      <x:c r="I469" s="7" t="n"/>
      <x:c r="J469" s="7" t="n"/>
      <x:c r="K469" s="7" t="n"/>
      <x:c r="L469" s="7" t="n"/>
      <x:c r="M469" s="7" t="n"/>
      <x:c r="N469" s="7" t="n"/>
      <x:c r="O469" s="7" t="n"/>
      <x:c r="P469" s="7" t="n"/>
      <x:c r="Q469" s="7" t="n"/>
      <x:c r="R469" s="7" t="n"/>
      <x:c r="S469" s="7" t="n"/>
      <x:c r="T469" s="7" t="n"/>
      <x:c r="U469" s="7" t="n"/>
      <x:c r="V469" s="7" t="n"/>
      <x:c r="W469" s="7" t="n"/>
      <x:c r="X469" s="7" t="n"/>
      <x:c r="Y469" s="7" t="n"/>
      <x:c r="Z469" s="7" t="n"/>
      <x:c r="AA469" s="7" t="n"/>
      <x:c r="AB469" s="7" t="n"/>
    </x:row>
    <x:row r="470" ht="20" customHeight="1">
      <x:c r="A470" s="12" t="inlineStr">
        <x:is>
          <x:t xml:space="preserve">Glendora Unified School District</x:t>
        </x:is>
      </x:c>
      <x:c r="B470" s="12" t="inlineStr">
        <x:is>
          <x:t xml:space="preserve">CA</x:t>
        </x:is>
      </x:c>
      <x:c r="C470" s="12" t="inlineStr">
        <x:is>
          <x:t xml:space="preserve">Bachelor's</x:t>
        </x:is>
      </x:c>
      <x:c r="D470" s="13" t="n">
        <x:v>6</x:v>
      </x:c>
      <x:c r="E470" s="14" t="n">
        <x:v>66394</x:v>
      </x:c>
      <x:c r="F470" s="83" t="inlineStr">
        <x:is>
          <x:t xml:space="preserve">2026-06-10</x:t>
        </x:is>
      </x:c>
      <x:c r="G470" s="7" t="n"/>
      <x:c r="H470" s="7" t="n"/>
      <x:c r="I470" s="7" t="n"/>
      <x:c r="J470" s="7" t="n"/>
      <x:c r="K470" s="7" t="n"/>
      <x:c r="L470" s="7" t="n"/>
      <x:c r="M470" s="7" t="n"/>
      <x:c r="N470" s="7" t="n"/>
      <x:c r="O470" s="7" t="n"/>
      <x:c r="P470" s="7" t="n"/>
      <x:c r="Q470" s="7" t="n"/>
      <x:c r="R470" s="7" t="n"/>
      <x:c r="S470" s="7" t="n"/>
      <x:c r="T470" s="7" t="n"/>
      <x:c r="U470" s="7" t="n"/>
      <x:c r="V470" s="7" t="n"/>
      <x:c r="W470" s="7" t="n"/>
      <x:c r="X470" s="7" t="n"/>
      <x:c r="Y470" s="7" t="n"/>
      <x:c r="Z470" s="7" t="n"/>
      <x:c r="AA470" s="7" t="n"/>
      <x:c r="AB470" s="7" t="n"/>
    </x:row>
    <x:row r="471" ht="20" customHeight="1">
      <x:c r="A471" s="12" t="inlineStr">
        <x:is>
          <x:t xml:space="preserve">Glendora Unified School District</x:t>
        </x:is>
      </x:c>
      <x:c r="B471" s="12" t="inlineStr">
        <x:is>
          <x:t xml:space="preserve">CA</x:t>
        </x:is>
      </x:c>
      <x:c r="C471" s="12" t="inlineStr">
        <x:is>
          <x:t xml:space="preserve">Bachelor's</x:t>
        </x:is>
      </x:c>
      <x:c r="D471" s="13" t="n">
        <x:v>7</x:v>
      </x:c>
      <x:c r="E471" s="14" t="n">
        <x:v>68605</x:v>
      </x:c>
      <x:c r="F471" s="83" t="inlineStr">
        <x:is>
          <x:t xml:space="preserve">2026-06-10</x:t>
        </x:is>
      </x:c>
      <x:c r="G471" s="7" t="n"/>
      <x:c r="H471" s="7" t="n"/>
      <x:c r="I471" s="7" t="n"/>
      <x:c r="J471" s="7" t="n"/>
      <x:c r="K471" s="7" t="n"/>
      <x:c r="L471" s="7" t="n"/>
      <x:c r="M471" s="7" t="n"/>
      <x:c r="N471" s="7" t="n"/>
      <x:c r="O471" s="7" t="n"/>
      <x:c r="P471" s="7" t="n"/>
      <x:c r="Q471" s="7" t="n"/>
      <x:c r="R471" s="7" t="n"/>
      <x:c r="S471" s="7" t="n"/>
      <x:c r="T471" s="7" t="n"/>
      <x:c r="U471" s="7" t="n"/>
      <x:c r="V471" s="7" t="n"/>
      <x:c r="W471" s="7" t="n"/>
      <x:c r="X471" s="7" t="n"/>
      <x:c r="Y471" s="7" t="n"/>
      <x:c r="Z471" s="7" t="n"/>
      <x:c r="AA471" s="7" t="n"/>
      <x:c r="AB471" s="7" t="n"/>
    </x:row>
    <x:row r="472" ht="20" customHeight="1">
      <x:c r="A472" s="12" t="inlineStr">
        <x:is>
          <x:t xml:space="preserve">Glendora Unified School District</x:t>
        </x:is>
      </x:c>
      <x:c r="B472" s="12" t="inlineStr">
        <x:is>
          <x:t xml:space="preserve">CA</x:t>
        </x:is>
      </x:c>
      <x:c r="C472" s="12" t="inlineStr">
        <x:is>
          <x:t xml:space="preserve">Bachelor's</x:t>
        </x:is>
      </x:c>
      <x:c r="D472" s="13" t="n">
        <x:v>8</x:v>
      </x:c>
      <x:c r="E472" s="14" t="n">
        <x:v>70809</x:v>
      </x:c>
      <x:c r="F472" s="83" t="inlineStr">
        <x:is>
          <x:t xml:space="preserve">2026-06-10</x:t>
        </x:is>
      </x:c>
      <x:c r="G472" s="7" t="n"/>
      <x:c r="H472" s="7" t="n"/>
      <x:c r="I472" s="7" t="n"/>
      <x:c r="J472" s="7" t="n"/>
      <x:c r="K472" s="7" t="n"/>
      <x:c r="L472" s="7" t="n"/>
      <x:c r="M472" s="7" t="n"/>
      <x:c r="N472" s="7" t="n"/>
      <x:c r="O472" s="7" t="n"/>
      <x:c r="P472" s="7" t="n"/>
      <x:c r="Q472" s="7" t="n"/>
      <x:c r="R472" s="7" t="n"/>
      <x:c r="S472" s="7" t="n"/>
      <x:c r="T472" s="7" t="n"/>
      <x:c r="U472" s="7" t="n"/>
      <x:c r="V472" s="7" t="n"/>
      <x:c r="W472" s="7" t="n"/>
      <x:c r="X472" s="7" t="n"/>
      <x:c r="Y472" s="7" t="n"/>
      <x:c r="Z472" s="7" t="n"/>
      <x:c r="AA472" s="7" t="n"/>
      <x:c r="AB472" s="7" t="n"/>
    </x:row>
    <x:row r="473" ht="20" customHeight="1">
      <x:c r="A473" s="12" t="inlineStr">
        <x:is>
          <x:t xml:space="preserve">Glendora Unified School District</x:t>
        </x:is>
      </x:c>
      <x:c r="B473" s="12" t="inlineStr">
        <x:is>
          <x:t xml:space="preserve">CA</x:t>
        </x:is>
      </x:c>
      <x:c r="C473" s="12" t="inlineStr">
        <x:is>
          <x:t xml:space="preserve">Bachelor's</x:t>
        </x:is>
      </x:c>
      <x:c r="D473" s="13" t="n">
        <x:v>9</x:v>
      </x:c>
      <x:c r="E473" s="14" t="n">
        <x:v>70809</x:v>
      </x:c>
      <x:c r="F473" s="83" t="inlineStr">
        <x:is>
          <x:t xml:space="preserve">2026-06-10</x:t>
        </x:is>
      </x:c>
      <x:c r="G473" s="7" t="n"/>
      <x:c r="H473" s="7" t="n"/>
      <x:c r="I473" s="7" t="n"/>
      <x:c r="J473" s="7" t="n"/>
      <x:c r="K473" s="7" t="n"/>
      <x:c r="L473" s="7" t="n"/>
      <x:c r="M473" s="7" t="n"/>
      <x:c r="N473" s="7" t="n"/>
      <x:c r="O473" s="7" t="n"/>
      <x:c r="P473" s="7" t="n"/>
      <x:c r="Q473" s="7" t="n"/>
      <x:c r="R473" s="7" t="n"/>
      <x:c r="S473" s="7" t="n"/>
      <x:c r="T473" s="7" t="n"/>
      <x:c r="U473" s="7" t="n"/>
      <x:c r="V473" s="7" t="n"/>
      <x:c r="W473" s="7" t="n"/>
      <x:c r="X473" s="7" t="n"/>
      <x:c r="Y473" s="7" t="n"/>
      <x:c r="Z473" s="7" t="n"/>
      <x:c r="AA473" s="7" t="n"/>
      <x:c r="AB473" s="7" t="n"/>
    </x:row>
    <x:row r="474" ht="20" customHeight="1">
      <x:c r="A474" s="12" t="inlineStr">
        <x:is>
          <x:t xml:space="preserve">Glendora Unified School District</x:t>
        </x:is>
      </x:c>
      <x:c r="B474" s="12" t="inlineStr">
        <x:is>
          <x:t xml:space="preserve">CA</x:t>
        </x:is>
      </x:c>
      <x:c r="C474" s="12" t="inlineStr">
        <x:is>
          <x:t xml:space="preserve">Bachelor's</x:t>
        </x:is>
      </x:c>
      <x:c r="D474" s="13" t="n">
        <x:v>10</x:v>
      </x:c>
      <x:c r="E474" s="14" t="n">
        <x:v>70809</x:v>
      </x:c>
      <x:c r="F474" s="83" t="inlineStr">
        <x:is>
          <x:t xml:space="preserve">2026-06-10</x:t>
        </x:is>
      </x:c>
      <x:c r="G474" s="7" t="n"/>
      <x:c r="H474" s="7" t="n"/>
      <x:c r="I474" s="7" t="n"/>
      <x:c r="J474" s="7" t="n"/>
      <x:c r="K474" s="7" t="n"/>
      <x:c r="L474" s="7" t="n"/>
      <x:c r="M474" s="7" t="n"/>
      <x:c r="N474" s="7" t="n"/>
      <x:c r="O474" s="7" t="n"/>
      <x:c r="P474" s="7" t="n"/>
      <x:c r="Q474" s="7" t="n"/>
      <x:c r="R474" s="7" t="n"/>
      <x:c r="S474" s="7" t="n"/>
      <x:c r="T474" s="7" t="n"/>
      <x:c r="U474" s="7" t="n"/>
      <x:c r="V474" s="7" t="n"/>
      <x:c r="W474" s="7" t="n"/>
      <x:c r="X474" s="7" t="n"/>
      <x:c r="Y474" s="7" t="n"/>
      <x:c r="Z474" s="7" t="n"/>
      <x:c r="AA474" s="7" t="n"/>
      <x:c r="AB474" s="7" t="n"/>
    </x:row>
    <x:row r="475" ht="20" customHeight="1">
      <x:c r="A475" s="12" t="inlineStr">
        <x:is>
          <x:t xml:space="preserve">Glendora Unified School District</x:t>
        </x:is>
      </x:c>
      <x:c r="B475" s="12" t="inlineStr">
        <x:is>
          <x:t xml:space="preserve">CA</x:t>
        </x:is>
      </x:c>
      <x:c r="C475" s="12" t="inlineStr">
        <x:is>
          <x:t xml:space="preserve">Master's</x:t>
        </x:is>
      </x:c>
      <x:c r="D475" s="13" t="n">
        <x:v>0</x:v>
      </x:c>
      <x:c r="E475" s="14" t="n">
        <x:v>66948</x:v>
      </x:c>
      <x:c r="F475" s="83" t="inlineStr">
        <x:is>
          <x:t xml:space="preserve">2026-06-10</x:t>
        </x:is>
      </x:c>
      <x:c r="G475" s="7" t="n"/>
      <x:c r="H475" s="7" t="n"/>
      <x:c r="I475" s="7" t="n"/>
      <x:c r="J475" s="7" t="n"/>
      <x:c r="K475" s="7" t="n"/>
      <x:c r="L475" s="7" t="n"/>
      <x:c r="M475" s="7" t="n"/>
      <x:c r="N475" s="7" t="n"/>
      <x:c r="O475" s="7" t="n"/>
      <x:c r="P475" s="7" t="n"/>
      <x:c r="Q475" s="7" t="n"/>
      <x:c r="R475" s="7" t="n"/>
      <x:c r="S475" s="7" t="n"/>
      <x:c r="T475" s="7" t="n"/>
      <x:c r="U475" s="7" t="n"/>
      <x:c r="V475" s="7" t="n"/>
      <x:c r="W475" s="7" t="n"/>
      <x:c r="X475" s="7" t="n"/>
      <x:c r="Y475" s="7" t="n"/>
      <x:c r="Z475" s="7" t="n"/>
      <x:c r="AA475" s="7" t="n"/>
      <x:c r="AB475" s="7" t="n"/>
    </x:row>
    <x:row r="476" ht="20" customHeight="1">
      <x:c r="A476" s="12" t="inlineStr">
        <x:is>
          <x:t xml:space="preserve">Glendora Unified School District</x:t>
        </x:is>
      </x:c>
      <x:c r="B476" s="12" t="inlineStr">
        <x:is>
          <x:t xml:space="preserve">CA</x:t>
        </x:is>
      </x:c>
      <x:c r="C476" s="12" t="inlineStr">
        <x:is>
          <x:t xml:space="preserve">Master's</x:t>
        </x:is>
      </x:c>
      <x:c r="D476" s="13" t="n">
        <x:v>1</x:v>
      </x:c>
      <x:c r="E476" s="14" t="n">
        <x:v>66948</x:v>
      </x:c>
      <x:c r="F476" s="83" t="inlineStr">
        <x:is>
          <x:t xml:space="preserve">2026-06-10</x:t>
        </x:is>
      </x:c>
      <x:c r="G476" s="7" t="n"/>
      <x:c r="H476" s="7" t="n"/>
      <x:c r="I476" s="7" t="n"/>
      <x:c r="J476" s="7" t="n"/>
      <x:c r="K476" s="7" t="n"/>
      <x:c r="L476" s="7" t="n"/>
      <x:c r="M476" s="7" t="n"/>
      <x:c r="N476" s="7" t="n"/>
      <x:c r="O476" s="7" t="n"/>
      <x:c r="P476" s="7" t="n"/>
      <x:c r="Q476" s="7" t="n"/>
      <x:c r="R476" s="7" t="n"/>
      <x:c r="S476" s="7" t="n"/>
      <x:c r="T476" s="7" t="n"/>
      <x:c r="U476" s="7" t="n"/>
      <x:c r="V476" s="7" t="n"/>
      <x:c r="W476" s="7" t="n"/>
      <x:c r="X476" s="7" t="n"/>
      <x:c r="Y476" s="7" t="n"/>
      <x:c r="Z476" s="7" t="n"/>
      <x:c r="AA476" s="7" t="n"/>
      <x:c r="AB476" s="7" t="n"/>
    </x:row>
    <x:row r="477" ht="20" customHeight="1">
      <x:c r="A477" s="12" t="inlineStr">
        <x:is>
          <x:t xml:space="preserve">Glendora Unified School District</x:t>
        </x:is>
      </x:c>
      <x:c r="B477" s="12" t="inlineStr">
        <x:is>
          <x:t xml:space="preserve">CA</x:t>
        </x:is>
      </x:c>
      <x:c r="C477" s="12" t="inlineStr">
        <x:is>
          <x:t xml:space="preserve">Master's</x:t>
        </x:is>
      </x:c>
      <x:c r="D477" s="13" t="n">
        <x:v>2</x:v>
      </x:c>
      <x:c r="E477" s="14" t="n">
        <x:v>69152</x:v>
      </x:c>
      <x:c r="F477" s="83" t="inlineStr">
        <x:is>
          <x:t xml:space="preserve">2026-06-10</x:t>
        </x:is>
      </x:c>
      <x:c r="G477" s="7" t="n"/>
      <x:c r="H477" s="7" t="n"/>
      <x:c r="I477" s="7" t="n"/>
      <x:c r="J477" s="7" t="n"/>
      <x:c r="K477" s="7" t="n"/>
      <x:c r="L477" s="7" t="n"/>
      <x:c r="M477" s="7" t="n"/>
      <x:c r="N477" s="7" t="n"/>
      <x:c r="O477" s="7" t="n"/>
      <x:c r="P477" s="7" t="n"/>
      <x:c r="Q477" s="7" t="n"/>
      <x:c r="R477" s="7" t="n"/>
      <x:c r="S477" s="7" t="n"/>
      <x:c r="T477" s="7" t="n"/>
      <x:c r="U477" s="7" t="n"/>
      <x:c r="V477" s="7" t="n"/>
      <x:c r="W477" s="7" t="n"/>
      <x:c r="X477" s="7" t="n"/>
      <x:c r="Y477" s="7" t="n"/>
      <x:c r="Z477" s="7" t="n"/>
      <x:c r="AA477" s="7" t="n"/>
      <x:c r="AB477" s="7" t="n"/>
    </x:row>
    <x:row r="478" ht="20" customHeight="1">
      <x:c r="A478" s="12" t="inlineStr">
        <x:is>
          <x:t xml:space="preserve">Glendora Unified School District</x:t>
        </x:is>
      </x:c>
      <x:c r="B478" s="12" t="inlineStr">
        <x:is>
          <x:t xml:space="preserve">CA</x:t>
        </x:is>
      </x:c>
      <x:c r="C478" s="12" t="inlineStr">
        <x:is>
          <x:t xml:space="preserve">Master's</x:t>
        </x:is>
      </x:c>
      <x:c r="D478" s="13" t="n">
        <x:v>3</x:v>
      </x:c>
      <x:c r="E478" s="14" t="n">
        <x:v>71892</x:v>
      </x:c>
      <x:c r="F478" s="83" t="inlineStr">
        <x:is>
          <x:t xml:space="preserve">2026-06-10</x:t>
        </x:is>
      </x:c>
      <x:c r="G478" s="7" t="n"/>
      <x:c r="H478" s="7" t="n"/>
      <x:c r="I478" s="7" t="n"/>
      <x:c r="J478" s="7" t="n"/>
      <x:c r="K478" s="7" t="n"/>
      <x:c r="L478" s="7" t="n"/>
      <x:c r="M478" s="7" t="n"/>
      <x:c r="N478" s="7" t="n"/>
      <x:c r="O478" s="7" t="n"/>
      <x:c r="P478" s="7" t="n"/>
      <x:c r="Q478" s="7" t="n"/>
      <x:c r="R478" s="7" t="n"/>
      <x:c r="S478" s="7" t="n"/>
      <x:c r="T478" s="7" t="n"/>
      <x:c r="U478" s="7" t="n"/>
      <x:c r="V478" s="7" t="n"/>
      <x:c r="W478" s="7" t="n"/>
      <x:c r="X478" s="7" t="n"/>
      <x:c r="Y478" s="7" t="n"/>
      <x:c r="Z478" s="7" t="n"/>
      <x:c r="AA478" s="7" t="n"/>
      <x:c r="AB478" s="7" t="n"/>
    </x:row>
    <x:row r="479" ht="20" customHeight="1">
      <x:c r="A479" s="12" t="inlineStr">
        <x:is>
          <x:t xml:space="preserve">Glendora Unified School District</x:t>
        </x:is>
      </x:c>
      <x:c r="B479" s="12" t="inlineStr">
        <x:is>
          <x:t xml:space="preserve">CA</x:t>
        </x:is>
      </x:c>
      <x:c r="C479" s="12" t="inlineStr">
        <x:is>
          <x:t xml:space="preserve">Master's</x:t>
        </x:is>
      </x:c>
      <x:c r="D479" s="13" t="n">
        <x:v>4</x:v>
      </x:c>
      <x:c r="E479" s="14" t="n">
        <x:v>74652</x:v>
      </x:c>
      <x:c r="F479" s="83" t="inlineStr">
        <x:is>
          <x:t xml:space="preserve">2026-06-10</x:t>
        </x:is>
      </x:c>
      <x:c r="G479" s="7" t="n"/>
      <x:c r="H479" s="7" t="n"/>
      <x:c r="I479" s="7" t="n"/>
      <x:c r="J479" s="7" t="n"/>
      <x:c r="K479" s="7" t="n"/>
      <x:c r="L479" s="7" t="n"/>
      <x:c r="M479" s="7" t="n"/>
      <x:c r="N479" s="7" t="n"/>
      <x:c r="O479" s="7" t="n"/>
      <x:c r="P479" s="7" t="n"/>
      <x:c r="Q479" s="7" t="n"/>
      <x:c r="R479" s="7" t="n"/>
      <x:c r="S479" s="7" t="n"/>
      <x:c r="T479" s="7" t="n"/>
      <x:c r="U479" s="7" t="n"/>
      <x:c r="V479" s="7" t="n"/>
      <x:c r="W479" s="7" t="n"/>
      <x:c r="X479" s="7" t="n"/>
      <x:c r="Y479" s="7" t="n"/>
      <x:c r="Z479" s="7" t="n"/>
      <x:c r="AA479" s="7" t="n"/>
      <x:c r="AB479" s="7" t="n"/>
    </x:row>
    <x:row r="480" ht="20" customHeight="1">
      <x:c r="A480" s="12" t="inlineStr">
        <x:is>
          <x:t xml:space="preserve">Glendora Unified School District</x:t>
        </x:is>
      </x:c>
      <x:c r="B480" s="12" t="inlineStr">
        <x:is>
          <x:t xml:space="preserve">CA</x:t>
        </x:is>
      </x:c>
      <x:c r="C480" s="12" t="inlineStr">
        <x:is>
          <x:t xml:space="preserve">Master's</x:t>
        </x:is>
      </x:c>
      <x:c r="D480" s="13" t="n">
        <x:v>5</x:v>
      </x:c>
      <x:c r="E480" s="14" t="n">
        <x:v>77411</x:v>
      </x:c>
      <x:c r="F480" s="83" t="inlineStr">
        <x:is>
          <x:t xml:space="preserve">2026-06-10</x:t>
        </x:is>
      </x:c>
      <x:c r="G480" s="7" t="n"/>
      <x:c r="H480" s="7" t="n"/>
      <x:c r="I480" s="7" t="n"/>
      <x:c r="J480" s="7" t="n"/>
      <x:c r="K480" s="7" t="n"/>
      <x:c r="L480" s="7" t="n"/>
      <x:c r="M480" s="7" t="n"/>
      <x:c r="N480" s="7" t="n"/>
      <x:c r="O480" s="7" t="n"/>
      <x:c r="P480" s="7" t="n"/>
      <x:c r="Q480" s="7" t="n"/>
      <x:c r="R480" s="7" t="n"/>
      <x:c r="S480" s="7" t="n"/>
      <x:c r="T480" s="7" t="n"/>
      <x:c r="U480" s="7" t="n"/>
      <x:c r="V480" s="7" t="n"/>
      <x:c r="W480" s="7" t="n"/>
      <x:c r="X480" s="7" t="n"/>
      <x:c r="Y480" s="7" t="n"/>
      <x:c r="Z480" s="7" t="n"/>
      <x:c r="AA480" s="7" t="n"/>
      <x:c r="AB480" s="7" t="n"/>
    </x:row>
    <x:row r="481" ht="20" customHeight="1">
      <x:c r="A481" s="12" t="inlineStr">
        <x:is>
          <x:t xml:space="preserve">Glendora Unified School District</x:t>
        </x:is>
      </x:c>
      <x:c r="B481" s="12" t="inlineStr">
        <x:is>
          <x:t xml:space="preserve">CA</x:t>
        </x:is>
      </x:c>
      <x:c r="C481" s="12" t="inlineStr">
        <x:is>
          <x:t xml:space="preserve">Master's</x:t>
        </x:is>
      </x:c>
      <x:c r="D481" s="13" t="n">
        <x:v>6</x:v>
      </x:c>
      <x:c r="E481" s="14" t="n">
        <x:v>80707</x:v>
      </x:c>
      <x:c r="F481" s="83" t="inlineStr">
        <x:is>
          <x:t xml:space="preserve">2026-06-10</x:t>
        </x:is>
      </x:c>
      <x:c r="G481" s="7" t="n"/>
      <x:c r="H481" s="7" t="n"/>
      <x:c r="I481" s="7" t="n"/>
      <x:c r="J481" s="7" t="n"/>
      <x:c r="K481" s="7" t="n"/>
      <x:c r="L481" s="7" t="n"/>
      <x:c r="M481" s="7" t="n"/>
      <x:c r="N481" s="7" t="n"/>
      <x:c r="O481" s="7" t="n"/>
      <x:c r="P481" s="7" t="n"/>
      <x:c r="Q481" s="7" t="n"/>
      <x:c r="R481" s="7" t="n"/>
      <x:c r="S481" s="7" t="n"/>
      <x:c r="T481" s="7" t="n"/>
      <x:c r="U481" s="7" t="n"/>
      <x:c r="V481" s="7" t="n"/>
      <x:c r="W481" s="7" t="n"/>
      <x:c r="X481" s="7" t="n"/>
      <x:c r="Y481" s="7" t="n"/>
      <x:c r="Z481" s="7" t="n"/>
      <x:c r="AA481" s="7" t="n"/>
      <x:c r="AB481" s="7" t="n"/>
    </x:row>
    <x:row r="482" ht="20" customHeight="1">
      <x:c r="A482" s="12" t="inlineStr">
        <x:is>
          <x:t xml:space="preserve">Glendora Unified School District</x:t>
        </x:is>
      </x:c>
      <x:c r="B482" s="12" t="inlineStr">
        <x:is>
          <x:t xml:space="preserve">CA</x:t>
        </x:is>
      </x:c>
      <x:c r="C482" s="12" t="inlineStr">
        <x:is>
          <x:t xml:space="preserve">Master's</x:t>
        </x:is>
      </x:c>
      <x:c r="D482" s="13" t="n">
        <x:v>7</x:v>
      </x:c>
      <x:c r="E482" s="14" t="n">
        <x:v>84023</x:v>
      </x:c>
      <x:c r="F482" s="83" t="inlineStr">
        <x:is>
          <x:t xml:space="preserve">2026-06-10</x:t>
        </x:is>
      </x:c>
      <x:c r="G482" s="7" t="n"/>
      <x:c r="H482" s="7" t="n"/>
      <x:c r="I482" s="7" t="n"/>
      <x:c r="J482" s="7" t="n"/>
      <x:c r="K482" s="7" t="n"/>
      <x:c r="L482" s="7" t="n"/>
      <x:c r="M482" s="7" t="n"/>
      <x:c r="N482" s="7" t="n"/>
      <x:c r="O482" s="7" t="n"/>
      <x:c r="P482" s="7" t="n"/>
      <x:c r="Q482" s="7" t="n"/>
      <x:c r="R482" s="7" t="n"/>
      <x:c r="S482" s="7" t="n"/>
      <x:c r="T482" s="7" t="n"/>
      <x:c r="U482" s="7" t="n"/>
      <x:c r="V482" s="7" t="n"/>
      <x:c r="W482" s="7" t="n"/>
      <x:c r="X482" s="7" t="n"/>
      <x:c r="Y482" s="7" t="n"/>
      <x:c r="Z482" s="7" t="n"/>
      <x:c r="AA482" s="7" t="n"/>
      <x:c r="AB482" s="7" t="n"/>
    </x:row>
    <x:row r="483" ht="20" customHeight="1">
      <x:c r="A483" s="12" t="inlineStr">
        <x:is>
          <x:t xml:space="preserve">Glendora Unified School District</x:t>
        </x:is>
      </x:c>
      <x:c r="B483" s="12" t="inlineStr">
        <x:is>
          <x:t xml:space="preserve">CA</x:t>
        </x:is>
      </x:c>
      <x:c r="C483" s="12" t="inlineStr">
        <x:is>
          <x:t xml:space="preserve">Master's</x:t>
        </x:is>
      </x:c>
      <x:c r="D483" s="13" t="n">
        <x:v>8</x:v>
      </x:c>
      <x:c r="E483" s="14" t="n">
        <x:v>87320</x:v>
      </x:c>
      <x:c r="F483" s="83" t="inlineStr">
        <x:is>
          <x:t xml:space="preserve">2026-06-10</x:t>
        </x:is>
      </x:c>
      <x:c r="G483" s="7" t="n"/>
      <x:c r="H483" s="7" t="n"/>
      <x:c r="I483" s="7" t="n"/>
      <x:c r="J483" s="7" t="n"/>
      <x:c r="K483" s="7" t="n"/>
      <x:c r="L483" s="7" t="n"/>
      <x:c r="M483" s="7" t="n"/>
      <x:c r="N483" s="7" t="n"/>
      <x:c r="O483" s="7" t="n"/>
      <x:c r="P483" s="7" t="n"/>
      <x:c r="Q483" s="7" t="n"/>
      <x:c r="R483" s="7" t="n"/>
      <x:c r="S483" s="7" t="n"/>
      <x:c r="T483" s="7" t="n"/>
      <x:c r="U483" s="7" t="n"/>
      <x:c r="V483" s="7" t="n"/>
      <x:c r="W483" s="7" t="n"/>
      <x:c r="X483" s="7" t="n"/>
      <x:c r="Y483" s="7" t="n"/>
      <x:c r="Z483" s="7" t="n"/>
      <x:c r="AA483" s="7" t="n"/>
      <x:c r="AB483" s="7" t="n"/>
    </x:row>
    <x:row r="484" ht="20" customHeight="1">
      <x:c r="A484" s="12" t="inlineStr">
        <x:is>
          <x:t xml:space="preserve">Glendora Unified School District</x:t>
        </x:is>
      </x:c>
      <x:c r="B484" s="12" t="inlineStr">
        <x:is>
          <x:t xml:space="preserve">CA</x:t>
        </x:is>
      </x:c>
      <x:c r="C484" s="12" t="inlineStr">
        <x:is>
          <x:t xml:space="preserve">Master's</x:t>
        </x:is>
      </x:c>
      <x:c r="D484" s="13" t="n">
        <x:v>9</x:v>
      </x:c>
      <x:c r="E484" s="14" t="n">
        <x:v>91184</x:v>
      </x:c>
      <x:c r="F484" s="83" t="inlineStr">
        <x:is>
          <x:t xml:space="preserve">2026-06-10</x:t>
        </x:is>
      </x:c>
      <x:c r="G484" s="7" t="n"/>
      <x:c r="H484" s="7" t="n"/>
      <x:c r="I484" s="7" t="n"/>
      <x:c r="J484" s="7" t="n"/>
      <x:c r="K484" s="7" t="n"/>
      <x:c r="L484" s="7" t="n"/>
      <x:c r="M484" s="7" t="n"/>
      <x:c r="N484" s="7" t="n"/>
      <x:c r="O484" s="7" t="n"/>
      <x:c r="P484" s="7" t="n"/>
      <x:c r="Q484" s="7" t="n"/>
      <x:c r="R484" s="7" t="n"/>
      <x:c r="S484" s="7" t="n"/>
      <x:c r="T484" s="7" t="n"/>
      <x:c r="U484" s="7" t="n"/>
      <x:c r="V484" s="7" t="n"/>
      <x:c r="W484" s="7" t="n"/>
      <x:c r="X484" s="7" t="n"/>
      <x:c r="Y484" s="7" t="n"/>
      <x:c r="Z484" s="7" t="n"/>
      <x:c r="AA484" s="7" t="n"/>
      <x:c r="AB484" s="7" t="n"/>
    </x:row>
    <x:row r="485" ht="20" customHeight="1">
      <x:c r="A485" s="12" t="inlineStr">
        <x:is>
          <x:t xml:space="preserve">Glendora Unified School District</x:t>
        </x:is>
      </x:c>
      <x:c r="B485" s="12" t="inlineStr">
        <x:is>
          <x:t xml:space="preserve">CA</x:t>
        </x:is>
      </x:c>
      <x:c r="C485" s="12" t="inlineStr">
        <x:is>
          <x:t xml:space="preserve">Master's</x:t>
        </x:is>
      </x:c>
      <x:c r="D485" s="13" t="n">
        <x:v>10</x:v>
      </x:c>
      <x:c r="E485" s="14" t="n">
        <x:v>95038</x:v>
      </x:c>
      <x:c r="F485" s="83" t="inlineStr">
        <x:is>
          <x:t xml:space="preserve">2026-06-10</x:t>
        </x:is>
      </x:c>
      <x:c r="G485" s="7" t="n"/>
      <x:c r="H485" s="7" t="n"/>
      <x:c r="I485" s="7" t="n"/>
      <x:c r="J485" s="7" t="n"/>
      <x:c r="K485" s="7" t="n"/>
      <x:c r="L485" s="7" t="n"/>
      <x:c r="M485" s="7" t="n"/>
      <x:c r="N485" s="7" t="n"/>
      <x:c r="O485" s="7" t="n"/>
      <x:c r="P485" s="7" t="n"/>
      <x:c r="Q485" s="7" t="n"/>
      <x:c r="R485" s="7" t="n"/>
      <x:c r="S485" s="7" t="n"/>
      <x:c r="T485" s="7" t="n"/>
      <x:c r="U485" s="7" t="n"/>
      <x:c r="V485" s="7" t="n"/>
      <x:c r="W485" s="7" t="n"/>
      <x:c r="X485" s="7" t="n"/>
      <x:c r="Y485" s="7" t="n"/>
      <x:c r="Z485" s="7" t="n"/>
      <x:c r="AA485" s="7" t="n"/>
      <x:c r="AB485" s="7" t="n"/>
    </x:row>
    <x:row r="486" ht="20" customHeight="1">
      <x:c r="A486" s="12" t="inlineStr">
        <x:is>
          <x:t xml:space="preserve">Gwinnett County Public Schools</x:t>
        </x:is>
      </x:c>
      <x:c r="B486" s="12" t="inlineStr">
        <x:is>
          <x:t xml:space="preserve">GA</x:t>
        </x:is>
      </x:c>
      <x:c r="C486" s="12" t="inlineStr">
        <x:is>
          <x:t xml:space="preserve">Bachelor's</x:t>
        </x:is>
      </x:c>
      <x:c r="D486" s="13" t="n">
        <x:v>0</x:v>
      </x:c>
      <x:c r="E486" s="14" t="n">
        <x:v>60146</x:v>
      </x:c>
      <x:c r="F486" s="83" t="inlineStr">
        <x:is>
          <x:t xml:space="preserve">2026-06-13</x:t>
        </x:is>
      </x:c>
      <x:c r="G486" s="7" t="n"/>
      <x:c r="H486" s="7" t="n"/>
      <x:c r="I486" s="7" t="n"/>
      <x:c r="J486" s="7" t="n"/>
      <x:c r="K486" s="7" t="n"/>
      <x:c r="L486" s="7" t="n"/>
      <x:c r="M486" s="7" t="n"/>
      <x:c r="N486" s="7" t="n"/>
      <x:c r="O486" s="7" t="n"/>
      <x:c r="P486" s="7" t="n"/>
      <x:c r="Q486" s="7" t="n"/>
      <x:c r="R486" s="7" t="n"/>
      <x:c r="S486" s="7" t="n"/>
      <x:c r="T486" s="7" t="n"/>
      <x:c r="U486" s="7" t="n"/>
      <x:c r="V486" s="7" t="n"/>
      <x:c r="W486" s="7" t="n"/>
      <x:c r="X486" s="7" t="n"/>
      <x:c r="Y486" s="7" t="n"/>
      <x:c r="Z486" s="7" t="n"/>
      <x:c r="AA486" s="7" t="n"/>
      <x:c r="AB486" s="7" t="n"/>
    </x:row>
    <x:row r="487" ht="20" customHeight="1">
      <x:c r="A487" s="12" t="inlineStr">
        <x:is>
          <x:t xml:space="preserve">Gwinnett County Public Schools</x:t>
        </x:is>
      </x:c>
      <x:c r="B487" s="12" t="inlineStr">
        <x:is>
          <x:t xml:space="preserve">GA</x:t>
        </x:is>
      </x:c>
      <x:c r="C487" s="12" t="inlineStr">
        <x:is>
          <x:t xml:space="preserve">Bachelor's</x:t>
        </x:is>
      </x:c>
      <x:c r="D487" s="13" t="n">
        <x:v>1</x:v>
      </x:c>
      <x:c r="E487" s="14" t="n">
        <x:v>60146</x:v>
      </x:c>
      <x:c r="F487" s="83" t="inlineStr">
        <x:is>
          <x:t xml:space="preserve">2026-06-13</x:t>
        </x:is>
      </x:c>
      <x:c r="G487" s="7" t="n"/>
      <x:c r="H487" s="7" t="n"/>
      <x:c r="I487" s="7" t="n"/>
      <x:c r="J487" s="7" t="n"/>
      <x:c r="K487" s="7" t="n"/>
      <x:c r="L487" s="7" t="n"/>
      <x:c r="M487" s="7" t="n"/>
      <x:c r="N487" s="7" t="n"/>
      <x:c r="O487" s="7" t="n"/>
      <x:c r="P487" s="7" t="n"/>
      <x:c r="Q487" s="7" t="n"/>
      <x:c r="R487" s="7" t="n"/>
      <x:c r="S487" s="7" t="n"/>
      <x:c r="T487" s="7" t="n"/>
      <x:c r="U487" s="7" t="n"/>
      <x:c r="V487" s="7" t="n"/>
      <x:c r="W487" s="7" t="n"/>
      <x:c r="X487" s="7" t="n"/>
      <x:c r="Y487" s="7" t="n"/>
      <x:c r="Z487" s="7" t="n"/>
      <x:c r="AA487" s="7" t="n"/>
      <x:c r="AB487" s="7" t="n"/>
    </x:row>
    <x:row r="488" ht="20" customHeight="1">
      <x:c r="A488" s="12" t="inlineStr">
        <x:is>
          <x:t xml:space="preserve">Gwinnett County Public Schools</x:t>
        </x:is>
      </x:c>
      <x:c r="B488" s="12" t="inlineStr">
        <x:is>
          <x:t xml:space="preserve">GA</x:t>
        </x:is>
      </x:c>
      <x:c r="C488" s="12" t="inlineStr">
        <x:is>
          <x:t xml:space="preserve">Bachelor's</x:t>
        </x:is>
      </x:c>
      <x:c r="D488" s="13" t="n">
        <x:v>2</x:v>
      </x:c>
      <x:c r="E488" s="14" t="n">
        <x:v>60146</x:v>
      </x:c>
      <x:c r="F488" s="83" t="inlineStr">
        <x:is>
          <x:t xml:space="preserve">2026-06-13</x:t>
        </x:is>
      </x:c>
      <x:c r="G488" s="7" t="n"/>
      <x:c r="H488" s="7" t="n"/>
      <x:c r="I488" s="7" t="n"/>
      <x:c r="J488" s="7" t="n"/>
      <x:c r="K488" s="7" t="n"/>
      <x:c r="L488" s="7" t="n"/>
      <x:c r="M488" s="7" t="n"/>
      <x:c r="N488" s="7" t="n"/>
      <x:c r="O488" s="7" t="n"/>
      <x:c r="P488" s="7" t="n"/>
      <x:c r="Q488" s="7" t="n"/>
      <x:c r="R488" s="7" t="n"/>
      <x:c r="S488" s="7" t="n"/>
      <x:c r="T488" s="7" t="n"/>
      <x:c r="U488" s="7" t="n"/>
      <x:c r="V488" s="7" t="n"/>
      <x:c r="W488" s="7" t="n"/>
      <x:c r="X488" s="7" t="n"/>
      <x:c r="Y488" s="7" t="n"/>
      <x:c r="Z488" s="7" t="n"/>
      <x:c r="AA488" s="7" t="n"/>
      <x:c r="AB488" s="7" t="n"/>
    </x:row>
    <x:row r="489" ht="20" customHeight="1">
      <x:c r="A489" s="12" t="inlineStr">
        <x:is>
          <x:t xml:space="preserve">Gwinnett County Public Schools</x:t>
        </x:is>
      </x:c>
      <x:c r="B489" s="12" t="inlineStr">
        <x:is>
          <x:t xml:space="preserve">GA</x:t>
        </x:is>
      </x:c>
      <x:c r="C489" s="12" t="inlineStr">
        <x:is>
          <x:t xml:space="preserve">Bachelor's</x:t>
        </x:is>
      </x:c>
      <x:c r="D489" s="13" t="n">
        <x:v>3</x:v>
      </x:c>
      <x:c r="E489" s="14" t="n">
        <x:v>61004</x:v>
      </x:c>
      <x:c r="F489" s="83" t="inlineStr">
        <x:is>
          <x:t xml:space="preserve">2026-06-13</x:t>
        </x:is>
      </x:c>
      <x:c r="G489" s="7" t="n"/>
      <x:c r="H489" s="7" t="n"/>
      <x:c r="I489" s="7" t="n"/>
      <x:c r="J489" s="7" t="n"/>
      <x:c r="K489" s="7" t="n"/>
      <x:c r="L489" s="7" t="n"/>
      <x:c r="M489" s="7" t="n"/>
      <x:c r="N489" s="7" t="n"/>
      <x:c r="O489" s="7" t="n"/>
      <x:c r="P489" s="7" t="n"/>
      <x:c r="Q489" s="7" t="n"/>
      <x:c r="R489" s="7" t="n"/>
      <x:c r="S489" s="7" t="n"/>
      <x:c r="T489" s="7" t="n"/>
      <x:c r="U489" s="7" t="n"/>
      <x:c r="V489" s="7" t="n"/>
      <x:c r="W489" s="7" t="n"/>
      <x:c r="X489" s="7" t="n"/>
      <x:c r="Y489" s="7" t="n"/>
      <x:c r="Z489" s="7" t="n"/>
      <x:c r="AA489" s="7" t="n"/>
      <x:c r="AB489" s="7" t="n"/>
    </x:row>
    <x:row r="490" ht="20" customHeight="1">
      <x:c r="A490" s="12" t="inlineStr">
        <x:is>
          <x:t xml:space="preserve">Gwinnett County Public Schools</x:t>
        </x:is>
      </x:c>
      <x:c r="B490" s="12" t="inlineStr">
        <x:is>
          <x:t xml:space="preserve">GA</x:t>
        </x:is>
      </x:c>
      <x:c r="C490" s="12" t="inlineStr">
        <x:is>
          <x:t xml:space="preserve">Bachelor's</x:t>
        </x:is>
      </x:c>
      <x:c r="D490" s="13" t="n">
        <x:v>4</x:v>
      </x:c>
      <x:c r="E490" s="14" t="n">
        <x:v>61862</x:v>
      </x:c>
      <x:c r="F490" s="83" t="inlineStr">
        <x:is>
          <x:t xml:space="preserve">2026-06-13</x:t>
        </x:is>
      </x:c>
      <x:c r="G490" s="7" t="n"/>
      <x:c r="H490" s="7" t="n"/>
      <x:c r="I490" s="7" t="n"/>
      <x:c r="J490" s="7" t="n"/>
      <x:c r="K490" s="7" t="n"/>
      <x:c r="L490" s="7" t="n"/>
      <x:c r="M490" s="7" t="n"/>
      <x:c r="N490" s="7" t="n"/>
      <x:c r="O490" s="7" t="n"/>
      <x:c r="P490" s="7" t="n"/>
      <x:c r="Q490" s="7" t="n"/>
      <x:c r="R490" s="7" t="n"/>
      <x:c r="S490" s="7" t="n"/>
      <x:c r="T490" s="7" t="n"/>
      <x:c r="U490" s="7" t="n"/>
      <x:c r="V490" s="7" t="n"/>
      <x:c r="W490" s="7" t="n"/>
      <x:c r="X490" s="7" t="n"/>
      <x:c r="Y490" s="7" t="n"/>
      <x:c r="Z490" s="7" t="n"/>
      <x:c r="AA490" s="7" t="n"/>
      <x:c r="AB490" s="7" t="n"/>
    </x:row>
    <x:row r="491" ht="20" customHeight="1">
      <x:c r="A491" s="12" t="inlineStr">
        <x:is>
          <x:t xml:space="preserve">Gwinnett County Public Schools</x:t>
        </x:is>
      </x:c>
      <x:c r="B491" s="12" t="inlineStr">
        <x:is>
          <x:t xml:space="preserve">GA</x:t>
        </x:is>
      </x:c>
      <x:c r="C491" s="12" t="inlineStr">
        <x:is>
          <x:t xml:space="preserve">Bachelor's</x:t>
        </x:is>
      </x:c>
      <x:c r="D491" s="13" t="n">
        <x:v>5</x:v>
      </x:c>
      <x:c r="E491" s="14" t="n">
        <x:v>62720</x:v>
      </x:c>
      <x:c r="F491" s="83" t="inlineStr">
        <x:is>
          <x:t xml:space="preserve">2026-06-13</x:t>
        </x:is>
      </x:c>
      <x:c r="G491" s="7" t="n"/>
      <x:c r="H491" s="7" t="n"/>
      <x:c r="I491" s="7" t="n"/>
      <x:c r="J491" s="7" t="n"/>
      <x:c r="K491" s="7" t="n"/>
      <x:c r="L491" s="7" t="n"/>
      <x:c r="M491" s="7" t="n"/>
      <x:c r="N491" s="7" t="n"/>
      <x:c r="O491" s="7" t="n"/>
      <x:c r="P491" s="7" t="n"/>
      <x:c r="Q491" s="7" t="n"/>
      <x:c r="R491" s="7" t="n"/>
      <x:c r="S491" s="7" t="n"/>
      <x:c r="T491" s="7" t="n"/>
      <x:c r="U491" s="7" t="n"/>
      <x:c r="V491" s="7" t="n"/>
      <x:c r="W491" s="7" t="n"/>
      <x:c r="X491" s="7" t="n"/>
      <x:c r="Y491" s="7" t="n"/>
      <x:c r="Z491" s="7" t="n"/>
      <x:c r="AA491" s="7" t="n"/>
      <x:c r="AB491" s="7" t="n"/>
    </x:row>
    <x:row r="492" ht="20" customHeight="1">
      <x:c r="A492" s="12" t="inlineStr">
        <x:is>
          <x:t xml:space="preserve">Gwinnett County Public Schools</x:t>
        </x:is>
      </x:c>
      <x:c r="B492" s="12" t="inlineStr">
        <x:is>
          <x:t xml:space="preserve">GA</x:t>
        </x:is>
      </x:c>
      <x:c r="C492" s="12" t="inlineStr">
        <x:is>
          <x:t xml:space="preserve">Bachelor's</x:t>
        </x:is>
      </x:c>
      <x:c r="D492" s="13" t="n">
        <x:v>6</x:v>
      </x:c>
      <x:c r="E492" s="14" t="n">
        <x:v>63578</x:v>
      </x:c>
      <x:c r="F492" s="83" t="inlineStr">
        <x:is>
          <x:t xml:space="preserve">2026-06-13</x:t>
        </x:is>
      </x:c>
      <x:c r="G492" s="7" t="n"/>
      <x:c r="H492" s="7" t="n"/>
      <x:c r="I492" s="7" t="n"/>
      <x:c r="J492" s="7" t="n"/>
      <x:c r="K492" s="7" t="n"/>
      <x:c r="L492" s="7" t="n"/>
      <x:c r="M492" s="7" t="n"/>
      <x:c r="N492" s="7" t="n"/>
      <x:c r="O492" s="7" t="n"/>
      <x:c r="P492" s="7" t="n"/>
      <x:c r="Q492" s="7" t="n"/>
      <x:c r="R492" s="7" t="n"/>
      <x:c r="S492" s="7" t="n"/>
      <x:c r="T492" s="7" t="n"/>
      <x:c r="U492" s="7" t="n"/>
      <x:c r="V492" s="7" t="n"/>
      <x:c r="W492" s="7" t="n"/>
      <x:c r="X492" s="7" t="n"/>
      <x:c r="Y492" s="7" t="n"/>
      <x:c r="Z492" s="7" t="n"/>
      <x:c r="AA492" s="7" t="n"/>
      <x:c r="AB492" s="7" t="n"/>
    </x:row>
    <x:row r="493" ht="20" customHeight="1">
      <x:c r="A493" s="12" t="inlineStr">
        <x:is>
          <x:t xml:space="preserve">Gwinnett County Public Schools</x:t>
        </x:is>
      </x:c>
      <x:c r="B493" s="12" t="inlineStr">
        <x:is>
          <x:t xml:space="preserve">GA</x:t>
        </x:is>
      </x:c>
      <x:c r="C493" s="12" t="inlineStr">
        <x:is>
          <x:t xml:space="preserve">Bachelor's</x:t>
        </x:is>
      </x:c>
      <x:c r="D493" s="13" t="n">
        <x:v>7</x:v>
      </x:c>
      <x:c r="E493" s="14" t="n">
        <x:v>64436</x:v>
      </x:c>
      <x:c r="F493" s="83" t="inlineStr">
        <x:is>
          <x:t xml:space="preserve">2026-06-13</x:t>
        </x:is>
      </x:c>
      <x:c r="G493" s="7" t="n"/>
      <x:c r="H493" s="7" t="n"/>
      <x:c r="I493" s="7" t="n"/>
      <x:c r="J493" s="7" t="n"/>
      <x:c r="K493" s="7" t="n"/>
      <x:c r="L493" s="7" t="n"/>
      <x:c r="M493" s="7" t="n"/>
      <x:c r="N493" s="7" t="n"/>
      <x:c r="O493" s="7" t="n"/>
      <x:c r="P493" s="7" t="n"/>
      <x:c r="Q493" s="7" t="n"/>
      <x:c r="R493" s="7" t="n"/>
      <x:c r="S493" s="7" t="n"/>
      <x:c r="T493" s="7" t="n"/>
      <x:c r="U493" s="7" t="n"/>
      <x:c r="V493" s="7" t="n"/>
      <x:c r="W493" s="7" t="n"/>
      <x:c r="X493" s="7" t="n"/>
      <x:c r="Y493" s="7" t="n"/>
      <x:c r="Z493" s="7" t="n"/>
      <x:c r="AA493" s="7" t="n"/>
      <x:c r="AB493" s="7" t="n"/>
    </x:row>
    <x:row r="494" ht="20" customHeight="1">
      <x:c r="A494" s="12" t="inlineStr">
        <x:is>
          <x:t xml:space="preserve">Gwinnett County Public Schools</x:t>
        </x:is>
      </x:c>
      <x:c r="B494" s="12" t="inlineStr">
        <x:is>
          <x:t xml:space="preserve">GA</x:t>
        </x:is>
      </x:c>
      <x:c r="C494" s="12" t="inlineStr">
        <x:is>
          <x:t xml:space="preserve">Bachelor's</x:t>
        </x:is>
      </x:c>
      <x:c r="D494" s="13" t="n">
        <x:v>8</x:v>
      </x:c>
      <x:c r="E494" s="14" t="n">
        <x:v>65294</x:v>
      </x:c>
      <x:c r="F494" s="83" t="inlineStr">
        <x:is>
          <x:t xml:space="preserve">2026-06-13</x:t>
        </x:is>
      </x:c>
      <x:c r="G494" s="7" t="n"/>
      <x:c r="H494" s="7" t="n"/>
      <x:c r="I494" s="7" t="n"/>
      <x:c r="J494" s="7" t="n"/>
      <x:c r="K494" s="7" t="n"/>
      <x:c r="L494" s="7" t="n"/>
      <x:c r="M494" s="7" t="n"/>
      <x:c r="N494" s="7" t="n"/>
      <x:c r="O494" s="7" t="n"/>
      <x:c r="P494" s="7" t="n"/>
      <x:c r="Q494" s="7" t="n"/>
      <x:c r="R494" s="7" t="n"/>
      <x:c r="S494" s="7" t="n"/>
      <x:c r="T494" s="7" t="n"/>
      <x:c r="U494" s="7" t="n"/>
      <x:c r="V494" s="7" t="n"/>
      <x:c r="W494" s="7" t="n"/>
      <x:c r="X494" s="7" t="n"/>
      <x:c r="Y494" s="7" t="n"/>
      <x:c r="Z494" s="7" t="n"/>
      <x:c r="AA494" s="7" t="n"/>
      <x:c r="AB494" s="7" t="n"/>
    </x:row>
    <x:row r="495" ht="20" customHeight="1">
      <x:c r="A495" s="12" t="inlineStr">
        <x:is>
          <x:t xml:space="preserve">Gwinnett County Public Schools</x:t>
        </x:is>
      </x:c>
      <x:c r="B495" s="12" t="inlineStr">
        <x:is>
          <x:t xml:space="preserve">GA</x:t>
        </x:is>
      </x:c>
      <x:c r="C495" s="12" t="inlineStr">
        <x:is>
          <x:t xml:space="preserve">Bachelor's</x:t>
        </x:is>
      </x:c>
      <x:c r="D495" s="13" t="n">
        <x:v>9</x:v>
      </x:c>
      <x:c r="E495" s="14" t="n">
        <x:v>66152</x:v>
      </x:c>
      <x:c r="F495" s="83" t="inlineStr">
        <x:is>
          <x:t xml:space="preserve">2026-06-13</x:t>
        </x:is>
      </x:c>
      <x:c r="G495" s="7" t="n"/>
      <x:c r="H495" s="7" t="n"/>
      <x:c r="I495" s="7" t="n"/>
      <x:c r="J495" s="7" t="n"/>
      <x:c r="K495" s="7" t="n"/>
      <x:c r="L495" s="7" t="n"/>
      <x:c r="M495" s="7" t="n"/>
      <x:c r="N495" s="7" t="n"/>
      <x:c r="O495" s="7" t="n"/>
      <x:c r="P495" s="7" t="n"/>
      <x:c r="Q495" s="7" t="n"/>
      <x:c r="R495" s="7" t="n"/>
      <x:c r="S495" s="7" t="n"/>
      <x:c r="T495" s="7" t="n"/>
      <x:c r="U495" s="7" t="n"/>
      <x:c r="V495" s="7" t="n"/>
      <x:c r="W495" s="7" t="n"/>
      <x:c r="X495" s="7" t="n"/>
      <x:c r="Y495" s="7" t="n"/>
      <x:c r="Z495" s="7" t="n"/>
      <x:c r="AA495" s="7" t="n"/>
      <x:c r="AB495" s="7" t="n"/>
    </x:row>
    <x:row r="496" ht="20" customHeight="1">
      <x:c r="A496" s="12" t="inlineStr">
        <x:is>
          <x:t xml:space="preserve">Gwinnett County Public Schools</x:t>
        </x:is>
      </x:c>
      <x:c r="B496" s="12" t="inlineStr">
        <x:is>
          <x:t xml:space="preserve">GA</x:t>
        </x:is>
      </x:c>
      <x:c r="C496" s="12" t="inlineStr">
        <x:is>
          <x:t xml:space="preserve">Bachelor's</x:t>
        </x:is>
      </x:c>
      <x:c r="D496" s="13" t="n">
        <x:v>10</x:v>
      </x:c>
      <x:c r="E496" s="14" t="n">
        <x:v>67010</x:v>
      </x:c>
      <x:c r="F496" s="83" t="inlineStr">
        <x:is>
          <x:t xml:space="preserve">2026-06-13</x:t>
        </x:is>
      </x:c>
      <x:c r="G496" s="7" t="n"/>
      <x:c r="H496" s="7" t="n"/>
      <x:c r="I496" s="7" t="n"/>
      <x:c r="J496" s="7" t="n"/>
      <x:c r="K496" s="7" t="n"/>
      <x:c r="L496" s="7" t="n"/>
      <x:c r="M496" s="7" t="n"/>
      <x:c r="N496" s="7" t="n"/>
      <x:c r="O496" s="7" t="n"/>
      <x:c r="P496" s="7" t="n"/>
      <x:c r="Q496" s="7" t="n"/>
      <x:c r="R496" s="7" t="n"/>
      <x:c r="S496" s="7" t="n"/>
      <x:c r="T496" s="7" t="n"/>
      <x:c r="U496" s="7" t="n"/>
      <x:c r="V496" s="7" t="n"/>
      <x:c r="W496" s="7" t="n"/>
      <x:c r="X496" s="7" t="n"/>
      <x:c r="Y496" s="7" t="n"/>
      <x:c r="Z496" s="7" t="n"/>
      <x:c r="AA496" s="7" t="n"/>
      <x:c r="AB496" s="7" t="n"/>
    </x:row>
    <x:row r="497" ht="20" customHeight="1">
      <x:c r="A497" s="12" t="inlineStr">
        <x:is>
          <x:t xml:space="preserve">Gwinnett County Public Schools</x:t>
        </x:is>
      </x:c>
      <x:c r="B497" s="12" t="inlineStr">
        <x:is>
          <x:t xml:space="preserve">GA</x:t>
        </x:is>
      </x:c>
      <x:c r="C497" s="12" t="inlineStr">
        <x:is>
          <x:t xml:space="preserve">Master's</x:t>
        </x:is>
      </x:c>
      <x:c r="D497" s="13" t="n">
        <x:v>0</x:v>
      </x:c>
      <x:c r="E497" s="14" t="n">
        <x:v>65276</x:v>
      </x:c>
      <x:c r="F497" s="83" t="inlineStr">
        <x:is>
          <x:t xml:space="preserve">2026-06-13</x:t>
        </x:is>
      </x:c>
      <x:c r="G497" s="7" t="n"/>
      <x:c r="H497" s="7" t="n"/>
      <x:c r="I497" s="7" t="n"/>
      <x:c r="J497" s="7" t="n"/>
      <x:c r="K497" s="7" t="n"/>
      <x:c r="L497" s="7" t="n"/>
      <x:c r="M497" s="7" t="n"/>
      <x:c r="N497" s="7" t="n"/>
      <x:c r="O497" s="7" t="n"/>
      <x:c r="P497" s="7" t="n"/>
      <x:c r="Q497" s="7" t="n"/>
      <x:c r="R497" s="7" t="n"/>
      <x:c r="S497" s="7" t="n"/>
      <x:c r="T497" s="7" t="n"/>
      <x:c r="U497" s="7" t="n"/>
      <x:c r="V497" s="7" t="n"/>
      <x:c r="W497" s="7" t="n"/>
      <x:c r="X497" s="7" t="n"/>
      <x:c r="Y497" s="7" t="n"/>
      <x:c r="Z497" s="7" t="n"/>
      <x:c r="AA497" s="7" t="n"/>
      <x:c r="AB497" s="7" t="n"/>
    </x:row>
    <x:row r="498" ht="20" customHeight="1">
      <x:c r="A498" s="12" t="inlineStr">
        <x:is>
          <x:t xml:space="preserve">Gwinnett County Public Schools</x:t>
        </x:is>
      </x:c>
      <x:c r="B498" s="12" t="inlineStr">
        <x:is>
          <x:t xml:space="preserve">GA</x:t>
        </x:is>
      </x:c>
      <x:c r="C498" s="12" t="inlineStr">
        <x:is>
          <x:t xml:space="preserve">Master's</x:t>
        </x:is>
      </x:c>
      <x:c r="D498" s="13" t="n">
        <x:v>1</x:v>
      </x:c>
      <x:c r="E498" s="14" t="n">
        <x:v>65276</x:v>
      </x:c>
      <x:c r="F498" s="83" t="inlineStr">
        <x:is>
          <x:t xml:space="preserve">2026-06-13</x:t>
        </x:is>
      </x:c>
      <x:c r="G498" s="7" t="n"/>
      <x:c r="H498" s="7" t="n"/>
      <x:c r="I498" s="7" t="n"/>
      <x:c r="J498" s="7" t="n"/>
      <x:c r="K498" s="7" t="n"/>
      <x:c r="L498" s="7" t="n"/>
      <x:c r="M498" s="7" t="n"/>
      <x:c r="N498" s="7" t="n"/>
      <x:c r="O498" s="7" t="n"/>
      <x:c r="P498" s="7" t="n"/>
      <x:c r="Q498" s="7" t="n"/>
      <x:c r="R498" s="7" t="n"/>
      <x:c r="S498" s="7" t="n"/>
      <x:c r="T498" s="7" t="n"/>
      <x:c r="U498" s="7" t="n"/>
      <x:c r="V498" s="7" t="n"/>
      <x:c r="W498" s="7" t="n"/>
      <x:c r="X498" s="7" t="n"/>
      <x:c r="Y498" s="7" t="n"/>
      <x:c r="Z498" s="7" t="n"/>
      <x:c r="AA498" s="7" t="n"/>
      <x:c r="AB498" s="7" t="n"/>
    </x:row>
    <x:row r="499" ht="20" customHeight="1">
      <x:c r="A499" s="12" t="inlineStr">
        <x:is>
          <x:t xml:space="preserve">Gwinnett County Public Schools</x:t>
        </x:is>
      </x:c>
      <x:c r="B499" s="12" t="inlineStr">
        <x:is>
          <x:t xml:space="preserve">GA</x:t>
        </x:is>
      </x:c>
      <x:c r="C499" s="12" t="inlineStr">
        <x:is>
          <x:t xml:space="preserve">Master's</x:t>
        </x:is>
      </x:c>
      <x:c r="D499" s="13" t="n">
        <x:v>2</x:v>
      </x:c>
      <x:c r="E499" s="14" t="n">
        <x:v>65276</x:v>
      </x:c>
      <x:c r="F499" s="83" t="inlineStr">
        <x:is>
          <x:t xml:space="preserve">2026-06-13</x:t>
        </x:is>
      </x:c>
      <x:c r="G499" s="7" t="n"/>
      <x:c r="H499" s="7" t="n"/>
      <x:c r="I499" s="7" t="n"/>
      <x:c r="J499" s="7" t="n"/>
      <x:c r="K499" s="7" t="n"/>
      <x:c r="L499" s="7" t="n"/>
      <x:c r="M499" s="7" t="n"/>
      <x:c r="N499" s="7" t="n"/>
      <x:c r="O499" s="7" t="n"/>
      <x:c r="P499" s="7" t="n"/>
      <x:c r="Q499" s="7" t="n"/>
      <x:c r="R499" s="7" t="n"/>
      <x:c r="S499" s="7" t="n"/>
      <x:c r="T499" s="7" t="n"/>
      <x:c r="U499" s="7" t="n"/>
      <x:c r="V499" s="7" t="n"/>
      <x:c r="W499" s="7" t="n"/>
      <x:c r="X499" s="7" t="n"/>
      <x:c r="Y499" s="7" t="n"/>
      <x:c r="Z499" s="7" t="n"/>
      <x:c r="AA499" s="7" t="n"/>
      <x:c r="AB499" s="7" t="n"/>
    </x:row>
    <x:row r="500" ht="20" customHeight="1">
      <x:c r="A500" s="12" t="inlineStr">
        <x:is>
          <x:t xml:space="preserve">Gwinnett County Public Schools</x:t>
        </x:is>
      </x:c>
      <x:c r="B500" s="12" t="inlineStr">
        <x:is>
          <x:t xml:space="preserve">GA</x:t>
        </x:is>
      </x:c>
      <x:c r="C500" s="12" t="inlineStr">
        <x:is>
          <x:t xml:space="preserve">Master's</x:t>
        </x:is>
      </x:c>
      <x:c r="D500" s="13" t="n">
        <x:v>3</x:v>
      </x:c>
      <x:c r="E500" s="14" t="n">
        <x:v>66300</x:v>
      </x:c>
      <x:c r="F500" s="83" t="inlineStr">
        <x:is>
          <x:t xml:space="preserve">2026-06-13</x:t>
        </x:is>
      </x:c>
      <x:c r="G500" s="7" t="n"/>
      <x:c r="H500" s="7" t="n"/>
      <x:c r="I500" s="7" t="n"/>
      <x:c r="J500" s="7" t="n"/>
      <x:c r="K500" s="7" t="n"/>
      <x:c r="L500" s="7" t="n"/>
      <x:c r="M500" s="7" t="n"/>
      <x:c r="N500" s="7" t="n"/>
      <x:c r="O500" s="7" t="n"/>
      <x:c r="P500" s="7" t="n"/>
      <x:c r="Q500" s="7" t="n"/>
      <x:c r="R500" s="7" t="n"/>
      <x:c r="S500" s="7" t="n"/>
      <x:c r="T500" s="7" t="n"/>
      <x:c r="U500" s="7" t="n"/>
      <x:c r="V500" s="7" t="n"/>
      <x:c r="W500" s="7" t="n"/>
      <x:c r="X500" s="7" t="n"/>
      <x:c r="Y500" s="7" t="n"/>
      <x:c r="Z500" s="7" t="n"/>
      <x:c r="AA500" s="7" t="n"/>
      <x:c r="AB500" s="7" t="n"/>
    </x:row>
    <x:row r="501" ht="20" customHeight="1">
      <x:c r="A501" s="12" t="inlineStr">
        <x:is>
          <x:t xml:space="preserve">Gwinnett County Public Schools</x:t>
        </x:is>
      </x:c>
      <x:c r="B501" s="12" t="inlineStr">
        <x:is>
          <x:t xml:space="preserve">GA</x:t>
        </x:is>
      </x:c>
      <x:c r="C501" s="12" t="inlineStr">
        <x:is>
          <x:t xml:space="preserve">Master's</x:t>
        </x:is>
      </x:c>
      <x:c r="D501" s="13" t="n">
        <x:v>4</x:v>
      </x:c>
      <x:c r="E501" s="14" t="n">
        <x:v>67324</x:v>
      </x:c>
      <x:c r="F501" s="83" t="inlineStr">
        <x:is>
          <x:t xml:space="preserve">2026-06-13</x:t>
        </x:is>
      </x:c>
      <x:c r="G501" s="7" t="n"/>
      <x:c r="H501" s="7" t="n"/>
      <x:c r="I501" s="7" t="n"/>
      <x:c r="J501" s="7" t="n"/>
      <x:c r="K501" s="7" t="n"/>
      <x:c r="L501" s="7" t="n"/>
      <x:c r="M501" s="7" t="n"/>
      <x:c r="N501" s="7" t="n"/>
      <x:c r="O501" s="7" t="n"/>
      <x:c r="P501" s="7" t="n"/>
      <x:c r="Q501" s="7" t="n"/>
      <x:c r="R501" s="7" t="n"/>
      <x:c r="S501" s="7" t="n"/>
      <x:c r="T501" s="7" t="n"/>
      <x:c r="U501" s="7" t="n"/>
      <x:c r="V501" s="7" t="n"/>
      <x:c r="W501" s="7" t="n"/>
      <x:c r="X501" s="7" t="n"/>
      <x:c r="Y501" s="7" t="n"/>
      <x:c r="Z501" s="7" t="n"/>
      <x:c r="AA501" s="7" t="n"/>
      <x:c r="AB501" s="7" t="n"/>
    </x:row>
    <x:row r="502" ht="20" customHeight="1">
      <x:c r="A502" s="12" t="inlineStr">
        <x:is>
          <x:t xml:space="preserve">Gwinnett County Public Schools</x:t>
        </x:is>
      </x:c>
      <x:c r="B502" s="12" t="inlineStr">
        <x:is>
          <x:t xml:space="preserve">GA</x:t>
        </x:is>
      </x:c>
      <x:c r="C502" s="12" t="inlineStr">
        <x:is>
          <x:t xml:space="preserve">Master's</x:t>
        </x:is>
      </x:c>
      <x:c r="D502" s="13" t="n">
        <x:v>5</x:v>
      </x:c>
      <x:c r="E502" s="14" t="n">
        <x:v>68348</x:v>
      </x:c>
      <x:c r="F502" s="83" t="inlineStr">
        <x:is>
          <x:t xml:space="preserve">2026-06-13</x:t>
        </x:is>
      </x:c>
      <x:c r="G502" s="7" t="n"/>
      <x:c r="H502" s="7" t="n"/>
      <x:c r="I502" s="7" t="n"/>
      <x:c r="J502" s="7" t="n"/>
      <x:c r="K502" s="7" t="n"/>
      <x:c r="L502" s="7" t="n"/>
      <x:c r="M502" s="7" t="n"/>
      <x:c r="N502" s="7" t="n"/>
      <x:c r="O502" s="7" t="n"/>
      <x:c r="P502" s="7" t="n"/>
      <x:c r="Q502" s="7" t="n"/>
      <x:c r="R502" s="7" t="n"/>
      <x:c r="S502" s="7" t="n"/>
      <x:c r="T502" s="7" t="n"/>
      <x:c r="U502" s="7" t="n"/>
      <x:c r="V502" s="7" t="n"/>
      <x:c r="W502" s="7" t="n"/>
      <x:c r="X502" s="7" t="n"/>
      <x:c r="Y502" s="7" t="n"/>
      <x:c r="Z502" s="7" t="n"/>
      <x:c r="AA502" s="7" t="n"/>
      <x:c r="AB502" s="7" t="n"/>
    </x:row>
    <x:row r="503" ht="20" customHeight="1">
      <x:c r="A503" s="12" t="inlineStr">
        <x:is>
          <x:t xml:space="preserve">Gwinnett County Public Schools</x:t>
        </x:is>
      </x:c>
      <x:c r="B503" s="12" t="inlineStr">
        <x:is>
          <x:t xml:space="preserve">GA</x:t>
        </x:is>
      </x:c>
      <x:c r="C503" s="12" t="inlineStr">
        <x:is>
          <x:t xml:space="preserve">Master's</x:t>
        </x:is>
      </x:c>
      <x:c r="D503" s="13" t="n">
        <x:v>6</x:v>
      </x:c>
      <x:c r="E503" s="14" t="n">
        <x:v>69372</x:v>
      </x:c>
      <x:c r="F503" s="83" t="inlineStr">
        <x:is>
          <x:t xml:space="preserve">2026-06-13</x:t>
        </x:is>
      </x:c>
      <x:c r="G503" s="7" t="n"/>
      <x:c r="H503" s="7" t="n"/>
      <x:c r="I503" s="7" t="n"/>
      <x:c r="J503" s="7" t="n"/>
      <x:c r="K503" s="7" t="n"/>
      <x:c r="L503" s="7" t="n"/>
      <x:c r="M503" s="7" t="n"/>
      <x:c r="N503" s="7" t="n"/>
      <x:c r="O503" s="7" t="n"/>
      <x:c r="P503" s="7" t="n"/>
      <x:c r="Q503" s="7" t="n"/>
      <x:c r="R503" s="7" t="n"/>
      <x:c r="S503" s="7" t="n"/>
      <x:c r="T503" s="7" t="n"/>
      <x:c r="U503" s="7" t="n"/>
      <x:c r="V503" s="7" t="n"/>
      <x:c r="W503" s="7" t="n"/>
      <x:c r="X503" s="7" t="n"/>
      <x:c r="Y503" s="7" t="n"/>
      <x:c r="Z503" s="7" t="n"/>
      <x:c r="AA503" s="7" t="n"/>
      <x:c r="AB503" s="7" t="n"/>
    </x:row>
    <x:row r="504" ht="20" customHeight="1">
      <x:c r="A504" s="12" t="inlineStr">
        <x:is>
          <x:t xml:space="preserve">Gwinnett County Public Schools</x:t>
        </x:is>
      </x:c>
      <x:c r="B504" s="12" t="inlineStr">
        <x:is>
          <x:t xml:space="preserve">GA</x:t>
        </x:is>
      </x:c>
      <x:c r="C504" s="12" t="inlineStr">
        <x:is>
          <x:t xml:space="preserve">Master's</x:t>
        </x:is>
      </x:c>
      <x:c r="D504" s="13" t="n">
        <x:v>7</x:v>
      </x:c>
      <x:c r="E504" s="14" t="n">
        <x:v>70396</x:v>
      </x:c>
      <x:c r="F504" s="83" t="inlineStr">
        <x:is>
          <x:t xml:space="preserve">2026-06-13</x:t>
        </x:is>
      </x:c>
      <x:c r="G504" s="7" t="n"/>
      <x:c r="H504" s="7" t="n"/>
      <x:c r="I504" s="7" t="n"/>
      <x:c r="J504" s="7" t="n"/>
      <x:c r="K504" s="7" t="n"/>
      <x:c r="L504" s="7" t="n"/>
      <x:c r="M504" s="7" t="n"/>
      <x:c r="N504" s="7" t="n"/>
      <x:c r="O504" s="7" t="n"/>
      <x:c r="P504" s="7" t="n"/>
      <x:c r="Q504" s="7" t="n"/>
      <x:c r="R504" s="7" t="n"/>
      <x:c r="S504" s="7" t="n"/>
      <x:c r="T504" s="7" t="n"/>
      <x:c r="U504" s="7" t="n"/>
      <x:c r="V504" s="7" t="n"/>
      <x:c r="W504" s="7" t="n"/>
      <x:c r="X504" s="7" t="n"/>
      <x:c r="Y504" s="7" t="n"/>
      <x:c r="Z504" s="7" t="n"/>
      <x:c r="AA504" s="7" t="n"/>
      <x:c r="AB504" s="7" t="n"/>
    </x:row>
    <x:row r="505" ht="20" customHeight="1">
      <x:c r="A505" s="12" t="inlineStr">
        <x:is>
          <x:t xml:space="preserve">Gwinnett County Public Schools</x:t>
        </x:is>
      </x:c>
      <x:c r="B505" s="12" t="inlineStr">
        <x:is>
          <x:t xml:space="preserve">GA</x:t>
        </x:is>
      </x:c>
      <x:c r="C505" s="12" t="inlineStr">
        <x:is>
          <x:t xml:space="preserve">Master's</x:t>
        </x:is>
      </x:c>
      <x:c r="D505" s="13" t="n">
        <x:v>8</x:v>
      </x:c>
      <x:c r="E505" s="14" t="n">
        <x:v>71420</x:v>
      </x:c>
      <x:c r="F505" s="83" t="inlineStr">
        <x:is>
          <x:t xml:space="preserve">2026-06-13</x:t>
        </x:is>
      </x:c>
      <x:c r="G505" s="7" t="n"/>
      <x:c r="H505" s="7" t="n"/>
      <x:c r="I505" s="7" t="n"/>
      <x:c r="J505" s="7" t="n"/>
      <x:c r="K505" s="7" t="n"/>
      <x:c r="L505" s="7" t="n"/>
      <x:c r="M505" s="7" t="n"/>
      <x:c r="N505" s="7" t="n"/>
      <x:c r="O505" s="7" t="n"/>
      <x:c r="P505" s="7" t="n"/>
      <x:c r="Q505" s="7" t="n"/>
      <x:c r="R505" s="7" t="n"/>
      <x:c r="S505" s="7" t="n"/>
      <x:c r="T505" s="7" t="n"/>
      <x:c r="U505" s="7" t="n"/>
      <x:c r="V505" s="7" t="n"/>
      <x:c r="W505" s="7" t="n"/>
      <x:c r="X505" s="7" t="n"/>
      <x:c r="Y505" s="7" t="n"/>
      <x:c r="Z505" s="7" t="n"/>
      <x:c r="AA505" s="7" t="n"/>
      <x:c r="AB505" s="7" t="n"/>
    </x:row>
    <x:row r="506" ht="20" customHeight="1">
      <x:c r="A506" s="12" t="inlineStr">
        <x:is>
          <x:t xml:space="preserve">Gwinnett County Public Schools</x:t>
        </x:is>
      </x:c>
      <x:c r="B506" s="12" t="inlineStr">
        <x:is>
          <x:t xml:space="preserve">GA</x:t>
        </x:is>
      </x:c>
      <x:c r="C506" s="12" t="inlineStr">
        <x:is>
          <x:t xml:space="preserve">Master's</x:t>
        </x:is>
      </x:c>
      <x:c r="D506" s="13" t="n">
        <x:v>9</x:v>
      </x:c>
      <x:c r="E506" s="14" t="n">
        <x:v>72444</x:v>
      </x:c>
      <x:c r="F506" s="83" t="inlineStr">
        <x:is>
          <x:t xml:space="preserve">2026-06-13</x:t>
        </x:is>
      </x:c>
      <x:c r="G506" s="7" t="n"/>
      <x:c r="H506" s="7" t="n"/>
      <x:c r="I506" s="7" t="n"/>
      <x:c r="J506" s="7" t="n"/>
      <x:c r="K506" s="7" t="n"/>
      <x:c r="L506" s="7" t="n"/>
      <x:c r="M506" s="7" t="n"/>
      <x:c r="N506" s="7" t="n"/>
      <x:c r="O506" s="7" t="n"/>
      <x:c r="P506" s="7" t="n"/>
      <x:c r="Q506" s="7" t="n"/>
      <x:c r="R506" s="7" t="n"/>
      <x:c r="S506" s="7" t="n"/>
      <x:c r="T506" s="7" t="n"/>
      <x:c r="U506" s="7" t="n"/>
      <x:c r="V506" s="7" t="n"/>
      <x:c r="W506" s="7" t="n"/>
      <x:c r="X506" s="7" t="n"/>
      <x:c r="Y506" s="7" t="n"/>
      <x:c r="Z506" s="7" t="n"/>
      <x:c r="AA506" s="7" t="n"/>
      <x:c r="AB506" s="7" t="n"/>
    </x:row>
    <x:row r="507" ht="20" customHeight="1">
      <x:c r="A507" s="12" t="inlineStr">
        <x:is>
          <x:t xml:space="preserve">Gwinnett County Public Schools</x:t>
        </x:is>
      </x:c>
      <x:c r="B507" s="12" t="inlineStr">
        <x:is>
          <x:t xml:space="preserve">GA</x:t>
        </x:is>
      </x:c>
      <x:c r="C507" s="12" t="inlineStr">
        <x:is>
          <x:t xml:space="preserve">Master's</x:t>
        </x:is>
      </x:c>
      <x:c r="D507" s="13" t="n">
        <x:v>10</x:v>
      </x:c>
      <x:c r="E507" s="14" t="n">
        <x:v>73468</x:v>
      </x:c>
      <x:c r="F507" s="83" t="inlineStr">
        <x:is>
          <x:t xml:space="preserve">2026-06-13</x:t>
        </x:is>
      </x:c>
      <x:c r="G507" s="7" t="n"/>
      <x:c r="H507" s="7" t="n"/>
      <x:c r="I507" s="7" t="n"/>
      <x:c r="J507" s="7" t="n"/>
      <x:c r="K507" s="7" t="n"/>
      <x:c r="L507" s="7" t="n"/>
      <x:c r="M507" s="7" t="n"/>
      <x:c r="N507" s="7" t="n"/>
      <x:c r="O507" s="7" t="n"/>
      <x:c r="P507" s="7" t="n"/>
      <x:c r="Q507" s="7" t="n"/>
      <x:c r="R507" s="7" t="n"/>
      <x:c r="S507" s="7" t="n"/>
      <x:c r="T507" s="7" t="n"/>
      <x:c r="U507" s="7" t="n"/>
      <x:c r="V507" s="7" t="n"/>
      <x:c r="W507" s="7" t="n"/>
      <x:c r="X507" s="7" t="n"/>
      <x:c r="Y507" s="7" t="n"/>
      <x:c r="Z507" s="7" t="n"/>
      <x:c r="AA507" s="7" t="n"/>
      <x:c r="AB507" s="7" t="n"/>
    </x:row>
    <x:row r="508" ht="20" customHeight="1">
      <x:c r="A508" s="12" t="inlineStr">
        <x:is>
          <x:t xml:space="preserve">Indian Prairie School District 204</x:t>
        </x:is>
      </x:c>
      <x:c r="B508" s="12" t="inlineStr">
        <x:is>
          <x:t xml:space="preserve">IL</x:t>
        </x:is>
      </x:c>
      <x:c r="C508" s="12" t="inlineStr">
        <x:is>
          <x:t xml:space="preserve">Bachelor's</x:t>
        </x:is>
      </x:c>
      <x:c r="D508" s="13" t="n">
        <x:v>0</x:v>
      </x:c>
      <x:c r="E508" s="14" t="n">
        <x:v>56403</x:v>
      </x:c>
      <x:c r="F508" s="12" t="inlineStr">
        <x:is>
          <x:t xml:space="preserve">2026-06-15</x:t>
        </x:is>
      </x:c>
      <x:c r="G508" s="7" t="n"/>
      <x:c r="H508" s="7" t="n"/>
      <x:c r="I508" s="7" t="n"/>
      <x:c r="J508" s="7" t="n"/>
      <x:c r="K508" s="7" t="n"/>
      <x:c r="L508" s="7" t="n"/>
      <x:c r="M508" s="7" t="n"/>
      <x:c r="N508" s="7" t="n"/>
      <x:c r="O508" s="7" t="n"/>
      <x:c r="P508" s="7" t="n"/>
      <x:c r="Q508" s="7" t="n"/>
      <x:c r="R508" s="7" t="n"/>
      <x:c r="S508" s="7" t="n"/>
      <x:c r="T508" s="7" t="n"/>
      <x:c r="U508" s="7" t="n"/>
      <x:c r="V508" s="7" t="n"/>
      <x:c r="W508" s="7" t="n"/>
      <x:c r="X508" s="7" t="n"/>
      <x:c r="Y508" s="7" t="n"/>
      <x:c r="Z508" s="7" t="n"/>
      <x:c r="AA508" s="7" t="n"/>
      <x:c r="AB508" s="7" t="n"/>
    </x:row>
    <x:row r="509" ht="20" customHeight="1">
      <x:c r="A509" s="12" t="inlineStr">
        <x:is>
          <x:t xml:space="preserve">Indian Prairie School District 204</x:t>
        </x:is>
      </x:c>
      <x:c r="B509" s="12" t="inlineStr">
        <x:is>
          <x:t xml:space="preserve">IL</x:t>
        </x:is>
      </x:c>
      <x:c r="C509" s="12" t="inlineStr">
        <x:is>
          <x:t xml:space="preserve">Bachelor's</x:t>
        </x:is>
      </x:c>
      <x:c r="D509" s="13" t="n">
        <x:v>1</x:v>
      </x:c>
      <x:c r="E509" s="14" t="n">
        <x:v>57249</x:v>
      </x:c>
      <x:c r="F509" s="12" t="inlineStr">
        <x:is>
          <x:t xml:space="preserve">2026-06-15</x:t>
        </x:is>
      </x:c>
      <x:c r="G509" s="7" t="n"/>
      <x:c r="H509" s="7" t="n"/>
      <x:c r="I509" s="7" t="n"/>
      <x:c r="J509" s="7" t="n"/>
      <x:c r="K509" s="7" t="n"/>
      <x:c r="L509" s="7" t="n"/>
      <x:c r="M509" s="7" t="n"/>
      <x:c r="N509" s="7" t="n"/>
      <x:c r="O509" s="7" t="n"/>
      <x:c r="P509" s="7" t="n"/>
      <x:c r="Q509" s="7" t="n"/>
      <x:c r="R509" s="7" t="n"/>
      <x:c r="S509" s="7" t="n"/>
      <x:c r="T509" s="7" t="n"/>
      <x:c r="U509" s="7" t="n"/>
      <x:c r="V509" s="7" t="n"/>
      <x:c r="W509" s="7" t="n"/>
      <x:c r="X509" s="7" t="n"/>
      <x:c r="Y509" s="7" t="n"/>
      <x:c r="Z509" s="7" t="n"/>
      <x:c r="AA509" s="7" t="n"/>
      <x:c r="AB509" s="7" t="n"/>
    </x:row>
    <x:row r="510" ht="20" customHeight="1">
      <x:c r="A510" s="12" t="inlineStr">
        <x:is>
          <x:t xml:space="preserve">Indian Prairie School District 204</x:t>
        </x:is>
      </x:c>
      <x:c r="B510" s="12" t="inlineStr">
        <x:is>
          <x:t xml:space="preserve">IL</x:t>
        </x:is>
      </x:c>
      <x:c r="C510" s="12" t="inlineStr">
        <x:is>
          <x:t xml:space="preserve">Bachelor's</x:t>
        </x:is>
      </x:c>
      <x:c r="D510" s="13" t="n">
        <x:v>2</x:v>
      </x:c>
      <x:c r="E510" s="14" t="n">
        <x:v>58107</x:v>
      </x:c>
      <x:c r="F510" s="12" t="inlineStr">
        <x:is>
          <x:t xml:space="preserve">2026-06-15</x:t>
        </x:is>
      </x:c>
      <x:c r="G510" s="7" t="n"/>
      <x:c r="H510" s="7" t="n"/>
      <x:c r="I510" s="7" t="n"/>
      <x:c r="J510" s="7" t="n"/>
      <x:c r="K510" s="7" t="n"/>
      <x:c r="L510" s="7" t="n"/>
      <x:c r="M510" s="7" t="n"/>
      <x:c r="N510" s="7" t="n"/>
      <x:c r="O510" s="7" t="n"/>
      <x:c r="P510" s="7" t="n"/>
      <x:c r="Q510" s="7" t="n"/>
      <x:c r="R510" s="7" t="n"/>
      <x:c r="S510" s="7" t="n"/>
      <x:c r="T510" s="7" t="n"/>
      <x:c r="U510" s="7" t="n"/>
      <x:c r="V510" s="7" t="n"/>
      <x:c r="W510" s="7" t="n"/>
      <x:c r="X510" s="7" t="n"/>
      <x:c r="Y510" s="7" t="n"/>
      <x:c r="Z510" s="7" t="n"/>
      <x:c r="AA510" s="7" t="n"/>
      <x:c r="AB510" s="7" t="n"/>
    </x:row>
    <x:row r="511" ht="20" customHeight="1">
      <x:c r="A511" s="12" t="inlineStr">
        <x:is>
          <x:t xml:space="preserve">Indian Prairie School District 204</x:t>
        </x:is>
      </x:c>
      <x:c r="B511" s="12" t="inlineStr">
        <x:is>
          <x:t xml:space="preserve">IL</x:t>
        </x:is>
      </x:c>
      <x:c r="C511" s="12" t="inlineStr">
        <x:is>
          <x:t xml:space="preserve">Bachelor's</x:t>
        </x:is>
      </x:c>
      <x:c r="D511" s="13" t="n">
        <x:v>3</x:v>
      </x:c>
      <x:c r="E511" s="14" t="n">
        <x:v>58979</x:v>
      </x:c>
      <x:c r="F511" s="12" t="inlineStr">
        <x:is>
          <x:t xml:space="preserve">2026-06-15</x:t>
        </x:is>
      </x:c>
      <x:c r="G511" s="7" t="n"/>
      <x:c r="H511" s="7" t="n"/>
      <x:c r="I511" s="7" t="n"/>
      <x:c r="J511" s="7" t="n"/>
      <x:c r="K511" s="7" t="n"/>
      <x:c r="L511" s="7" t="n"/>
      <x:c r="M511" s="7" t="n"/>
      <x:c r="N511" s="7" t="n"/>
      <x:c r="O511" s="7" t="n"/>
      <x:c r="P511" s="7" t="n"/>
      <x:c r="Q511" s="7" t="n"/>
      <x:c r="R511" s="7" t="n"/>
      <x:c r="S511" s="7" t="n"/>
      <x:c r="T511" s="7" t="n"/>
      <x:c r="U511" s="7" t="n"/>
      <x:c r="V511" s="7" t="n"/>
      <x:c r="W511" s="7" t="n"/>
      <x:c r="X511" s="7" t="n"/>
      <x:c r="Y511" s="7" t="n"/>
      <x:c r="Z511" s="7" t="n"/>
      <x:c r="AA511" s="7" t="n"/>
      <x:c r="AB511" s="7" t="n"/>
    </x:row>
    <x:row r="512" ht="20" customHeight="1">
      <x:c r="A512" s="12" t="inlineStr">
        <x:is>
          <x:t xml:space="preserve">Indian Prairie School District 204</x:t>
        </x:is>
      </x:c>
      <x:c r="B512" s="12" t="inlineStr">
        <x:is>
          <x:t xml:space="preserve">IL</x:t>
        </x:is>
      </x:c>
      <x:c r="C512" s="12" t="inlineStr">
        <x:is>
          <x:t xml:space="preserve">Bachelor's</x:t>
        </x:is>
      </x:c>
      <x:c r="D512" s="13" t="n">
        <x:v>4</x:v>
      </x:c>
      <x:c r="E512" s="14" t="n">
        <x:v>60159</x:v>
      </x:c>
      <x:c r="F512" s="12" t="inlineStr">
        <x:is>
          <x:t xml:space="preserve">2026-06-15</x:t>
        </x:is>
      </x:c>
      <x:c r="G512" s="7" t="n"/>
      <x:c r="H512" s="7" t="n"/>
      <x:c r="I512" s="7" t="n"/>
      <x:c r="J512" s="7" t="n"/>
      <x:c r="K512" s="7" t="n"/>
      <x:c r="L512" s="7" t="n"/>
      <x:c r="M512" s="7" t="n"/>
      <x:c r="N512" s="7" t="n"/>
      <x:c r="O512" s="7" t="n"/>
      <x:c r="P512" s="7" t="n"/>
      <x:c r="Q512" s="7" t="n"/>
      <x:c r="R512" s="7" t="n"/>
      <x:c r="S512" s="7" t="n"/>
      <x:c r="T512" s="7" t="n"/>
      <x:c r="U512" s="7" t="n"/>
      <x:c r="V512" s="7" t="n"/>
      <x:c r="W512" s="7" t="n"/>
      <x:c r="X512" s="7" t="n"/>
      <x:c r="Y512" s="7" t="n"/>
      <x:c r="Z512" s="7" t="n"/>
      <x:c r="AA512" s="7" t="n"/>
      <x:c r="AB512" s="7" t="n"/>
    </x:row>
    <x:row r="513" ht="20" customHeight="1">
      <x:c r="A513" s="12" t="inlineStr">
        <x:is>
          <x:t xml:space="preserve">Indian Prairie School District 204</x:t>
        </x:is>
      </x:c>
      <x:c r="B513" s="12" t="inlineStr">
        <x:is>
          <x:t xml:space="preserve">IL</x:t>
        </x:is>
      </x:c>
      <x:c r="C513" s="12" t="inlineStr">
        <x:is>
          <x:t xml:space="preserve">Bachelor's</x:t>
        </x:is>
      </x:c>
      <x:c r="D513" s="13" t="n">
        <x:v>5</x:v>
      </x:c>
      <x:c r="E513" s="14" t="n">
        <x:v>61362</x:v>
      </x:c>
      <x:c r="F513" s="12" t="inlineStr">
        <x:is>
          <x:t xml:space="preserve">2026-06-15</x:t>
        </x:is>
      </x:c>
      <x:c r="G513" s="7" t="n"/>
      <x:c r="H513" s="7" t="n"/>
      <x:c r="I513" s="7" t="n"/>
      <x:c r="J513" s="7" t="n"/>
      <x:c r="K513" s="7" t="n"/>
      <x:c r="L513" s="7" t="n"/>
      <x:c r="M513" s="7" t="n"/>
      <x:c r="N513" s="7" t="n"/>
      <x:c r="O513" s="7" t="n"/>
      <x:c r="P513" s="7" t="n"/>
      <x:c r="Q513" s="7" t="n"/>
      <x:c r="R513" s="7" t="n"/>
      <x:c r="S513" s="7" t="n"/>
      <x:c r="T513" s="7" t="n"/>
      <x:c r="U513" s="7" t="n"/>
      <x:c r="V513" s="7" t="n"/>
      <x:c r="W513" s="7" t="n"/>
      <x:c r="X513" s="7" t="n"/>
      <x:c r="Y513" s="7" t="n"/>
      <x:c r="Z513" s="7" t="n"/>
      <x:c r="AA513" s="7" t="n"/>
      <x:c r="AB513" s="7" t="n"/>
    </x:row>
    <x:row r="514" ht="20" customHeight="1">
      <x:c r="A514" s="12" t="inlineStr">
        <x:is>
          <x:t xml:space="preserve">Indian Prairie School District 204</x:t>
        </x:is>
      </x:c>
      <x:c r="B514" s="12" t="inlineStr">
        <x:is>
          <x:t xml:space="preserve">IL</x:t>
        </x:is>
      </x:c>
      <x:c r="C514" s="12" t="inlineStr">
        <x:is>
          <x:t xml:space="preserve">Bachelor's</x:t>
        </x:is>
      </x:c>
      <x:c r="D514" s="13" t="n">
        <x:v>6</x:v>
      </x:c>
      <x:c r="E514" s="14" t="n">
        <x:v>62589</x:v>
      </x:c>
      <x:c r="F514" s="12" t="inlineStr">
        <x:is>
          <x:t xml:space="preserve">2026-06-15</x:t>
        </x:is>
      </x:c>
      <x:c r="G514" s="7" t="n"/>
      <x:c r="H514" s="7" t="n"/>
      <x:c r="I514" s="7" t="n"/>
      <x:c r="J514" s="7" t="n"/>
      <x:c r="K514" s="7" t="n"/>
      <x:c r="L514" s="7" t="n"/>
      <x:c r="M514" s="7" t="n"/>
      <x:c r="N514" s="7" t="n"/>
      <x:c r="O514" s="7" t="n"/>
      <x:c r="P514" s="7" t="n"/>
      <x:c r="Q514" s="7" t="n"/>
      <x:c r="R514" s="7" t="n"/>
      <x:c r="S514" s="7" t="n"/>
      <x:c r="T514" s="7" t="n"/>
      <x:c r="U514" s="7" t="n"/>
      <x:c r="V514" s="7" t="n"/>
      <x:c r="W514" s="7" t="n"/>
      <x:c r="X514" s="7" t="n"/>
      <x:c r="Y514" s="7" t="n"/>
      <x:c r="Z514" s="7" t="n"/>
      <x:c r="AA514" s="7" t="n"/>
      <x:c r="AB514" s="7" t="n"/>
    </x:row>
    <x:row r="515" ht="20" customHeight="1">
      <x:c r="A515" s="12" t="inlineStr">
        <x:is>
          <x:t xml:space="preserve">Indian Prairie School District 204</x:t>
        </x:is>
      </x:c>
      <x:c r="B515" s="12" t="inlineStr">
        <x:is>
          <x:t xml:space="preserve">IL</x:t>
        </x:is>
      </x:c>
      <x:c r="C515" s="12" t="inlineStr">
        <x:is>
          <x:t xml:space="preserve">Bachelor's</x:t>
        </x:is>
      </x:c>
      <x:c r="D515" s="13" t="n">
        <x:v>7</x:v>
      </x:c>
      <x:c r="E515" s="14" t="n">
        <x:v>63841</x:v>
      </x:c>
      <x:c r="F515" s="12" t="inlineStr">
        <x:is>
          <x:t xml:space="preserve">2026-06-15</x:t>
        </x:is>
      </x:c>
      <x:c r="G515" s="7" t="n"/>
      <x:c r="H515" s="7" t="n"/>
      <x:c r="I515" s="7" t="n"/>
      <x:c r="J515" s="7" t="n"/>
      <x:c r="K515" s="7" t="n"/>
      <x:c r="L515" s="7" t="n"/>
      <x:c r="M515" s="7" t="n"/>
      <x:c r="N515" s="7" t="n"/>
      <x:c r="O515" s="7" t="n"/>
      <x:c r="P515" s="7" t="n"/>
      <x:c r="Q515" s="7" t="n"/>
      <x:c r="R515" s="7" t="n"/>
      <x:c r="S515" s="7" t="n"/>
      <x:c r="T515" s="7" t="n"/>
      <x:c r="U515" s="7" t="n"/>
      <x:c r="V515" s="7" t="n"/>
      <x:c r="W515" s="7" t="n"/>
      <x:c r="X515" s="7" t="n"/>
      <x:c r="Y515" s="7" t="n"/>
      <x:c r="Z515" s="7" t="n"/>
      <x:c r="AA515" s="7" t="n"/>
      <x:c r="AB515" s="7" t="n"/>
    </x:row>
    <x:row r="516" ht="20" customHeight="1">
      <x:c r="A516" s="12" t="inlineStr">
        <x:is>
          <x:t xml:space="preserve">Indian Prairie School District 204</x:t>
        </x:is>
      </x:c>
      <x:c r="B516" s="12" t="inlineStr">
        <x:is>
          <x:t xml:space="preserve">IL</x:t>
        </x:is>
      </x:c>
      <x:c r="C516" s="12" t="inlineStr">
        <x:is>
          <x:t xml:space="preserve">Bachelor's</x:t>
        </x:is>
      </x:c>
      <x:c r="D516" s="13" t="n">
        <x:v>8</x:v>
      </x:c>
      <x:c r="E516" s="14" t="n">
        <x:v>65118</x:v>
      </x:c>
      <x:c r="F516" s="12" t="inlineStr">
        <x:is>
          <x:t xml:space="preserve">2026-06-15</x:t>
        </x:is>
      </x:c>
      <x:c r="G516" s="7" t="n"/>
      <x:c r="H516" s="7" t="n"/>
      <x:c r="I516" s="7" t="n"/>
      <x:c r="J516" s="7" t="n"/>
      <x:c r="K516" s="7" t="n"/>
      <x:c r="L516" s="7" t="n"/>
      <x:c r="M516" s="7" t="n"/>
      <x:c r="N516" s="7" t="n"/>
      <x:c r="O516" s="7" t="n"/>
      <x:c r="P516" s="7" t="n"/>
      <x:c r="Q516" s="7" t="n"/>
      <x:c r="R516" s="7" t="n"/>
      <x:c r="S516" s="7" t="n"/>
      <x:c r="T516" s="7" t="n"/>
      <x:c r="U516" s="7" t="n"/>
      <x:c r="V516" s="7" t="n"/>
      <x:c r="W516" s="7" t="n"/>
      <x:c r="X516" s="7" t="n"/>
      <x:c r="Y516" s="7" t="n"/>
      <x:c r="Z516" s="7" t="n"/>
      <x:c r="AA516" s="7" t="n"/>
      <x:c r="AB516" s="7" t="n"/>
    </x:row>
    <x:row r="517" ht="20" customHeight="1">
      <x:c r="A517" s="12" t="inlineStr">
        <x:is>
          <x:t xml:space="preserve">Indian Prairie School District 204</x:t>
        </x:is>
      </x:c>
      <x:c r="B517" s="12" t="inlineStr">
        <x:is>
          <x:t xml:space="preserve">IL</x:t>
        </x:is>
      </x:c>
      <x:c r="C517" s="12" t="inlineStr">
        <x:is>
          <x:t xml:space="preserve">Bachelor's</x:t>
        </x:is>
      </x:c>
      <x:c r="D517" s="13" t="n">
        <x:v>9</x:v>
      </x:c>
      <x:c r="E517" s="14" t="n">
        <x:v>66909</x:v>
      </x:c>
      <x:c r="F517" s="12" t="inlineStr">
        <x:is>
          <x:t xml:space="preserve">2026-06-15</x:t>
        </x:is>
      </x:c>
      <x:c r="G517" s="7" t="n"/>
      <x:c r="H517" s="7" t="n"/>
      <x:c r="I517" s="7" t="n"/>
      <x:c r="J517" s="7" t="n"/>
      <x:c r="K517" s="7" t="n"/>
      <x:c r="L517" s="7" t="n"/>
      <x:c r="M517" s="7" t="n"/>
      <x:c r="N517" s="7" t="n"/>
      <x:c r="O517" s="7" t="n"/>
      <x:c r="P517" s="7" t="n"/>
      <x:c r="Q517" s="7" t="n"/>
      <x:c r="R517" s="7" t="n"/>
      <x:c r="S517" s="7" t="n"/>
      <x:c r="T517" s="7" t="n"/>
      <x:c r="U517" s="7" t="n"/>
      <x:c r="V517" s="7" t="n"/>
      <x:c r="W517" s="7" t="n"/>
      <x:c r="X517" s="7" t="n"/>
      <x:c r="Y517" s="7" t="n"/>
      <x:c r="Z517" s="7" t="n"/>
      <x:c r="AA517" s="7" t="n"/>
      <x:c r="AB517" s="7" t="n"/>
    </x:row>
    <x:row r="518" ht="20" customHeight="1">
      <x:c r="A518" s="12" t="inlineStr">
        <x:is>
          <x:t xml:space="preserve">Indian Prairie School District 204</x:t>
        </x:is>
      </x:c>
      <x:c r="B518" s="12" t="inlineStr">
        <x:is>
          <x:t xml:space="preserve">IL</x:t>
        </x:is>
      </x:c>
      <x:c r="C518" s="12" t="inlineStr">
        <x:is>
          <x:t xml:space="preserve">Bachelor's</x:t>
        </x:is>
      </x:c>
      <x:c r="D518" s="13" t="n">
        <x:v>10</x:v>
      </x:c>
      <x:c r="E518" s="14" t="n">
        <x:v>68748</x:v>
      </x:c>
      <x:c r="F518" s="12" t="inlineStr">
        <x:is>
          <x:t xml:space="preserve">2026-06-15</x:t>
        </x:is>
      </x:c>
      <x:c r="G518" s="7" t="n"/>
      <x:c r="H518" s="7" t="n"/>
      <x:c r="I518" s="7" t="n"/>
      <x:c r="J518" s="7" t="n"/>
      <x:c r="K518" s="7" t="n"/>
      <x:c r="L518" s="7" t="n"/>
      <x:c r="M518" s="7" t="n"/>
      <x:c r="N518" s="7" t="n"/>
      <x:c r="O518" s="7" t="n"/>
      <x:c r="P518" s="7" t="n"/>
      <x:c r="Q518" s="7" t="n"/>
      <x:c r="R518" s="7" t="n"/>
      <x:c r="S518" s="7" t="n"/>
      <x:c r="T518" s="7" t="n"/>
      <x:c r="U518" s="7" t="n"/>
      <x:c r="V518" s="7" t="n"/>
      <x:c r="W518" s="7" t="n"/>
      <x:c r="X518" s="7" t="n"/>
      <x:c r="Y518" s="7" t="n"/>
      <x:c r="Z518" s="7" t="n"/>
      <x:c r="AA518" s="7" t="n"/>
      <x:c r="AB518" s="7" t="n"/>
    </x:row>
    <x:row r="519" ht="20" customHeight="1">
      <x:c r="A519" s="12" t="inlineStr">
        <x:is>
          <x:t xml:space="preserve">Indian Prairie School District 204</x:t>
        </x:is>
      </x:c>
      <x:c r="B519" s="12" t="inlineStr">
        <x:is>
          <x:t xml:space="preserve">IL</x:t>
        </x:is>
      </x:c>
      <x:c r="C519" s="12" t="inlineStr">
        <x:is>
          <x:t xml:space="preserve">Master's</x:t>
        </x:is>
      </x:c>
      <x:c r="D519" s="13" t="n">
        <x:v>0</x:v>
      </x:c>
      <x:c r="E519" s="14" t="n">
        <x:v>68445</x:v>
      </x:c>
      <x:c r="F519" s="12" t="inlineStr">
        <x:is>
          <x:t xml:space="preserve">2026-06-15</x:t>
        </x:is>
      </x:c>
      <x:c r="G519" s="7" t="n"/>
      <x:c r="H519" s="7" t="n"/>
      <x:c r="I519" s="7" t="n"/>
      <x:c r="J519" s="7" t="n"/>
      <x:c r="K519" s="7" t="n"/>
      <x:c r="L519" s="7" t="n"/>
      <x:c r="M519" s="7" t="n"/>
      <x:c r="N519" s="7" t="n"/>
      <x:c r="O519" s="7" t="n"/>
      <x:c r="P519" s="7" t="n"/>
      <x:c r="Q519" s="7" t="n"/>
      <x:c r="R519" s="7" t="n"/>
      <x:c r="S519" s="7" t="n"/>
      <x:c r="T519" s="7" t="n"/>
      <x:c r="U519" s="7" t="n"/>
      <x:c r="V519" s="7" t="n"/>
      <x:c r="W519" s="7" t="n"/>
      <x:c r="X519" s="7" t="n"/>
      <x:c r="Y519" s="7" t="n"/>
      <x:c r="Z519" s="7" t="n"/>
      <x:c r="AA519" s="7" t="n"/>
      <x:c r="AB519" s="7" t="n"/>
    </x:row>
    <x:row r="520" ht="20" customHeight="1">
      <x:c r="A520" s="12" t="inlineStr">
        <x:is>
          <x:t xml:space="preserve">Indian Prairie School District 204</x:t>
        </x:is>
      </x:c>
      <x:c r="B520" s="12" t="inlineStr">
        <x:is>
          <x:t xml:space="preserve">IL</x:t>
        </x:is>
      </x:c>
      <x:c r="C520" s="12" t="inlineStr">
        <x:is>
          <x:t xml:space="preserve">Master's</x:t>
        </x:is>
      </x:c>
      <x:c r="D520" s="13" t="n">
        <x:v>1</x:v>
      </x:c>
      <x:c r="E520" s="14" t="n">
        <x:v>69470</x:v>
      </x:c>
      <x:c r="F520" s="12" t="inlineStr">
        <x:is>
          <x:t xml:space="preserve">2026-06-15</x:t>
        </x:is>
      </x:c>
      <x:c r="G520" s="7" t="n"/>
      <x:c r="H520" s="7" t="n"/>
      <x:c r="I520" s="7" t="n"/>
      <x:c r="J520" s="7" t="n"/>
      <x:c r="K520" s="7" t="n"/>
      <x:c r="L520" s="7" t="n"/>
      <x:c r="M520" s="7" t="n"/>
      <x:c r="N520" s="7" t="n"/>
      <x:c r="O520" s="7" t="n"/>
      <x:c r="P520" s="7" t="n"/>
      <x:c r="Q520" s="7" t="n"/>
      <x:c r="R520" s="7" t="n"/>
      <x:c r="S520" s="7" t="n"/>
      <x:c r="T520" s="7" t="n"/>
      <x:c r="U520" s="7" t="n"/>
      <x:c r="V520" s="7" t="n"/>
      <x:c r="W520" s="7" t="n"/>
      <x:c r="X520" s="7" t="n"/>
      <x:c r="Y520" s="7" t="n"/>
      <x:c r="Z520" s="7" t="n"/>
      <x:c r="AA520" s="7" t="n"/>
      <x:c r="AB520" s="7" t="n"/>
    </x:row>
    <x:row r="521" ht="20" customHeight="1">
      <x:c r="A521" s="12" t="inlineStr">
        <x:is>
          <x:t xml:space="preserve">Indian Prairie School District 204</x:t>
        </x:is>
      </x:c>
      <x:c r="B521" s="12" t="inlineStr">
        <x:is>
          <x:t xml:space="preserve">IL</x:t>
        </x:is>
      </x:c>
      <x:c r="C521" s="12" t="inlineStr">
        <x:is>
          <x:t xml:space="preserve">Master's</x:t>
        </x:is>
      </x:c>
      <x:c r="D521" s="13" t="n">
        <x:v>2</x:v>
      </x:c>
      <x:c r="E521" s="14" t="n">
        <x:v>70513</x:v>
      </x:c>
      <x:c r="F521" s="12" t="inlineStr">
        <x:is>
          <x:t xml:space="preserve">2026-06-15</x:t>
        </x:is>
      </x:c>
      <x:c r="G521" s="7" t="n"/>
      <x:c r="H521" s="7" t="n"/>
      <x:c r="I521" s="7" t="n"/>
      <x:c r="J521" s="7" t="n"/>
      <x:c r="K521" s="7" t="n"/>
      <x:c r="L521" s="7" t="n"/>
      <x:c r="M521" s="7" t="n"/>
      <x:c r="N521" s="7" t="n"/>
      <x:c r="O521" s="7" t="n"/>
      <x:c r="P521" s="7" t="n"/>
      <x:c r="Q521" s="7" t="n"/>
      <x:c r="R521" s="7" t="n"/>
      <x:c r="S521" s="7" t="n"/>
      <x:c r="T521" s="7" t="n"/>
      <x:c r="U521" s="7" t="n"/>
      <x:c r="V521" s="7" t="n"/>
      <x:c r="W521" s="7" t="n"/>
      <x:c r="X521" s="7" t="n"/>
      <x:c r="Y521" s="7" t="n"/>
      <x:c r="Z521" s="7" t="n"/>
      <x:c r="AA521" s="7" t="n"/>
      <x:c r="AB521" s="7" t="n"/>
    </x:row>
    <x:row r="522" ht="20" customHeight="1">
      <x:c r="A522" s="12" t="inlineStr">
        <x:is>
          <x:t xml:space="preserve">Indian Prairie School District 204</x:t>
        </x:is>
      </x:c>
      <x:c r="B522" s="12" t="inlineStr">
        <x:is>
          <x:t xml:space="preserve">IL</x:t>
        </x:is>
      </x:c>
      <x:c r="C522" s="12" t="inlineStr">
        <x:is>
          <x:t xml:space="preserve">Master's</x:t>
        </x:is>
      </x:c>
      <x:c r="D522" s="13" t="n">
        <x:v>3</x:v>
      </x:c>
      <x:c r="E522" s="14" t="n">
        <x:v>71570</x:v>
      </x:c>
      <x:c r="F522" s="12" t="inlineStr">
        <x:is>
          <x:t xml:space="preserve">2026-06-15</x:t>
        </x:is>
      </x:c>
      <x:c r="G522" s="7" t="n"/>
      <x:c r="H522" s="7" t="n"/>
      <x:c r="I522" s="7" t="n"/>
      <x:c r="J522" s="7" t="n"/>
      <x:c r="K522" s="7" t="n"/>
      <x:c r="L522" s="7" t="n"/>
      <x:c r="M522" s="7" t="n"/>
      <x:c r="N522" s="7" t="n"/>
      <x:c r="O522" s="7" t="n"/>
      <x:c r="P522" s="7" t="n"/>
      <x:c r="Q522" s="7" t="n"/>
      <x:c r="R522" s="7" t="n"/>
      <x:c r="S522" s="7" t="n"/>
      <x:c r="T522" s="7" t="n"/>
      <x:c r="U522" s="7" t="n"/>
      <x:c r="V522" s="7" t="n"/>
      <x:c r="W522" s="7" t="n"/>
      <x:c r="X522" s="7" t="n"/>
      <x:c r="Y522" s="7" t="n"/>
      <x:c r="Z522" s="7" t="n"/>
      <x:c r="AA522" s="7" t="n"/>
      <x:c r="AB522" s="7" t="n"/>
    </x:row>
    <x:row r="523" ht="20" customHeight="1">
      <x:c r="A523" s="12" t="inlineStr">
        <x:is>
          <x:t xml:space="preserve">Indian Prairie School District 204</x:t>
        </x:is>
      </x:c>
      <x:c r="B523" s="12" t="inlineStr">
        <x:is>
          <x:t xml:space="preserve">IL</x:t>
        </x:is>
      </x:c>
      <x:c r="C523" s="12" t="inlineStr">
        <x:is>
          <x:t xml:space="preserve">Master's</x:t>
        </x:is>
      </x:c>
      <x:c r="D523" s="13" t="n">
        <x:v>4</x:v>
      </x:c>
      <x:c r="E523" s="14" t="n">
        <x:v>73002</x:v>
      </x:c>
      <x:c r="F523" s="12" t="inlineStr">
        <x:is>
          <x:t xml:space="preserve">2026-06-15</x:t>
        </x:is>
      </x:c>
      <x:c r="G523" s="7" t="n"/>
      <x:c r="H523" s="7" t="n"/>
      <x:c r="I523" s="7" t="n"/>
      <x:c r="J523" s="7" t="n"/>
      <x:c r="K523" s="7" t="n"/>
      <x:c r="L523" s="7" t="n"/>
      <x:c r="M523" s="7" t="n"/>
      <x:c r="N523" s="7" t="n"/>
      <x:c r="O523" s="7" t="n"/>
      <x:c r="P523" s="7" t="n"/>
      <x:c r="Q523" s="7" t="n"/>
      <x:c r="R523" s="7" t="n"/>
      <x:c r="S523" s="7" t="n"/>
      <x:c r="T523" s="7" t="n"/>
      <x:c r="U523" s="7" t="n"/>
      <x:c r="V523" s="7" t="n"/>
      <x:c r="W523" s="7" t="n"/>
      <x:c r="X523" s="7" t="n"/>
      <x:c r="Y523" s="7" t="n"/>
      <x:c r="Z523" s="7" t="n"/>
      <x:c r="AA523" s="7" t="n"/>
      <x:c r="AB523" s="7" t="n"/>
    </x:row>
    <x:row r="524" ht="20" customHeight="1">
      <x:c r="A524" s="12" t="inlineStr">
        <x:is>
          <x:t xml:space="preserve">Indian Prairie School District 204</x:t>
        </x:is>
      </x:c>
      <x:c r="B524" s="12" t="inlineStr">
        <x:is>
          <x:t xml:space="preserve">IL</x:t>
        </x:is>
      </x:c>
      <x:c r="C524" s="12" t="inlineStr">
        <x:is>
          <x:t xml:space="preserve">Master's</x:t>
        </x:is>
      </x:c>
      <x:c r="D524" s="13" t="n">
        <x:v>5</x:v>
      </x:c>
      <x:c r="E524" s="14" t="n">
        <x:v>74462</x:v>
      </x:c>
      <x:c r="F524" s="12" t="inlineStr">
        <x:is>
          <x:t xml:space="preserve">2026-06-15</x:t>
        </x:is>
      </x:c>
      <x:c r="G524" s="7" t="n"/>
      <x:c r="H524" s="7" t="n"/>
      <x:c r="I524" s="7" t="n"/>
      <x:c r="J524" s="7" t="n"/>
      <x:c r="K524" s="7" t="n"/>
      <x:c r="L524" s="7" t="n"/>
      <x:c r="M524" s="7" t="n"/>
      <x:c r="N524" s="7" t="n"/>
      <x:c r="O524" s="7" t="n"/>
      <x:c r="P524" s="7" t="n"/>
      <x:c r="Q524" s="7" t="n"/>
      <x:c r="R524" s="7" t="n"/>
      <x:c r="S524" s="7" t="n"/>
      <x:c r="T524" s="7" t="n"/>
      <x:c r="U524" s="7" t="n"/>
      <x:c r="V524" s="7" t="n"/>
      <x:c r="W524" s="7" t="n"/>
      <x:c r="X524" s="7" t="n"/>
      <x:c r="Y524" s="7" t="n"/>
      <x:c r="Z524" s="7" t="n"/>
      <x:c r="AA524" s="7" t="n"/>
      <x:c r="AB524" s="7" t="n"/>
    </x:row>
    <x:row r="525" ht="20" customHeight="1">
      <x:c r="A525" s="12" t="inlineStr">
        <x:is>
          <x:t xml:space="preserve">Indian Prairie School District 204</x:t>
        </x:is>
      </x:c>
      <x:c r="B525" s="12" t="inlineStr">
        <x:is>
          <x:t xml:space="preserve">IL</x:t>
        </x:is>
      </x:c>
      <x:c r="C525" s="12" t="inlineStr">
        <x:is>
          <x:t xml:space="preserve">Master's</x:t>
        </x:is>
      </x:c>
      <x:c r="D525" s="13" t="n">
        <x:v>6</x:v>
      </x:c>
      <x:c r="E525" s="14" t="n">
        <x:v>75951</x:v>
      </x:c>
      <x:c r="F525" s="12" t="inlineStr">
        <x:is>
          <x:t xml:space="preserve">2026-06-15</x:t>
        </x:is>
      </x:c>
      <x:c r="G525" s="7" t="n"/>
      <x:c r="H525" s="7" t="n"/>
      <x:c r="I525" s="7" t="n"/>
      <x:c r="J525" s="7" t="n"/>
      <x:c r="K525" s="7" t="n"/>
      <x:c r="L525" s="7" t="n"/>
      <x:c r="M525" s="7" t="n"/>
      <x:c r="N525" s="7" t="n"/>
      <x:c r="O525" s="7" t="n"/>
      <x:c r="P525" s="7" t="n"/>
      <x:c r="Q525" s="7" t="n"/>
      <x:c r="R525" s="7" t="n"/>
      <x:c r="S525" s="7" t="n"/>
      <x:c r="T525" s="7" t="n"/>
      <x:c r="U525" s="7" t="n"/>
      <x:c r="V525" s="7" t="n"/>
      <x:c r="W525" s="7" t="n"/>
      <x:c r="X525" s="7" t="n"/>
      <x:c r="Y525" s="7" t="n"/>
      <x:c r="Z525" s="7" t="n"/>
      <x:c r="AA525" s="7" t="n"/>
      <x:c r="AB525" s="7" t="n"/>
    </x:row>
    <x:row r="526" ht="20" customHeight="1">
      <x:c r="A526" s="12" t="inlineStr">
        <x:is>
          <x:t xml:space="preserve">Indian Prairie School District 204</x:t>
        </x:is>
      </x:c>
      <x:c r="B526" s="12" t="inlineStr">
        <x:is>
          <x:t xml:space="preserve">IL</x:t>
        </x:is>
      </x:c>
      <x:c r="C526" s="12" t="inlineStr">
        <x:is>
          <x:t xml:space="preserve">Master's</x:t>
        </x:is>
      </x:c>
      <x:c r="D526" s="13" t="n">
        <x:v>7</x:v>
      </x:c>
      <x:c r="E526" s="14" t="n">
        <x:v>77470</x:v>
      </x:c>
      <x:c r="F526" s="12" t="inlineStr">
        <x:is>
          <x:t xml:space="preserve">2026-06-15</x:t>
        </x:is>
      </x:c>
      <x:c r="G526" s="7" t="n"/>
      <x:c r="H526" s="7" t="n"/>
      <x:c r="I526" s="7" t="n"/>
      <x:c r="J526" s="7" t="n"/>
      <x:c r="K526" s="7" t="n"/>
      <x:c r="L526" s="7" t="n"/>
      <x:c r="M526" s="7" t="n"/>
      <x:c r="N526" s="7" t="n"/>
      <x:c r="O526" s="7" t="n"/>
      <x:c r="P526" s="7" t="n"/>
      <x:c r="Q526" s="7" t="n"/>
      <x:c r="R526" s="7" t="n"/>
      <x:c r="S526" s="7" t="n"/>
      <x:c r="T526" s="7" t="n"/>
      <x:c r="U526" s="7" t="n"/>
      <x:c r="V526" s="7" t="n"/>
      <x:c r="W526" s="7" t="n"/>
      <x:c r="X526" s="7" t="n"/>
      <x:c r="Y526" s="7" t="n"/>
      <x:c r="Z526" s="7" t="n"/>
      <x:c r="AA526" s="7" t="n"/>
      <x:c r="AB526" s="7" t="n"/>
    </x:row>
    <x:row r="527" ht="20" customHeight="1">
      <x:c r="A527" s="12" t="inlineStr">
        <x:is>
          <x:t xml:space="preserve">Indian Prairie School District 204</x:t>
        </x:is>
      </x:c>
      <x:c r="B527" s="12" t="inlineStr">
        <x:is>
          <x:t xml:space="preserve">IL</x:t>
        </x:is>
      </x:c>
      <x:c r="C527" s="12" t="inlineStr">
        <x:is>
          <x:t xml:space="preserve">Master's</x:t>
        </x:is>
      </x:c>
      <x:c r="D527" s="13" t="n">
        <x:v>8</x:v>
      </x:c>
      <x:c r="E527" s="14" t="n">
        <x:v>79020</x:v>
      </x:c>
      <x:c r="F527" s="12" t="inlineStr">
        <x:is>
          <x:t xml:space="preserve">2026-06-15</x:t>
        </x:is>
      </x:c>
      <x:c r="G527" s="7" t="n"/>
      <x:c r="H527" s="7" t="n"/>
      <x:c r="I527" s="7" t="n"/>
      <x:c r="J527" s="7" t="n"/>
      <x:c r="K527" s="7" t="n"/>
      <x:c r="L527" s="7" t="n"/>
      <x:c r="M527" s="7" t="n"/>
      <x:c r="N527" s="7" t="n"/>
      <x:c r="O527" s="7" t="n"/>
      <x:c r="P527" s="7" t="n"/>
      <x:c r="Q527" s="7" t="n"/>
      <x:c r="R527" s="7" t="n"/>
      <x:c r="S527" s="7" t="n"/>
      <x:c r="T527" s="7" t="n"/>
      <x:c r="U527" s="7" t="n"/>
      <x:c r="V527" s="7" t="n"/>
      <x:c r="W527" s="7" t="n"/>
      <x:c r="X527" s="7" t="n"/>
      <x:c r="Y527" s="7" t="n"/>
      <x:c r="Z527" s="7" t="n"/>
      <x:c r="AA527" s="7" t="n"/>
      <x:c r="AB527" s="7" t="n"/>
    </x:row>
    <x:row r="528" ht="20" customHeight="1">
      <x:c r="A528" s="12" t="inlineStr">
        <x:is>
          <x:t xml:space="preserve">Indian Prairie School District 204</x:t>
        </x:is>
      </x:c>
      <x:c r="B528" s="12" t="inlineStr">
        <x:is>
          <x:t xml:space="preserve">IL</x:t>
        </x:is>
      </x:c>
      <x:c r="C528" s="12" t="inlineStr">
        <x:is>
          <x:t xml:space="preserve">Master's</x:t>
        </x:is>
      </x:c>
      <x:c r="D528" s="13" t="n">
        <x:v>9</x:v>
      </x:c>
      <x:c r="E528" s="14" t="n">
        <x:v>81193</x:v>
      </x:c>
      <x:c r="F528" s="12" t="inlineStr">
        <x:is>
          <x:t xml:space="preserve">2026-06-15</x:t>
        </x:is>
      </x:c>
      <x:c r="G528" s="7" t="n"/>
      <x:c r="H528" s="7" t="n"/>
      <x:c r="I528" s="7" t="n"/>
      <x:c r="J528" s="7" t="n"/>
      <x:c r="K528" s="7" t="n"/>
      <x:c r="L528" s="7" t="n"/>
      <x:c r="M528" s="7" t="n"/>
      <x:c r="N528" s="7" t="n"/>
      <x:c r="O528" s="7" t="n"/>
      <x:c r="P528" s="7" t="n"/>
      <x:c r="Q528" s="7" t="n"/>
      <x:c r="R528" s="7" t="n"/>
      <x:c r="S528" s="7" t="n"/>
      <x:c r="T528" s="7" t="n"/>
      <x:c r="U528" s="7" t="n"/>
      <x:c r="V528" s="7" t="n"/>
      <x:c r="W528" s="7" t="n"/>
      <x:c r="X528" s="7" t="n"/>
      <x:c r="Y528" s="7" t="n"/>
      <x:c r="Z528" s="7" t="n"/>
      <x:c r="AA528" s="7" t="n"/>
      <x:c r="AB528" s="7" t="n"/>
    </x:row>
    <x:row r="529" ht="20" customHeight="1">
      <x:c r="A529" s="12" t="inlineStr">
        <x:is>
          <x:t xml:space="preserve">Indian Prairie School District 204</x:t>
        </x:is>
      </x:c>
      <x:c r="B529" s="12" t="inlineStr">
        <x:is>
          <x:t xml:space="preserve">IL</x:t>
        </x:is>
      </x:c>
      <x:c r="C529" s="12" t="inlineStr">
        <x:is>
          <x:t xml:space="preserve">Master's</x:t>
        </x:is>
      </x:c>
      <x:c r="D529" s="13" t="n">
        <x:v>10</x:v>
      </x:c>
      <x:c r="E529" s="14" t="n">
        <x:v>83425</x:v>
      </x:c>
      <x:c r="F529" s="12" t="inlineStr">
        <x:is>
          <x:t xml:space="preserve">2026-06-15</x:t>
        </x:is>
      </x:c>
      <x:c r="G529" s="7" t="n"/>
      <x:c r="H529" s="7" t="n"/>
      <x:c r="I529" s="7" t="n"/>
      <x:c r="J529" s="7" t="n"/>
      <x:c r="K529" s="7" t="n"/>
      <x:c r="L529" s="7" t="n"/>
      <x:c r="M529" s="7" t="n"/>
      <x:c r="N529" s="7" t="n"/>
      <x:c r="O529" s="7" t="n"/>
      <x:c r="P529" s="7" t="n"/>
      <x:c r="Q529" s="7" t="n"/>
      <x:c r="R529" s="7" t="n"/>
      <x:c r="S529" s="7" t="n"/>
      <x:c r="T529" s="7" t="n"/>
      <x:c r="U529" s="7" t="n"/>
      <x:c r="V529" s="7" t="n"/>
      <x:c r="W529" s="7" t="n"/>
      <x:c r="X529" s="7" t="n"/>
      <x:c r="Y529" s="7" t="n"/>
      <x:c r="Z529" s="7" t="n"/>
      <x:c r="AA529" s="7" t="n"/>
      <x:c r="AB529" s="7" t="n"/>
    </x:row>
    <x:row r="530" ht="20" customHeight="1">
      <x:c r="A530" s="12" t="inlineStr">
        <x:is>
          <x:t xml:space="preserve">Jordan District</x:t>
        </x:is>
      </x:c>
      <x:c r="B530" s="12" t="inlineStr">
        <x:is>
          <x:t xml:space="preserve">UT</x:t>
        </x:is>
      </x:c>
      <x:c r="C530" s="12" t="inlineStr">
        <x:is>
          <x:t xml:space="preserve">Bachelor's</x:t>
        </x:is>
      </x:c>
      <x:c r="D530" s="13" t="n">
        <x:v>0</x:v>
      </x:c>
      <x:c r="E530" s="14" t="n">
        <x:v>63900</x:v>
      </x:c>
      <x:c r="F530" s="83" t="inlineStr">
        <x:is>
          <x:t xml:space="preserve">2026-06-10</x:t>
        </x:is>
      </x:c>
      <x:c r="G530" s="7" t="n"/>
      <x:c r="H530" s="7" t="n"/>
      <x:c r="I530" s="7" t="n"/>
      <x:c r="J530" s="7" t="n"/>
      <x:c r="K530" s="7" t="n"/>
      <x:c r="L530" s="7" t="n"/>
      <x:c r="M530" s="7" t="n"/>
      <x:c r="N530" s="7" t="n"/>
      <x:c r="O530" s="7" t="n"/>
      <x:c r="P530" s="7" t="n"/>
      <x:c r="Q530" s="7" t="n"/>
      <x:c r="R530" s="7" t="n"/>
      <x:c r="S530" s="7" t="n"/>
      <x:c r="T530" s="7" t="n"/>
      <x:c r="U530" s="7" t="n"/>
      <x:c r="V530" s="7" t="n"/>
      <x:c r="W530" s="7" t="n"/>
      <x:c r="X530" s="7" t="n"/>
      <x:c r="Y530" s="7" t="n"/>
      <x:c r="Z530" s="7" t="n"/>
      <x:c r="AA530" s="7" t="n"/>
      <x:c r="AB530" s="7" t="n"/>
    </x:row>
    <x:row r="531" ht="20" customHeight="1">
      <x:c r="A531" s="12" t="inlineStr">
        <x:is>
          <x:t xml:space="preserve">Jordan District</x:t>
        </x:is>
      </x:c>
      <x:c r="B531" s="12" t="inlineStr">
        <x:is>
          <x:t xml:space="preserve">UT</x:t>
        </x:is>
      </x:c>
      <x:c r="C531" s="12" t="inlineStr">
        <x:is>
          <x:t xml:space="preserve">Bachelor's</x:t>
        </x:is>
      </x:c>
      <x:c r="D531" s="13" t="n">
        <x:v>1</x:v>
      </x:c>
      <x:c r="E531" s="14" t="n">
        <x:v>63900</x:v>
      </x:c>
      <x:c r="F531" s="83" t="inlineStr">
        <x:is>
          <x:t xml:space="preserve">2026-06-10</x:t>
        </x:is>
      </x:c>
      <x:c r="G531" s="7" t="n"/>
      <x:c r="H531" s="7" t="n"/>
      <x:c r="I531" s="7" t="n"/>
      <x:c r="J531" s="7" t="n"/>
      <x:c r="K531" s="7" t="n"/>
      <x:c r="L531" s="7" t="n"/>
      <x:c r="M531" s="7" t="n"/>
      <x:c r="N531" s="7" t="n"/>
      <x:c r="O531" s="7" t="n"/>
      <x:c r="P531" s="7" t="n"/>
      <x:c r="Q531" s="7" t="n"/>
      <x:c r="R531" s="7" t="n"/>
      <x:c r="S531" s="7" t="n"/>
      <x:c r="T531" s="7" t="n"/>
      <x:c r="U531" s="7" t="n"/>
      <x:c r="V531" s="7" t="n"/>
      <x:c r="W531" s="7" t="n"/>
      <x:c r="X531" s="7" t="n"/>
      <x:c r="Y531" s="7" t="n"/>
      <x:c r="Z531" s="7" t="n"/>
      <x:c r="AA531" s="7" t="n"/>
      <x:c r="AB531" s="7" t="n"/>
    </x:row>
    <x:row r="532" ht="20" customHeight="1">
      <x:c r="A532" s="12" t="inlineStr">
        <x:is>
          <x:t xml:space="preserve">Jordan District</x:t>
        </x:is>
      </x:c>
      <x:c r="B532" s="12" t="inlineStr">
        <x:is>
          <x:t xml:space="preserve">UT</x:t>
        </x:is>
      </x:c>
      <x:c r="C532" s="12" t="inlineStr">
        <x:is>
          <x:t xml:space="preserve">Bachelor's</x:t>
        </x:is>
      </x:c>
      <x:c r="D532" s="13" t="n">
        <x:v>2</x:v>
      </x:c>
      <x:c r="E532" s="14" t="n">
        <x:v>64800</x:v>
      </x:c>
      <x:c r="F532" s="83" t="inlineStr">
        <x:is>
          <x:t xml:space="preserve">2026-06-10</x:t>
        </x:is>
      </x:c>
      <x:c r="G532" s="7" t="n"/>
      <x:c r="H532" s="7" t="n"/>
      <x:c r="I532" s="7" t="n"/>
      <x:c r="J532" s="7" t="n"/>
      <x:c r="K532" s="7" t="n"/>
      <x:c r="L532" s="7" t="n"/>
      <x:c r="M532" s="7" t="n"/>
      <x:c r="N532" s="7" t="n"/>
      <x:c r="O532" s="7" t="n"/>
      <x:c r="P532" s="7" t="n"/>
      <x:c r="Q532" s="7" t="n"/>
      <x:c r="R532" s="7" t="n"/>
      <x:c r="S532" s="7" t="n"/>
      <x:c r="T532" s="7" t="n"/>
      <x:c r="U532" s="7" t="n"/>
      <x:c r="V532" s="7" t="n"/>
      <x:c r="W532" s="7" t="n"/>
      <x:c r="X532" s="7" t="n"/>
      <x:c r="Y532" s="7" t="n"/>
      <x:c r="Z532" s="7" t="n"/>
      <x:c r="AA532" s="7" t="n"/>
      <x:c r="AB532" s="7" t="n"/>
    </x:row>
    <x:row r="533" ht="20" customHeight="1">
      <x:c r="A533" s="12" t="inlineStr">
        <x:is>
          <x:t xml:space="preserve">Jordan District</x:t>
        </x:is>
      </x:c>
      <x:c r="B533" s="12" t="inlineStr">
        <x:is>
          <x:t xml:space="preserve">UT</x:t>
        </x:is>
      </x:c>
      <x:c r="C533" s="12" t="inlineStr">
        <x:is>
          <x:t xml:space="preserve">Bachelor's</x:t>
        </x:is>
      </x:c>
      <x:c r="D533" s="13" t="n">
        <x:v>3</x:v>
      </x:c>
      <x:c r="E533" s="14" t="n">
        <x:v>65700</x:v>
      </x:c>
      <x:c r="F533" s="83" t="inlineStr">
        <x:is>
          <x:t xml:space="preserve">2026-06-10</x:t>
        </x:is>
      </x:c>
      <x:c r="G533" s="7" t="n"/>
      <x:c r="H533" s="7" t="n"/>
      <x:c r="I533" s="7" t="n"/>
      <x:c r="J533" s="7" t="n"/>
      <x:c r="K533" s="7" t="n"/>
      <x:c r="L533" s="7" t="n"/>
      <x:c r="M533" s="7" t="n"/>
      <x:c r="N533" s="7" t="n"/>
      <x:c r="O533" s="7" t="n"/>
      <x:c r="P533" s="7" t="n"/>
      <x:c r="Q533" s="7" t="n"/>
      <x:c r="R533" s="7" t="n"/>
      <x:c r="S533" s="7" t="n"/>
      <x:c r="T533" s="7" t="n"/>
      <x:c r="U533" s="7" t="n"/>
      <x:c r="V533" s="7" t="n"/>
      <x:c r="W533" s="7" t="n"/>
      <x:c r="X533" s="7" t="n"/>
      <x:c r="Y533" s="7" t="n"/>
      <x:c r="Z533" s="7" t="n"/>
      <x:c r="AA533" s="7" t="n"/>
      <x:c r="AB533" s="7" t="n"/>
    </x:row>
    <x:row r="534" ht="20" customHeight="1">
      <x:c r="A534" s="12" t="inlineStr">
        <x:is>
          <x:t xml:space="preserve">Jordan District</x:t>
        </x:is>
      </x:c>
      <x:c r="B534" s="12" t="inlineStr">
        <x:is>
          <x:t xml:space="preserve">UT</x:t>
        </x:is>
      </x:c>
      <x:c r="C534" s="12" t="inlineStr">
        <x:is>
          <x:t xml:space="preserve">Bachelor's</x:t>
        </x:is>
      </x:c>
      <x:c r="D534" s="13" t="n">
        <x:v>4</x:v>
      </x:c>
      <x:c r="E534" s="14" t="n">
        <x:v>66600</x:v>
      </x:c>
      <x:c r="F534" s="83" t="inlineStr">
        <x:is>
          <x:t xml:space="preserve">2026-06-10</x:t>
        </x:is>
      </x:c>
      <x:c r="G534" s="7" t="n"/>
      <x:c r="H534" s="7" t="n"/>
      <x:c r="I534" s="7" t="n"/>
      <x:c r="J534" s="7" t="n"/>
      <x:c r="K534" s="7" t="n"/>
      <x:c r="L534" s="7" t="n"/>
      <x:c r="M534" s="7" t="n"/>
      <x:c r="N534" s="7" t="n"/>
      <x:c r="O534" s="7" t="n"/>
      <x:c r="P534" s="7" t="n"/>
      <x:c r="Q534" s="7" t="n"/>
      <x:c r="R534" s="7" t="n"/>
      <x:c r="S534" s="7" t="n"/>
      <x:c r="T534" s="7" t="n"/>
      <x:c r="U534" s="7" t="n"/>
      <x:c r="V534" s="7" t="n"/>
      <x:c r="W534" s="7" t="n"/>
      <x:c r="X534" s="7" t="n"/>
      <x:c r="Y534" s="7" t="n"/>
      <x:c r="Z534" s="7" t="n"/>
      <x:c r="AA534" s="7" t="n"/>
      <x:c r="AB534" s="7" t="n"/>
    </x:row>
    <x:row r="535" ht="20" customHeight="1">
      <x:c r="A535" s="12" t="inlineStr">
        <x:is>
          <x:t xml:space="preserve">Jordan District</x:t>
        </x:is>
      </x:c>
      <x:c r="B535" s="12" t="inlineStr">
        <x:is>
          <x:t xml:space="preserve">UT</x:t>
        </x:is>
      </x:c>
      <x:c r="C535" s="12" t="inlineStr">
        <x:is>
          <x:t xml:space="preserve">Bachelor's</x:t>
        </x:is>
      </x:c>
      <x:c r="D535" s="13" t="n">
        <x:v>5</x:v>
      </x:c>
      <x:c r="E535" s="14" t="n">
        <x:v>67500</x:v>
      </x:c>
      <x:c r="F535" s="83" t="inlineStr">
        <x:is>
          <x:t xml:space="preserve">2026-06-10</x:t>
        </x:is>
      </x:c>
      <x:c r="G535" s="7" t="n"/>
      <x:c r="H535" s="7" t="n"/>
      <x:c r="I535" s="7" t="n"/>
      <x:c r="J535" s="7" t="n"/>
      <x:c r="K535" s="7" t="n"/>
      <x:c r="L535" s="7" t="n"/>
      <x:c r="M535" s="7" t="n"/>
      <x:c r="N535" s="7" t="n"/>
      <x:c r="O535" s="7" t="n"/>
      <x:c r="P535" s="7" t="n"/>
      <x:c r="Q535" s="7" t="n"/>
      <x:c r="R535" s="7" t="n"/>
      <x:c r="S535" s="7" t="n"/>
      <x:c r="T535" s="7" t="n"/>
      <x:c r="U535" s="7" t="n"/>
      <x:c r="V535" s="7" t="n"/>
      <x:c r="W535" s="7" t="n"/>
      <x:c r="X535" s="7" t="n"/>
      <x:c r="Y535" s="7" t="n"/>
      <x:c r="Z535" s="7" t="n"/>
      <x:c r="AA535" s="7" t="n"/>
      <x:c r="AB535" s="7" t="n"/>
    </x:row>
    <x:row r="536" ht="20" customHeight="1">
      <x:c r="A536" s="12" t="inlineStr">
        <x:is>
          <x:t xml:space="preserve">Jordan District</x:t>
        </x:is>
      </x:c>
      <x:c r="B536" s="12" t="inlineStr">
        <x:is>
          <x:t xml:space="preserve">UT</x:t>
        </x:is>
      </x:c>
      <x:c r="C536" s="12" t="inlineStr">
        <x:is>
          <x:t xml:space="preserve">Bachelor's</x:t>
        </x:is>
      </x:c>
      <x:c r="D536" s="13" t="n">
        <x:v>6</x:v>
      </x:c>
      <x:c r="E536" s="14" t="n">
        <x:v>68400</x:v>
      </x:c>
      <x:c r="F536" s="83" t="inlineStr">
        <x:is>
          <x:t xml:space="preserve">2026-06-10</x:t>
        </x:is>
      </x:c>
      <x:c r="G536" s="7" t="n"/>
      <x:c r="H536" s="7" t="n"/>
      <x:c r="I536" s="7" t="n"/>
      <x:c r="J536" s="7" t="n"/>
      <x:c r="K536" s="7" t="n"/>
      <x:c r="L536" s="7" t="n"/>
      <x:c r="M536" s="7" t="n"/>
      <x:c r="N536" s="7" t="n"/>
      <x:c r="O536" s="7" t="n"/>
      <x:c r="P536" s="7" t="n"/>
      <x:c r="Q536" s="7" t="n"/>
      <x:c r="R536" s="7" t="n"/>
      <x:c r="S536" s="7" t="n"/>
      <x:c r="T536" s="7" t="n"/>
      <x:c r="U536" s="7" t="n"/>
      <x:c r="V536" s="7" t="n"/>
      <x:c r="W536" s="7" t="n"/>
      <x:c r="X536" s="7" t="n"/>
      <x:c r="Y536" s="7" t="n"/>
      <x:c r="Z536" s="7" t="n"/>
      <x:c r="AA536" s="7" t="n"/>
      <x:c r="AB536" s="7" t="n"/>
    </x:row>
    <x:row r="537" ht="20" customHeight="1">
      <x:c r="A537" s="12" t="inlineStr">
        <x:is>
          <x:t xml:space="preserve">Jordan District</x:t>
        </x:is>
      </x:c>
      <x:c r="B537" s="12" t="inlineStr">
        <x:is>
          <x:t xml:space="preserve">UT</x:t>
        </x:is>
      </x:c>
      <x:c r="C537" s="12" t="inlineStr">
        <x:is>
          <x:t xml:space="preserve">Bachelor's</x:t>
        </x:is>
      </x:c>
      <x:c r="D537" s="13" t="n">
        <x:v>7</x:v>
      </x:c>
      <x:c r="E537" s="14" t="n">
        <x:v>69300</x:v>
      </x:c>
      <x:c r="F537" s="83" t="inlineStr">
        <x:is>
          <x:t xml:space="preserve">2026-06-10</x:t>
        </x:is>
      </x:c>
      <x:c r="G537" s="7" t="n"/>
      <x:c r="H537" s="7" t="n"/>
      <x:c r="I537" s="7" t="n"/>
      <x:c r="J537" s="7" t="n"/>
      <x:c r="K537" s="7" t="n"/>
      <x:c r="L537" s="7" t="n"/>
      <x:c r="M537" s="7" t="n"/>
      <x:c r="N537" s="7" t="n"/>
      <x:c r="O537" s="7" t="n"/>
      <x:c r="P537" s="7" t="n"/>
      <x:c r="Q537" s="7" t="n"/>
      <x:c r="R537" s="7" t="n"/>
      <x:c r="S537" s="7" t="n"/>
      <x:c r="T537" s="7" t="n"/>
      <x:c r="U537" s="7" t="n"/>
      <x:c r="V537" s="7" t="n"/>
      <x:c r="W537" s="7" t="n"/>
      <x:c r="X537" s="7" t="n"/>
      <x:c r="Y537" s="7" t="n"/>
      <x:c r="Z537" s="7" t="n"/>
      <x:c r="AA537" s="7" t="n"/>
      <x:c r="AB537" s="7" t="n"/>
    </x:row>
    <x:row r="538" ht="20" customHeight="1">
      <x:c r="A538" s="12" t="inlineStr">
        <x:is>
          <x:t xml:space="preserve">Jordan District</x:t>
        </x:is>
      </x:c>
      <x:c r="B538" s="12" t="inlineStr">
        <x:is>
          <x:t xml:space="preserve">UT</x:t>
        </x:is>
      </x:c>
      <x:c r="C538" s="12" t="inlineStr">
        <x:is>
          <x:t xml:space="preserve">Bachelor's</x:t>
        </x:is>
      </x:c>
      <x:c r="D538" s="13" t="n">
        <x:v>8</x:v>
      </x:c>
      <x:c r="E538" s="14" t="n">
        <x:v>70200</x:v>
      </x:c>
      <x:c r="F538" s="83" t="inlineStr">
        <x:is>
          <x:t xml:space="preserve">2026-06-10</x:t>
        </x:is>
      </x:c>
      <x:c r="G538" s="7" t="n"/>
      <x:c r="H538" s="7" t="n"/>
      <x:c r="I538" s="7" t="n"/>
      <x:c r="J538" s="7" t="n"/>
      <x:c r="K538" s="7" t="n"/>
      <x:c r="L538" s="7" t="n"/>
      <x:c r="M538" s="7" t="n"/>
      <x:c r="N538" s="7" t="n"/>
      <x:c r="O538" s="7" t="n"/>
      <x:c r="P538" s="7" t="n"/>
      <x:c r="Q538" s="7" t="n"/>
      <x:c r="R538" s="7" t="n"/>
      <x:c r="S538" s="7" t="n"/>
      <x:c r="T538" s="7" t="n"/>
      <x:c r="U538" s="7" t="n"/>
      <x:c r="V538" s="7" t="n"/>
      <x:c r="W538" s="7" t="n"/>
      <x:c r="X538" s="7" t="n"/>
      <x:c r="Y538" s="7" t="n"/>
      <x:c r="Z538" s="7" t="n"/>
      <x:c r="AA538" s="7" t="n"/>
      <x:c r="AB538" s="7" t="n"/>
    </x:row>
    <x:row r="539" ht="20" customHeight="1">
      <x:c r="A539" s="12" t="inlineStr">
        <x:is>
          <x:t xml:space="preserve">Jordan District</x:t>
        </x:is>
      </x:c>
      <x:c r="B539" s="12" t="inlineStr">
        <x:is>
          <x:t xml:space="preserve">UT</x:t>
        </x:is>
      </x:c>
      <x:c r="C539" s="12" t="inlineStr">
        <x:is>
          <x:t xml:space="preserve">Bachelor's</x:t>
        </x:is>
      </x:c>
      <x:c r="D539" s="13" t="n">
        <x:v>9</x:v>
      </x:c>
      <x:c r="E539" s="14" t="n">
        <x:v>71100</x:v>
      </x:c>
      <x:c r="F539" s="83" t="inlineStr">
        <x:is>
          <x:t xml:space="preserve">2026-06-10</x:t>
        </x:is>
      </x:c>
      <x:c r="G539" s="7" t="n"/>
      <x:c r="H539" s="7" t="n"/>
      <x:c r="I539" s="7" t="n"/>
      <x:c r="J539" s="7" t="n"/>
      <x:c r="K539" s="7" t="n"/>
      <x:c r="L539" s="7" t="n"/>
      <x:c r="M539" s="7" t="n"/>
      <x:c r="N539" s="7" t="n"/>
      <x:c r="O539" s="7" t="n"/>
      <x:c r="P539" s="7" t="n"/>
      <x:c r="Q539" s="7" t="n"/>
      <x:c r="R539" s="7" t="n"/>
      <x:c r="S539" s="7" t="n"/>
      <x:c r="T539" s="7" t="n"/>
      <x:c r="U539" s="7" t="n"/>
      <x:c r="V539" s="7" t="n"/>
      <x:c r="W539" s="7" t="n"/>
      <x:c r="X539" s="7" t="n"/>
      <x:c r="Y539" s="7" t="n"/>
      <x:c r="Z539" s="7" t="n"/>
      <x:c r="AA539" s="7" t="n"/>
      <x:c r="AB539" s="7" t="n"/>
    </x:row>
    <x:row r="540" ht="20" customHeight="1">
      <x:c r="A540" s="12" t="inlineStr">
        <x:is>
          <x:t xml:space="preserve">Jordan District</x:t>
        </x:is>
      </x:c>
      <x:c r="B540" s="12" t="inlineStr">
        <x:is>
          <x:t xml:space="preserve">UT</x:t>
        </x:is>
      </x:c>
      <x:c r="C540" s="12" t="inlineStr">
        <x:is>
          <x:t xml:space="preserve">Bachelor's</x:t>
        </x:is>
      </x:c>
      <x:c r="D540" s="13" t="n">
        <x:v>10</x:v>
      </x:c>
      <x:c r="E540" s="14" t="n">
        <x:v>72000</x:v>
      </x:c>
      <x:c r="F540" s="83" t="inlineStr">
        <x:is>
          <x:t xml:space="preserve">2026-06-10</x:t>
        </x:is>
      </x:c>
      <x:c r="G540" s="7" t="n"/>
      <x:c r="H540" s="7" t="n"/>
      <x:c r="I540" s="7" t="n"/>
      <x:c r="J540" s="7" t="n"/>
      <x:c r="K540" s="7" t="n"/>
      <x:c r="L540" s="7" t="n"/>
      <x:c r="M540" s="7" t="n"/>
      <x:c r="N540" s="7" t="n"/>
      <x:c r="O540" s="7" t="n"/>
      <x:c r="P540" s="7" t="n"/>
      <x:c r="Q540" s="7" t="n"/>
      <x:c r="R540" s="7" t="n"/>
      <x:c r="S540" s="7" t="n"/>
      <x:c r="T540" s="7" t="n"/>
      <x:c r="U540" s="7" t="n"/>
      <x:c r="V540" s="7" t="n"/>
      <x:c r="W540" s="7" t="n"/>
      <x:c r="X540" s="7" t="n"/>
      <x:c r="Y540" s="7" t="n"/>
      <x:c r="Z540" s="7" t="n"/>
      <x:c r="AA540" s="7" t="n"/>
      <x:c r="AB540" s="7" t="n"/>
    </x:row>
    <x:row r="541" ht="20" customHeight="1">
      <x:c r="A541" s="12" t="inlineStr">
        <x:is>
          <x:t xml:space="preserve">Jordan District</x:t>
        </x:is>
      </x:c>
      <x:c r="B541" s="12" t="inlineStr">
        <x:is>
          <x:t xml:space="preserve">UT</x:t>
        </x:is>
      </x:c>
      <x:c r="C541" s="12" t="inlineStr">
        <x:is>
          <x:t xml:space="preserve">Master's</x:t>
        </x:is>
      </x:c>
      <x:c r="D541" s="13" t="n">
        <x:v>0</x:v>
      </x:c>
      <x:c r="E541" s="14" t="n">
        <x:v>68400</x:v>
      </x:c>
      <x:c r="F541" s="83" t="inlineStr">
        <x:is>
          <x:t xml:space="preserve">2026-06-10</x:t>
        </x:is>
      </x:c>
      <x:c r="G541" s="7" t="n"/>
      <x:c r="H541" s="7" t="n"/>
      <x:c r="I541" s="7" t="n"/>
      <x:c r="J541" s="7" t="n"/>
      <x:c r="K541" s="7" t="n"/>
      <x:c r="L541" s="7" t="n"/>
      <x:c r="M541" s="7" t="n"/>
      <x:c r="N541" s="7" t="n"/>
      <x:c r="O541" s="7" t="n"/>
      <x:c r="P541" s="7" t="n"/>
      <x:c r="Q541" s="7" t="n"/>
      <x:c r="R541" s="7" t="n"/>
      <x:c r="S541" s="7" t="n"/>
      <x:c r="T541" s="7" t="n"/>
      <x:c r="U541" s="7" t="n"/>
      <x:c r="V541" s="7" t="n"/>
      <x:c r="W541" s="7" t="n"/>
      <x:c r="X541" s="7" t="n"/>
      <x:c r="Y541" s="7" t="n"/>
      <x:c r="Z541" s="7" t="n"/>
      <x:c r="AA541" s="7" t="n"/>
      <x:c r="AB541" s="7" t="n"/>
    </x:row>
    <x:row r="542" ht="20" customHeight="1">
      <x:c r="A542" s="12" t="inlineStr">
        <x:is>
          <x:t xml:space="preserve">Jordan District</x:t>
        </x:is>
      </x:c>
      <x:c r="B542" s="12" t="inlineStr">
        <x:is>
          <x:t xml:space="preserve">UT</x:t>
        </x:is>
      </x:c>
      <x:c r="C542" s="12" t="inlineStr">
        <x:is>
          <x:t xml:space="preserve">Master's</x:t>
        </x:is>
      </x:c>
      <x:c r="D542" s="13" t="n">
        <x:v>1</x:v>
      </x:c>
      <x:c r="E542" s="14" t="n">
        <x:v>68400</x:v>
      </x:c>
      <x:c r="F542" s="83" t="inlineStr">
        <x:is>
          <x:t xml:space="preserve">2026-06-10</x:t>
        </x:is>
      </x:c>
      <x:c r="G542" s="7" t="n"/>
      <x:c r="H542" s="7" t="n"/>
      <x:c r="I542" s="7" t="n"/>
      <x:c r="J542" s="7" t="n"/>
      <x:c r="K542" s="7" t="n"/>
      <x:c r="L542" s="7" t="n"/>
      <x:c r="M542" s="7" t="n"/>
      <x:c r="N542" s="7" t="n"/>
      <x:c r="O542" s="7" t="n"/>
      <x:c r="P542" s="7" t="n"/>
      <x:c r="Q542" s="7" t="n"/>
      <x:c r="R542" s="7" t="n"/>
      <x:c r="S542" s="7" t="n"/>
      <x:c r="T542" s="7" t="n"/>
      <x:c r="U542" s="7" t="n"/>
      <x:c r="V542" s="7" t="n"/>
      <x:c r="W542" s="7" t="n"/>
      <x:c r="X542" s="7" t="n"/>
      <x:c r="Y542" s="7" t="n"/>
      <x:c r="Z542" s="7" t="n"/>
      <x:c r="AA542" s="7" t="n"/>
      <x:c r="AB542" s="7" t="n"/>
    </x:row>
    <x:row r="543" ht="20" customHeight="1">
      <x:c r="A543" s="12" t="inlineStr">
        <x:is>
          <x:t xml:space="preserve">Jordan District</x:t>
        </x:is>
      </x:c>
      <x:c r="B543" s="12" t="inlineStr">
        <x:is>
          <x:t xml:space="preserve">UT</x:t>
        </x:is>
      </x:c>
      <x:c r="C543" s="12" t="inlineStr">
        <x:is>
          <x:t xml:space="preserve">Master's</x:t>
        </x:is>
      </x:c>
      <x:c r="D543" s="13" t="n">
        <x:v>2</x:v>
      </x:c>
      <x:c r="E543" s="14" t="n">
        <x:v>69300</x:v>
      </x:c>
      <x:c r="F543" s="83" t="inlineStr">
        <x:is>
          <x:t xml:space="preserve">2026-06-10</x:t>
        </x:is>
      </x:c>
      <x:c r="G543" s="7" t="n"/>
      <x:c r="H543" s="7" t="n"/>
      <x:c r="I543" s="7" t="n"/>
      <x:c r="J543" s="7" t="n"/>
      <x:c r="K543" s="7" t="n"/>
      <x:c r="L543" s="7" t="n"/>
      <x:c r="M543" s="7" t="n"/>
      <x:c r="N543" s="7" t="n"/>
      <x:c r="O543" s="7" t="n"/>
      <x:c r="P543" s="7" t="n"/>
      <x:c r="Q543" s="7" t="n"/>
      <x:c r="R543" s="7" t="n"/>
      <x:c r="S543" s="7" t="n"/>
      <x:c r="T543" s="7" t="n"/>
      <x:c r="U543" s="7" t="n"/>
      <x:c r="V543" s="7" t="n"/>
      <x:c r="W543" s="7" t="n"/>
      <x:c r="X543" s="7" t="n"/>
      <x:c r="Y543" s="7" t="n"/>
      <x:c r="Z543" s="7" t="n"/>
      <x:c r="AA543" s="7" t="n"/>
      <x:c r="AB543" s="7" t="n"/>
    </x:row>
    <x:row r="544" ht="20" customHeight="1">
      <x:c r="A544" s="12" t="inlineStr">
        <x:is>
          <x:t xml:space="preserve">Jordan District</x:t>
        </x:is>
      </x:c>
      <x:c r="B544" s="12" t="inlineStr">
        <x:is>
          <x:t xml:space="preserve">UT</x:t>
        </x:is>
      </x:c>
      <x:c r="C544" s="12" t="inlineStr">
        <x:is>
          <x:t xml:space="preserve">Master's</x:t>
        </x:is>
      </x:c>
      <x:c r="D544" s="13" t="n">
        <x:v>3</x:v>
      </x:c>
      <x:c r="E544" s="14" t="n">
        <x:v>70200</x:v>
      </x:c>
      <x:c r="F544" s="83" t="inlineStr">
        <x:is>
          <x:t xml:space="preserve">2026-06-10</x:t>
        </x:is>
      </x:c>
      <x:c r="G544" s="7" t="n"/>
      <x:c r="H544" s="7" t="n"/>
      <x:c r="I544" s="7" t="n"/>
      <x:c r="J544" s="7" t="n"/>
      <x:c r="K544" s="7" t="n"/>
      <x:c r="L544" s="7" t="n"/>
      <x:c r="M544" s="7" t="n"/>
      <x:c r="N544" s="7" t="n"/>
      <x:c r="O544" s="7" t="n"/>
      <x:c r="P544" s="7" t="n"/>
      <x:c r="Q544" s="7" t="n"/>
      <x:c r="R544" s="7" t="n"/>
      <x:c r="S544" s="7" t="n"/>
      <x:c r="T544" s="7" t="n"/>
      <x:c r="U544" s="7" t="n"/>
      <x:c r="V544" s="7" t="n"/>
      <x:c r="W544" s="7" t="n"/>
      <x:c r="X544" s="7" t="n"/>
      <x:c r="Y544" s="7" t="n"/>
      <x:c r="Z544" s="7" t="n"/>
      <x:c r="AA544" s="7" t="n"/>
      <x:c r="AB544" s="7" t="n"/>
    </x:row>
    <x:row r="545" ht="20" customHeight="1">
      <x:c r="A545" s="12" t="inlineStr">
        <x:is>
          <x:t xml:space="preserve">Jordan District</x:t>
        </x:is>
      </x:c>
      <x:c r="B545" s="12" t="inlineStr">
        <x:is>
          <x:t xml:space="preserve">UT</x:t>
        </x:is>
      </x:c>
      <x:c r="C545" s="12" t="inlineStr">
        <x:is>
          <x:t xml:space="preserve">Master's</x:t>
        </x:is>
      </x:c>
      <x:c r="D545" s="13" t="n">
        <x:v>4</x:v>
      </x:c>
      <x:c r="E545" s="14" t="n">
        <x:v>71100</x:v>
      </x:c>
      <x:c r="F545" s="83" t="inlineStr">
        <x:is>
          <x:t xml:space="preserve">2026-06-10</x:t>
        </x:is>
      </x:c>
      <x:c r="G545" s="7" t="n"/>
      <x:c r="H545" s="7" t="n"/>
      <x:c r="I545" s="7" t="n"/>
      <x:c r="J545" s="7" t="n"/>
      <x:c r="K545" s="7" t="n"/>
      <x:c r="L545" s="7" t="n"/>
      <x:c r="M545" s="7" t="n"/>
      <x:c r="N545" s="7" t="n"/>
      <x:c r="O545" s="7" t="n"/>
      <x:c r="P545" s="7" t="n"/>
      <x:c r="Q545" s="7" t="n"/>
      <x:c r="R545" s="7" t="n"/>
      <x:c r="S545" s="7" t="n"/>
      <x:c r="T545" s="7" t="n"/>
      <x:c r="U545" s="7" t="n"/>
      <x:c r="V545" s="7" t="n"/>
      <x:c r="W545" s="7" t="n"/>
      <x:c r="X545" s="7" t="n"/>
      <x:c r="Y545" s="7" t="n"/>
      <x:c r="Z545" s="7" t="n"/>
      <x:c r="AA545" s="7" t="n"/>
      <x:c r="AB545" s="7" t="n"/>
    </x:row>
    <x:row r="546" ht="20" customHeight="1">
      <x:c r="A546" s="12" t="inlineStr">
        <x:is>
          <x:t xml:space="preserve">Jordan District</x:t>
        </x:is>
      </x:c>
      <x:c r="B546" s="12" t="inlineStr">
        <x:is>
          <x:t xml:space="preserve">UT</x:t>
        </x:is>
      </x:c>
      <x:c r="C546" s="12" t="inlineStr">
        <x:is>
          <x:t xml:space="preserve">Master's</x:t>
        </x:is>
      </x:c>
      <x:c r="D546" s="13" t="n">
        <x:v>5</x:v>
      </x:c>
      <x:c r="E546" s="14" t="n">
        <x:v>72000</x:v>
      </x:c>
      <x:c r="F546" s="83" t="inlineStr">
        <x:is>
          <x:t xml:space="preserve">2026-06-10</x:t>
        </x:is>
      </x:c>
      <x:c r="G546" s="7" t="n"/>
      <x:c r="H546" s="7" t="n"/>
      <x:c r="I546" s="7" t="n"/>
      <x:c r="J546" s="7" t="n"/>
      <x:c r="K546" s="7" t="n"/>
      <x:c r="L546" s="7" t="n"/>
      <x:c r="M546" s="7" t="n"/>
      <x:c r="N546" s="7" t="n"/>
      <x:c r="O546" s="7" t="n"/>
      <x:c r="P546" s="7" t="n"/>
      <x:c r="Q546" s="7" t="n"/>
      <x:c r="R546" s="7" t="n"/>
      <x:c r="S546" s="7" t="n"/>
      <x:c r="T546" s="7" t="n"/>
      <x:c r="U546" s="7" t="n"/>
      <x:c r="V546" s="7" t="n"/>
      <x:c r="W546" s="7" t="n"/>
      <x:c r="X546" s="7" t="n"/>
      <x:c r="Y546" s="7" t="n"/>
      <x:c r="Z546" s="7" t="n"/>
      <x:c r="AA546" s="7" t="n"/>
      <x:c r="AB546" s="7" t="n"/>
    </x:row>
    <x:row r="547" ht="20" customHeight="1">
      <x:c r="A547" s="12" t="inlineStr">
        <x:is>
          <x:t xml:space="preserve">Jordan District</x:t>
        </x:is>
      </x:c>
      <x:c r="B547" s="12" t="inlineStr">
        <x:is>
          <x:t xml:space="preserve">UT</x:t>
        </x:is>
      </x:c>
      <x:c r="C547" s="12" t="inlineStr">
        <x:is>
          <x:t xml:space="preserve">Master's</x:t>
        </x:is>
      </x:c>
      <x:c r="D547" s="13" t="n">
        <x:v>6</x:v>
      </x:c>
      <x:c r="E547" s="14" t="n">
        <x:v>72900</x:v>
      </x:c>
      <x:c r="F547" s="83" t="inlineStr">
        <x:is>
          <x:t xml:space="preserve">2026-06-10</x:t>
        </x:is>
      </x:c>
      <x:c r="G547" s="7" t="n"/>
      <x:c r="H547" s="7" t="n"/>
      <x:c r="I547" s="7" t="n"/>
      <x:c r="J547" s="7" t="n"/>
      <x:c r="K547" s="7" t="n"/>
      <x:c r="L547" s="7" t="n"/>
      <x:c r="M547" s="7" t="n"/>
      <x:c r="N547" s="7" t="n"/>
      <x:c r="O547" s="7" t="n"/>
      <x:c r="P547" s="7" t="n"/>
      <x:c r="Q547" s="7" t="n"/>
      <x:c r="R547" s="7" t="n"/>
      <x:c r="S547" s="7" t="n"/>
      <x:c r="T547" s="7" t="n"/>
      <x:c r="U547" s="7" t="n"/>
      <x:c r="V547" s="7" t="n"/>
      <x:c r="W547" s="7" t="n"/>
      <x:c r="X547" s="7" t="n"/>
      <x:c r="Y547" s="7" t="n"/>
      <x:c r="Z547" s="7" t="n"/>
      <x:c r="AA547" s="7" t="n"/>
      <x:c r="AB547" s="7" t="n"/>
    </x:row>
    <x:row r="548" ht="20" customHeight="1">
      <x:c r="A548" s="12" t="inlineStr">
        <x:is>
          <x:t xml:space="preserve">Jordan District</x:t>
        </x:is>
      </x:c>
      <x:c r="B548" s="12" t="inlineStr">
        <x:is>
          <x:t xml:space="preserve">UT</x:t>
        </x:is>
      </x:c>
      <x:c r="C548" s="12" t="inlineStr">
        <x:is>
          <x:t xml:space="preserve">Master's</x:t>
        </x:is>
      </x:c>
      <x:c r="D548" s="13" t="n">
        <x:v>7</x:v>
      </x:c>
      <x:c r="E548" s="14" t="n">
        <x:v>73800</x:v>
      </x:c>
      <x:c r="F548" s="83" t="inlineStr">
        <x:is>
          <x:t xml:space="preserve">2026-06-10</x:t>
        </x:is>
      </x:c>
      <x:c r="G548" s="7" t="n"/>
      <x:c r="H548" s="7" t="n"/>
      <x:c r="I548" s="7" t="n"/>
      <x:c r="J548" s="7" t="n"/>
      <x:c r="K548" s="7" t="n"/>
      <x:c r="L548" s="7" t="n"/>
      <x:c r="M548" s="7" t="n"/>
      <x:c r="N548" s="7" t="n"/>
      <x:c r="O548" s="7" t="n"/>
      <x:c r="P548" s="7" t="n"/>
      <x:c r="Q548" s="7" t="n"/>
      <x:c r="R548" s="7" t="n"/>
      <x:c r="S548" s="7" t="n"/>
      <x:c r="T548" s="7" t="n"/>
      <x:c r="U548" s="7" t="n"/>
      <x:c r="V548" s="7" t="n"/>
      <x:c r="W548" s="7" t="n"/>
      <x:c r="X548" s="7" t="n"/>
      <x:c r="Y548" s="7" t="n"/>
      <x:c r="Z548" s="7" t="n"/>
      <x:c r="AA548" s="7" t="n"/>
      <x:c r="AB548" s="7" t="n"/>
    </x:row>
    <x:row r="549" ht="20" customHeight="1">
      <x:c r="A549" s="12" t="inlineStr">
        <x:is>
          <x:t xml:space="preserve">Jordan District</x:t>
        </x:is>
      </x:c>
      <x:c r="B549" s="12" t="inlineStr">
        <x:is>
          <x:t xml:space="preserve">UT</x:t>
        </x:is>
      </x:c>
      <x:c r="C549" s="12" t="inlineStr">
        <x:is>
          <x:t xml:space="preserve">Master's</x:t>
        </x:is>
      </x:c>
      <x:c r="D549" s="13" t="n">
        <x:v>8</x:v>
      </x:c>
      <x:c r="E549" s="14" t="n">
        <x:v>74700</x:v>
      </x:c>
      <x:c r="F549" s="83" t="inlineStr">
        <x:is>
          <x:t xml:space="preserve">2026-06-10</x:t>
        </x:is>
      </x:c>
      <x:c r="G549" s="7" t="n"/>
      <x:c r="H549" s="7" t="n"/>
      <x:c r="I549" s="7" t="n"/>
      <x:c r="J549" s="7" t="n"/>
      <x:c r="K549" s="7" t="n"/>
      <x:c r="L549" s="7" t="n"/>
      <x:c r="M549" s="7" t="n"/>
      <x:c r="N549" s="7" t="n"/>
      <x:c r="O549" s="7" t="n"/>
      <x:c r="P549" s="7" t="n"/>
      <x:c r="Q549" s="7" t="n"/>
      <x:c r="R549" s="7" t="n"/>
      <x:c r="S549" s="7" t="n"/>
      <x:c r="T549" s="7" t="n"/>
      <x:c r="U549" s="7" t="n"/>
      <x:c r="V549" s="7" t="n"/>
      <x:c r="W549" s="7" t="n"/>
      <x:c r="X549" s="7" t="n"/>
      <x:c r="Y549" s="7" t="n"/>
      <x:c r="Z549" s="7" t="n"/>
      <x:c r="AA549" s="7" t="n"/>
      <x:c r="AB549" s="7" t="n"/>
    </x:row>
    <x:row r="550" ht="20" customHeight="1">
      <x:c r="A550" s="12" t="inlineStr">
        <x:is>
          <x:t xml:space="preserve">Jordan District</x:t>
        </x:is>
      </x:c>
      <x:c r="B550" s="12" t="inlineStr">
        <x:is>
          <x:t xml:space="preserve">UT</x:t>
        </x:is>
      </x:c>
      <x:c r="C550" s="12" t="inlineStr">
        <x:is>
          <x:t xml:space="preserve">Master's</x:t>
        </x:is>
      </x:c>
      <x:c r="D550" s="13" t="n">
        <x:v>9</x:v>
      </x:c>
      <x:c r="E550" s="14" t="n">
        <x:v>75600</x:v>
      </x:c>
      <x:c r="F550" s="83" t="inlineStr">
        <x:is>
          <x:t xml:space="preserve">2026-06-10</x:t>
        </x:is>
      </x:c>
      <x:c r="G550" s="7" t="n"/>
      <x:c r="H550" s="7" t="n"/>
      <x:c r="I550" s="7" t="n"/>
      <x:c r="J550" s="7" t="n"/>
      <x:c r="K550" s="7" t="n"/>
      <x:c r="L550" s="7" t="n"/>
      <x:c r="M550" s="7" t="n"/>
      <x:c r="N550" s="7" t="n"/>
      <x:c r="O550" s="7" t="n"/>
      <x:c r="P550" s="7" t="n"/>
      <x:c r="Q550" s="7" t="n"/>
      <x:c r="R550" s="7" t="n"/>
      <x:c r="S550" s="7" t="n"/>
      <x:c r="T550" s="7" t="n"/>
      <x:c r="U550" s="7" t="n"/>
      <x:c r="V550" s="7" t="n"/>
      <x:c r="W550" s="7" t="n"/>
      <x:c r="X550" s="7" t="n"/>
      <x:c r="Y550" s="7" t="n"/>
      <x:c r="Z550" s="7" t="n"/>
      <x:c r="AA550" s="7" t="n"/>
      <x:c r="AB550" s="7" t="n"/>
    </x:row>
    <x:row r="551" ht="20" customHeight="1">
      <x:c r="A551" s="12" t="inlineStr">
        <x:is>
          <x:t xml:space="preserve">Jordan District</x:t>
        </x:is>
      </x:c>
      <x:c r="B551" s="12" t="inlineStr">
        <x:is>
          <x:t xml:space="preserve">UT</x:t>
        </x:is>
      </x:c>
      <x:c r="C551" s="12" t="inlineStr">
        <x:is>
          <x:t xml:space="preserve">Master's</x:t>
        </x:is>
      </x:c>
      <x:c r="D551" s="13" t="n">
        <x:v>10</x:v>
      </x:c>
      <x:c r="E551" s="14" t="n">
        <x:v>76500</x:v>
      </x:c>
      <x:c r="F551" s="83" t="inlineStr">
        <x:is>
          <x:t xml:space="preserve">2026-06-10</x:t>
        </x:is>
      </x:c>
      <x:c r="G551" s="7" t="n"/>
      <x:c r="H551" s="7" t="n"/>
      <x:c r="I551" s="7" t="n"/>
      <x:c r="J551" s="7" t="n"/>
      <x:c r="K551" s="7" t="n"/>
      <x:c r="L551" s="7" t="n"/>
      <x:c r="M551" s="7" t="n"/>
      <x:c r="N551" s="7" t="n"/>
      <x:c r="O551" s="7" t="n"/>
      <x:c r="P551" s="7" t="n"/>
      <x:c r="Q551" s="7" t="n"/>
      <x:c r="R551" s="7" t="n"/>
      <x:c r="S551" s="7" t="n"/>
      <x:c r="T551" s="7" t="n"/>
      <x:c r="U551" s="7" t="n"/>
      <x:c r="V551" s="7" t="n"/>
      <x:c r="W551" s="7" t="n"/>
      <x:c r="X551" s="7" t="n"/>
      <x:c r="Y551" s="7" t="n"/>
      <x:c r="Z551" s="7" t="n"/>
      <x:c r="AA551" s="7" t="n"/>
      <x:c r="AB551" s="7" t="n"/>
    </x:row>
    <x:row r="552" ht="20" customHeight="1">
      <x:c r="A552" s="12" t="inlineStr">
        <x:is>
          <x:t xml:space="preserve">Katy ISD</x:t>
        </x:is>
      </x:c>
      <x:c r="B552" s="12" t="inlineStr">
        <x:is>
          <x:t xml:space="preserve">TX</x:t>
        </x:is>
      </x:c>
      <x:c r="C552" s="12" t="inlineStr">
        <x:is>
          <x:t xml:space="preserve">Bachelor's</x:t>
        </x:is>
      </x:c>
      <x:c r="D552" s="13" t="n">
        <x:v>0</x:v>
      </x:c>
      <x:c r="E552" s="14" t="n">
        <x:v>66180</x:v>
      </x:c>
      <x:c r="F552" s="83" t="inlineStr">
        <x:is>
          <x:t xml:space="preserve">2026-06-10</x:t>
        </x:is>
      </x:c>
      <x:c r="G552" s="7" t="n"/>
      <x:c r="H552" s="7" t="n"/>
      <x:c r="I552" s="7" t="n"/>
      <x:c r="J552" s="7" t="n"/>
      <x:c r="K552" s="7" t="n"/>
      <x:c r="L552" s="7" t="n"/>
      <x:c r="M552" s="7" t="n"/>
      <x:c r="N552" s="7" t="n"/>
      <x:c r="O552" s="7" t="n"/>
      <x:c r="P552" s="7" t="n"/>
      <x:c r="Q552" s="7" t="n"/>
      <x:c r="R552" s="7" t="n"/>
      <x:c r="S552" s="7" t="n"/>
      <x:c r="T552" s="7" t="n"/>
      <x:c r="U552" s="7" t="n"/>
      <x:c r="V552" s="7" t="n"/>
      <x:c r="W552" s="7" t="n"/>
      <x:c r="X552" s="7" t="n"/>
      <x:c r="Y552" s="7" t="n"/>
      <x:c r="Z552" s="7" t="n"/>
      <x:c r="AA552" s="7" t="n"/>
      <x:c r="AB552" s="7" t="n"/>
    </x:row>
    <x:row r="553" ht="20" customHeight="1">
      <x:c r="A553" s="12" t="inlineStr">
        <x:is>
          <x:t xml:space="preserve">Katy ISD</x:t>
        </x:is>
      </x:c>
      <x:c r="B553" s="12" t="inlineStr">
        <x:is>
          <x:t xml:space="preserve">TX</x:t>
        </x:is>
      </x:c>
      <x:c r="C553" s="12" t="inlineStr">
        <x:is>
          <x:t xml:space="preserve">Bachelor's</x:t>
        </x:is>
      </x:c>
      <x:c r="D553" s="13" t="n">
        <x:v>1</x:v>
      </x:c>
      <x:c r="E553" s="14" t="n">
        <x:v>69130</x:v>
      </x:c>
      <x:c r="F553" s="83" t="inlineStr">
        <x:is>
          <x:t xml:space="preserve">2026-06-10</x:t>
        </x:is>
      </x:c>
      <x:c r="G553" s="7" t="n"/>
      <x:c r="H553" s="7" t="n"/>
      <x:c r="I553" s="7" t="n"/>
      <x:c r="J553" s="7" t="n"/>
      <x:c r="K553" s="7" t="n"/>
      <x:c r="L553" s="7" t="n"/>
      <x:c r="M553" s="7" t="n"/>
      <x:c r="N553" s="7" t="n"/>
      <x:c r="O553" s="7" t="n"/>
      <x:c r="P553" s="7" t="n"/>
      <x:c r="Q553" s="7" t="n"/>
      <x:c r="R553" s="7" t="n"/>
      <x:c r="S553" s="7" t="n"/>
      <x:c r="T553" s="7" t="n"/>
      <x:c r="U553" s="7" t="n"/>
      <x:c r="V553" s="7" t="n"/>
      <x:c r="W553" s="7" t="n"/>
      <x:c r="X553" s="7" t="n"/>
      <x:c r="Y553" s="7" t="n"/>
      <x:c r="Z553" s="7" t="n"/>
      <x:c r="AA553" s="7" t="n"/>
      <x:c r="AB553" s="7" t="n"/>
    </x:row>
    <x:row r="554" ht="20" customHeight="1">
      <x:c r="A554" s="12" t="inlineStr">
        <x:is>
          <x:t xml:space="preserve">Katy ISD</x:t>
        </x:is>
      </x:c>
      <x:c r="B554" s="12" t="inlineStr">
        <x:is>
          <x:t xml:space="preserve">TX</x:t>
        </x:is>
      </x:c>
      <x:c r="C554" s="12" t="inlineStr">
        <x:is>
          <x:t xml:space="preserve">Bachelor's</x:t>
        </x:is>
      </x:c>
      <x:c r="D554" s="13" t="n">
        <x:v>2</x:v>
      </x:c>
      <x:c r="E554" s="14" t="n">
        <x:v>69580</x:v>
      </x:c>
      <x:c r="F554" s="83" t="inlineStr">
        <x:is>
          <x:t xml:space="preserve">2026-06-10</x:t>
        </x:is>
      </x:c>
      <x:c r="G554" s="7" t="n"/>
      <x:c r="H554" s="7" t="n"/>
      <x:c r="I554" s="7" t="n"/>
      <x:c r="J554" s="7" t="n"/>
      <x:c r="K554" s="7" t="n"/>
      <x:c r="L554" s="7" t="n"/>
      <x:c r="M554" s="7" t="n"/>
      <x:c r="N554" s="7" t="n"/>
      <x:c r="O554" s="7" t="n"/>
      <x:c r="P554" s="7" t="n"/>
      <x:c r="Q554" s="7" t="n"/>
      <x:c r="R554" s="7" t="n"/>
      <x:c r="S554" s="7" t="n"/>
      <x:c r="T554" s="7" t="n"/>
      <x:c r="U554" s="7" t="n"/>
      <x:c r="V554" s="7" t="n"/>
      <x:c r="W554" s="7" t="n"/>
      <x:c r="X554" s="7" t="n"/>
      <x:c r="Y554" s="7" t="n"/>
      <x:c r="Z554" s="7" t="n"/>
      <x:c r="AA554" s="7" t="n"/>
      <x:c r="AB554" s="7" t="n"/>
    </x:row>
    <x:row r="555" ht="20" customHeight="1">
      <x:c r="A555" s="12" t="inlineStr">
        <x:is>
          <x:t xml:space="preserve">Katy ISD</x:t>
        </x:is>
      </x:c>
      <x:c r="B555" s="12" t="inlineStr">
        <x:is>
          <x:t xml:space="preserve">TX</x:t>
        </x:is>
      </x:c>
      <x:c r="C555" s="12" t="inlineStr">
        <x:is>
          <x:t xml:space="preserve">Bachelor's</x:t>
        </x:is>
      </x:c>
      <x:c r="D555" s="13" t="n">
        <x:v>3</x:v>
      </x:c>
      <x:c r="E555" s="14" t="n">
        <x:v>70025</x:v>
      </x:c>
      <x:c r="F555" s="83" t="inlineStr">
        <x:is>
          <x:t xml:space="preserve">2026-06-10</x:t>
        </x:is>
      </x:c>
      <x:c r="G555" s="7" t="n"/>
      <x:c r="H555" s="7" t="n"/>
      <x:c r="I555" s="7" t="n"/>
      <x:c r="J555" s="7" t="n"/>
      <x:c r="K555" s="7" t="n"/>
      <x:c r="L555" s="7" t="n"/>
      <x:c r="M555" s="7" t="n"/>
      <x:c r="N555" s="7" t="n"/>
      <x:c r="O555" s="7" t="n"/>
      <x:c r="P555" s="7" t="n"/>
      <x:c r="Q555" s="7" t="n"/>
      <x:c r="R555" s="7" t="n"/>
      <x:c r="S555" s="7" t="n"/>
      <x:c r="T555" s="7" t="n"/>
      <x:c r="U555" s="7" t="n"/>
      <x:c r="V555" s="7" t="n"/>
      <x:c r="W555" s="7" t="n"/>
      <x:c r="X555" s="7" t="n"/>
      <x:c r="Y555" s="7" t="n"/>
      <x:c r="Z555" s="7" t="n"/>
      <x:c r="AA555" s="7" t="n"/>
      <x:c r="AB555" s="7" t="n"/>
    </x:row>
    <x:row r="556" ht="20" customHeight="1">
      <x:c r="A556" s="12" t="inlineStr">
        <x:is>
          <x:t xml:space="preserve">Katy ISD</x:t>
        </x:is>
      </x:c>
      <x:c r="B556" s="12" t="inlineStr">
        <x:is>
          <x:t xml:space="preserve">TX</x:t>
        </x:is>
      </x:c>
      <x:c r="C556" s="12" t="inlineStr">
        <x:is>
          <x:t xml:space="preserve">Bachelor's</x:t>
        </x:is>
      </x:c>
      <x:c r="D556" s="13" t="n">
        <x:v>4</x:v>
      </x:c>
      <x:c r="E556" s="14" t="n">
        <x:v>70475</x:v>
      </x:c>
      <x:c r="F556" s="83" t="inlineStr">
        <x:is>
          <x:t xml:space="preserve">2026-06-10</x:t>
        </x:is>
      </x:c>
      <x:c r="G556" s="7" t="n"/>
      <x:c r="H556" s="7" t="n"/>
      <x:c r="I556" s="7" t="n"/>
      <x:c r="J556" s="7" t="n"/>
      <x:c r="K556" s="7" t="n"/>
      <x:c r="L556" s="7" t="n"/>
      <x:c r="M556" s="7" t="n"/>
      <x:c r="N556" s="7" t="n"/>
      <x:c r="O556" s="7" t="n"/>
      <x:c r="P556" s="7" t="n"/>
      <x:c r="Q556" s="7" t="n"/>
      <x:c r="R556" s="7" t="n"/>
      <x:c r="S556" s="7" t="n"/>
      <x:c r="T556" s="7" t="n"/>
      <x:c r="U556" s="7" t="n"/>
      <x:c r="V556" s="7" t="n"/>
      <x:c r="W556" s="7" t="n"/>
      <x:c r="X556" s="7" t="n"/>
      <x:c r="Y556" s="7" t="n"/>
      <x:c r="Z556" s="7" t="n"/>
      <x:c r="AA556" s="7" t="n"/>
      <x:c r="AB556" s="7" t="n"/>
    </x:row>
    <x:row r="557" ht="20" customHeight="1">
      <x:c r="A557" s="12" t="inlineStr">
        <x:is>
          <x:t xml:space="preserve">Katy ISD</x:t>
        </x:is>
      </x:c>
      <x:c r="B557" s="12" t="inlineStr">
        <x:is>
          <x:t xml:space="preserve">TX</x:t>
        </x:is>
      </x:c>
      <x:c r="C557" s="12" t="inlineStr">
        <x:is>
          <x:t xml:space="preserve">Bachelor's</x:t>
        </x:is>
      </x:c>
      <x:c r="D557" s="13" t="n">
        <x:v>5</x:v>
      </x:c>
      <x:c r="E557" s="14" t="n">
        <x:v>75875</x:v>
      </x:c>
      <x:c r="F557" s="83" t="inlineStr">
        <x:is>
          <x:t xml:space="preserve">2026-06-10</x:t>
        </x:is>
      </x:c>
      <x:c r="G557" s="7" t="n"/>
      <x:c r="H557" s="7" t="n"/>
      <x:c r="I557" s="7" t="n"/>
      <x:c r="J557" s="7" t="n"/>
      <x:c r="K557" s="7" t="n"/>
      <x:c r="L557" s="7" t="n"/>
      <x:c r="M557" s="7" t="n"/>
      <x:c r="N557" s="7" t="n"/>
      <x:c r="O557" s="7" t="n"/>
      <x:c r="P557" s="7" t="n"/>
      <x:c r="Q557" s="7" t="n"/>
      <x:c r="R557" s="7" t="n"/>
      <x:c r="S557" s="7" t="n"/>
      <x:c r="T557" s="7" t="n"/>
      <x:c r="U557" s="7" t="n"/>
      <x:c r="V557" s="7" t="n"/>
      <x:c r="W557" s="7" t="n"/>
      <x:c r="X557" s="7" t="n"/>
      <x:c r="Y557" s="7" t="n"/>
      <x:c r="Z557" s="7" t="n"/>
      <x:c r="AA557" s="7" t="n"/>
      <x:c r="AB557" s="7" t="n"/>
    </x:row>
    <x:row r="558" ht="20" customHeight="1">
      <x:c r="A558" s="12" t="inlineStr">
        <x:is>
          <x:t xml:space="preserve">Katy ISD</x:t>
        </x:is>
      </x:c>
      <x:c r="B558" s="12" t="inlineStr">
        <x:is>
          <x:t xml:space="preserve">TX</x:t>
        </x:is>
      </x:c>
      <x:c r="C558" s="12" t="inlineStr">
        <x:is>
          <x:t xml:space="preserve">Bachelor's</x:t>
        </x:is>
      </x:c>
      <x:c r="D558" s="13" t="n">
        <x:v>6</x:v>
      </x:c>
      <x:c r="E558" s="14" t="n">
        <x:v>76275</x:v>
      </x:c>
      <x:c r="F558" s="83" t="inlineStr">
        <x:is>
          <x:t xml:space="preserve">2026-06-10</x:t>
        </x:is>
      </x:c>
      <x:c r="G558" s="7" t="n"/>
      <x:c r="H558" s="7" t="n"/>
      <x:c r="I558" s="7" t="n"/>
      <x:c r="J558" s="7" t="n"/>
      <x:c r="K558" s="7" t="n"/>
      <x:c r="L558" s="7" t="n"/>
      <x:c r="M558" s="7" t="n"/>
      <x:c r="N558" s="7" t="n"/>
      <x:c r="O558" s="7" t="n"/>
      <x:c r="P558" s="7" t="n"/>
      <x:c r="Q558" s="7" t="n"/>
      <x:c r="R558" s="7" t="n"/>
      <x:c r="S558" s="7" t="n"/>
      <x:c r="T558" s="7" t="n"/>
      <x:c r="U558" s="7" t="n"/>
      <x:c r="V558" s="7" t="n"/>
      <x:c r="W558" s="7" t="n"/>
      <x:c r="X558" s="7" t="n"/>
      <x:c r="Y558" s="7" t="n"/>
      <x:c r="Z558" s="7" t="n"/>
      <x:c r="AA558" s="7" t="n"/>
      <x:c r="AB558" s="7" t="n"/>
    </x:row>
    <x:row r="559" ht="20" customHeight="1">
      <x:c r="A559" s="12" t="inlineStr">
        <x:is>
          <x:t xml:space="preserve">Katy ISD</x:t>
        </x:is>
      </x:c>
      <x:c r="B559" s="12" t="inlineStr">
        <x:is>
          <x:t xml:space="preserve">TX</x:t>
        </x:is>
      </x:c>
      <x:c r="C559" s="12" t="inlineStr">
        <x:is>
          <x:t xml:space="preserve">Bachelor's</x:t>
        </x:is>
      </x:c>
      <x:c r="D559" s="13" t="n">
        <x:v>7</x:v>
      </x:c>
      <x:c r="E559" s="14" t="n">
        <x:v>76675</x:v>
      </x:c>
      <x:c r="F559" s="83" t="inlineStr">
        <x:is>
          <x:t xml:space="preserve">2026-06-10</x:t>
        </x:is>
      </x:c>
      <x:c r="G559" s="7" t="n"/>
      <x:c r="H559" s="7" t="n"/>
      <x:c r="I559" s="7" t="n"/>
      <x:c r="J559" s="7" t="n"/>
      <x:c r="K559" s="7" t="n"/>
      <x:c r="L559" s="7" t="n"/>
      <x:c r="M559" s="7" t="n"/>
      <x:c r="N559" s="7" t="n"/>
      <x:c r="O559" s="7" t="n"/>
      <x:c r="P559" s="7" t="n"/>
      <x:c r="Q559" s="7" t="n"/>
      <x:c r="R559" s="7" t="n"/>
      <x:c r="S559" s="7" t="n"/>
      <x:c r="T559" s="7" t="n"/>
      <x:c r="U559" s="7" t="n"/>
      <x:c r="V559" s="7" t="n"/>
      <x:c r="W559" s="7" t="n"/>
      <x:c r="X559" s="7" t="n"/>
      <x:c r="Y559" s="7" t="n"/>
      <x:c r="Z559" s="7" t="n"/>
      <x:c r="AA559" s="7" t="n"/>
      <x:c r="AB559" s="7" t="n"/>
    </x:row>
    <x:row r="560" ht="20" customHeight="1">
      <x:c r="A560" s="12" t="inlineStr">
        <x:is>
          <x:t xml:space="preserve">Katy ISD</x:t>
        </x:is>
      </x:c>
      <x:c r="B560" s="12" t="inlineStr">
        <x:is>
          <x:t xml:space="preserve">TX</x:t>
        </x:is>
      </x:c>
      <x:c r="C560" s="12" t="inlineStr">
        <x:is>
          <x:t xml:space="preserve">Bachelor's</x:t>
        </x:is>
      </x:c>
      <x:c r="D560" s="13" t="n">
        <x:v>8</x:v>
      </x:c>
      <x:c r="E560" s="14" t="n">
        <x:v>77175</x:v>
      </x:c>
      <x:c r="F560" s="83" t="inlineStr">
        <x:is>
          <x:t xml:space="preserve">2026-06-10</x:t>
        </x:is>
      </x:c>
      <x:c r="G560" s="7" t="n"/>
      <x:c r="H560" s="7" t="n"/>
      <x:c r="I560" s="7" t="n"/>
      <x:c r="J560" s="7" t="n"/>
      <x:c r="K560" s="7" t="n"/>
      <x:c r="L560" s="7" t="n"/>
      <x:c r="M560" s="7" t="n"/>
      <x:c r="N560" s="7" t="n"/>
      <x:c r="O560" s="7" t="n"/>
      <x:c r="P560" s="7" t="n"/>
      <x:c r="Q560" s="7" t="n"/>
      <x:c r="R560" s="7" t="n"/>
      <x:c r="S560" s="7" t="n"/>
      <x:c r="T560" s="7" t="n"/>
      <x:c r="U560" s="7" t="n"/>
      <x:c r="V560" s="7" t="n"/>
      <x:c r="W560" s="7" t="n"/>
      <x:c r="X560" s="7" t="n"/>
      <x:c r="Y560" s="7" t="n"/>
      <x:c r="Z560" s="7" t="n"/>
      <x:c r="AA560" s="7" t="n"/>
      <x:c r="AB560" s="7" t="n"/>
    </x:row>
    <x:row r="561" ht="20" customHeight="1">
      <x:c r="A561" s="12" t="inlineStr">
        <x:is>
          <x:t xml:space="preserve">Katy ISD</x:t>
        </x:is>
      </x:c>
      <x:c r="B561" s="12" t="inlineStr">
        <x:is>
          <x:t xml:space="preserve">TX</x:t>
        </x:is>
      </x:c>
      <x:c r="C561" s="12" t="inlineStr">
        <x:is>
          <x:t xml:space="preserve">Bachelor's</x:t>
        </x:is>
      </x:c>
      <x:c r="D561" s="13" t="n">
        <x:v>9</x:v>
      </x:c>
      <x:c r="E561" s="14" t="n">
        <x:v>77675</x:v>
      </x:c>
      <x:c r="F561" s="83" t="inlineStr">
        <x:is>
          <x:t xml:space="preserve">2026-06-10</x:t>
        </x:is>
      </x:c>
      <x:c r="G561" s="7" t="n"/>
      <x:c r="H561" s="7" t="n"/>
      <x:c r="I561" s="7" t="n"/>
      <x:c r="J561" s="7" t="n"/>
      <x:c r="K561" s="7" t="n"/>
      <x:c r="L561" s="7" t="n"/>
      <x:c r="M561" s="7" t="n"/>
      <x:c r="N561" s="7" t="n"/>
      <x:c r="O561" s="7" t="n"/>
      <x:c r="P561" s="7" t="n"/>
      <x:c r="Q561" s="7" t="n"/>
      <x:c r="R561" s="7" t="n"/>
      <x:c r="S561" s="7" t="n"/>
      <x:c r="T561" s="7" t="n"/>
      <x:c r="U561" s="7" t="n"/>
      <x:c r="V561" s="7" t="n"/>
      <x:c r="W561" s="7" t="n"/>
      <x:c r="X561" s="7" t="n"/>
      <x:c r="Y561" s="7" t="n"/>
      <x:c r="Z561" s="7" t="n"/>
      <x:c r="AA561" s="7" t="n"/>
      <x:c r="AB561" s="7" t="n"/>
    </x:row>
    <x:row r="562" ht="20" customHeight="1">
      <x:c r="A562" s="12" t="inlineStr">
        <x:is>
          <x:t xml:space="preserve">Katy ISD</x:t>
        </x:is>
      </x:c>
      <x:c r="B562" s="12" t="inlineStr">
        <x:is>
          <x:t xml:space="preserve">TX</x:t>
        </x:is>
      </x:c>
      <x:c r="C562" s="12" t="inlineStr">
        <x:is>
          <x:t xml:space="preserve">Bachelor's</x:t>
        </x:is>
      </x:c>
      <x:c r="D562" s="13" t="n">
        <x:v>10</x:v>
      </x:c>
      <x:c r="E562" s="14" t="n">
        <x:v>78175</x:v>
      </x:c>
      <x:c r="F562" s="83" t="inlineStr">
        <x:is>
          <x:t xml:space="preserve">2026-06-10</x:t>
        </x:is>
      </x:c>
      <x:c r="G562" s="7" t="n"/>
      <x:c r="H562" s="7" t="n"/>
      <x:c r="I562" s="7" t="n"/>
      <x:c r="J562" s="7" t="n"/>
      <x:c r="K562" s="7" t="n"/>
      <x:c r="L562" s="7" t="n"/>
      <x:c r="M562" s="7" t="n"/>
      <x:c r="N562" s="7" t="n"/>
      <x:c r="O562" s="7" t="n"/>
      <x:c r="P562" s="7" t="n"/>
      <x:c r="Q562" s="7" t="n"/>
      <x:c r="R562" s="7" t="n"/>
      <x:c r="S562" s="7" t="n"/>
      <x:c r="T562" s="7" t="n"/>
      <x:c r="U562" s="7" t="n"/>
      <x:c r="V562" s="7" t="n"/>
      <x:c r="W562" s="7" t="n"/>
      <x:c r="X562" s="7" t="n"/>
      <x:c r="Y562" s="7" t="n"/>
      <x:c r="Z562" s="7" t="n"/>
      <x:c r="AA562" s="7" t="n"/>
      <x:c r="AB562" s="7" t="n"/>
    </x:row>
    <x:row r="563" ht="20" customHeight="1">
      <x:c r="A563" s="12" t="inlineStr">
        <x:is>
          <x:t xml:space="preserve">Katy ISD</x:t>
        </x:is>
      </x:c>
      <x:c r="B563" s="12" t="inlineStr">
        <x:is>
          <x:t xml:space="preserve">TX</x:t>
        </x:is>
      </x:c>
      <x:c r="C563" s="12" t="inlineStr">
        <x:is>
          <x:t xml:space="preserve">Master's</x:t>
        </x:is>
      </x:c>
      <x:c r="D563" s="13" t="n">
        <x:v>0</x:v>
      </x:c>
      <x:c r="E563" s="14" t="n">
        <x:v>67380</x:v>
      </x:c>
      <x:c r="F563" s="83" t="inlineStr">
        <x:is>
          <x:t xml:space="preserve">2026-06-10</x:t>
        </x:is>
      </x:c>
      <x:c r="G563" s="7" t="n"/>
      <x:c r="H563" s="7" t="n"/>
      <x:c r="I563" s="7" t="n"/>
      <x:c r="J563" s="7" t="n"/>
      <x:c r="K563" s="7" t="n"/>
      <x:c r="L563" s="7" t="n"/>
      <x:c r="M563" s="7" t="n"/>
      <x:c r="N563" s="7" t="n"/>
      <x:c r="O563" s="7" t="n"/>
      <x:c r="P563" s="7" t="n"/>
      <x:c r="Q563" s="7" t="n"/>
      <x:c r="R563" s="7" t="n"/>
      <x:c r="S563" s="7" t="n"/>
      <x:c r="T563" s="7" t="n"/>
      <x:c r="U563" s="7" t="n"/>
      <x:c r="V563" s="7" t="n"/>
      <x:c r="W563" s="7" t="n"/>
      <x:c r="X563" s="7" t="n"/>
      <x:c r="Y563" s="7" t="n"/>
      <x:c r="Z563" s="7" t="n"/>
      <x:c r="AA563" s="7" t="n"/>
      <x:c r="AB563" s="7" t="n"/>
    </x:row>
    <x:row r="564" ht="20" customHeight="1">
      <x:c r="A564" s="12" t="inlineStr">
        <x:is>
          <x:t xml:space="preserve">Katy ISD</x:t>
        </x:is>
      </x:c>
      <x:c r="B564" s="12" t="inlineStr">
        <x:is>
          <x:t xml:space="preserve">TX</x:t>
        </x:is>
      </x:c>
      <x:c r="C564" s="12" t="inlineStr">
        <x:is>
          <x:t xml:space="preserve">Master's</x:t>
        </x:is>
      </x:c>
      <x:c r="D564" s="13" t="n">
        <x:v>1</x:v>
      </x:c>
      <x:c r="E564" s="14" t="n">
        <x:v>70330</x:v>
      </x:c>
      <x:c r="F564" s="83" t="inlineStr">
        <x:is>
          <x:t xml:space="preserve">2026-06-10</x:t>
        </x:is>
      </x:c>
      <x:c r="G564" s="7" t="n"/>
      <x:c r="H564" s="7" t="n"/>
      <x:c r="I564" s="7" t="n"/>
      <x:c r="J564" s="7" t="n"/>
      <x:c r="K564" s="7" t="n"/>
      <x:c r="L564" s="7" t="n"/>
      <x:c r="M564" s="7" t="n"/>
      <x:c r="N564" s="7" t="n"/>
      <x:c r="O564" s="7" t="n"/>
      <x:c r="P564" s="7" t="n"/>
      <x:c r="Q564" s="7" t="n"/>
      <x:c r="R564" s="7" t="n"/>
      <x:c r="S564" s="7" t="n"/>
      <x:c r="T564" s="7" t="n"/>
      <x:c r="U564" s="7" t="n"/>
      <x:c r="V564" s="7" t="n"/>
      <x:c r="W564" s="7" t="n"/>
      <x:c r="X564" s="7" t="n"/>
      <x:c r="Y564" s="7" t="n"/>
      <x:c r="Z564" s="7" t="n"/>
      <x:c r="AA564" s="7" t="n"/>
      <x:c r="AB564" s="7" t="n"/>
    </x:row>
    <x:row r="565" ht="20" customHeight="1">
      <x:c r="A565" s="12" t="inlineStr">
        <x:is>
          <x:t xml:space="preserve">Katy ISD</x:t>
        </x:is>
      </x:c>
      <x:c r="B565" s="12" t="inlineStr">
        <x:is>
          <x:t xml:space="preserve">TX</x:t>
        </x:is>
      </x:c>
      <x:c r="C565" s="12" t="inlineStr">
        <x:is>
          <x:t xml:space="preserve">Master's</x:t>
        </x:is>
      </x:c>
      <x:c r="D565" s="13" t="n">
        <x:v>2</x:v>
      </x:c>
      <x:c r="E565" s="14" t="n">
        <x:v>70780</x:v>
      </x:c>
      <x:c r="F565" s="83" t="inlineStr">
        <x:is>
          <x:t xml:space="preserve">2026-06-10</x:t>
        </x:is>
      </x:c>
      <x:c r="G565" s="7" t="n"/>
      <x:c r="H565" s="7" t="n"/>
      <x:c r="I565" s="7" t="n"/>
      <x:c r="J565" s="7" t="n"/>
      <x:c r="K565" s="7" t="n"/>
      <x:c r="L565" s="7" t="n"/>
      <x:c r="M565" s="7" t="n"/>
      <x:c r="N565" s="7" t="n"/>
      <x:c r="O565" s="7" t="n"/>
      <x:c r="P565" s="7" t="n"/>
      <x:c r="Q565" s="7" t="n"/>
      <x:c r="R565" s="7" t="n"/>
      <x:c r="S565" s="7" t="n"/>
      <x:c r="T565" s="7" t="n"/>
      <x:c r="U565" s="7" t="n"/>
      <x:c r="V565" s="7" t="n"/>
      <x:c r="W565" s="7" t="n"/>
      <x:c r="X565" s="7" t="n"/>
      <x:c r="Y565" s="7" t="n"/>
      <x:c r="Z565" s="7" t="n"/>
      <x:c r="AA565" s="7" t="n"/>
      <x:c r="AB565" s="7" t="n"/>
    </x:row>
    <x:row r="566" ht="20" customHeight="1">
      <x:c r="A566" s="12" t="inlineStr">
        <x:is>
          <x:t xml:space="preserve">Katy ISD</x:t>
        </x:is>
      </x:c>
      <x:c r="B566" s="12" t="inlineStr">
        <x:is>
          <x:t xml:space="preserve">TX</x:t>
        </x:is>
      </x:c>
      <x:c r="C566" s="12" t="inlineStr">
        <x:is>
          <x:t xml:space="preserve">Master's</x:t>
        </x:is>
      </x:c>
      <x:c r="D566" s="13" t="n">
        <x:v>3</x:v>
      </x:c>
      <x:c r="E566" s="14" t="n">
        <x:v>71225</x:v>
      </x:c>
      <x:c r="F566" s="83" t="inlineStr">
        <x:is>
          <x:t xml:space="preserve">2026-06-10</x:t>
        </x:is>
      </x:c>
      <x:c r="G566" s="7" t="n"/>
      <x:c r="H566" s="7" t="n"/>
      <x:c r="I566" s="7" t="n"/>
      <x:c r="J566" s="7" t="n"/>
      <x:c r="K566" s="7" t="n"/>
      <x:c r="L566" s="7" t="n"/>
      <x:c r="M566" s="7" t="n"/>
      <x:c r="N566" s="7" t="n"/>
      <x:c r="O566" s="7" t="n"/>
      <x:c r="P566" s="7" t="n"/>
      <x:c r="Q566" s="7" t="n"/>
      <x:c r="R566" s="7" t="n"/>
      <x:c r="S566" s="7" t="n"/>
      <x:c r="T566" s="7" t="n"/>
      <x:c r="U566" s="7" t="n"/>
      <x:c r="V566" s="7" t="n"/>
      <x:c r="W566" s="7" t="n"/>
      <x:c r="X566" s="7" t="n"/>
      <x:c r="Y566" s="7" t="n"/>
      <x:c r="Z566" s="7" t="n"/>
      <x:c r="AA566" s="7" t="n"/>
      <x:c r="AB566" s="7" t="n"/>
    </x:row>
    <x:row r="567" ht="20" customHeight="1">
      <x:c r="A567" s="12" t="inlineStr">
        <x:is>
          <x:t xml:space="preserve">Katy ISD</x:t>
        </x:is>
      </x:c>
      <x:c r="B567" s="12" t="inlineStr">
        <x:is>
          <x:t xml:space="preserve">TX</x:t>
        </x:is>
      </x:c>
      <x:c r="C567" s="12" t="inlineStr">
        <x:is>
          <x:t xml:space="preserve">Master's</x:t>
        </x:is>
      </x:c>
      <x:c r="D567" s="13" t="n">
        <x:v>4</x:v>
      </x:c>
      <x:c r="E567" s="14" t="n">
        <x:v>71675</x:v>
      </x:c>
      <x:c r="F567" s="83" t="inlineStr">
        <x:is>
          <x:t xml:space="preserve">2026-06-10</x:t>
        </x:is>
      </x:c>
      <x:c r="G567" s="7" t="n"/>
      <x:c r="H567" s="7" t="n"/>
      <x:c r="I567" s="7" t="n"/>
      <x:c r="J567" s="7" t="n"/>
      <x:c r="K567" s="7" t="n"/>
      <x:c r="L567" s="7" t="n"/>
      <x:c r="M567" s="7" t="n"/>
      <x:c r="N567" s="7" t="n"/>
      <x:c r="O567" s="7" t="n"/>
      <x:c r="P567" s="7" t="n"/>
      <x:c r="Q567" s="7" t="n"/>
      <x:c r="R567" s="7" t="n"/>
      <x:c r="S567" s="7" t="n"/>
      <x:c r="T567" s="7" t="n"/>
      <x:c r="U567" s="7" t="n"/>
      <x:c r="V567" s="7" t="n"/>
      <x:c r="W567" s="7" t="n"/>
      <x:c r="X567" s="7" t="n"/>
      <x:c r="Y567" s="7" t="n"/>
      <x:c r="Z567" s="7" t="n"/>
      <x:c r="AA567" s="7" t="n"/>
      <x:c r="AB567" s="7" t="n"/>
    </x:row>
    <x:row r="568" ht="20" customHeight="1">
      <x:c r="A568" s="12" t="inlineStr">
        <x:is>
          <x:t xml:space="preserve">Katy ISD</x:t>
        </x:is>
      </x:c>
      <x:c r="B568" s="12" t="inlineStr">
        <x:is>
          <x:t xml:space="preserve">TX</x:t>
        </x:is>
      </x:c>
      <x:c r="C568" s="12" t="inlineStr">
        <x:is>
          <x:t xml:space="preserve">Master's</x:t>
        </x:is>
      </x:c>
      <x:c r="D568" s="13" t="n">
        <x:v>5</x:v>
      </x:c>
      <x:c r="E568" s="14" t="n">
        <x:v>77075</x:v>
      </x:c>
      <x:c r="F568" s="83" t="inlineStr">
        <x:is>
          <x:t xml:space="preserve">2026-06-10</x:t>
        </x:is>
      </x:c>
      <x:c r="G568" s="7" t="n"/>
      <x:c r="H568" s="7" t="n"/>
      <x:c r="I568" s="7" t="n"/>
      <x:c r="J568" s="7" t="n"/>
      <x:c r="K568" s="7" t="n"/>
      <x:c r="L568" s="7" t="n"/>
      <x:c r="M568" s="7" t="n"/>
      <x:c r="N568" s="7" t="n"/>
      <x:c r="O568" s="7" t="n"/>
      <x:c r="P568" s="7" t="n"/>
      <x:c r="Q568" s="7" t="n"/>
      <x:c r="R568" s="7" t="n"/>
      <x:c r="S568" s="7" t="n"/>
      <x:c r="T568" s="7" t="n"/>
      <x:c r="U568" s="7" t="n"/>
      <x:c r="V568" s="7" t="n"/>
      <x:c r="W568" s="7" t="n"/>
      <x:c r="X568" s="7" t="n"/>
      <x:c r="Y568" s="7" t="n"/>
      <x:c r="Z568" s="7" t="n"/>
      <x:c r="AA568" s="7" t="n"/>
      <x:c r="AB568" s="7" t="n"/>
    </x:row>
    <x:row r="569" ht="20" customHeight="1">
      <x:c r="A569" s="12" t="inlineStr">
        <x:is>
          <x:t xml:space="preserve">Katy ISD</x:t>
        </x:is>
      </x:c>
      <x:c r="B569" s="12" t="inlineStr">
        <x:is>
          <x:t xml:space="preserve">TX</x:t>
        </x:is>
      </x:c>
      <x:c r="C569" s="12" t="inlineStr">
        <x:is>
          <x:t xml:space="preserve">Master's</x:t>
        </x:is>
      </x:c>
      <x:c r="D569" s="13" t="n">
        <x:v>6</x:v>
      </x:c>
      <x:c r="E569" s="14" t="n">
        <x:v>77475</x:v>
      </x:c>
      <x:c r="F569" s="83" t="inlineStr">
        <x:is>
          <x:t xml:space="preserve">2026-06-10</x:t>
        </x:is>
      </x:c>
      <x:c r="G569" s="7" t="n"/>
      <x:c r="H569" s="7" t="n"/>
      <x:c r="I569" s="7" t="n"/>
      <x:c r="J569" s="7" t="n"/>
      <x:c r="K569" s="7" t="n"/>
      <x:c r="L569" s="7" t="n"/>
      <x:c r="M569" s="7" t="n"/>
      <x:c r="N569" s="7" t="n"/>
      <x:c r="O569" s="7" t="n"/>
      <x:c r="P569" s="7" t="n"/>
      <x:c r="Q569" s="7" t="n"/>
      <x:c r="R569" s="7" t="n"/>
      <x:c r="S569" s="7" t="n"/>
      <x:c r="T569" s="7" t="n"/>
      <x:c r="U569" s="7" t="n"/>
      <x:c r="V569" s="7" t="n"/>
      <x:c r="W569" s="7" t="n"/>
      <x:c r="X569" s="7" t="n"/>
      <x:c r="Y569" s="7" t="n"/>
      <x:c r="Z569" s="7" t="n"/>
      <x:c r="AA569" s="7" t="n"/>
      <x:c r="AB569" s="7" t="n"/>
    </x:row>
    <x:row r="570" ht="20" customHeight="1">
      <x:c r="A570" s="12" t="inlineStr">
        <x:is>
          <x:t xml:space="preserve">Katy ISD</x:t>
        </x:is>
      </x:c>
      <x:c r="B570" s="12" t="inlineStr">
        <x:is>
          <x:t xml:space="preserve">TX</x:t>
        </x:is>
      </x:c>
      <x:c r="C570" s="12" t="inlineStr">
        <x:is>
          <x:t xml:space="preserve">Master's</x:t>
        </x:is>
      </x:c>
      <x:c r="D570" s="13" t="n">
        <x:v>7</x:v>
      </x:c>
      <x:c r="E570" s="14" t="n">
        <x:v>77875</x:v>
      </x:c>
      <x:c r="F570" s="83" t="inlineStr">
        <x:is>
          <x:t xml:space="preserve">2026-06-10</x:t>
        </x:is>
      </x:c>
      <x:c r="G570" s="7" t="n"/>
      <x:c r="H570" s="7" t="n"/>
      <x:c r="I570" s="7" t="n"/>
      <x:c r="J570" s="7" t="n"/>
      <x:c r="K570" s="7" t="n"/>
      <x:c r="L570" s="7" t="n"/>
      <x:c r="M570" s="7" t="n"/>
      <x:c r="N570" s="7" t="n"/>
      <x:c r="O570" s="7" t="n"/>
      <x:c r="P570" s="7" t="n"/>
      <x:c r="Q570" s="7" t="n"/>
      <x:c r="R570" s="7" t="n"/>
      <x:c r="S570" s="7" t="n"/>
      <x:c r="T570" s="7" t="n"/>
      <x:c r="U570" s="7" t="n"/>
      <x:c r="V570" s="7" t="n"/>
      <x:c r="W570" s="7" t="n"/>
      <x:c r="X570" s="7" t="n"/>
      <x:c r="Y570" s="7" t="n"/>
      <x:c r="Z570" s="7" t="n"/>
      <x:c r="AA570" s="7" t="n"/>
      <x:c r="AB570" s="7" t="n"/>
    </x:row>
    <x:row r="571" ht="20" customHeight="1">
      <x:c r="A571" s="12" t="inlineStr">
        <x:is>
          <x:t xml:space="preserve">Katy ISD</x:t>
        </x:is>
      </x:c>
      <x:c r="B571" s="12" t="inlineStr">
        <x:is>
          <x:t xml:space="preserve">TX</x:t>
        </x:is>
      </x:c>
      <x:c r="C571" s="12" t="inlineStr">
        <x:is>
          <x:t xml:space="preserve">Master's</x:t>
        </x:is>
      </x:c>
      <x:c r="D571" s="13" t="n">
        <x:v>8</x:v>
      </x:c>
      <x:c r="E571" s="14" t="n">
        <x:v>78375</x:v>
      </x:c>
      <x:c r="F571" s="83" t="inlineStr">
        <x:is>
          <x:t xml:space="preserve">2026-06-10</x:t>
        </x:is>
      </x:c>
      <x:c r="G571" s="7" t="n"/>
      <x:c r="H571" s="7" t="n"/>
      <x:c r="I571" s="7" t="n"/>
      <x:c r="J571" s="7" t="n"/>
      <x:c r="K571" s="7" t="n"/>
      <x:c r="L571" s="7" t="n"/>
      <x:c r="M571" s="7" t="n"/>
      <x:c r="N571" s="7" t="n"/>
      <x:c r="O571" s="7" t="n"/>
      <x:c r="P571" s="7" t="n"/>
      <x:c r="Q571" s="7" t="n"/>
      <x:c r="R571" s="7" t="n"/>
      <x:c r="S571" s="7" t="n"/>
      <x:c r="T571" s="7" t="n"/>
      <x:c r="U571" s="7" t="n"/>
      <x:c r="V571" s="7" t="n"/>
      <x:c r="W571" s="7" t="n"/>
      <x:c r="X571" s="7" t="n"/>
      <x:c r="Y571" s="7" t="n"/>
      <x:c r="Z571" s="7" t="n"/>
      <x:c r="AA571" s="7" t="n"/>
      <x:c r="AB571" s="7" t="n"/>
    </x:row>
    <x:row r="572" ht="20" customHeight="1">
      <x:c r="A572" s="12" t="inlineStr">
        <x:is>
          <x:t xml:space="preserve">Katy ISD</x:t>
        </x:is>
      </x:c>
      <x:c r="B572" s="12" t="inlineStr">
        <x:is>
          <x:t xml:space="preserve">TX</x:t>
        </x:is>
      </x:c>
      <x:c r="C572" s="12" t="inlineStr">
        <x:is>
          <x:t xml:space="preserve">Master's</x:t>
        </x:is>
      </x:c>
      <x:c r="D572" s="13" t="n">
        <x:v>9</x:v>
      </x:c>
      <x:c r="E572" s="14" t="n">
        <x:v>78875</x:v>
      </x:c>
      <x:c r="F572" s="83" t="inlineStr">
        <x:is>
          <x:t xml:space="preserve">2026-06-10</x:t>
        </x:is>
      </x:c>
      <x:c r="G572" s="7" t="n"/>
      <x:c r="H572" s="7" t="n"/>
      <x:c r="I572" s="7" t="n"/>
      <x:c r="J572" s="7" t="n"/>
      <x:c r="K572" s="7" t="n"/>
      <x:c r="L572" s="7" t="n"/>
      <x:c r="M572" s="7" t="n"/>
      <x:c r="N572" s="7" t="n"/>
      <x:c r="O572" s="7" t="n"/>
      <x:c r="P572" s="7" t="n"/>
      <x:c r="Q572" s="7" t="n"/>
      <x:c r="R572" s="7" t="n"/>
      <x:c r="S572" s="7" t="n"/>
      <x:c r="T572" s="7" t="n"/>
      <x:c r="U572" s="7" t="n"/>
      <x:c r="V572" s="7" t="n"/>
      <x:c r="W572" s="7" t="n"/>
      <x:c r="X572" s="7" t="n"/>
      <x:c r="Y572" s="7" t="n"/>
      <x:c r="Z572" s="7" t="n"/>
      <x:c r="AA572" s="7" t="n"/>
      <x:c r="AB572" s="7" t="n"/>
    </x:row>
    <x:row r="573" ht="20" customHeight="1">
      <x:c r="A573" s="12" t="inlineStr">
        <x:is>
          <x:t xml:space="preserve">Katy ISD</x:t>
        </x:is>
      </x:c>
      <x:c r="B573" s="12" t="inlineStr">
        <x:is>
          <x:t xml:space="preserve">TX</x:t>
        </x:is>
      </x:c>
      <x:c r="C573" s="12" t="inlineStr">
        <x:is>
          <x:t xml:space="preserve">Master's</x:t>
        </x:is>
      </x:c>
      <x:c r="D573" s="13" t="n">
        <x:v>10</x:v>
      </x:c>
      <x:c r="E573" s="14" t="n">
        <x:v>79375</x:v>
      </x:c>
      <x:c r="F573" s="83" t="inlineStr">
        <x:is>
          <x:t xml:space="preserve">2026-06-10</x:t>
        </x:is>
      </x:c>
      <x:c r="G573" s="7" t="n"/>
      <x:c r="H573" s="7" t="n"/>
      <x:c r="I573" s="7" t="n"/>
      <x:c r="J573" s="7" t="n"/>
      <x:c r="K573" s="7" t="n"/>
      <x:c r="L573" s="7" t="n"/>
      <x:c r="M573" s="7" t="n"/>
      <x:c r="N573" s="7" t="n"/>
      <x:c r="O573" s="7" t="n"/>
      <x:c r="P573" s="7" t="n"/>
      <x:c r="Q573" s="7" t="n"/>
      <x:c r="R573" s="7" t="n"/>
      <x:c r="S573" s="7" t="n"/>
      <x:c r="T573" s="7" t="n"/>
      <x:c r="U573" s="7" t="n"/>
      <x:c r="V573" s="7" t="n"/>
      <x:c r="W573" s="7" t="n"/>
      <x:c r="X573" s="7" t="n"/>
      <x:c r="Y573" s="7" t="n"/>
      <x:c r="Z573" s="7" t="n"/>
      <x:c r="AA573" s="7" t="n"/>
      <x:c r="AB573" s="7" t="n"/>
    </x:row>
    <x:row r="574" ht="20" customHeight="1">
      <x:c r="A574" s="12" t="inlineStr">
        <x:is>
          <x:t xml:space="preserve">La Cañada Unified School District</x:t>
        </x:is>
      </x:c>
      <x:c r="B574" s="12" t="inlineStr">
        <x:is>
          <x:t xml:space="preserve">CA</x:t>
        </x:is>
      </x:c>
      <x:c r="C574" s="12" t="inlineStr">
        <x:is>
          <x:t xml:space="preserve">Bachelor's</x:t>
        </x:is>
      </x:c>
      <x:c r="D574" s="13" t="n">
        <x:v>0</x:v>
      </x:c>
      <x:c r="E574" s="14" t="n">
        <x:v>62754</x:v>
      </x:c>
      <x:c r="F574" s="83" t="inlineStr">
        <x:is>
          <x:t xml:space="preserve">2026-06-10</x:t>
        </x:is>
      </x:c>
      <x:c r="G574" s="7" t="n"/>
      <x:c r="H574" s="7" t="n"/>
      <x:c r="I574" s="7" t="n"/>
      <x:c r="J574" s="7" t="n"/>
      <x:c r="K574" s="7" t="n"/>
      <x:c r="L574" s="7" t="n"/>
      <x:c r="M574" s="7" t="n"/>
      <x:c r="N574" s="7" t="n"/>
      <x:c r="O574" s="7" t="n"/>
      <x:c r="P574" s="7" t="n"/>
      <x:c r="Q574" s="7" t="n"/>
      <x:c r="R574" s="7" t="n"/>
      <x:c r="S574" s="7" t="n"/>
      <x:c r="T574" s="7" t="n"/>
      <x:c r="U574" s="7" t="n"/>
      <x:c r="V574" s="7" t="n"/>
      <x:c r="W574" s="7" t="n"/>
      <x:c r="X574" s="7" t="n"/>
      <x:c r="Y574" s="7" t="n"/>
      <x:c r="Z574" s="7" t="n"/>
      <x:c r="AA574" s="7" t="n"/>
      <x:c r="AB574" s="7" t="n"/>
    </x:row>
    <x:row r="575" ht="20" customHeight="1">
      <x:c r="A575" s="12" t="inlineStr">
        <x:is>
          <x:t xml:space="preserve">La Cañada Unified School District</x:t>
        </x:is>
      </x:c>
      <x:c r="B575" s="12" t="inlineStr">
        <x:is>
          <x:t xml:space="preserve">CA</x:t>
        </x:is>
      </x:c>
      <x:c r="C575" s="12" t="inlineStr">
        <x:is>
          <x:t xml:space="preserve">Bachelor's</x:t>
        </x:is>
      </x:c>
      <x:c r="D575" s="13" t="n">
        <x:v>1</x:v>
      </x:c>
      <x:c r="E575" s="14" t="n">
        <x:v>63852</x:v>
      </x:c>
      <x:c r="F575" s="83" t="inlineStr">
        <x:is>
          <x:t xml:space="preserve">2026-06-10</x:t>
        </x:is>
      </x:c>
      <x:c r="G575" s="7" t="n"/>
      <x:c r="H575" s="7" t="n"/>
      <x:c r="I575" s="7" t="n"/>
      <x:c r="J575" s="7" t="n"/>
      <x:c r="K575" s="7" t="n"/>
      <x:c r="L575" s="7" t="n"/>
      <x:c r="M575" s="7" t="n"/>
      <x:c r="N575" s="7" t="n"/>
      <x:c r="O575" s="7" t="n"/>
      <x:c r="P575" s="7" t="n"/>
      <x:c r="Q575" s="7" t="n"/>
      <x:c r="R575" s="7" t="n"/>
      <x:c r="S575" s="7" t="n"/>
      <x:c r="T575" s="7" t="n"/>
      <x:c r="U575" s="7" t="n"/>
      <x:c r="V575" s="7" t="n"/>
      <x:c r="W575" s="7" t="n"/>
      <x:c r="X575" s="7" t="n"/>
      <x:c r="Y575" s="7" t="n"/>
      <x:c r="Z575" s="7" t="n"/>
      <x:c r="AA575" s="7" t="n"/>
      <x:c r="AB575" s="7" t="n"/>
    </x:row>
    <x:row r="576" ht="20" customHeight="1">
      <x:c r="A576" s="12" t="inlineStr">
        <x:is>
          <x:t xml:space="preserve">La Cañada Unified School District</x:t>
        </x:is>
      </x:c>
      <x:c r="B576" s="12" t="inlineStr">
        <x:is>
          <x:t xml:space="preserve">CA</x:t>
        </x:is>
      </x:c>
      <x:c r="C576" s="12" t="inlineStr">
        <x:is>
          <x:t xml:space="preserve">Bachelor's</x:t>
        </x:is>
      </x:c>
      <x:c r="D576" s="13" t="n">
        <x:v>2</x:v>
      </x:c>
      <x:c r="E576" s="14" t="n">
        <x:v>64969</x:v>
      </x:c>
      <x:c r="F576" s="83" t="inlineStr">
        <x:is>
          <x:t xml:space="preserve">2026-06-10</x:t>
        </x:is>
      </x:c>
      <x:c r="G576" s="7" t="n"/>
      <x:c r="H576" s="7" t="n"/>
      <x:c r="I576" s="7" t="n"/>
      <x:c r="J576" s="7" t="n"/>
      <x:c r="K576" s="7" t="n"/>
      <x:c r="L576" s="7" t="n"/>
      <x:c r="M576" s="7" t="n"/>
      <x:c r="N576" s="7" t="n"/>
      <x:c r="O576" s="7" t="n"/>
      <x:c r="P576" s="7" t="n"/>
      <x:c r="Q576" s="7" t="n"/>
      <x:c r="R576" s="7" t="n"/>
      <x:c r="S576" s="7" t="n"/>
      <x:c r="T576" s="7" t="n"/>
      <x:c r="U576" s="7" t="n"/>
      <x:c r="V576" s="7" t="n"/>
      <x:c r="W576" s="7" t="n"/>
      <x:c r="X576" s="7" t="n"/>
      <x:c r="Y576" s="7" t="n"/>
      <x:c r="Z576" s="7" t="n"/>
      <x:c r="AA576" s="7" t="n"/>
      <x:c r="AB576" s="7" t="n"/>
    </x:row>
    <x:row r="577" ht="20" customHeight="1">
      <x:c r="A577" s="12" t="inlineStr">
        <x:is>
          <x:t xml:space="preserve">La Cañada Unified School District</x:t>
        </x:is>
      </x:c>
      <x:c r="B577" s="12" t="inlineStr">
        <x:is>
          <x:t xml:space="preserve">CA</x:t>
        </x:is>
      </x:c>
      <x:c r="C577" s="12" t="inlineStr">
        <x:is>
          <x:t xml:space="preserve">Bachelor's</x:t>
        </x:is>
      </x:c>
      <x:c r="D577" s="13" t="n">
        <x:v>3</x:v>
      </x:c>
      <x:c r="E577" s="14" t="n">
        <x:v>67244</x:v>
      </x:c>
      <x:c r="F577" s="83" t="inlineStr">
        <x:is>
          <x:t xml:space="preserve">2026-06-10</x:t>
        </x:is>
      </x:c>
      <x:c r="G577" s="7" t="n"/>
      <x:c r="H577" s="7" t="n"/>
      <x:c r="I577" s="7" t="n"/>
      <x:c r="J577" s="7" t="n"/>
      <x:c r="K577" s="7" t="n"/>
      <x:c r="L577" s="7" t="n"/>
      <x:c r="M577" s="7" t="n"/>
      <x:c r="N577" s="7" t="n"/>
      <x:c r="O577" s="7" t="n"/>
      <x:c r="P577" s="7" t="n"/>
      <x:c r="Q577" s="7" t="n"/>
      <x:c r="R577" s="7" t="n"/>
      <x:c r="S577" s="7" t="n"/>
      <x:c r="T577" s="7" t="n"/>
      <x:c r="U577" s="7" t="n"/>
      <x:c r="V577" s="7" t="n"/>
      <x:c r="W577" s="7" t="n"/>
      <x:c r="X577" s="7" t="n"/>
      <x:c r="Y577" s="7" t="n"/>
      <x:c r="Z577" s="7" t="n"/>
      <x:c r="AA577" s="7" t="n"/>
      <x:c r="AB577" s="7" t="n"/>
    </x:row>
    <x:row r="578" ht="20" customHeight="1">
      <x:c r="A578" s="12" t="inlineStr">
        <x:is>
          <x:t xml:space="preserve">La Cañada Unified School District</x:t>
        </x:is>
      </x:c>
      <x:c r="B578" s="12" t="inlineStr">
        <x:is>
          <x:t xml:space="preserve">CA</x:t>
        </x:is>
      </x:c>
      <x:c r="C578" s="12" t="inlineStr">
        <x:is>
          <x:t xml:space="preserve">Bachelor's</x:t>
        </x:is>
      </x:c>
      <x:c r="D578" s="13" t="n">
        <x:v>4</x:v>
      </x:c>
      <x:c r="E578" s="14" t="n">
        <x:v>69598</x:v>
      </x:c>
      <x:c r="F578" s="83" t="inlineStr">
        <x:is>
          <x:t xml:space="preserve">2026-06-10</x:t>
        </x:is>
      </x:c>
      <x:c r="G578" s="7" t="n"/>
      <x:c r="H578" s="7" t="n"/>
      <x:c r="I578" s="7" t="n"/>
      <x:c r="J578" s="7" t="n"/>
      <x:c r="K578" s="7" t="n"/>
      <x:c r="L578" s="7" t="n"/>
      <x:c r="M578" s="7" t="n"/>
      <x:c r="N578" s="7" t="n"/>
      <x:c r="O578" s="7" t="n"/>
      <x:c r="P578" s="7" t="n"/>
      <x:c r="Q578" s="7" t="n"/>
      <x:c r="R578" s="7" t="n"/>
      <x:c r="S578" s="7" t="n"/>
      <x:c r="T578" s="7" t="n"/>
      <x:c r="U578" s="7" t="n"/>
      <x:c r="V578" s="7" t="n"/>
      <x:c r="W578" s="7" t="n"/>
      <x:c r="X578" s="7" t="n"/>
      <x:c r="Y578" s="7" t="n"/>
      <x:c r="Z578" s="7" t="n"/>
      <x:c r="AA578" s="7" t="n"/>
      <x:c r="AB578" s="7" t="n"/>
    </x:row>
    <x:row r="579" ht="20" customHeight="1">
      <x:c r="A579" s="12" t="inlineStr">
        <x:is>
          <x:t xml:space="preserve">La Cañada Unified School District</x:t>
        </x:is>
      </x:c>
      <x:c r="B579" s="12" t="inlineStr">
        <x:is>
          <x:t xml:space="preserve">CA</x:t>
        </x:is>
      </x:c>
      <x:c r="C579" s="12" t="inlineStr">
        <x:is>
          <x:t xml:space="preserve">Bachelor's</x:t>
        </x:is>
      </x:c>
      <x:c r="D579" s="13" t="n">
        <x:v>5</x:v>
      </x:c>
      <x:c r="E579" s="14" t="n">
        <x:v>72033</x:v>
      </x:c>
      <x:c r="F579" s="83" t="inlineStr">
        <x:is>
          <x:t xml:space="preserve">2026-06-10</x:t>
        </x:is>
      </x:c>
      <x:c r="G579" s="7" t="n"/>
      <x:c r="H579" s="7" t="n"/>
      <x:c r="I579" s="7" t="n"/>
      <x:c r="J579" s="7" t="n"/>
      <x:c r="K579" s="7" t="n"/>
      <x:c r="L579" s="7" t="n"/>
      <x:c r="M579" s="7" t="n"/>
      <x:c r="N579" s="7" t="n"/>
      <x:c r="O579" s="7" t="n"/>
      <x:c r="P579" s="7" t="n"/>
      <x:c r="Q579" s="7" t="n"/>
      <x:c r="R579" s="7" t="n"/>
      <x:c r="S579" s="7" t="n"/>
      <x:c r="T579" s="7" t="n"/>
      <x:c r="U579" s="7" t="n"/>
      <x:c r="V579" s="7" t="n"/>
      <x:c r="W579" s="7" t="n"/>
      <x:c r="X579" s="7" t="n"/>
      <x:c r="Y579" s="7" t="n"/>
      <x:c r="Z579" s="7" t="n"/>
      <x:c r="AA579" s="7" t="n"/>
      <x:c r="AB579" s="7" t="n"/>
    </x:row>
    <x:row r="580" ht="20" customHeight="1">
      <x:c r="A580" s="12" t="inlineStr">
        <x:is>
          <x:t xml:space="preserve">La Cañada Unified School District</x:t>
        </x:is>
      </x:c>
      <x:c r="B580" s="12" t="inlineStr">
        <x:is>
          <x:t xml:space="preserve">CA</x:t>
        </x:is>
      </x:c>
      <x:c r="C580" s="12" t="inlineStr">
        <x:is>
          <x:t xml:space="preserve">Bachelor's</x:t>
        </x:is>
      </x:c>
      <x:c r="D580" s="13" t="n">
        <x:v>6</x:v>
      </x:c>
      <x:c r="E580" s="14" t="n">
        <x:v>74554</x:v>
      </x:c>
      <x:c r="F580" s="83" t="inlineStr">
        <x:is>
          <x:t xml:space="preserve">2026-06-10</x:t>
        </x:is>
      </x:c>
      <x:c r="G580" s="7" t="n"/>
      <x:c r="H580" s="7" t="n"/>
      <x:c r="I580" s="7" t="n"/>
      <x:c r="J580" s="7" t="n"/>
      <x:c r="K580" s="7" t="n"/>
      <x:c r="L580" s="7" t="n"/>
      <x:c r="M580" s="7" t="n"/>
      <x:c r="N580" s="7" t="n"/>
      <x:c r="O580" s="7" t="n"/>
      <x:c r="P580" s="7" t="n"/>
      <x:c r="Q580" s="7" t="n"/>
      <x:c r="R580" s="7" t="n"/>
      <x:c r="S580" s="7" t="n"/>
      <x:c r="T580" s="7" t="n"/>
      <x:c r="U580" s="7" t="n"/>
      <x:c r="V580" s="7" t="n"/>
      <x:c r="W580" s="7" t="n"/>
      <x:c r="X580" s="7" t="n"/>
      <x:c r="Y580" s="7" t="n"/>
      <x:c r="Z580" s="7" t="n"/>
      <x:c r="AA580" s="7" t="n"/>
      <x:c r="AB580" s="7" t="n"/>
    </x:row>
    <x:row r="581" ht="20" customHeight="1">
      <x:c r="A581" s="12" t="inlineStr">
        <x:is>
          <x:t xml:space="preserve">La Cañada Unified School District</x:t>
        </x:is>
      </x:c>
      <x:c r="B581" s="12" t="inlineStr">
        <x:is>
          <x:t xml:space="preserve">CA</x:t>
        </x:is>
      </x:c>
      <x:c r="C581" s="12" t="inlineStr">
        <x:is>
          <x:t xml:space="preserve">Bachelor's</x:t>
        </x:is>
      </x:c>
      <x:c r="D581" s="13" t="n">
        <x:v>7</x:v>
      </x:c>
      <x:c r="E581" s="14" t="n">
        <x:v>77163</x:v>
      </x:c>
      <x:c r="F581" s="83" t="inlineStr">
        <x:is>
          <x:t xml:space="preserve">2026-06-10</x:t>
        </x:is>
      </x:c>
      <x:c r="G581" s="7" t="n"/>
      <x:c r="H581" s="7" t="n"/>
      <x:c r="I581" s="7" t="n"/>
      <x:c r="J581" s="7" t="n"/>
      <x:c r="K581" s="7" t="n"/>
      <x:c r="L581" s="7" t="n"/>
      <x:c r="M581" s="7" t="n"/>
      <x:c r="N581" s="7" t="n"/>
      <x:c r="O581" s="7" t="n"/>
      <x:c r="P581" s="7" t="n"/>
      <x:c r="Q581" s="7" t="n"/>
      <x:c r="R581" s="7" t="n"/>
      <x:c r="S581" s="7" t="n"/>
      <x:c r="T581" s="7" t="n"/>
      <x:c r="U581" s="7" t="n"/>
      <x:c r="V581" s="7" t="n"/>
      <x:c r="W581" s="7" t="n"/>
      <x:c r="X581" s="7" t="n"/>
      <x:c r="Y581" s="7" t="n"/>
      <x:c r="Z581" s="7" t="n"/>
      <x:c r="AA581" s="7" t="n"/>
      <x:c r="AB581" s="7" t="n"/>
    </x:row>
    <x:row r="582" ht="20" customHeight="1">
      <x:c r="A582" s="12" t="inlineStr">
        <x:is>
          <x:t xml:space="preserve">La Cañada Unified School District</x:t>
        </x:is>
      </x:c>
      <x:c r="B582" s="12" t="inlineStr">
        <x:is>
          <x:t xml:space="preserve">CA</x:t>
        </x:is>
      </x:c>
      <x:c r="C582" s="12" t="inlineStr">
        <x:is>
          <x:t xml:space="preserve">Bachelor's</x:t>
        </x:is>
      </x:c>
      <x:c r="D582" s="13" t="n">
        <x:v>8</x:v>
      </x:c>
      <x:c r="E582" s="14" t="n">
        <x:v>79864</x:v>
      </x:c>
      <x:c r="F582" s="83" t="inlineStr">
        <x:is>
          <x:t xml:space="preserve">2026-06-10</x:t>
        </x:is>
      </x:c>
      <x:c r="G582" s="7" t="n"/>
      <x:c r="H582" s="7" t="n"/>
      <x:c r="I582" s="7" t="n"/>
      <x:c r="J582" s="7" t="n"/>
      <x:c r="K582" s="7" t="n"/>
      <x:c r="L582" s="7" t="n"/>
      <x:c r="M582" s="7" t="n"/>
      <x:c r="N582" s="7" t="n"/>
      <x:c r="O582" s="7" t="n"/>
      <x:c r="P582" s="7" t="n"/>
      <x:c r="Q582" s="7" t="n"/>
      <x:c r="R582" s="7" t="n"/>
      <x:c r="S582" s="7" t="n"/>
      <x:c r="T582" s="7" t="n"/>
      <x:c r="U582" s="7" t="n"/>
      <x:c r="V582" s="7" t="n"/>
      <x:c r="W582" s="7" t="n"/>
      <x:c r="X582" s="7" t="n"/>
      <x:c r="Y582" s="7" t="n"/>
      <x:c r="Z582" s="7" t="n"/>
      <x:c r="AA582" s="7" t="n"/>
      <x:c r="AB582" s="7" t="n"/>
    </x:row>
    <x:row r="583" ht="20" customHeight="1">
      <x:c r="A583" s="12" t="inlineStr">
        <x:is>
          <x:t xml:space="preserve">La Cañada Unified School District</x:t>
        </x:is>
      </x:c>
      <x:c r="B583" s="12" t="inlineStr">
        <x:is>
          <x:t xml:space="preserve">CA</x:t>
        </x:is>
      </x:c>
      <x:c r="C583" s="12" t="inlineStr">
        <x:is>
          <x:t xml:space="preserve">Bachelor's</x:t>
        </x:is>
      </x:c>
      <x:c r="D583" s="13" t="n">
        <x:v>9</x:v>
      </x:c>
      <x:c r="E583" s="14" t="n">
        <x:v>82660</x:v>
      </x:c>
      <x:c r="F583" s="83" t="inlineStr">
        <x:is>
          <x:t xml:space="preserve">2026-06-10</x:t>
        </x:is>
      </x:c>
      <x:c r="G583" s="7" t="n"/>
      <x:c r="H583" s="7" t="n"/>
      <x:c r="I583" s="7" t="n"/>
      <x:c r="J583" s="7" t="n"/>
      <x:c r="K583" s="7" t="n"/>
      <x:c r="L583" s="7" t="n"/>
      <x:c r="M583" s="7" t="n"/>
      <x:c r="N583" s="7" t="n"/>
      <x:c r="O583" s="7" t="n"/>
      <x:c r="P583" s="7" t="n"/>
      <x:c r="Q583" s="7" t="n"/>
      <x:c r="R583" s="7" t="n"/>
      <x:c r="S583" s="7" t="n"/>
      <x:c r="T583" s="7" t="n"/>
      <x:c r="U583" s="7" t="n"/>
      <x:c r="V583" s="7" t="n"/>
      <x:c r="W583" s="7" t="n"/>
      <x:c r="X583" s="7" t="n"/>
      <x:c r="Y583" s="7" t="n"/>
      <x:c r="Z583" s="7" t="n"/>
      <x:c r="AA583" s="7" t="n"/>
      <x:c r="AB583" s="7" t="n"/>
    </x:row>
    <x:row r="584" ht="20" customHeight="1">
      <x:c r="A584" s="12" t="inlineStr">
        <x:is>
          <x:t xml:space="preserve">La Cañada Unified School District</x:t>
        </x:is>
      </x:c>
      <x:c r="B584" s="12" t="inlineStr">
        <x:is>
          <x:t xml:space="preserve">CA</x:t>
        </x:is>
      </x:c>
      <x:c r="C584" s="12" t="inlineStr">
        <x:is>
          <x:t xml:space="preserve">Bachelor's</x:t>
        </x:is>
      </x:c>
      <x:c r="D584" s="13" t="n">
        <x:v>10</x:v>
      </x:c>
      <x:c r="E584" s="14" t="n">
        <x:v>85553</x:v>
      </x:c>
      <x:c r="F584" s="83" t="inlineStr">
        <x:is>
          <x:t xml:space="preserve">2026-06-10</x:t>
        </x:is>
      </x:c>
      <x:c r="G584" s="7" t="n"/>
      <x:c r="H584" s="7" t="n"/>
      <x:c r="I584" s="7" t="n"/>
      <x:c r="J584" s="7" t="n"/>
      <x:c r="K584" s="7" t="n"/>
      <x:c r="L584" s="7" t="n"/>
      <x:c r="M584" s="7" t="n"/>
      <x:c r="N584" s="7" t="n"/>
      <x:c r="O584" s="7" t="n"/>
      <x:c r="P584" s="7" t="n"/>
      <x:c r="Q584" s="7" t="n"/>
      <x:c r="R584" s="7" t="n"/>
      <x:c r="S584" s="7" t="n"/>
      <x:c r="T584" s="7" t="n"/>
      <x:c r="U584" s="7" t="n"/>
      <x:c r="V584" s="7" t="n"/>
      <x:c r="W584" s="7" t="n"/>
      <x:c r="X584" s="7" t="n"/>
      <x:c r="Y584" s="7" t="n"/>
      <x:c r="Z584" s="7" t="n"/>
      <x:c r="AA584" s="7" t="n"/>
      <x:c r="AB584" s="7" t="n"/>
    </x:row>
    <x:row r="585" ht="20" customHeight="1">
      <x:c r="A585" s="12" t="inlineStr">
        <x:is>
          <x:t xml:space="preserve">La Cañada Unified School District</x:t>
        </x:is>
      </x:c>
      <x:c r="B585" s="12" t="inlineStr">
        <x:is>
          <x:t xml:space="preserve">CA</x:t>
        </x:is>
      </x:c>
      <x:c r="C585" s="12" t="inlineStr">
        <x:is>
          <x:t xml:space="preserve">Master's</x:t>
        </x:is>
      </x:c>
      <x:c r="D585" s="13" t="n">
        <x:v>0</x:v>
      </x:c>
      <x:c r="E585" s="14" t="n">
        <x:v>73687</x:v>
      </x:c>
      <x:c r="F585" s="83" t="inlineStr">
        <x:is>
          <x:t xml:space="preserve">2026-06-10</x:t>
        </x:is>
      </x:c>
      <x:c r="G585" s="7" t="n"/>
      <x:c r="H585" s="7" t="n"/>
      <x:c r="I585" s="7" t="n"/>
      <x:c r="J585" s="7" t="n"/>
      <x:c r="K585" s="7" t="n"/>
      <x:c r="L585" s="7" t="n"/>
      <x:c r="M585" s="7" t="n"/>
      <x:c r="N585" s="7" t="n"/>
      <x:c r="O585" s="7" t="n"/>
      <x:c r="P585" s="7" t="n"/>
      <x:c r="Q585" s="7" t="n"/>
      <x:c r="R585" s="7" t="n"/>
      <x:c r="S585" s="7" t="n"/>
      <x:c r="T585" s="7" t="n"/>
      <x:c r="U585" s="7" t="n"/>
      <x:c r="V585" s="7" t="n"/>
      <x:c r="W585" s="7" t="n"/>
      <x:c r="X585" s="7" t="n"/>
      <x:c r="Y585" s="7" t="n"/>
      <x:c r="Z585" s="7" t="n"/>
      <x:c r="AA585" s="7" t="n"/>
      <x:c r="AB585" s="7" t="n"/>
    </x:row>
    <x:row r="586" ht="20" customHeight="1">
      <x:c r="A586" s="12" t="inlineStr">
        <x:is>
          <x:t xml:space="preserve">La Cañada Unified School District</x:t>
        </x:is>
      </x:c>
      <x:c r="B586" s="12" t="inlineStr">
        <x:is>
          <x:t xml:space="preserve">CA</x:t>
        </x:is>
      </x:c>
      <x:c r="C586" s="12" t="inlineStr">
        <x:is>
          <x:t xml:space="preserve">Master's</x:t>
        </x:is>
      </x:c>
      <x:c r="D586" s="13" t="n">
        <x:v>1</x:v>
      </x:c>
      <x:c r="E586" s="14" t="n">
        <x:v>74977</x:v>
      </x:c>
      <x:c r="F586" s="83" t="inlineStr">
        <x:is>
          <x:t xml:space="preserve">2026-06-10</x:t>
        </x:is>
      </x:c>
      <x:c r="G586" s="7" t="n"/>
      <x:c r="H586" s="7" t="n"/>
      <x:c r="I586" s="7" t="n"/>
      <x:c r="J586" s="7" t="n"/>
      <x:c r="K586" s="7" t="n"/>
      <x:c r="L586" s="7" t="n"/>
      <x:c r="M586" s="7" t="n"/>
      <x:c r="N586" s="7" t="n"/>
      <x:c r="O586" s="7" t="n"/>
      <x:c r="P586" s="7" t="n"/>
      <x:c r="Q586" s="7" t="n"/>
      <x:c r="R586" s="7" t="n"/>
      <x:c r="S586" s="7" t="n"/>
      <x:c r="T586" s="7" t="n"/>
      <x:c r="U586" s="7" t="n"/>
      <x:c r="V586" s="7" t="n"/>
      <x:c r="W586" s="7" t="n"/>
      <x:c r="X586" s="7" t="n"/>
      <x:c r="Y586" s="7" t="n"/>
      <x:c r="Z586" s="7" t="n"/>
      <x:c r="AA586" s="7" t="n"/>
      <x:c r="AB586" s="7" t="n"/>
    </x:row>
    <x:row r="587" ht="20" customHeight="1">
      <x:c r="A587" s="12" t="inlineStr">
        <x:is>
          <x:t xml:space="preserve">La Cañada Unified School District</x:t>
        </x:is>
      </x:c>
      <x:c r="B587" s="12" t="inlineStr">
        <x:is>
          <x:t xml:space="preserve">CA</x:t>
        </x:is>
      </x:c>
      <x:c r="C587" s="12" t="inlineStr">
        <x:is>
          <x:t xml:space="preserve">Master's</x:t>
        </x:is>
      </x:c>
      <x:c r="D587" s="13" t="n">
        <x:v>2</x:v>
      </x:c>
      <x:c r="E587" s="14" t="n">
        <x:v>76288</x:v>
      </x:c>
      <x:c r="F587" s="83" t="inlineStr">
        <x:is>
          <x:t xml:space="preserve">2026-06-10</x:t>
        </x:is>
      </x:c>
      <x:c r="G587" s="7" t="n"/>
      <x:c r="H587" s="7" t="n"/>
      <x:c r="I587" s="7" t="n"/>
      <x:c r="J587" s="7" t="n"/>
      <x:c r="K587" s="7" t="n"/>
      <x:c r="L587" s="7" t="n"/>
      <x:c r="M587" s="7" t="n"/>
      <x:c r="N587" s="7" t="n"/>
      <x:c r="O587" s="7" t="n"/>
      <x:c r="P587" s="7" t="n"/>
      <x:c r="Q587" s="7" t="n"/>
      <x:c r="R587" s="7" t="n"/>
      <x:c r="S587" s="7" t="n"/>
      <x:c r="T587" s="7" t="n"/>
      <x:c r="U587" s="7" t="n"/>
      <x:c r="V587" s="7" t="n"/>
      <x:c r="W587" s="7" t="n"/>
      <x:c r="X587" s="7" t="n"/>
      <x:c r="Y587" s="7" t="n"/>
      <x:c r="Z587" s="7" t="n"/>
      <x:c r="AA587" s="7" t="n"/>
      <x:c r="AB587" s="7" t="n"/>
    </x:row>
    <x:row r="588" ht="20" customHeight="1">
      <x:c r="A588" s="12" t="inlineStr">
        <x:is>
          <x:t xml:space="preserve">La Cañada Unified School District</x:t>
        </x:is>
      </x:c>
      <x:c r="B588" s="12" t="inlineStr">
        <x:is>
          <x:t xml:space="preserve">CA</x:t>
        </x:is>
      </x:c>
      <x:c r="C588" s="12" t="inlineStr">
        <x:is>
          <x:t xml:space="preserve">Master's</x:t>
        </x:is>
      </x:c>
      <x:c r="D588" s="13" t="n">
        <x:v>3</x:v>
      </x:c>
      <x:c r="E588" s="14" t="n">
        <x:v>78958</x:v>
      </x:c>
      <x:c r="F588" s="83" t="inlineStr">
        <x:is>
          <x:t xml:space="preserve">2026-06-10</x:t>
        </x:is>
      </x:c>
      <x:c r="G588" s="7" t="n"/>
      <x:c r="H588" s="7" t="n"/>
      <x:c r="I588" s="7" t="n"/>
      <x:c r="J588" s="7" t="n"/>
      <x:c r="K588" s="7" t="n"/>
      <x:c r="L588" s="7" t="n"/>
      <x:c r="M588" s="7" t="n"/>
      <x:c r="N588" s="7" t="n"/>
      <x:c r="O588" s="7" t="n"/>
      <x:c r="P588" s="7" t="n"/>
      <x:c r="Q588" s="7" t="n"/>
      <x:c r="R588" s="7" t="n"/>
      <x:c r="S588" s="7" t="n"/>
      <x:c r="T588" s="7" t="n"/>
      <x:c r="U588" s="7" t="n"/>
      <x:c r="V588" s="7" t="n"/>
      <x:c r="W588" s="7" t="n"/>
      <x:c r="X588" s="7" t="n"/>
      <x:c r="Y588" s="7" t="n"/>
      <x:c r="Z588" s="7" t="n"/>
      <x:c r="AA588" s="7" t="n"/>
      <x:c r="AB588" s="7" t="n"/>
    </x:row>
    <x:row r="589" ht="20" customHeight="1">
      <x:c r="A589" s="12" t="inlineStr">
        <x:is>
          <x:t xml:space="preserve">La Cañada Unified School District</x:t>
        </x:is>
      </x:c>
      <x:c r="B589" s="12" t="inlineStr">
        <x:is>
          <x:t xml:space="preserve">CA</x:t>
        </x:is>
      </x:c>
      <x:c r="C589" s="12" t="inlineStr">
        <x:is>
          <x:t xml:space="preserve">Master's</x:t>
        </x:is>
      </x:c>
      <x:c r="D589" s="13" t="n">
        <x:v>4</x:v>
      </x:c>
      <x:c r="E589" s="14" t="n">
        <x:v>81722</x:v>
      </x:c>
      <x:c r="F589" s="83" t="inlineStr">
        <x:is>
          <x:t xml:space="preserve">2026-06-10</x:t>
        </x:is>
      </x:c>
      <x:c r="G589" s="7" t="n"/>
      <x:c r="H589" s="7" t="n"/>
      <x:c r="I589" s="7" t="n"/>
      <x:c r="J589" s="7" t="n"/>
      <x:c r="K589" s="7" t="n"/>
      <x:c r="L589" s="7" t="n"/>
      <x:c r="M589" s="7" t="n"/>
      <x:c r="N589" s="7" t="n"/>
      <x:c r="O589" s="7" t="n"/>
      <x:c r="P589" s="7" t="n"/>
      <x:c r="Q589" s="7" t="n"/>
      <x:c r="R589" s="7" t="n"/>
      <x:c r="S589" s="7" t="n"/>
      <x:c r="T589" s="7" t="n"/>
      <x:c r="U589" s="7" t="n"/>
      <x:c r="V589" s="7" t="n"/>
      <x:c r="W589" s="7" t="n"/>
      <x:c r="X589" s="7" t="n"/>
      <x:c r="Y589" s="7" t="n"/>
      <x:c r="Z589" s="7" t="n"/>
      <x:c r="AA589" s="7" t="n"/>
      <x:c r="AB589" s="7" t="n"/>
    </x:row>
    <x:row r="590" ht="20" customHeight="1">
      <x:c r="A590" s="12" t="inlineStr">
        <x:is>
          <x:t xml:space="preserve">La Cañada Unified School District</x:t>
        </x:is>
      </x:c>
      <x:c r="B590" s="12" t="inlineStr">
        <x:is>
          <x:t xml:space="preserve">CA</x:t>
        </x:is>
      </x:c>
      <x:c r="C590" s="12" t="inlineStr">
        <x:is>
          <x:t xml:space="preserve">Master's</x:t>
        </x:is>
      </x:c>
      <x:c r="D590" s="13" t="n">
        <x:v>5</x:v>
      </x:c>
      <x:c r="E590" s="14" t="n">
        <x:v>84583</x:v>
      </x:c>
      <x:c r="F590" s="83" t="inlineStr">
        <x:is>
          <x:t xml:space="preserve">2026-06-10</x:t>
        </x:is>
      </x:c>
      <x:c r="G590" s="7" t="n"/>
      <x:c r="H590" s="7" t="n"/>
      <x:c r="I590" s="7" t="n"/>
      <x:c r="J590" s="7" t="n"/>
      <x:c r="K590" s="7" t="n"/>
      <x:c r="L590" s="7" t="n"/>
      <x:c r="M590" s="7" t="n"/>
      <x:c r="N590" s="7" t="n"/>
      <x:c r="O590" s="7" t="n"/>
      <x:c r="P590" s="7" t="n"/>
      <x:c r="Q590" s="7" t="n"/>
      <x:c r="R590" s="7" t="n"/>
      <x:c r="S590" s="7" t="n"/>
      <x:c r="T590" s="7" t="n"/>
      <x:c r="U590" s="7" t="n"/>
      <x:c r="V590" s="7" t="n"/>
      <x:c r="W590" s="7" t="n"/>
      <x:c r="X590" s="7" t="n"/>
      <x:c r="Y590" s="7" t="n"/>
      <x:c r="Z590" s="7" t="n"/>
      <x:c r="AA590" s="7" t="n"/>
      <x:c r="AB590" s="7" t="n"/>
    </x:row>
    <x:row r="591" ht="20" customHeight="1">
      <x:c r="A591" s="12" t="inlineStr">
        <x:is>
          <x:t xml:space="preserve">La Cañada Unified School District</x:t>
        </x:is>
      </x:c>
      <x:c r="B591" s="12" t="inlineStr">
        <x:is>
          <x:t xml:space="preserve">CA</x:t>
        </x:is>
      </x:c>
      <x:c r="C591" s="12" t="inlineStr">
        <x:is>
          <x:t xml:space="preserve">Master's</x:t>
        </x:is>
      </x:c>
      <x:c r="D591" s="13" t="n">
        <x:v>6</x:v>
      </x:c>
      <x:c r="E591" s="14" t="n">
        <x:v>87543</x:v>
      </x:c>
      <x:c r="F591" s="83" t="inlineStr">
        <x:is>
          <x:t xml:space="preserve">2026-06-10</x:t>
        </x:is>
      </x:c>
      <x:c r="G591" s="7" t="n"/>
      <x:c r="H591" s="7" t="n"/>
      <x:c r="I591" s="7" t="n"/>
      <x:c r="J591" s="7" t="n"/>
      <x:c r="K591" s="7" t="n"/>
      <x:c r="L591" s="7" t="n"/>
      <x:c r="M591" s="7" t="n"/>
      <x:c r="N591" s="7" t="n"/>
      <x:c r="O591" s="7" t="n"/>
      <x:c r="P591" s="7" t="n"/>
      <x:c r="Q591" s="7" t="n"/>
      <x:c r="R591" s="7" t="n"/>
      <x:c r="S591" s="7" t="n"/>
      <x:c r="T591" s="7" t="n"/>
      <x:c r="U591" s="7" t="n"/>
      <x:c r="V591" s="7" t="n"/>
      <x:c r="W591" s="7" t="n"/>
      <x:c r="X591" s="7" t="n"/>
      <x:c r="Y591" s="7" t="n"/>
      <x:c r="Z591" s="7" t="n"/>
      <x:c r="AA591" s="7" t="n"/>
      <x:c r="AB591" s="7" t="n"/>
    </x:row>
    <x:row r="592" ht="20" customHeight="1">
      <x:c r="A592" s="12" t="inlineStr">
        <x:is>
          <x:t xml:space="preserve">La Cañada Unified School District</x:t>
        </x:is>
      </x:c>
      <x:c r="B592" s="12" t="inlineStr">
        <x:is>
          <x:t xml:space="preserve">CA</x:t>
        </x:is>
      </x:c>
      <x:c r="C592" s="12" t="inlineStr">
        <x:is>
          <x:t xml:space="preserve">Master's</x:t>
        </x:is>
      </x:c>
      <x:c r="D592" s="13" t="n">
        <x:v>7</x:v>
      </x:c>
      <x:c r="E592" s="14" t="n">
        <x:v>90607</x:v>
      </x:c>
      <x:c r="F592" s="83" t="inlineStr">
        <x:is>
          <x:t xml:space="preserve">2026-06-10</x:t>
        </x:is>
      </x:c>
      <x:c r="G592" s="7" t="n"/>
      <x:c r="H592" s="7" t="n"/>
      <x:c r="I592" s="7" t="n"/>
      <x:c r="J592" s="7" t="n"/>
      <x:c r="K592" s="7" t="n"/>
      <x:c r="L592" s="7" t="n"/>
      <x:c r="M592" s="7" t="n"/>
      <x:c r="N592" s="7" t="n"/>
      <x:c r="O592" s="7" t="n"/>
      <x:c r="P592" s="7" t="n"/>
      <x:c r="Q592" s="7" t="n"/>
      <x:c r="R592" s="7" t="n"/>
      <x:c r="S592" s="7" t="n"/>
      <x:c r="T592" s="7" t="n"/>
      <x:c r="U592" s="7" t="n"/>
      <x:c r="V592" s="7" t="n"/>
      <x:c r="W592" s="7" t="n"/>
      <x:c r="X592" s="7" t="n"/>
      <x:c r="Y592" s="7" t="n"/>
      <x:c r="Z592" s="7" t="n"/>
      <x:c r="AA592" s="7" t="n"/>
      <x:c r="AB592" s="7" t="n"/>
    </x:row>
    <x:row r="593" ht="20" customHeight="1">
      <x:c r="A593" s="12" t="inlineStr">
        <x:is>
          <x:t xml:space="preserve">La Cañada Unified School District</x:t>
        </x:is>
      </x:c>
      <x:c r="B593" s="12" t="inlineStr">
        <x:is>
          <x:t xml:space="preserve">CA</x:t>
        </x:is>
      </x:c>
      <x:c r="C593" s="12" t="inlineStr">
        <x:is>
          <x:t xml:space="preserve">Master's</x:t>
        </x:is>
      </x:c>
      <x:c r="D593" s="13" t="n">
        <x:v>8</x:v>
      </x:c>
      <x:c r="E593" s="14" t="n">
        <x:v>93778</x:v>
      </x:c>
      <x:c r="F593" s="83" t="inlineStr">
        <x:is>
          <x:t xml:space="preserve">2026-06-10</x:t>
        </x:is>
      </x:c>
      <x:c r="G593" s="7" t="n"/>
      <x:c r="H593" s="7" t="n"/>
      <x:c r="I593" s="7" t="n"/>
      <x:c r="J593" s="7" t="n"/>
      <x:c r="K593" s="7" t="n"/>
      <x:c r="L593" s="7" t="n"/>
      <x:c r="M593" s="7" t="n"/>
      <x:c r="N593" s="7" t="n"/>
      <x:c r="O593" s="7" t="n"/>
      <x:c r="P593" s="7" t="n"/>
      <x:c r="Q593" s="7" t="n"/>
      <x:c r="R593" s="7" t="n"/>
      <x:c r="S593" s="7" t="n"/>
      <x:c r="T593" s="7" t="n"/>
      <x:c r="U593" s="7" t="n"/>
      <x:c r="V593" s="7" t="n"/>
      <x:c r="W593" s="7" t="n"/>
      <x:c r="X593" s="7" t="n"/>
      <x:c r="Y593" s="7" t="n"/>
      <x:c r="Z593" s="7" t="n"/>
      <x:c r="AA593" s="7" t="n"/>
      <x:c r="AB593" s="7" t="n"/>
    </x:row>
    <x:row r="594" ht="20" customHeight="1">
      <x:c r="A594" s="12" t="inlineStr">
        <x:is>
          <x:t xml:space="preserve">La Cañada Unified School District</x:t>
        </x:is>
      </x:c>
      <x:c r="B594" s="12" t="inlineStr">
        <x:is>
          <x:t xml:space="preserve">CA</x:t>
        </x:is>
      </x:c>
      <x:c r="C594" s="12" t="inlineStr">
        <x:is>
          <x:t xml:space="preserve">Master's</x:t>
        </x:is>
      </x:c>
      <x:c r="D594" s="13" t="n">
        <x:v>9</x:v>
      </x:c>
      <x:c r="E594" s="14" t="n">
        <x:v>97060</x:v>
      </x:c>
      <x:c r="F594" s="83" t="inlineStr">
        <x:is>
          <x:t xml:space="preserve">2026-06-10</x:t>
        </x:is>
      </x:c>
      <x:c r="G594" s="7" t="n"/>
      <x:c r="H594" s="7" t="n"/>
      <x:c r="I594" s="7" t="n"/>
      <x:c r="J594" s="7" t="n"/>
      <x:c r="K594" s="7" t="n"/>
      <x:c r="L594" s="7" t="n"/>
      <x:c r="M594" s="7" t="n"/>
      <x:c r="N594" s="7" t="n"/>
      <x:c r="O594" s="7" t="n"/>
      <x:c r="P594" s="7" t="n"/>
      <x:c r="Q594" s="7" t="n"/>
      <x:c r="R594" s="7" t="n"/>
      <x:c r="S594" s="7" t="n"/>
      <x:c r="T594" s="7" t="n"/>
      <x:c r="U594" s="7" t="n"/>
      <x:c r="V594" s="7" t="n"/>
      <x:c r="W594" s="7" t="n"/>
      <x:c r="X594" s="7" t="n"/>
      <x:c r="Y594" s="7" t="n"/>
      <x:c r="Z594" s="7" t="n"/>
      <x:c r="AA594" s="7" t="n"/>
      <x:c r="AB594" s="7" t="n"/>
    </x:row>
    <x:row r="595" ht="20" customHeight="1">
      <x:c r="A595" s="12" t="inlineStr">
        <x:is>
          <x:t xml:space="preserve">La Cañada Unified School District</x:t>
        </x:is>
      </x:c>
      <x:c r="B595" s="12" t="inlineStr">
        <x:is>
          <x:t xml:space="preserve">CA</x:t>
        </x:is>
      </x:c>
      <x:c r="C595" s="12" t="inlineStr">
        <x:is>
          <x:t xml:space="preserve">Master's</x:t>
        </x:is>
      </x:c>
      <x:c r="D595" s="13" t="n">
        <x:v>10</x:v>
      </x:c>
      <x:c r="E595" s="14" t="n">
        <x:v>100457</x:v>
      </x:c>
      <x:c r="F595" s="83" t="inlineStr">
        <x:is>
          <x:t xml:space="preserve">2026-06-10</x:t>
        </x:is>
      </x:c>
      <x:c r="G595" s="7" t="n"/>
      <x:c r="H595" s="7" t="n"/>
      <x:c r="I595" s="7" t="n"/>
      <x:c r="J595" s="7" t="n"/>
      <x:c r="K595" s="7" t="n"/>
      <x:c r="L595" s="7" t="n"/>
      <x:c r="M595" s="7" t="n"/>
      <x:c r="N595" s="7" t="n"/>
      <x:c r="O595" s="7" t="n"/>
      <x:c r="P595" s="7" t="n"/>
      <x:c r="Q595" s="7" t="n"/>
      <x:c r="R595" s="7" t="n"/>
      <x:c r="S595" s="7" t="n"/>
      <x:c r="T595" s="7" t="n"/>
      <x:c r="U595" s="7" t="n"/>
      <x:c r="V595" s="7" t="n"/>
      <x:c r="W595" s="7" t="n"/>
      <x:c r="X595" s="7" t="n"/>
      <x:c r="Y595" s="7" t="n"/>
      <x:c r="Z595" s="7" t="n"/>
      <x:c r="AA595" s="7" t="n"/>
      <x:c r="AB595" s="7" t="n"/>
    </x:row>
    <x:row r="596" ht="20" customHeight="1">
      <x:c r="A596" s="12" t="inlineStr">
        <x:is>
          <x:t xml:space="preserve">Lake Washington School District</x:t>
        </x:is>
      </x:c>
      <x:c r="B596" s="12" t="inlineStr">
        <x:is>
          <x:t xml:space="preserve">WA</x:t>
        </x:is>
      </x:c>
      <x:c r="C596" s="12" t="inlineStr">
        <x:is>
          <x:t xml:space="preserve">Bachelor's</x:t>
        </x:is>
      </x:c>
      <x:c r="D596" s="13" t="n">
        <x:v>0</x:v>
      </x:c>
      <x:c r="E596" s="14" t="n">
        <x:v>61887</x:v>
      </x:c>
      <x:c r="F596" s="83" t="inlineStr">
        <x:is>
          <x:t xml:space="preserve">2026-06-13</x:t>
        </x:is>
      </x:c>
      <x:c r="G596" s="7" t="n"/>
      <x:c r="H596" s="7" t="n"/>
      <x:c r="I596" s="7" t="n"/>
      <x:c r="J596" s="7" t="n"/>
      <x:c r="K596" s="7" t="n"/>
      <x:c r="L596" s="7" t="n"/>
      <x:c r="M596" s="7" t="n"/>
      <x:c r="N596" s="7" t="n"/>
      <x:c r="O596" s="7" t="n"/>
      <x:c r="P596" s="7" t="n"/>
      <x:c r="Q596" s="7" t="n"/>
      <x:c r="R596" s="7" t="n"/>
      <x:c r="S596" s="7" t="n"/>
      <x:c r="T596" s="7" t="n"/>
      <x:c r="U596" s="7" t="n"/>
      <x:c r="V596" s="7" t="n"/>
      <x:c r="W596" s="7" t="n"/>
      <x:c r="X596" s="7" t="n"/>
      <x:c r="Y596" s="7" t="n"/>
      <x:c r="Z596" s="7" t="n"/>
      <x:c r="AA596" s="7" t="n"/>
      <x:c r="AB596" s="7" t="n"/>
    </x:row>
    <x:row r="597" ht="20" customHeight="1">
      <x:c r="A597" s="12" t="inlineStr">
        <x:is>
          <x:t xml:space="preserve">Lake Washington School District</x:t>
        </x:is>
      </x:c>
      <x:c r="B597" s="12" t="inlineStr">
        <x:is>
          <x:t xml:space="preserve">WA</x:t>
        </x:is>
      </x:c>
      <x:c r="C597" s="12" t="inlineStr">
        <x:is>
          <x:t xml:space="preserve">Bachelor's</x:t>
        </x:is>
      </x:c>
      <x:c r="D597" s="13" t="n">
        <x:v>1</x:v>
      </x:c>
      <x:c r="E597" s="14" t="n">
        <x:v>63104</x:v>
      </x:c>
      <x:c r="F597" s="83" t="inlineStr">
        <x:is>
          <x:t xml:space="preserve">2026-06-13</x:t>
        </x:is>
      </x:c>
      <x:c r="G597" s="7" t="n"/>
      <x:c r="H597" s="7" t="n"/>
      <x:c r="I597" s="7" t="n"/>
      <x:c r="J597" s="7" t="n"/>
      <x:c r="K597" s="7" t="n"/>
      <x:c r="L597" s="7" t="n"/>
      <x:c r="M597" s="7" t="n"/>
      <x:c r="N597" s="7" t="n"/>
      <x:c r="O597" s="7" t="n"/>
      <x:c r="P597" s="7" t="n"/>
      <x:c r="Q597" s="7" t="n"/>
      <x:c r="R597" s="7" t="n"/>
      <x:c r="S597" s="7" t="n"/>
      <x:c r="T597" s="7" t="n"/>
      <x:c r="U597" s="7" t="n"/>
      <x:c r="V597" s="7" t="n"/>
      <x:c r="W597" s="7" t="n"/>
      <x:c r="X597" s="7" t="n"/>
      <x:c r="Y597" s="7" t="n"/>
      <x:c r="Z597" s="7" t="n"/>
      <x:c r="AA597" s="7" t="n"/>
      <x:c r="AB597" s="7" t="n"/>
    </x:row>
    <x:row r="598" ht="20" customHeight="1">
      <x:c r="A598" s="12" t="inlineStr">
        <x:is>
          <x:t xml:space="preserve">Lake Washington School District</x:t>
        </x:is>
      </x:c>
      <x:c r="B598" s="12" t="inlineStr">
        <x:is>
          <x:t xml:space="preserve">WA</x:t>
        </x:is>
      </x:c>
      <x:c r="C598" s="12" t="inlineStr">
        <x:is>
          <x:t xml:space="preserve">Bachelor's</x:t>
        </x:is>
      </x:c>
      <x:c r="D598" s="13" t="n">
        <x:v>2</x:v>
      </x:c>
      <x:c r="E598" s="14" t="n">
        <x:v>64345</x:v>
      </x:c>
      <x:c r="F598" s="83" t="inlineStr">
        <x:is>
          <x:t xml:space="preserve">2026-06-13</x:t>
        </x:is>
      </x:c>
      <x:c r="G598" s="7" t="n"/>
      <x:c r="H598" s="7" t="n"/>
      <x:c r="I598" s="7" t="n"/>
      <x:c r="J598" s="7" t="n"/>
      <x:c r="K598" s="7" t="n"/>
      <x:c r="L598" s="7" t="n"/>
      <x:c r="M598" s="7" t="n"/>
      <x:c r="N598" s="7" t="n"/>
      <x:c r="O598" s="7" t="n"/>
      <x:c r="P598" s="7" t="n"/>
      <x:c r="Q598" s="7" t="n"/>
      <x:c r="R598" s="7" t="n"/>
      <x:c r="S598" s="7" t="n"/>
      <x:c r="T598" s="7" t="n"/>
      <x:c r="U598" s="7" t="n"/>
      <x:c r="V598" s="7" t="n"/>
      <x:c r="W598" s="7" t="n"/>
      <x:c r="X598" s="7" t="n"/>
      <x:c r="Y598" s="7" t="n"/>
      <x:c r="Z598" s="7" t="n"/>
      <x:c r="AA598" s="7" t="n"/>
      <x:c r="AB598" s="7" t="n"/>
    </x:row>
    <x:row r="599" ht="20" customHeight="1">
      <x:c r="A599" s="12" t="inlineStr">
        <x:is>
          <x:t xml:space="preserve">Lake Washington School District</x:t>
        </x:is>
      </x:c>
      <x:c r="B599" s="12" t="inlineStr">
        <x:is>
          <x:t xml:space="preserve">WA</x:t>
        </x:is>
      </x:c>
      <x:c r="C599" s="12" t="inlineStr">
        <x:is>
          <x:t xml:space="preserve">Bachelor's</x:t>
        </x:is>
      </x:c>
      <x:c r="D599" s="13" t="n">
        <x:v>3</x:v>
      </x:c>
      <x:c r="E599" s="14" t="n">
        <x:v>65615</x:v>
      </x:c>
      <x:c r="F599" s="83" t="inlineStr">
        <x:is>
          <x:t xml:space="preserve">2026-06-13</x:t>
        </x:is>
      </x:c>
      <x:c r="G599" s="7" t="n"/>
      <x:c r="H599" s="7" t="n"/>
      <x:c r="I599" s="7" t="n"/>
      <x:c r="J599" s="7" t="n"/>
      <x:c r="K599" s="7" t="n"/>
      <x:c r="L599" s="7" t="n"/>
      <x:c r="M599" s="7" t="n"/>
      <x:c r="N599" s="7" t="n"/>
      <x:c r="O599" s="7" t="n"/>
      <x:c r="P599" s="7" t="n"/>
      <x:c r="Q599" s="7" t="n"/>
      <x:c r="R599" s="7" t="n"/>
      <x:c r="S599" s="7" t="n"/>
      <x:c r="T599" s="7" t="n"/>
      <x:c r="U599" s="7" t="n"/>
      <x:c r="V599" s="7" t="n"/>
      <x:c r="W599" s="7" t="n"/>
      <x:c r="X599" s="7" t="n"/>
      <x:c r="Y599" s="7" t="n"/>
      <x:c r="Z599" s="7" t="n"/>
      <x:c r="AA599" s="7" t="n"/>
      <x:c r="AB599" s="7" t="n"/>
    </x:row>
    <x:row r="600" ht="20" customHeight="1">
      <x:c r="A600" s="12" t="inlineStr">
        <x:is>
          <x:t xml:space="preserve">Lake Washington School District</x:t>
        </x:is>
      </x:c>
      <x:c r="B600" s="12" t="inlineStr">
        <x:is>
          <x:t xml:space="preserve">WA</x:t>
        </x:is>
      </x:c>
      <x:c r="C600" s="12" t="inlineStr">
        <x:is>
          <x:t xml:space="preserve">Bachelor's</x:t>
        </x:is>
      </x:c>
      <x:c r="D600" s="13" t="n">
        <x:v>4</x:v>
      </x:c>
      <x:c r="E600" s="14" t="n">
        <x:v>66909</x:v>
      </x:c>
      <x:c r="F600" s="83" t="inlineStr">
        <x:is>
          <x:t xml:space="preserve">2026-06-13</x:t>
        </x:is>
      </x:c>
      <x:c r="G600" s="7" t="n"/>
      <x:c r="H600" s="7" t="n"/>
      <x:c r="I600" s="7" t="n"/>
      <x:c r="J600" s="7" t="n"/>
      <x:c r="K600" s="7" t="n"/>
      <x:c r="L600" s="7" t="n"/>
      <x:c r="M600" s="7" t="n"/>
      <x:c r="N600" s="7" t="n"/>
      <x:c r="O600" s="7" t="n"/>
      <x:c r="P600" s="7" t="n"/>
      <x:c r="Q600" s="7" t="n"/>
      <x:c r="R600" s="7" t="n"/>
      <x:c r="S600" s="7" t="n"/>
      <x:c r="T600" s="7" t="n"/>
      <x:c r="U600" s="7" t="n"/>
      <x:c r="V600" s="7" t="n"/>
      <x:c r="W600" s="7" t="n"/>
      <x:c r="X600" s="7" t="n"/>
      <x:c r="Y600" s="7" t="n"/>
      <x:c r="Z600" s="7" t="n"/>
      <x:c r="AA600" s="7" t="n"/>
      <x:c r="AB600" s="7" t="n"/>
    </x:row>
    <x:row r="601" ht="20" customHeight="1">
      <x:c r="A601" s="12" t="inlineStr">
        <x:is>
          <x:t xml:space="preserve">Lake Washington School District</x:t>
        </x:is>
      </x:c>
      <x:c r="B601" s="12" t="inlineStr">
        <x:is>
          <x:t xml:space="preserve">WA</x:t>
        </x:is>
      </x:c>
      <x:c r="C601" s="12" t="inlineStr">
        <x:is>
          <x:t xml:space="preserve">Bachelor's</x:t>
        </x:is>
      </x:c>
      <x:c r="D601" s="13" t="n">
        <x:v>5</x:v>
      </x:c>
      <x:c r="E601" s="14" t="n">
        <x:v>68226</x:v>
      </x:c>
      <x:c r="F601" s="83" t="inlineStr">
        <x:is>
          <x:t xml:space="preserve">2026-06-13</x:t>
        </x:is>
      </x:c>
      <x:c r="G601" s="7" t="n"/>
      <x:c r="H601" s="7" t="n"/>
      <x:c r="I601" s="7" t="n"/>
      <x:c r="J601" s="7" t="n"/>
      <x:c r="K601" s="7" t="n"/>
      <x:c r="L601" s="7" t="n"/>
      <x:c r="M601" s="7" t="n"/>
      <x:c r="N601" s="7" t="n"/>
      <x:c r="O601" s="7" t="n"/>
      <x:c r="P601" s="7" t="n"/>
      <x:c r="Q601" s="7" t="n"/>
      <x:c r="R601" s="7" t="n"/>
      <x:c r="S601" s="7" t="n"/>
      <x:c r="T601" s="7" t="n"/>
      <x:c r="U601" s="7" t="n"/>
      <x:c r="V601" s="7" t="n"/>
      <x:c r="W601" s="7" t="n"/>
      <x:c r="X601" s="7" t="n"/>
      <x:c r="Y601" s="7" t="n"/>
      <x:c r="Z601" s="7" t="n"/>
      <x:c r="AA601" s="7" t="n"/>
      <x:c r="AB601" s="7" t="n"/>
    </x:row>
    <x:row r="602" ht="20" customHeight="1">
      <x:c r="A602" s="12" t="inlineStr">
        <x:is>
          <x:t xml:space="preserve">Lake Washington School District</x:t>
        </x:is>
      </x:c>
      <x:c r="B602" s="12" t="inlineStr">
        <x:is>
          <x:t xml:space="preserve">WA</x:t>
        </x:is>
      </x:c>
      <x:c r="C602" s="12" t="inlineStr">
        <x:is>
          <x:t xml:space="preserve">Bachelor's</x:t>
        </x:is>
      </x:c>
      <x:c r="D602" s="13" t="n">
        <x:v>6</x:v>
      </x:c>
      <x:c r="E602" s="14" t="n">
        <x:v>76138</x:v>
      </x:c>
      <x:c r="F602" s="83" t="inlineStr">
        <x:is>
          <x:t xml:space="preserve">2026-06-13</x:t>
        </x:is>
      </x:c>
      <x:c r="G602" s="7" t="n"/>
      <x:c r="H602" s="7" t="n"/>
      <x:c r="I602" s="7" t="n"/>
      <x:c r="J602" s="7" t="n"/>
      <x:c r="K602" s="7" t="n"/>
      <x:c r="L602" s="7" t="n"/>
      <x:c r="M602" s="7" t="n"/>
      <x:c r="N602" s="7" t="n"/>
      <x:c r="O602" s="7" t="n"/>
      <x:c r="P602" s="7" t="n"/>
      <x:c r="Q602" s="7" t="n"/>
      <x:c r="R602" s="7" t="n"/>
      <x:c r="S602" s="7" t="n"/>
      <x:c r="T602" s="7" t="n"/>
      <x:c r="U602" s="7" t="n"/>
      <x:c r="V602" s="7" t="n"/>
      <x:c r="W602" s="7" t="n"/>
      <x:c r="X602" s="7" t="n"/>
      <x:c r="Y602" s="7" t="n"/>
      <x:c r="Z602" s="7" t="n"/>
      <x:c r="AA602" s="7" t="n"/>
      <x:c r="AB602" s="7" t="n"/>
    </x:row>
    <x:row r="603" ht="20" customHeight="1">
      <x:c r="A603" s="12" t="inlineStr">
        <x:is>
          <x:t xml:space="preserve">Lake Washington School District</x:t>
        </x:is>
      </x:c>
      <x:c r="B603" s="12" t="inlineStr">
        <x:is>
          <x:t xml:space="preserve">WA</x:t>
        </x:is>
      </x:c>
      <x:c r="C603" s="12" t="inlineStr">
        <x:is>
          <x:t xml:space="preserve">Bachelor's</x:t>
        </x:is>
      </x:c>
      <x:c r="D603" s="13" t="n">
        <x:v>7</x:v>
      </x:c>
      <x:c r="E603" s="14" t="n">
        <x:v>78275</x:v>
      </x:c>
      <x:c r="F603" s="83" t="inlineStr">
        <x:is>
          <x:t xml:space="preserve">2026-06-13</x:t>
        </x:is>
      </x:c>
      <x:c r="G603" s="7" t="n"/>
      <x:c r="H603" s="7" t="n"/>
      <x:c r="I603" s="7" t="n"/>
      <x:c r="J603" s="7" t="n"/>
      <x:c r="K603" s="7" t="n"/>
      <x:c r="L603" s="7" t="n"/>
      <x:c r="M603" s="7" t="n"/>
      <x:c r="N603" s="7" t="n"/>
      <x:c r="O603" s="7" t="n"/>
      <x:c r="P603" s="7" t="n"/>
      <x:c r="Q603" s="7" t="n"/>
      <x:c r="R603" s="7" t="n"/>
      <x:c r="S603" s="7" t="n"/>
      <x:c r="T603" s="7" t="n"/>
      <x:c r="U603" s="7" t="n"/>
      <x:c r="V603" s="7" t="n"/>
      <x:c r="W603" s="7" t="n"/>
      <x:c r="X603" s="7" t="n"/>
      <x:c r="Y603" s="7" t="n"/>
      <x:c r="Z603" s="7" t="n"/>
      <x:c r="AA603" s="7" t="n"/>
      <x:c r="AB603" s="7" t="n"/>
    </x:row>
    <x:row r="604" ht="20" customHeight="1">
      <x:c r="A604" s="12" t="inlineStr">
        <x:is>
          <x:t xml:space="preserve">Lake Washington School District</x:t>
        </x:is>
      </x:c>
      <x:c r="B604" s="12" t="inlineStr">
        <x:is>
          <x:t xml:space="preserve">WA</x:t>
        </x:is>
      </x:c>
      <x:c r="C604" s="12" t="inlineStr">
        <x:is>
          <x:t xml:space="preserve">Bachelor's</x:t>
        </x:is>
      </x:c>
      <x:c r="D604" s="13" t="n">
        <x:v>8</x:v>
      </x:c>
      <x:c r="E604" s="14" t="n">
        <x:v>80471</x:v>
      </x:c>
      <x:c r="F604" s="83" t="inlineStr">
        <x:is>
          <x:t xml:space="preserve">2026-06-13</x:t>
        </x:is>
      </x:c>
      <x:c r="G604" s="7" t="n"/>
      <x:c r="H604" s="7" t="n"/>
      <x:c r="I604" s="7" t="n"/>
      <x:c r="J604" s="7" t="n"/>
      <x:c r="K604" s="7" t="n"/>
      <x:c r="L604" s="7" t="n"/>
      <x:c r="M604" s="7" t="n"/>
      <x:c r="N604" s="7" t="n"/>
      <x:c r="O604" s="7" t="n"/>
      <x:c r="P604" s="7" t="n"/>
      <x:c r="Q604" s="7" t="n"/>
      <x:c r="R604" s="7" t="n"/>
      <x:c r="S604" s="7" t="n"/>
      <x:c r="T604" s="7" t="n"/>
      <x:c r="U604" s="7" t="n"/>
      <x:c r="V604" s="7" t="n"/>
      <x:c r="W604" s="7" t="n"/>
      <x:c r="X604" s="7" t="n"/>
      <x:c r="Y604" s="7" t="n"/>
      <x:c r="Z604" s="7" t="n"/>
      <x:c r="AA604" s="7" t="n"/>
      <x:c r="AB604" s="7" t="n"/>
    </x:row>
    <x:row r="605" ht="20" customHeight="1">
      <x:c r="A605" s="12" t="inlineStr">
        <x:is>
          <x:t xml:space="preserve">Lake Washington School District</x:t>
        </x:is>
      </x:c>
      <x:c r="B605" s="12" t="inlineStr">
        <x:is>
          <x:t xml:space="preserve">WA</x:t>
        </x:is>
      </x:c>
      <x:c r="C605" s="12" t="inlineStr">
        <x:is>
          <x:t xml:space="preserve">Bachelor's</x:t>
        </x:is>
      </x:c>
      <x:c r="D605" s="13" t="n">
        <x:v>9</x:v>
      </x:c>
      <x:c r="E605" s="14" t="n">
        <x:v>82726</x:v>
      </x:c>
      <x:c r="F605" s="83" t="inlineStr">
        <x:is>
          <x:t xml:space="preserve">2026-06-13</x:t>
        </x:is>
      </x:c>
      <x:c r="G605" s="7" t="n"/>
      <x:c r="H605" s="7" t="n"/>
      <x:c r="I605" s="7" t="n"/>
      <x:c r="J605" s="7" t="n"/>
      <x:c r="K605" s="7" t="n"/>
      <x:c r="L605" s="7" t="n"/>
      <x:c r="M605" s="7" t="n"/>
      <x:c r="N605" s="7" t="n"/>
      <x:c r="O605" s="7" t="n"/>
      <x:c r="P605" s="7" t="n"/>
      <x:c r="Q605" s="7" t="n"/>
      <x:c r="R605" s="7" t="n"/>
      <x:c r="S605" s="7" t="n"/>
      <x:c r="T605" s="7" t="n"/>
      <x:c r="U605" s="7" t="n"/>
      <x:c r="V605" s="7" t="n"/>
      <x:c r="W605" s="7" t="n"/>
      <x:c r="X605" s="7" t="n"/>
      <x:c r="Y605" s="7" t="n"/>
      <x:c r="Z605" s="7" t="n"/>
      <x:c r="AA605" s="7" t="n"/>
      <x:c r="AB605" s="7" t="n"/>
    </x:row>
    <x:row r="606" ht="20" customHeight="1">
      <x:c r="A606" s="12" t="inlineStr">
        <x:is>
          <x:t xml:space="preserve">Lake Washington School District</x:t>
        </x:is>
      </x:c>
      <x:c r="B606" s="12" t="inlineStr">
        <x:is>
          <x:t xml:space="preserve">WA</x:t>
        </x:is>
      </x:c>
      <x:c r="C606" s="12" t="inlineStr">
        <x:is>
          <x:t xml:space="preserve">Bachelor's</x:t>
        </x:is>
      </x:c>
      <x:c r="D606" s="13" t="n">
        <x:v>10</x:v>
      </x:c>
      <x:c r="E606" s="14" t="n">
        <x:v>85047</x:v>
      </x:c>
      <x:c r="F606" s="83" t="inlineStr">
        <x:is>
          <x:t xml:space="preserve">2026-06-13</x:t>
        </x:is>
      </x:c>
      <x:c r="G606" s="7" t="n"/>
      <x:c r="H606" s="7" t="n"/>
      <x:c r="I606" s="7" t="n"/>
      <x:c r="J606" s="7" t="n"/>
      <x:c r="K606" s="7" t="n"/>
      <x:c r="L606" s="7" t="n"/>
      <x:c r="M606" s="7" t="n"/>
      <x:c r="N606" s="7" t="n"/>
      <x:c r="O606" s="7" t="n"/>
      <x:c r="P606" s="7" t="n"/>
      <x:c r="Q606" s="7" t="n"/>
      <x:c r="R606" s="7" t="n"/>
      <x:c r="S606" s="7" t="n"/>
      <x:c r="T606" s="7" t="n"/>
      <x:c r="U606" s="7" t="n"/>
      <x:c r="V606" s="7" t="n"/>
      <x:c r="W606" s="7" t="n"/>
      <x:c r="X606" s="7" t="n"/>
      <x:c r="Y606" s="7" t="n"/>
      <x:c r="Z606" s="7" t="n"/>
      <x:c r="AA606" s="7" t="n"/>
      <x:c r="AB606" s="7" t="n"/>
    </x:row>
    <x:row r="607" ht="20" customHeight="1">
      <x:c r="A607" s="12" t="inlineStr">
        <x:is>
          <x:t xml:space="preserve">Lake Washington School District</x:t>
        </x:is>
      </x:c>
      <x:c r="B607" s="12" t="inlineStr">
        <x:is>
          <x:t xml:space="preserve">WA</x:t>
        </x:is>
      </x:c>
      <x:c r="C607" s="12" t="inlineStr">
        <x:is>
          <x:t xml:space="preserve">Master's</x:t>
        </x:is>
      </x:c>
      <x:c r="D607" s="13" t="n">
        <x:v>0</x:v>
      </x:c>
      <x:c r="E607" s="14" t="n">
        <x:v>70072</x:v>
      </x:c>
      <x:c r="F607" s="83" t="inlineStr">
        <x:is>
          <x:t xml:space="preserve">2026-06-13</x:t>
        </x:is>
      </x:c>
      <x:c r="G607" s="7" t="n"/>
      <x:c r="H607" s="7" t="n"/>
      <x:c r="I607" s="7" t="n"/>
      <x:c r="J607" s="7" t="n"/>
      <x:c r="K607" s="7" t="n"/>
      <x:c r="L607" s="7" t="n"/>
      <x:c r="M607" s="7" t="n"/>
      <x:c r="N607" s="7" t="n"/>
      <x:c r="O607" s="7" t="n"/>
      <x:c r="P607" s="7" t="n"/>
      <x:c r="Q607" s="7" t="n"/>
      <x:c r="R607" s="7" t="n"/>
      <x:c r="S607" s="7" t="n"/>
      <x:c r="T607" s="7" t="n"/>
      <x:c r="U607" s="7" t="n"/>
      <x:c r="V607" s="7" t="n"/>
      <x:c r="W607" s="7" t="n"/>
      <x:c r="X607" s="7" t="n"/>
      <x:c r="Y607" s="7" t="n"/>
      <x:c r="Z607" s="7" t="n"/>
      <x:c r="AA607" s="7" t="n"/>
      <x:c r="AB607" s="7" t="n"/>
    </x:row>
    <x:row r="608" ht="20" customHeight="1">
      <x:c r="A608" s="12" t="inlineStr">
        <x:is>
          <x:t xml:space="preserve">Lake Washington School District</x:t>
        </x:is>
      </x:c>
      <x:c r="B608" s="12" t="inlineStr">
        <x:is>
          <x:t xml:space="preserve">WA</x:t>
        </x:is>
      </x:c>
      <x:c r="C608" s="12" t="inlineStr">
        <x:is>
          <x:t xml:space="preserve">Master's</x:t>
        </x:is>
      </x:c>
      <x:c r="D608" s="13" t="n">
        <x:v>1</x:v>
      </x:c>
      <x:c r="E608" s="14" t="n">
        <x:v>72114</x:v>
      </x:c>
      <x:c r="F608" s="83" t="inlineStr">
        <x:is>
          <x:t xml:space="preserve">2026-06-13</x:t>
        </x:is>
      </x:c>
      <x:c r="G608" s="7" t="n"/>
      <x:c r="H608" s="7" t="n"/>
      <x:c r="I608" s="7" t="n"/>
      <x:c r="J608" s="7" t="n"/>
      <x:c r="K608" s="7" t="n"/>
      <x:c r="L608" s="7" t="n"/>
      <x:c r="M608" s="7" t="n"/>
      <x:c r="N608" s="7" t="n"/>
      <x:c r="O608" s="7" t="n"/>
      <x:c r="P608" s="7" t="n"/>
      <x:c r="Q608" s="7" t="n"/>
      <x:c r="R608" s="7" t="n"/>
      <x:c r="S608" s="7" t="n"/>
      <x:c r="T608" s="7" t="n"/>
      <x:c r="U608" s="7" t="n"/>
      <x:c r="V608" s="7" t="n"/>
      <x:c r="W608" s="7" t="n"/>
      <x:c r="X608" s="7" t="n"/>
      <x:c r="Y608" s="7" t="n"/>
      <x:c r="Z608" s="7" t="n"/>
      <x:c r="AA608" s="7" t="n"/>
      <x:c r="AB608" s="7" t="n"/>
    </x:row>
    <x:row r="609" ht="20" customHeight="1">
      <x:c r="A609" s="12" t="inlineStr">
        <x:is>
          <x:t xml:space="preserve">Lake Washington School District</x:t>
        </x:is>
      </x:c>
      <x:c r="B609" s="12" t="inlineStr">
        <x:is>
          <x:t xml:space="preserve">WA</x:t>
        </x:is>
      </x:c>
      <x:c r="C609" s="12" t="inlineStr">
        <x:is>
          <x:t xml:space="preserve">Master's</x:t>
        </x:is>
      </x:c>
      <x:c r="D609" s="13" t="n">
        <x:v>2</x:v>
      </x:c>
      <x:c r="E609" s="14" t="n">
        <x:v>74215</x:v>
      </x:c>
      <x:c r="F609" s="83" t="inlineStr">
        <x:is>
          <x:t xml:space="preserve">2026-06-13</x:t>
        </x:is>
      </x:c>
      <x:c r="G609" s="7" t="n"/>
      <x:c r="H609" s="7" t="n"/>
      <x:c r="I609" s="7" t="n"/>
      <x:c r="J609" s="7" t="n"/>
      <x:c r="K609" s="7" t="n"/>
      <x:c r="L609" s="7" t="n"/>
      <x:c r="M609" s="7" t="n"/>
      <x:c r="N609" s="7" t="n"/>
      <x:c r="O609" s="7" t="n"/>
      <x:c r="P609" s="7" t="n"/>
      <x:c r="Q609" s="7" t="n"/>
      <x:c r="R609" s="7" t="n"/>
      <x:c r="S609" s="7" t="n"/>
      <x:c r="T609" s="7" t="n"/>
      <x:c r="U609" s="7" t="n"/>
      <x:c r="V609" s="7" t="n"/>
      <x:c r="W609" s="7" t="n"/>
      <x:c r="X609" s="7" t="n"/>
      <x:c r="Y609" s="7" t="n"/>
      <x:c r="Z609" s="7" t="n"/>
      <x:c r="AA609" s="7" t="n"/>
      <x:c r="AB609" s="7" t="n"/>
    </x:row>
    <x:row r="610" ht="20" customHeight="1">
      <x:c r="A610" s="12" t="inlineStr">
        <x:is>
          <x:t xml:space="preserve">Lake Washington School District</x:t>
        </x:is>
      </x:c>
      <x:c r="B610" s="12" t="inlineStr">
        <x:is>
          <x:t xml:space="preserve">WA</x:t>
        </x:is>
      </x:c>
      <x:c r="C610" s="12" t="inlineStr">
        <x:is>
          <x:t xml:space="preserve">Master's</x:t>
        </x:is>
      </x:c>
      <x:c r="D610" s="13" t="n">
        <x:v>3</x:v>
      </x:c>
      <x:c r="E610" s="14" t="n">
        <x:v>76375</x:v>
      </x:c>
      <x:c r="F610" s="83" t="inlineStr">
        <x:is>
          <x:t xml:space="preserve">2026-06-13</x:t>
        </x:is>
      </x:c>
      <x:c r="G610" s="7" t="n"/>
      <x:c r="H610" s="7" t="n"/>
      <x:c r="I610" s="7" t="n"/>
      <x:c r="J610" s="7" t="n"/>
      <x:c r="K610" s="7" t="n"/>
      <x:c r="L610" s="7" t="n"/>
      <x:c r="M610" s="7" t="n"/>
      <x:c r="N610" s="7" t="n"/>
      <x:c r="O610" s="7" t="n"/>
      <x:c r="P610" s="7" t="n"/>
      <x:c r="Q610" s="7" t="n"/>
      <x:c r="R610" s="7" t="n"/>
      <x:c r="S610" s="7" t="n"/>
      <x:c r="T610" s="7" t="n"/>
      <x:c r="U610" s="7" t="n"/>
      <x:c r="V610" s="7" t="n"/>
      <x:c r="W610" s="7" t="n"/>
      <x:c r="X610" s="7" t="n"/>
      <x:c r="Y610" s="7" t="n"/>
      <x:c r="Z610" s="7" t="n"/>
      <x:c r="AA610" s="7" t="n"/>
      <x:c r="AB610" s="7" t="n"/>
    </x:row>
    <x:row r="611" ht="20" customHeight="1">
      <x:c r="A611" s="12" t="inlineStr">
        <x:is>
          <x:t xml:space="preserve">Lake Washington School District</x:t>
        </x:is>
      </x:c>
      <x:c r="B611" s="12" t="inlineStr">
        <x:is>
          <x:t xml:space="preserve">WA</x:t>
        </x:is>
      </x:c>
      <x:c r="C611" s="12" t="inlineStr">
        <x:is>
          <x:t xml:space="preserve">Master's</x:t>
        </x:is>
      </x:c>
      <x:c r="D611" s="13" t="n">
        <x:v>4</x:v>
      </x:c>
      <x:c r="E611" s="14" t="n">
        <x:v>78595</x:v>
      </x:c>
      <x:c r="F611" s="83" t="inlineStr">
        <x:is>
          <x:t xml:space="preserve">2026-06-13</x:t>
        </x:is>
      </x:c>
      <x:c r="G611" s="7" t="n"/>
      <x:c r="H611" s="7" t="n"/>
      <x:c r="I611" s="7" t="n"/>
      <x:c r="J611" s="7" t="n"/>
      <x:c r="K611" s="7" t="n"/>
      <x:c r="L611" s="7" t="n"/>
      <x:c r="M611" s="7" t="n"/>
      <x:c r="N611" s="7" t="n"/>
      <x:c r="O611" s="7" t="n"/>
      <x:c r="P611" s="7" t="n"/>
      <x:c r="Q611" s="7" t="n"/>
      <x:c r="R611" s="7" t="n"/>
      <x:c r="S611" s="7" t="n"/>
      <x:c r="T611" s="7" t="n"/>
      <x:c r="U611" s="7" t="n"/>
      <x:c r="V611" s="7" t="n"/>
      <x:c r="W611" s="7" t="n"/>
      <x:c r="X611" s="7" t="n"/>
      <x:c r="Y611" s="7" t="n"/>
      <x:c r="Z611" s="7" t="n"/>
      <x:c r="AA611" s="7" t="n"/>
      <x:c r="AB611" s="7" t="n"/>
    </x:row>
    <x:row r="612" ht="20" customHeight="1">
      <x:c r="A612" s="12" t="inlineStr">
        <x:is>
          <x:t xml:space="preserve">Lake Washington School District</x:t>
        </x:is>
      </x:c>
      <x:c r="B612" s="12" t="inlineStr">
        <x:is>
          <x:t xml:space="preserve">WA</x:t>
        </x:is>
      </x:c>
      <x:c r="C612" s="12" t="inlineStr">
        <x:is>
          <x:t xml:space="preserve">Master's</x:t>
        </x:is>
      </x:c>
      <x:c r="D612" s="13" t="n">
        <x:v>5</x:v>
      </x:c>
      <x:c r="E612" s="14" t="n">
        <x:v>80880</x:v>
      </x:c>
      <x:c r="F612" s="83" t="inlineStr">
        <x:is>
          <x:t xml:space="preserve">2026-06-13</x:t>
        </x:is>
      </x:c>
      <x:c r="G612" s="7" t="n"/>
      <x:c r="H612" s="7" t="n"/>
      <x:c r="I612" s="7" t="n"/>
      <x:c r="J612" s="7" t="n"/>
      <x:c r="K612" s="7" t="n"/>
      <x:c r="L612" s="7" t="n"/>
      <x:c r="M612" s="7" t="n"/>
      <x:c r="N612" s="7" t="n"/>
      <x:c r="O612" s="7" t="n"/>
      <x:c r="P612" s="7" t="n"/>
      <x:c r="Q612" s="7" t="n"/>
      <x:c r="R612" s="7" t="n"/>
      <x:c r="S612" s="7" t="n"/>
      <x:c r="T612" s="7" t="n"/>
      <x:c r="U612" s="7" t="n"/>
      <x:c r="V612" s="7" t="n"/>
      <x:c r="W612" s="7" t="n"/>
      <x:c r="X612" s="7" t="n"/>
      <x:c r="Y612" s="7" t="n"/>
      <x:c r="Z612" s="7" t="n"/>
      <x:c r="AA612" s="7" t="n"/>
      <x:c r="AB612" s="7" t="n"/>
    </x:row>
    <x:row r="613" ht="20" customHeight="1">
      <x:c r="A613" s="12" t="inlineStr">
        <x:is>
          <x:t xml:space="preserve">Lake Washington School District</x:t>
        </x:is>
      </x:c>
      <x:c r="B613" s="12" t="inlineStr">
        <x:is>
          <x:t xml:space="preserve">WA</x:t>
        </x:is>
      </x:c>
      <x:c r="C613" s="12" t="inlineStr">
        <x:is>
          <x:t xml:space="preserve">Master's</x:t>
        </x:is>
      </x:c>
      <x:c r="D613" s="13" t="n">
        <x:v>6</x:v>
      </x:c>
      <x:c r="E613" s="14" t="n">
        <x:v>83237</x:v>
      </x:c>
      <x:c r="F613" s="83" t="inlineStr">
        <x:is>
          <x:t xml:space="preserve">2026-06-13</x:t>
        </x:is>
      </x:c>
      <x:c r="G613" s="7" t="n"/>
      <x:c r="H613" s="7" t="n"/>
      <x:c r="I613" s="7" t="n"/>
      <x:c r="J613" s="7" t="n"/>
      <x:c r="K613" s="7" t="n"/>
      <x:c r="L613" s="7" t="n"/>
      <x:c r="M613" s="7" t="n"/>
      <x:c r="N613" s="7" t="n"/>
      <x:c r="O613" s="7" t="n"/>
      <x:c r="P613" s="7" t="n"/>
      <x:c r="Q613" s="7" t="n"/>
      <x:c r="R613" s="7" t="n"/>
      <x:c r="S613" s="7" t="n"/>
      <x:c r="T613" s="7" t="n"/>
      <x:c r="U613" s="7" t="n"/>
      <x:c r="V613" s="7" t="n"/>
      <x:c r="W613" s="7" t="n"/>
      <x:c r="X613" s="7" t="n"/>
      <x:c r="Y613" s="7" t="n"/>
      <x:c r="Z613" s="7" t="n"/>
      <x:c r="AA613" s="7" t="n"/>
      <x:c r="AB613" s="7" t="n"/>
    </x:row>
    <x:row r="614" ht="20" customHeight="1">
      <x:c r="A614" s="12" t="inlineStr">
        <x:is>
          <x:t xml:space="preserve">Lake Washington School District</x:t>
        </x:is>
      </x:c>
      <x:c r="B614" s="12" t="inlineStr">
        <x:is>
          <x:t xml:space="preserve">WA</x:t>
        </x:is>
      </x:c>
      <x:c r="C614" s="12" t="inlineStr">
        <x:is>
          <x:t xml:space="preserve">Master's</x:t>
        </x:is>
      </x:c>
      <x:c r="D614" s="13" t="n">
        <x:v>7</x:v>
      </x:c>
      <x:c r="E614" s="14" t="n">
        <x:v>85658</x:v>
      </x:c>
      <x:c r="F614" s="83" t="inlineStr">
        <x:is>
          <x:t xml:space="preserve">2026-06-13</x:t>
        </x:is>
      </x:c>
      <x:c r="G614" s="7" t="n"/>
      <x:c r="H614" s="7" t="n"/>
      <x:c r="I614" s="7" t="n"/>
      <x:c r="J614" s="7" t="n"/>
      <x:c r="K614" s="7" t="n"/>
      <x:c r="L614" s="7" t="n"/>
      <x:c r="M614" s="7" t="n"/>
      <x:c r="N614" s="7" t="n"/>
      <x:c r="O614" s="7" t="n"/>
      <x:c r="P614" s="7" t="n"/>
      <x:c r="Q614" s="7" t="n"/>
      <x:c r="R614" s="7" t="n"/>
      <x:c r="S614" s="7" t="n"/>
      <x:c r="T614" s="7" t="n"/>
      <x:c r="U614" s="7" t="n"/>
      <x:c r="V614" s="7" t="n"/>
      <x:c r="W614" s="7" t="n"/>
      <x:c r="X614" s="7" t="n"/>
      <x:c r="Y614" s="7" t="n"/>
      <x:c r="Z614" s="7" t="n"/>
      <x:c r="AA614" s="7" t="n"/>
      <x:c r="AB614" s="7" t="n"/>
    </x:row>
    <x:row r="615" ht="20" customHeight="1">
      <x:c r="A615" s="12" t="inlineStr">
        <x:is>
          <x:t xml:space="preserve">Lake Washington School District</x:t>
        </x:is>
      </x:c>
      <x:c r="B615" s="12" t="inlineStr">
        <x:is>
          <x:t xml:space="preserve">WA</x:t>
        </x:is>
      </x:c>
      <x:c r="C615" s="12" t="inlineStr">
        <x:is>
          <x:t xml:space="preserve">Master's</x:t>
        </x:is>
      </x:c>
      <x:c r="D615" s="13" t="n">
        <x:v>8</x:v>
      </x:c>
      <x:c r="E615" s="14" t="n">
        <x:v>88151</x:v>
      </x:c>
      <x:c r="F615" s="83" t="inlineStr">
        <x:is>
          <x:t xml:space="preserve">2026-06-13</x:t>
        </x:is>
      </x:c>
      <x:c r="G615" s="7" t="n"/>
      <x:c r="H615" s="7" t="n"/>
      <x:c r="I615" s="7" t="n"/>
      <x:c r="J615" s="7" t="n"/>
      <x:c r="K615" s="7" t="n"/>
      <x:c r="L615" s="7" t="n"/>
      <x:c r="M615" s="7" t="n"/>
      <x:c r="N615" s="7" t="n"/>
      <x:c r="O615" s="7" t="n"/>
      <x:c r="P615" s="7" t="n"/>
      <x:c r="Q615" s="7" t="n"/>
      <x:c r="R615" s="7" t="n"/>
      <x:c r="S615" s="7" t="n"/>
      <x:c r="T615" s="7" t="n"/>
      <x:c r="U615" s="7" t="n"/>
      <x:c r="V615" s="7" t="n"/>
      <x:c r="W615" s="7" t="n"/>
      <x:c r="X615" s="7" t="n"/>
      <x:c r="Y615" s="7" t="n"/>
      <x:c r="Z615" s="7" t="n"/>
      <x:c r="AA615" s="7" t="n"/>
      <x:c r="AB615" s="7" t="n"/>
    </x:row>
    <x:row r="616" ht="20" customHeight="1">
      <x:c r="A616" s="12" t="inlineStr">
        <x:is>
          <x:t xml:space="preserve">Lake Washington School District</x:t>
        </x:is>
      </x:c>
      <x:c r="B616" s="12" t="inlineStr">
        <x:is>
          <x:t xml:space="preserve">WA</x:t>
        </x:is>
      </x:c>
      <x:c r="C616" s="12" t="inlineStr">
        <x:is>
          <x:t xml:space="preserve">Master's</x:t>
        </x:is>
      </x:c>
      <x:c r="D616" s="13" t="n">
        <x:v>9</x:v>
      </x:c>
      <x:c r="E616" s="14" t="n">
        <x:v>90715</x:v>
      </x:c>
      <x:c r="F616" s="83" t="inlineStr">
        <x:is>
          <x:t xml:space="preserve">2026-06-13</x:t>
        </x:is>
      </x:c>
      <x:c r="G616" s="7" t="n"/>
      <x:c r="H616" s="7" t="n"/>
      <x:c r="I616" s="7" t="n"/>
      <x:c r="J616" s="7" t="n"/>
      <x:c r="K616" s="7" t="n"/>
      <x:c r="L616" s="7" t="n"/>
      <x:c r="M616" s="7" t="n"/>
      <x:c r="N616" s="7" t="n"/>
      <x:c r="O616" s="7" t="n"/>
      <x:c r="P616" s="7" t="n"/>
      <x:c r="Q616" s="7" t="n"/>
      <x:c r="R616" s="7" t="n"/>
      <x:c r="S616" s="7" t="n"/>
      <x:c r="T616" s="7" t="n"/>
      <x:c r="U616" s="7" t="n"/>
      <x:c r="V616" s="7" t="n"/>
      <x:c r="W616" s="7" t="n"/>
      <x:c r="X616" s="7" t="n"/>
      <x:c r="Y616" s="7" t="n"/>
      <x:c r="Z616" s="7" t="n"/>
      <x:c r="AA616" s="7" t="n"/>
      <x:c r="AB616" s="7" t="n"/>
    </x:row>
    <x:row r="617" ht="20" customHeight="1">
      <x:c r="A617" s="12" t="inlineStr">
        <x:is>
          <x:t xml:space="preserve">Lake Washington School District</x:t>
        </x:is>
      </x:c>
      <x:c r="B617" s="12" t="inlineStr">
        <x:is>
          <x:t xml:space="preserve">WA</x:t>
        </x:is>
      </x:c>
      <x:c r="C617" s="12" t="inlineStr">
        <x:is>
          <x:t xml:space="preserve">Master's</x:t>
        </x:is>
      </x:c>
      <x:c r="D617" s="13" t="n">
        <x:v>10</x:v>
      </x:c>
      <x:c r="E617" s="14" t="n">
        <x:v>93356</x:v>
      </x:c>
      <x:c r="F617" s="83" t="inlineStr">
        <x:is>
          <x:t xml:space="preserve">2026-06-13</x:t>
        </x:is>
      </x:c>
      <x:c r="G617" s="7" t="n"/>
      <x:c r="H617" s="7" t="n"/>
      <x:c r="I617" s="7" t="n"/>
      <x:c r="J617" s="7" t="n"/>
      <x:c r="K617" s="7" t="n"/>
      <x:c r="L617" s="7" t="n"/>
      <x:c r="M617" s="7" t="n"/>
      <x:c r="N617" s="7" t="n"/>
      <x:c r="O617" s="7" t="n"/>
      <x:c r="P617" s="7" t="n"/>
      <x:c r="Q617" s="7" t="n"/>
      <x:c r="R617" s="7" t="n"/>
      <x:c r="S617" s="7" t="n"/>
      <x:c r="T617" s="7" t="n"/>
      <x:c r="U617" s="7" t="n"/>
      <x:c r="V617" s="7" t="n"/>
      <x:c r="W617" s="7" t="n"/>
      <x:c r="X617" s="7" t="n"/>
      <x:c r="Y617" s="7" t="n"/>
      <x:c r="Z617" s="7" t="n"/>
      <x:c r="AA617" s="7" t="n"/>
      <x:c r="AB617" s="7" t="n"/>
    </x:row>
    <x:row r="618" ht="20" customHeight="1">
      <x:c r="A618" s="12" t="inlineStr">
        <x:is>
          <x:t xml:space="preserve">Leander ISD</x:t>
        </x:is>
      </x:c>
      <x:c r="B618" s="12" t="inlineStr">
        <x:is>
          <x:t xml:space="preserve">TX</x:t>
        </x:is>
      </x:c>
      <x:c r="C618" s="12" t="inlineStr">
        <x:is>
          <x:t xml:space="preserve">Bachelor's</x:t>
        </x:is>
      </x:c>
      <x:c r="D618" s="13" t="n">
        <x:v>0</x:v>
      </x:c>
      <x:c r="E618" s="14" t="n">
        <x:v>57500</x:v>
      </x:c>
      <x:c r="F618" s="83" t="inlineStr">
        <x:is>
          <x:t xml:space="preserve">2026-06-10</x:t>
        </x:is>
      </x:c>
      <x:c r="G618" s="7" t="n"/>
      <x:c r="H618" s="7" t="n"/>
      <x:c r="I618" s="7" t="n"/>
      <x:c r="J618" s="7" t="n"/>
      <x:c r="K618" s="7" t="n"/>
      <x:c r="L618" s="7" t="n"/>
      <x:c r="M618" s="7" t="n"/>
      <x:c r="N618" s="7" t="n"/>
      <x:c r="O618" s="7" t="n"/>
      <x:c r="P618" s="7" t="n"/>
      <x:c r="Q618" s="7" t="n"/>
      <x:c r="R618" s="7" t="n"/>
      <x:c r="S618" s="7" t="n"/>
      <x:c r="T618" s="7" t="n"/>
      <x:c r="U618" s="7" t="n"/>
      <x:c r="V618" s="7" t="n"/>
      <x:c r="W618" s="7" t="n"/>
      <x:c r="X618" s="7" t="n"/>
      <x:c r="Y618" s="7" t="n"/>
      <x:c r="Z618" s="7" t="n"/>
      <x:c r="AA618" s="7" t="n"/>
      <x:c r="AB618" s="7" t="n"/>
    </x:row>
    <x:row r="619" ht="20" customHeight="1">
      <x:c r="A619" s="12" t="inlineStr">
        <x:is>
          <x:t xml:space="preserve">Leander ISD</x:t>
        </x:is>
      </x:c>
      <x:c r="B619" s="12" t="inlineStr">
        <x:is>
          <x:t xml:space="preserve">TX</x:t>
        </x:is>
      </x:c>
      <x:c r="C619" s="12" t="inlineStr">
        <x:is>
          <x:t xml:space="preserve">Bachelor's</x:t>
        </x:is>
      </x:c>
      <x:c r="D619" s="13" t="n">
        <x:v>1</x:v>
      </x:c>
      <x:c r="E619" s="14" t="n">
        <x:v>57670</x:v>
      </x:c>
      <x:c r="F619" s="83" t="inlineStr">
        <x:is>
          <x:t xml:space="preserve">2026-06-10</x:t>
        </x:is>
      </x:c>
      <x:c r="G619" s="7" t="n"/>
      <x:c r="H619" s="7" t="n"/>
      <x:c r="I619" s="7" t="n"/>
      <x:c r="J619" s="7" t="n"/>
      <x:c r="K619" s="7" t="n"/>
      <x:c r="L619" s="7" t="n"/>
      <x:c r="M619" s="7" t="n"/>
      <x:c r="N619" s="7" t="n"/>
      <x:c r="O619" s="7" t="n"/>
      <x:c r="P619" s="7" t="n"/>
      <x:c r="Q619" s="7" t="n"/>
      <x:c r="R619" s="7" t="n"/>
      <x:c r="S619" s="7" t="n"/>
      <x:c r="T619" s="7" t="n"/>
      <x:c r="U619" s="7" t="n"/>
      <x:c r="V619" s="7" t="n"/>
      <x:c r="W619" s="7" t="n"/>
      <x:c r="X619" s="7" t="n"/>
      <x:c r="Y619" s="7" t="n"/>
      <x:c r="Z619" s="7" t="n"/>
      <x:c r="AA619" s="7" t="n"/>
      <x:c r="AB619" s="7" t="n"/>
    </x:row>
    <x:row r="620" ht="20" customHeight="1">
      <x:c r="A620" s="12" t="inlineStr">
        <x:is>
          <x:t xml:space="preserve">Leander ISD</x:t>
        </x:is>
      </x:c>
      <x:c r="B620" s="12" t="inlineStr">
        <x:is>
          <x:t xml:space="preserve">TX</x:t>
        </x:is>
      </x:c>
      <x:c r="C620" s="12" t="inlineStr">
        <x:is>
          <x:t xml:space="preserve">Bachelor's</x:t>
        </x:is>
      </x:c>
      <x:c r="D620" s="13" t="n">
        <x:v>2</x:v>
      </x:c>
      <x:c r="E620" s="14" t="n">
        <x:v>57870</x:v>
      </x:c>
      <x:c r="F620" s="83" t="inlineStr">
        <x:is>
          <x:t xml:space="preserve">2026-06-10</x:t>
        </x:is>
      </x:c>
      <x:c r="G620" s="7" t="n"/>
      <x:c r="H620" s="7" t="n"/>
      <x:c r="I620" s="7" t="n"/>
      <x:c r="J620" s="7" t="n"/>
      <x:c r="K620" s="7" t="n"/>
      <x:c r="L620" s="7" t="n"/>
      <x:c r="M620" s="7" t="n"/>
      <x:c r="N620" s="7" t="n"/>
      <x:c r="O620" s="7" t="n"/>
      <x:c r="P620" s="7" t="n"/>
      <x:c r="Q620" s="7" t="n"/>
      <x:c r="R620" s="7" t="n"/>
      <x:c r="S620" s="7" t="n"/>
      <x:c r="T620" s="7" t="n"/>
      <x:c r="U620" s="7" t="n"/>
      <x:c r="V620" s="7" t="n"/>
      <x:c r="W620" s="7" t="n"/>
      <x:c r="X620" s="7" t="n"/>
      <x:c r="Y620" s="7" t="n"/>
      <x:c r="Z620" s="7" t="n"/>
      <x:c r="AA620" s="7" t="n"/>
      <x:c r="AB620" s="7" t="n"/>
    </x:row>
    <x:row r="621" ht="20" customHeight="1">
      <x:c r="A621" s="12" t="inlineStr">
        <x:is>
          <x:t xml:space="preserve">Leander ISD</x:t>
        </x:is>
      </x:c>
      <x:c r="B621" s="12" t="inlineStr">
        <x:is>
          <x:t xml:space="preserve">TX</x:t>
        </x:is>
      </x:c>
      <x:c r="C621" s="12" t="inlineStr">
        <x:is>
          <x:t xml:space="preserve">Bachelor's</x:t>
        </x:is>
      </x:c>
      <x:c r="D621" s="13" t="n">
        <x:v>3</x:v>
      </x:c>
      <x:c r="E621" s="14" t="n">
        <x:v>59695</x:v>
      </x:c>
      <x:c r="F621" s="83" t="inlineStr">
        <x:is>
          <x:t xml:space="preserve">2026-06-10</x:t>
        </x:is>
      </x:c>
      <x:c r="G621" s="7" t="n"/>
      <x:c r="H621" s="7" t="n"/>
      <x:c r="I621" s="7" t="n"/>
      <x:c r="J621" s="7" t="n"/>
      <x:c r="K621" s="7" t="n"/>
      <x:c r="L621" s="7" t="n"/>
      <x:c r="M621" s="7" t="n"/>
      <x:c r="N621" s="7" t="n"/>
      <x:c r="O621" s="7" t="n"/>
      <x:c r="P621" s="7" t="n"/>
      <x:c r="Q621" s="7" t="n"/>
      <x:c r="R621" s="7" t="n"/>
      <x:c r="S621" s="7" t="n"/>
      <x:c r="T621" s="7" t="n"/>
      <x:c r="U621" s="7" t="n"/>
      <x:c r="V621" s="7" t="n"/>
      <x:c r="W621" s="7" t="n"/>
      <x:c r="X621" s="7" t="n"/>
      <x:c r="Y621" s="7" t="n"/>
      <x:c r="Z621" s="7" t="n"/>
      <x:c r="AA621" s="7" t="n"/>
      <x:c r="AB621" s="7" t="n"/>
    </x:row>
    <x:row r="622" ht="20" customHeight="1">
      <x:c r="A622" s="12" t="inlineStr">
        <x:is>
          <x:t xml:space="preserve">Leander ISD</x:t>
        </x:is>
      </x:c>
      <x:c r="B622" s="12" t="inlineStr">
        <x:is>
          <x:t xml:space="preserve">TX</x:t>
        </x:is>
      </x:c>
      <x:c r="C622" s="12" t="inlineStr">
        <x:is>
          <x:t xml:space="preserve">Bachelor's</x:t>
        </x:is>
      </x:c>
      <x:c r="D622" s="13" t="n">
        <x:v>4</x:v>
      </x:c>
      <x:c r="E622" s="14" t="n">
        <x:v>60095</x:v>
      </x:c>
      <x:c r="F622" s="83" t="inlineStr">
        <x:is>
          <x:t xml:space="preserve">2026-06-10</x:t>
        </x:is>
      </x:c>
      <x:c r="G622" s="7" t="n"/>
      <x:c r="H622" s="7" t="n"/>
      <x:c r="I622" s="7" t="n"/>
      <x:c r="J622" s="7" t="n"/>
      <x:c r="K622" s="7" t="n"/>
      <x:c r="L622" s="7" t="n"/>
      <x:c r="M622" s="7" t="n"/>
      <x:c r="N622" s="7" t="n"/>
      <x:c r="O622" s="7" t="n"/>
      <x:c r="P622" s="7" t="n"/>
      <x:c r="Q622" s="7" t="n"/>
      <x:c r="R622" s="7" t="n"/>
      <x:c r="S622" s="7" t="n"/>
      <x:c r="T622" s="7" t="n"/>
      <x:c r="U622" s="7" t="n"/>
      <x:c r="V622" s="7" t="n"/>
      <x:c r="W622" s="7" t="n"/>
      <x:c r="X622" s="7" t="n"/>
      <x:c r="Y622" s="7" t="n"/>
      <x:c r="Z622" s="7" t="n"/>
      <x:c r="AA622" s="7" t="n"/>
      <x:c r="AB622" s="7" t="n"/>
    </x:row>
    <x:row r="623" ht="20" customHeight="1">
      <x:c r="A623" s="12" t="inlineStr">
        <x:is>
          <x:t xml:space="preserve">Leander ISD</x:t>
        </x:is>
      </x:c>
      <x:c r="B623" s="12" t="inlineStr">
        <x:is>
          <x:t xml:space="preserve">TX</x:t>
        </x:is>
      </x:c>
      <x:c r="C623" s="12" t="inlineStr">
        <x:is>
          <x:t xml:space="preserve">Bachelor's</x:t>
        </x:is>
      </x:c>
      <x:c r="D623" s="13" t="n">
        <x:v>5</x:v>
      </x:c>
      <x:c r="E623" s="14" t="n">
        <x:v>62683</x:v>
      </x:c>
      <x:c r="F623" s="83" t="inlineStr">
        <x:is>
          <x:t xml:space="preserve">2026-06-10</x:t>
        </x:is>
      </x:c>
      <x:c r="G623" s="7" t="n"/>
      <x:c r="H623" s="7" t="n"/>
      <x:c r="I623" s="7" t="n"/>
      <x:c r="J623" s="7" t="n"/>
      <x:c r="K623" s="7" t="n"/>
      <x:c r="L623" s="7" t="n"/>
      <x:c r="M623" s="7" t="n"/>
      <x:c r="N623" s="7" t="n"/>
      <x:c r="O623" s="7" t="n"/>
      <x:c r="P623" s="7" t="n"/>
      <x:c r="Q623" s="7" t="n"/>
      <x:c r="R623" s="7" t="n"/>
      <x:c r="S623" s="7" t="n"/>
      <x:c r="T623" s="7" t="n"/>
      <x:c r="U623" s="7" t="n"/>
      <x:c r="V623" s="7" t="n"/>
      <x:c r="W623" s="7" t="n"/>
      <x:c r="X623" s="7" t="n"/>
      <x:c r="Y623" s="7" t="n"/>
      <x:c r="Z623" s="7" t="n"/>
      <x:c r="AA623" s="7" t="n"/>
      <x:c r="AB623" s="7" t="n"/>
    </x:row>
    <x:row r="624" ht="20" customHeight="1">
      <x:c r="A624" s="12" t="inlineStr">
        <x:is>
          <x:t xml:space="preserve">Leander ISD</x:t>
        </x:is>
      </x:c>
      <x:c r="B624" s="12" t="inlineStr">
        <x:is>
          <x:t xml:space="preserve">TX</x:t>
        </x:is>
      </x:c>
      <x:c r="C624" s="12" t="inlineStr">
        <x:is>
          <x:t xml:space="preserve">Bachelor's</x:t>
        </x:is>
      </x:c>
      <x:c r="D624" s="13" t="n">
        <x:v>6</x:v>
      </x:c>
      <x:c r="E624" s="14" t="n">
        <x:v>62995</x:v>
      </x:c>
      <x:c r="F624" s="83" t="inlineStr">
        <x:is>
          <x:t xml:space="preserve">2026-06-10</x:t>
        </x:is>
      </x:c>
      <x:c r="G624" s="7" t="n"/>
      <x:c r="H624" s="7" t="n"/>
      <x:c r="I624" s="7" t="n"/>
      <x:c r="J624" s="7" t="n"/>
      <x:c r="K624" s="7" t="n"/>
      <x:c r="L624" s="7" t="n"/>
      <x:c r="M624" s="7" t="n"/>
      <x:c r="N624" s="7" t="n"/>
      <x:c r="O624" s="7" t="n"/>
      <x:c r="P624" s="7" t="n"/>
      <x:c r="Q624" s="7" t="n"/>
      <x:c r="R624" s="7" t="n"/>
      <x:c r="S624" s="7" t="n"/>
      <x:c r="T624" s="7" t="n"/>
      <x:c r="U624" s="7" t="n"/>
      <x:c r="V624" s="7" t="n"/>
      <x:c r="W624" s="7" t="n"/>
      <x:c r="X624" s="7" t="n"/>
      <x:c r="Y624" s="7" t="n"/>
      <x:c r="Z624" s="7" t="n"/>
      <x:c r="AA624" s="7" t="n"/>
      <x:c r="AB624" s="7" t="n"/>
    </x:row>
    <x:row r="625" ht="20" customHeight="1">
      <x:c r="A625" s="12" t="inlineStr">
        <x:is>
          <x:t xml:space="preserve">Leander ISD</x:t>
        </x:is>
      </x:c>
      <x:c r="B625" s="12" t="inlineStr">
        <x:is>
          <x:t xml:space="preserve">TX</x:t>
        </x:is>
      </x:c>
      <x:c r="C625" s="12" t="inlineStr">
        <x:is>
          <x:t xml:space="preserve">Bachelor's</x:t>
        </x:is>
      </x:c>
      <x:c r="D625" s="13" t="n">
        <x:v>7</x:v>
      </x:c>
      <x:c r="E625" s="14" t="n">
        <x:v>63195</x:v>
      </x:c>
      <x:c r="F625" s="83" t="inlineStr">
        <x:is>
          <x:t xml:space="preserve">2026-06-10</x:t>
        </x:is>
      </x:c>
      <x:c r="G625" s="7" t="n"/>
      <x:c r="H625" s="7" t="n"/>
      <x:c r="I625" s="7" t="n"/>
      <x:c r="J625" s="7" t="n"/>
      <x:c r="K625" s="7" t="n"/>
      <x:c r="L625" s="7" t="n"/>
      <x:c r="M625" s="7" t="n"/>
      <x:c r="N625" s="7" t="n"/>
      <x:c r="O625" s="7" t="n"/>
      <x:c r="P625" s="7" t="n"/>
      <x:c r="Q625" s="7" t="n"/>
      <x:c r="R625" s="7" t="n"/>
      <x:c r="S625" s="7" t="n"/>
      <x:c r="T625" s="7" t="n"/>
      <x:c r="U625" s="7" t="n"/>
      <x:c r="V625" s="7" t="n"/>
      <x:c r="W625" s="7" t="n"/>
      <x:c r="X625" s="7" t="n"/>
      <x:c r="Y625" s="7" t="n"/>
      <x:c r="Z625" s="7" t="n"/>
      <x:c r="AA625" s="7" t="n"/>
      <x:c r="AB625" s="7" t="n"/>
    </x:row>
    <x:row r="626" ht="20" customHeight="1">
      <x:c r="A626" s="12" t="inlineStr">
        <x:is>
          <x:t xml:space="preserve">Leander ISD</x:t>
        </x:is>
      </x:c>
      <x:c r="B626" s="12" t="inlineStr">
        <x:is>
          <x:t xml:space="preserve">TX</x:t>
        </x:is>
      </x:c>
      <x:c r="C626" s="12" t="inlineStr">
        <x:is>
          <x:t xml:space="preserve">Bachelor's</x:t>
        </x:is>
      </x:c>
      <x:c r="D626" s="13" t="n">
        <x:v>8</x:v>
      </x:c>
      <x:c r="E626" s="14" t="n">
        <x:v>63395</x:v>
      </x:c>
      <x:c r="F626" s="83" t="inlineStr">
        <x:is>
          <x:t xml:space="preserve">2026-06-10</x:t>
        </x:is>
      </x:c>
      <x:c r="G626" s="7" t="n"/>
      <x:c r="H626" s="7" t="n"/>
      <x:c r="I626" s="7" t="n"/>
      <x:c r="J626" s="7" t="n"/>
      <x:c r="K626" s="7" t="n"/>
      <x:c r="L626" s="7" t="n"/>
      <x:c r="M626" s="7" t="n"/>
      <x:c r="N626" s="7" t="n"/>
      <x:c r="O626" s="7" t="n"/>
      <x:c r="P626" s="7" t="n"/>
      <x:c r="Q626" s="7" t="n"/>
      <x:c r="R626" s="7" t="n"/>
      <x:c r="S626" s="7" t="n"/>
      <x:c r="T626" s="7" t="n"/>
      <x:c r="U626" s="7" t="n"/>
      <x:c r="V626" s="7" t="n"/>
      <x:c r="W626" s="7" t="n"/>
      <x:c r="X626" s="7" t="n"/>
      <x:c r="Y626" s="7" t="n"/>
      <x:c r="Z626" s="7" t="n"/>
      <x:c r="AA626" s="7" t="n"/>
      <x:c r="AB626" s="7" t="n"/>
    </x:row>
    <x:row r="627" ht="20" customHeight="1">
      <x:c r="A627" s="12" t="inlineStr">
        <x:is>
          <x:t xml:space="preserve">Leander ISD</x:t>
        </x:is>
      </x:c>
      <x:c r="B627" s="12" t="inlineStr">
        <x:is>
          <x:t xml:space="preserve">TX</x:t>
        </x:is>
      </x:c>
      <x:c r="C627" s="12" t="inlineStr">
        <x:is>
          <x:t xml:space="preserve">Bachelor's</x:t>
        </x:is>
      </x:c>
      <x:c r="D627" s="13" t="n">
        <x:v>9</x:v>
      </x:c>
      <x:c r="E627" s="14" t="n">
        <x:v>63821</x:v>
      </x:c>
      <x:c r="F627" s="83" t="inlineStr">
        <x:is>
          <x:t xml:space="preserve">2026-06-10</x:t>
        </x:is>
      </x:c>
      <x:c r="G627" s="7" t="n"/>
      <x:c r="H627" s="7" t="n"/>
      <x:c r="I627" s="7" t="n"/>
      <x:c r="J627" s="7" t="n"/>
      <x:c r="K627" s="7" t="n"/>
      <x:c r="L627" s="7" t="n"/>
      <x:c r="M627" s="7" t="n"/>
      <x:c r="N627" s="7" t="n"/>
      <x:c r="O627" s="7" t="n"/>
      <x:c r="P627" s="7" t="n"/>
      <x:c r="Q627" s="7" t="n"/>
      <x:c r="R627" s="7" t="n"/>
      <x:c r="S627" s="7" t="n"/>
      <x:c r="T627" s="7" t="n"/>
      <x:c r="U627" s="7" t="n"/>
      <x:c r="V627" s="7" t="n"/>
      <x:c r="W627" s="7" t="n"/>
      <x:c r="X627" s="7" t="n"/>
      <x:c r="Y627" s="7" t="n"/>
      <x:c r="Z627" s="7" t="n"/>
      <x:c r="AA627" s="7" t="n"/>
      <x:c r="AB627" s="7" t="n"/>
    </x:row>
    <x:row r="628" ht="20" customHeight="1">
      <x:c r="A628" s="12" t="inlineStr">
        <x:is>
          <x:t xml:space="preserve">Leander ISD</x:t>
        </x:is>
      </x:c>
      <x:c r="B628" s="12" t="inlineStr">
        <x:is>
          <x:t xml:space="preserve">TX</x:t>
        </x:is>
      </x:c>
      <x:c r="C628" s="12" t="inlineStr">
        <x:is>
          <x:t xml:space="preserve">Bachelor's</x:t>
        </x:is>
      </x:c>
      <x:c r="D628" s="13" t="n">
        <x:v>10</x:v>
      </x:c>
      <x:c r="E628" s="14" t="n">
        <x:v>64271</x:v>
      </x:c>
      <x:c r="F628" s="83" t="inlineStr">
        <x:is>
          <x:t xml:space="preserve">2026-06-10</x:t>
        </x:is>
      </x:c>
      <x:c r="G628" s="7" t="n"/>
      <x:c r="H628" s="7" t="n"/>
      <x:c r="I628" s="7" t="n"/>
      <x:c r="J628" s="7" t="n"/>
      <x:c r="K628" s="7" t="n"/>
      <x:c r="L628" s="7" t="n"/>
      <x:c r="M628" s="7" t="n"/>
      <x:c r="N628" s="7" t="n"/>
      <x:c r="O628" s="7" t="n"/>
      <x:c r="P628" s="7" t="n"/>
      <x:c r="Q628" s="7" t="n"/>
      <x:c r="R628" s="7" t="n"/>
      <x:c r="S628" s="7" t="n"/>
      <x:c r="T628" s="7" t="n"/>
      <x:c r="U628" s="7" t="n"/>
      <x:c r="V628" s="7" t="n"/>
      <x:c r="W628" s="7" t="n"/>
      <x:c r="X628" s="7" t="n"/>
      <x:c r="Y628" s="7" t="n"/>
      <x:c r="Z628" s="7" t="n"/>
      <x:c r="AA628" s="7" t="n"/>
      <x:c r="AB628" s="7" t="n"/>
    </x:row>
    <x:row r="629" ht="20" customHeight="1">
      <x:c r="A629" s="12" t="inlineStr">
        <x:is>
          <x:t xml:space="preserve">Leander ISD</x:t>
        </x:is>
      </x:c>
      <x:c r="B629" s="12" t="inlineStr">
        <x:is>
          <x:t xml:space="preserve">TX</x:t>
        </x:is>
      </x:c>
      <x:c r="C629" s="12" t="inlineStr">
        <x:is>
          <x:t xml:space="preserve">Master's</x:t>
        </x:is>
      </x:c>
      <x:c r="D629" s="13" t="n">
        <x:v>0</x:v>
      </x:c>
      <x:c r="E629" s="14" t="n">
        <x:v>58500</x:v>
      </x:c>
      <x:c r="F629" s="83" t="inlineStr">
        <x:is>
          <x:t xml:space="preserve">2026-06-10</x:t>
        </x:is>
      </x:c>
      <x:c r="G629" s="7" t="n"/>
      <x:c r="H629" s="7" t="n"/>
      <x:c r="I629" s="7" t="n"/>
      <x:c r="J629" s="7" t="n"/>
      <x:c r="K629" s="7" t="n"/>
      <x:c r="L629" s="7" t="n"/>
      <x:c r="M629" s="7" t="n"/>
      <x:c r="N629" s="7" t="n"/>
      <x:c r="O629" s="7" t="n"/>
      <x:c r="P629" s="7" t="n"/>
      <x:c r="Q629" s="7" t="n"/>
      <x:c r="R629" s="7" t="n"/>
      <x:c r="S629" s="7" t="n"/>
      <x:c r="T629" s="7" t="n"/>
      <x:c r="U629" s="7" t="n"/>
      <x:c r="V629" s="7" t="n"/>
      <x:c r="W629" s="7" t="n"/>
      <x:c r="X629" s="7" t="n"/>
      <x:c r="Y629" s="7" t="n"/>
      <x:c r="Z629" s="7" t="n"/>
      <x:c r="AA629" s="7" t="n"/>
      <x:c r="AB629" s="7" t="n"/>
    </x:row>
    <x:row r="630" ht="20" customHeight="1">
      <x:c r="A630" s="12" t="inlineStr">
        <x:is>
          <x:t xml:space="preserve">Leander ISD</x:t>
        </x:is>
      </x:c>
      <x:c r="B630" s="12" t="inlineStr">
        <x:is>
          <x:t xml:space="preserve">TX</x:t>
        </x:is>
      </x:c>
      <x:c r="C630" s="12" t="inlineStr">
        <x:is>
          <x:t xml:space="preserve">Master's</x:t>
        </x:is>
      </x:c>
      <x:c r="D630" s="13" t="n">
        <x:v>1</x:v>
      </x:c>
      <x:c r="E630" s="14" t="n">
        <x:v>58670</x:v>
      </x:c>
      <x:c r="F630" s="83" t="inlineStr">
        <x:is>
          <x:t xml:space="preserve">2026-06-10</x:t>
        </x:is>
      </x:c>
      <x:c r="G630" s="7" t="n"/>
      <x:c r="H630" s="7" t="n"/>
      <x:c r="I630" s="7" t="n"/>
      <x:c r="J630" s="7" t="n"/>
      <x:c r="K630" s="7" t="n"/>
      <x:c r="L630" s="7" t="n"/>
      <x:c r="M630" s="7" t="n"/>
      <x:c r="N630" s="7" t="n"/>
      <x:c r="O630" s="7" t="n"/>
      <x:c r="P630" s="7" t="n"/>
      <x:c r="Q630" s="7" t="n"/>
      <x:c r="R630" s="7" t="n"/>
      <x:c r="S630" s="7" t="n"/>
      <x:c r="T630" s="7" t="n"/>
      <x:c r="U630" s="7" t="n"/>
      <x:c r="V630" s="7" t="n"/>
      <x:c r="W630" s="7" t="n"/>
      <x:c r="X630" s="7" t="n"/>
      <x:c r="Y630" s="7" t="n"/>
      <x:c r="Z630" s="7" t="n"/>
      <x:c r="AA630" s="7" t="n"/>
      <x:c r="AB630" s="7" t="n"/>
    </x:row>
    <x:row r="631" ht="20" customHeight="1">
      <x:c r="A631" s="12" t="inlineStr">
        <x:is>
          <x:t xml:space="preserve">Leander ISD</x:t>
        </x:is>
      </x:c>
      <x:c r="B631" s="12" t="inlineStr">
        <x:is>
          <x:t xml:space="preserve">TX</x:t>
        </x:is>
      </x:c>
      <x:c r="C631" s="12" t="inlineStr">
        <x:is>
          <x:t xml:space="preserve">Master's</x:t>
        </x:is>
      </x:c>
      <x:c r="D631" s="13" t="n">
        <x:v>2</x:v>
      </x:c>
      <x:c r="E631" s="14" t="n">
        <x:v>58870</x:v>
      </x:c>
      <x:c r="F631" s="83" t="inlineStr">
        <x:is>
          <x:t xml:space="preserve">2026-06-10</x:t>
        </x:is>
      </x:c>
      <x:c r="G631" s="7" t="n"/>
      <x:c r="H631" s="7" t="n"/>
      <x:c r="I631" s="7" t="n"/>
      <x:c r="J631" s="7" t="n"/>
      <x:c r="K631" s="7" t="n"/>
      <x:c r="L631" s="7" t="n"/>
      <x:c r="M631" s="7" t="n"/>
      <x:c r="N631" s="7" t="n"/>
      <x:c r="O631" s="7" t="n"/>
      <x:c r="P631" s="7" t="n"/>
      <x:c r="Q631" s="7" t="n"/>
      <x:c r="R631" s="7" t="n"/>
      <x:c r="S631" s="7" t="n"/>
      <x:c r="T631" s="7" t="n"/>
      <x:c r="U631" s="7" t="n"/>
      <x:c r="V631" s="7" t="n"/>
      <x:c r="W631" s="7" t="n"/>
      <x:c r="X631" s="7" t="n"/>
      <x:c r="Y631" s="7" t="n"/>
      <x:c r="Z631" s="7" t="n"/>
      <x:c r="AA631" s="7" t="n"/>
      <x:c r="AB631" s="7" t="n"/>
    </x:row>
    <x:row r="632" ht="20" customHeight="1">
      <x:c r="A632" s="12" t="inlineStr">
        <x:is>
          <x:t xml:space="preserve">Leander ISD</x:t>
        </x:is>
      </x:c>
      <x:c r="B632" s="12" t="inlineStr">
        <x:is>
          <x:t xml:space="preserve">TX</x:t>
        </x:is>
      </x:c>
      <x:c r="C632" s="12" t="inlineStr">
        <x:is>
          <x:t xml:space="preserve">Master's</x:t>
        </x:is>
      </x:c>
      <x:c r="D632" s="13" t="n">
        <x:v>3</x:v>
      </x:c>
      <x:c r="E632" s="14" t="n">
        <x:v>60695</x:v>
      </x:c>
      <x:c r="F632" s="83" t="inlineStr">
        <x:is>
          <x:t xml:space="preserve">2026-06-10</x:t>
        </x:is>
      </x:c>
      <x:c r="G632" s="7" t="n"/>
      <x:c r="H632" s="7" t="n"/>
      <x:c r="I632" s="7" t="n"/>
      <x:c r="J632" s="7" t="n"/>
      <x:c r="K632" s="7" t="n"/>
      <x:c r="L632" s="7" t="n"/>
      <x:c r="M632" s="7" t="n"/>
      <x:c r="N632" s="7" t="n"/>
      <x:c r="O632" s="7" t="n"/>
      <x:c r="P632" s="7" t="n"/>
      <x:c r="Q632" s="7" t="n"/>
      <x:c r="R632" s="7" t="n"/>
      <x:c r="S632" s="7" t="n"/>
      <x:c r="T632" s="7" t="n"/>
      <x:c r="U632" s="7" t="n"/>
      <x:c r="V632" s="7" t="n"/>
      <x:c r="W632" s="7" t="n"/>
      <x:c r="X632" s="7" t="n"/>
      <x:c r="Y632" s="7" t="n"/>
      <x:c r="Z632" s="7" t="n"/>
      <x:c r="AA632" s="7" t="n"/>
      <x:c r="AB632" s="7" t="n"/>
    </x:row>
    <x:row r="633" ht="20" customHeight="1">
      <x:c r="A633" s="12" t="inlineStr">
        <x:is>
          <x:t xml:space="preserve">Leander ISD</x:t>
        </x:is>
      </x:c>
      <x:c r="B633" s="12" t="inlineStr">
        <x:is>
          <x:t xml:space="preserve">TX</x:t>
        </x:is>
      </x:c>
      <x:c r="C633" s="12" t="inlineStr">
        <x:is>
          <x:t xml:space="preserve">Master's</x:t>
        </x:is>
      </x:c>
      <x:c r="D633" s="13" t="n">
        <x:v>4</x:v>
      </x:c>
      <x:c r="E633" s="14" t="n">
        <x:v>61095</x:v>
      </x:c>
      <x:c r="F633" s="83" t="inlineStr">
        <x:is>
          <x:t xml:space="preserve">2026-06-10</x:t>
        </x:is>
      </x:c>
      <x:c r="G633" s="7" t="n"/>
      <x:c r="H633" s="7" t="n"/>
      <x:c r="I633" s="7" t="n"/>
      <x:c r="J633" s="7" t="n"/>
      <x:c r="K633" s="7" t="n"/>
      <x:c r="L633" s="7" t="n"/>
      <x:c r="M633" s="7" t="n"/>
      <x:c r="N633" s="7" t="n"/>
      <x:c r="O633" s="7" t="n"/>
      <x:c r="P633" s="7" t="n"/>
      <x:c r="Q633" s="7" t="n"/>
      <x:c r="R633" s="7" t="n"/>
      <x:c r="S633" s="7" t="n"/>
      <x:c r="T633" s="7" t="n"/>
      <x:c r="U633" s="7" t="n"/>
      <x:c r="V633" s="7" t="n"/>
      <x:c r="W633" s="7" t="n"/>
      <x:c r="X633" s="7" t="n"/>
      <x:c r="Y633" s="7" t="n"/>
      <x:c r="Z633" s="7" t="n"/>
      <x:c r="AA633" s="7" t="n"/>
      <x:c r="AB633" s="7" t="n"/>
    </x:row>
    <x:row r="634" ht="20" customHeight="1">
      <x:c r="A634" s="12" t="inlineStr">
        <x:is>
          <x:t xml:space="preserve">Leander ISD</x:t>
        </x:is>
      </x:c>
      <x:c r="B634" s="12" t="inlineStr">
        <x:is>
          <x:t xml:space="preserve">TX</x:t>
        </x:is>
      </x:c>
      <x:c r="C634" s="12" t="inlineStr">
        <x:is>
          <x:t xml:space="preserve">Master's</x:t>
        </x:is>
      </x:c>
      <x:c r="D634" s="13" t="n">
        <x:v>5</x:v>
      </x:c>
      <x:c r="E634" s="14" t="n">
        <x:v>63683</x:v>
      </x:c>
      <x:c r="F634" s="83" t="inlineStr">
        <x:is>
          <x:t xml:space="preserve">2026-06-10</x:t>
        </x:is>
      </x:c>
      <x:c r="G634" s="7" t="n"/>
      <x:c r="H634" s="7" t="n"/>
      <x:c r="I634" s="7" t="n"/>
      <x:c r="J634" s="7" t="n"/>
      <x:c r="K634" s="7" t="n"/>
      <x:c r="L634" s="7" t="n"/>
      <x:c r="M634" s="7" t="n"/>
      <x:c r="N634" s="7" t="n"/>
      <x:c r="O634" s="7" t="n"/>
      <x:c r="P634" s="7" t="n"/>
      <x:c r="Q634" s="7" t="n"/>
      <x:c r="R634" s="7" t="n"/>
      <x:c r="S634" s="7" t="n"/>
      <x:c r="T634" s="7" t="n"/>
      <x:c r="U634" s="7" t="n"/>
      <x:c r="V634" s="7" t="n"/>
      <x:c r="W634" s="7" t="n"/>
      <x:c r="X634" s="7" t="n"/>
      <x:c r="Y634" s="7" t="n"/>
      <x:c r="Z634" s="7" t="n"/>
      <x:c r="AA634" s="7" t="n"/>
      <x:c r="AB634" s="7" t="n"/>
    </x:row>
    <x:row r="635" ht="20" customHeight="1">
      <x:c r="A635" s="12" t="inlineStr">
        <x:is>
          <x:t xml:space="preserve">Leander ISD</x:t>
        </x:is>
      </x:c>
      <x:c r="B635" s="12" t="inlineStr">
        <x:is>
          <x:t xml:space="preserve">TX</x:t>
        </x:is>
      </x:c>
      <x:c r="C635" s="12" t="inlineStr">
        <x:is>
          <x:t xml:space="preserve">Master's</x:t>
        </x:is>
      </x:c>
      <x:c r="D635" s="13" t="n">
        <x:v>6</x:v>
      </x:c>
      <x:c r="E635" s="14" t="n">
        <x:v>63995</x:v>
      </x:c>
      <x:c r="F635" s="83" t="inlineStr">
        <x:is>
          <x:t xml:space="preserve">2026-06-10</x:t>
        </x:is>
      </x:c>
      <x:c r="G635" s="7" t="n"/>
      <x:c r="H635" s="7" t="n"/>
      <x:c r="I635" s="7" t="n"/>
      <x:c r="J635" s="7" t="n"/>
      <x:c r="K635" s="7" t="n"/>
      <x:c r="L635" s="7" t="n"/>
      <x:c r="M635" s="7" t="n"/>
      <x:c r="N635" s="7" t="n"/>
      <x:c r="O635" s="7" t="n"/>
      <x:c r="P635" s="7" t="n"/>
      <x:c r="Q635" s="7" t="n"/>
      <x:c r="R635" s="7" t="n"/>
      <x:c r="S635" s="7" t="n"/>
      <x:c r="T635" s="7" t="n"/>
      <x:c r="U635" s="7" t="n"/>
      <x:c r="V635" s="7" t="n"/>
      <x:c r="W635" s="7" t="n"/>
      <x:c r="X635" s="7" t="n"/>
      <x:c r="Y635" s="7" t="n"/>
      <x:c r="Z635" s="7" t="n"/>
      <x:c r="AA635" s="7" t="n"/>
      <x:c r="AB635" s="7" t="n"/>
    </x:row>
    <x:row r="636" ht="20" customHeight="1">
      <x:c r="A636" s="12" t="inlineStr">
        <x:is>
          <x:t xml:space="preserve">Leander ISD</x:t>
        </x:is>
      </x:c>
      <x:c r="B636" s="12" t="inlineStr">
        <x:is>
          <x:t xml:space="preserve">TX</x:t>
        </x:is>
      </x:c>
      <x:c r="C636" s="12" t="inlineStr">
        <x:is>
          <x:t xml:space="preserve">Master's</x:t>
        </x:is>
      </x:c>
      <x:c r="D636" s="13" t="n">
        <x:v>7</x:v>
      </x:c>
      <x:c r="E636" s="14" t="n">
        <x:v>64195</x:v>
      </x:c>
      <x:c r="F636" s="83" t="inlineStr">
        <x:is>
          <x:t xml:space="preserve">2026-06-10</x:t>
        </x:is>
      </x:c>
      <x:c r="G636" s="7" t="n"/>
      <x:c r="H636" s="7" t="n"/>
      <x:c r="I636" s="7" t="n"/>
      <x:c r="J636" s="7" t="n"/>
      <x:c r="K636" s="7" t="n"/>
      <x:c r="L636" s="7" t="n"/>
      <x:c r="M636" s="7" t="n"/>
      <x:c r="N636" s="7" t="n"/>
      <x:c r="O636" s="7" t="n"/>
      <x:c r="P636" s="7" t="n"/>
      <x:c r="Q636" s="7" t="n"/>
      <x:c r="R636" s="7" t="n"/>
      <x:c r="S636" s="7" t="n"/>
      <x:c r="T636" s="7" t="n"/>
      <x:c r="U636" s="7" t="n"/>
      <x:c r="V636" s="7" t="n"/>
      <x:c r="W636" s="7" t="n"/>
      <x:c r="X636" s="7" t="n"/>
      <x:c r="Y636" s="7" t="n"/>
      <x:c r="Z636" s="7" t="n"/>
      <x:c r="AA636" s="7" t="n"/>
      <x:c r="AB636" s="7" t="n"/>
    </x:row>
    <x:row r="637" ht="20" customHeight="1">
      <x:c r="A637" s="12" t="inlineStr">
        <x:is>
          <x:t xml:space="preserve">Leander ISD</x:t>
        </x:is>
      </x:c>
      <x:c r="B637" s="12" t="inlineStr">
        <x:is>
          <x:t xml:space="preserve">TX</x:t>
        </x:is>
      </x:c>
      <x:c r="C637" s="12" t="inlineStr">
        <x:is>
          <x:t xml:space="preserve">Master's</x:t>
        </x:is>
      </x:c>
      <x:c r="D637" s="13" t="n">
        <x:v>8</x:v>
      </x:c>
      <x:c r="E637" s="14" t="n">
        <x:v>64395</x:v>
      </x:c>
      <x:c r="F637" s="83" t="inlineStr">
        <x:is>
          <x:t xml:space="preserve">2026-06-10</x:t>
        </x:is>
      </x:c>
      <x:c r="G637" s="7" t="n"/>
      <x:c r="H637" s="7" t="n"/>
      <x:c r="I637" s="7" t="n"/>
      <x:c r="J637" s="7" t="n"/>
      <x:c r="K637" s="7" t="n"/>
      <x:c r="L637" s="7" t="n"/>
      <x:c r="M637" s="7" t="n"/>
      <x:c r="N637" s="7" t="n"/>
      <x:c r="O637" s="7" t="n"/>
      <x:c r="P637" s="7" t="n"/>
      <x:c r="Q637" s="7" t="n"/>
      <x:c r="R637" s="7" t="n"/>
      <x:c r="S637" s="7" t="n"/>
      <x:c r="T637" s="7" t="n"/>
      <x:c r="U637" s="7" t="n"/>
      <x:c r="V637" s="7" t="n"/>
      <x:c r="W637" s="7" t="n"/>
      <x:c r="X637" s="7" t="n"/>
      <x:c r="Y637" s="7" t="n"/>
      <x:c r="Z637" s="7" t="n"/>
      <x:c r="AA637" s="7" t="n"/>
      <x:c r="AB637" s="7" t="n"/>
    </x:row>
    <x:row r="638" ht="20" customHeight="1">
      <x:c r="A638" s="12" t="inlineStr">
        <x:is>
          <x:t xml:space="preserve">Leander ISD</x:t>
        </x:is>
      </x:c>
      <x:c r="B638" s="12" t="inlineStr">
        <x:is>
          <x:t xml:space="preserve">TX</x:t>
        </x:is>
      </x:c>
      <x:c r="C638" s="12" t="inlineStr">
        <x:is>
          <x:t xml:space="preserve">Master's</x:t>
        </x:is>
      </x:c>
      <x:c r="D638" s="13" t="n">
        <x:v>9</x:v>
      </x:c>
      <x:c r="E638" s="14" t="n">
        <x:v>64821</x:v>
      </x:c>
      <x:c r="F638" s="83" t="inlineStr">
        <x:is>
          <x:t xml:space="preserve">2026-06-10</x:t>
        </x:is>
      </x:c>
      <x:c r="G638" s="7" t="n"/>
      <x:c r="H638" s="7" t="n"/>
      <x:c r="I638" s="7" t="n"/>
      <x:c r="J638" s="7" t="n"/>
      <x:c r="K638" s="7" t="n"/>
      <x:c r="L638" s="7" t="n"/>
      <x:c r="M638" s="7" t="n"/>
      <x:c r="N638" s="7" t="n"/>
      <x:c r="O638" s="7" t="n"/>
      <x:c r="P638" s="7" t="n"/>
      <x:c r="Q638" s="7" t="n"/>
      <x:c r="R638" s="7" t="n"/>
      <x:c r="S638" s="7" t="n"/>
      <x:c r="T638" s="7" t="n"/>
      <x:c r="U638" s="7" t="n"/>
      <x:c r="V638" s="7" t="n"/>
      <x:c r="W638" s="7" t="n"/>
      <x:c r="X638" s="7" t="n"/>
      <x:c r="Y638" s="7" t="n"/>
      <x:c r="Z638" s="7" t="n"/>
      <x:c r="AA638" s="7" t="n"/>
      <x:c r="AB638" s="7" t="n"/>
    </x:row>
    <x:row r="639" ht="20" customHeight="1">
      <x:c r="A639" s="12" t="inlineStr">
        <x:is>
          <x:t xml:space="preserve">Leander ISD</x:t>
        </x:is>
      </x:c>
      <x:c r="B639" s="12" t="inlineStr">
        <x:is>
          <x:t xml:space="preserve">TX</x:t>
        </x:is>
      </x:c>
      <x:c r="C639" s="12" t="inlineStr">
        <x:is>
          <x:t xml:space="preserve">Master's</x:t>
        </x:is>
      </x:c>
      <x:c r="D639" s="13" t="n">
        <x:v>10</x:v>
      </x:c>
      <x:c r="E639" s="14" t="n">
        <x:v>65271</x:v>
      </x:c>
      <x:c r="F639" s="83" t="inlineStr">
        <x:is>
          <x:t xml:space="preserve">2026-06-10</x:t>
        </x:is>
      </x:c>
      <x:c r="G639" s="7" t="n"/>
      <x:c r="H639" s="7" t="n"/>
      <x:c r="I639" s="7" t="n"/>
      <x:c r="J639" s="7" t="n"/>
      <x:c r="K639" s="7" t="n"/>
      <x:c r="L639" s="7" t="n"/>
      <x:c r="M639" s="7" t="n"/>
      <x:c r="N639" s="7" t="n"/>
      <x:c r="O639" s="7" t="n"/>
      <x:c r="P639" s="7" t="n"/>
      <x:c r="Q639" s="7" t="n"/>
      <x:c r="R639" s="7" t="n"/>
      <x:c r="S639" s="7" t="n"/>
      <x:c r="T639" s="7" t="n"/>
      <x:c r="U639" s="7" t="n"/>
      <x:c r="V639" s="7" t="n"/>
      <x:c r="W639" s="7" t="n"/>
      <x:c r="X639" s="7" t="n"/>
      <x:c r="Y639" s="7" t="n"/>
      <x:c r="Z639" s="7" t="n"/>
      <x:c r="AA639" s="7" t="n"/>
      <x:c r="AB639" s="7" t="n"/>
    </x:row>
    <x:row r="640" ht="20" customHeight="1">
      <x:c r="A640" s="12" t="inlineStr">
        <x:is>
          <x:t xml:space="preserve">Los Angeles Unified</x:t>
        </x:is>
      </x:c>
      <x:c r="B640" s="12" t="inlineStr">
        <x:is>
          <x:t xml:space="preserve">CA</x:t>
        </x:is>
      </x:c>
      <x:c r="C640" s="12" t="inlineStr">
        <x:is>
          <x:t xml:space="preserve">Bachelor's</x:t>
        </x:is>
      </x:c>
      <x:c r="D640" s="13" t="n">
        <x:v>0</x:v>
      </x:c>
      <x:c r="E640" s="14" t="n">
        <x:v>68966</x:v>
      </x:c>
      <x:c r="F640" s="83" t="inlineStr">
        <x:is>
          <x:t xml:space="preserve">2026-06-10</x:t>
        </x:is>
      </x:c>
      <x:c r="G640" s="7" t="n"/>
      <x:c r="H640" s="7" t="n"/>
      <x:c r="I640" s="7" t="n"/>
      <x:c r="J640" s="7" t="n"/>
      <x:c r="K640" s="7" t="n"/>
      <x:c r="L640" s="7" t="n"/>
      <x:c r="M640" s="7" t="n"/>
      <x:c r="N640" s="7" t="n"/>
      <x:c r="O640" s="7" t="n"/>
      <x:c r="P640" s="7" t="n"/>
      <x:c r="Q640" s="7" t="n"/>
      <x:c r="R640" s="7" t="n"/>
      <x:c r="S640" s="7" t="n"/>
      <x:c r="T640" s="7" t="n"/>
      <x:c r="U640" s="7" t="n"/>
      <x:c r="V640" s="7" t="n"/>
      <x:c r="W640" s="7" t="n"/>
      <x:c r="X640" s="7" t="n"/>
      <x:c r="Y640" s="7" t="n"/>
      <x:c r="Z640" s="7" t="n"/>
      <x:c r="AA640" s="7" t="n"/>
      <x:c r="AB640" s="7" t="n"/>
    </x:row>
    <x:row r="641" ht="20" customHeight="1">
      <x:c r="A641" s="12" t="inlineStr">
        <x:is>
          <x:t xml:space="preserve">Los Angeles Unified</x:t>
        </x:is>
      </x:c>
      <x:c r="B641" s="12" t="inlineStr">
        <x:is>
          <x:t xml:space="preserve">CA</x:t>
        </x:is>
      </x:c>
      <x:c r="C641" s="12" t="inlineStr">
        <x:is>
          <x:t xml:space="preserve">Bachelor's</x:t>
        </x:is>
      </x:c>
      <x:c r="D641" s="13" t="n">
        <x:v>1</x:v>
      </x:c>
      <x:c r="E641" s="14" t="n">
        <x:v>69048</x:v>
      </x:c>
      <x:c r="F641" s="83" t="inlineStr">
        <x:is>
          <x:t xml:space="preserve">2026-06-10</x:t>
        </x:is>
      </x:c>
      <x:c r="G641" s="7" t="n"/>
      <x:c r="H641" s="7" t="n"/>
      <x:c r="I641" s="7" t="n"/>
      <x:c r="J641" s="7" t="n"/>
      <x:c r="K641" s="7" t="n"/>
      <x:c r="L641" s="7" t="n"/>
      <x:c r="M641" s="7" t="n"/>
      <x:c r="N641" s="7" t="n"/>
      <x:c r="O641" s="7" t="n"/>
      <x:c r="P641" s="7" t="n"/>
      <x:c r="Q641" s="7" t="n"/>
      <x:c r="R641" s="7" t="n"/>
      <x:c r="S641" s="7" t="n"/>
      <x:c r="T641" s="7" t="n"/>
      <x:c r="U641" s="7" t="n"/>
      <x:c r="V641" s="7" t="n"/>
      <x:c r="W641" s="7" t="n"/>
      <x:c r="X641" s="7" t="n"/>
      <x:c r="Y641" s="7" t="n"/>
      <x:c r="Z641" s="7" t="n"/>
      <x:c r="AA641" s="7" t="n"/>
      <x:c r="AB641" s="7" t="n"/>
    </x:row>
    <x:row r="642" ht="20" customHeight="1">
      <x:c r="A642" s="12" t="inlineStr">
        <x:is>
          <x:t xml:space="preserve">Los Angeles Unified</x:t>
        </x:is>
      </x:c>
      <x:c r="B642" s="12" t="inlineStr">
        <x:is>
          <x:t xml:space="preserve">CA</x:t>
        </x:is>
      </x:c>
      <x:c r="C642" s="12" t="inlineStr">
        <x:is>
          <x:t xml:space="preserve">Bachelor's</x:t>
        </x:is>
      </x:c>
      <x:c r="D642" s="13" t="n">
        <x:v>2</x:v>
      </x:c>
      <x:c r="E642" s="14" t="n">
        <x:v>69782</x:v>
      </x:c>
      <x:c r="F642" s="83" t="inlineStr">
        <x:is>
          <x:t xml:space="preserve">2026-06-10</x:t>
        </x:is>
      </x:c>
      <x:c r="G642" s="7" t="n"/>
      <x:c r="H642" s="7" t="n"/>
      <x:c r="I642" s="7" t="n"/>
      <x:c r="J642" s="7" t="n"/>
      <x:c r="K642" s="7" t="n"/>
      <x:c r="L642" s="7" t="n"/>
      <x:c r="M642" s="7" t="n"/>
      <x:c r="N642" s="7" t="n"/>
      <x:c r="O642" s="7" t="n"/>
      <x:c r="P642" s="7" t="n"/>
      <x:c r="Q642" s="7" t="n"/>
      <x:c r="R642" s="7" t="n"/>
      <x:c r="S642" s="7" t="n"/>
      <x:c r="T642" s="7" t="n"/>
      <x:c r="U642" s="7" t="n"/>
      <x:c r="V642" s="7" t="n"/>
      <x:c r="W642" s="7" t="n"/>
      <x:c r="X642" s="7" t="n"/>
      <x:c r="Y642" s="7" t="n"/>
      <x:c r="Z642" s="7" t="n"/>
      <x:c r="AA642" s="7" t="n"/>
      <x:c r="AB642" s="7" t="n"/>
    </x:row>
    <x:row r="643" ht="20" customHeight="1">
      <x:c r="A643" s="12" t="inlineStr">
        <x:is>
          <x:t xml:space="preserve">Los Angeles Unified</x:t>
        </x:is>
      </x:c>
      <x:c r="B643" s="12" t="inlineStr">
        <x:is>
          <x:t xml:space="preserve">CA</x:t>
        </x:is>
      </x:c>
      <x:c r="C643" s="12" t="inlineStr">
        <x:is>
          <x:t xml:space="preserve">Bachelor's</x:t>
        </x:is>
      </x:c>
      <x:c r="D643" s="13" t="n">
        <x:v>3</x:v>
      </x:c>
      <x:c r="E643" s="14" t="n">
        <x:v>70519</x:v>
      </x:c>
      <x:c r="F643" s="83" t="inlineStr">
        <x:is>
          <x:t xml:space="preserve">2026-06-10</x:t>
        </x:is>
      </x:c>
      <x:c r="G643" s="7" t="n"/>
      <x:c r="H643" s="7" t="n"/>
      <x:c r="I643" s="7" t="n"/>
      <x:c r="J643" s="7" t="n"/>
      <x:c r="K643" s="7" t="n"/>
      <x:c r="L643" s="7" t="n"/>
      <x:c r="M643" s="7" t="n"/>
      <x:c r="N643" s="7" t="n"/>
      <x:c r="O643" s="7" t="n"/>
      <x:c r="P643" s="7" t="n"/>
      <x:c r="Q643" s="7" t="n"/>
      <x:c r="R643" s="7" t="n"/>
      <x:c r="S643" s="7" t="n"/>
      <x:c r="T643" s="7" t="n"/>
      <x:c r="U643" s="7" t="n"/>
      <x:c r="V643" s="7" t="n"/>
      <x:c r="W643" s="7" t="n"/>
      <x:c r="X643" s="7" t="n"/>
      <x:c r="Y643" s="7" t="n"/>
      <x:c r="Z643" s="7" t="n"/>
      <x:c r="AA643" s="7" t="n"/>
      <x:c r="AB643" s="7" t="n"/>
    </x:row>
    <x:row r="644" ht="20" customHeight="1">
      <x:c r="A644" s="12" t="inlineStr">
        <x:is>
          <x:t xml:space="preserve">Los Angeles Unified</x:t>
        </x:is>
      </x:c>
      <x:c r="B644" s="12" t="inlineStr">
        <x:is>
          <x:t xml:space="preserve">CA</x:t>
        </x:is>
      </x:c>
      <x:c r="C644" s="12" t="inlineStr">
        <x:is>
          <x:t xml:space="preserve">Bachelor's</x:t>
        </x:is>
      </x:c>
      <x:c r="D644" s="13" t="n">
        <x:v>4</x:v>
      </x:c>
      <x:c r="E644" s="14" t="n">
        <x:v>70600</x:v>
      </x:c>
      <x:c r="F644" s="83" t="inlineStr">
        <x:is>
          <x:t xml:space="preserve">2026-06-10</x:t>
        </x:is>
      </x:c>
      <x:c r="G644" s="7" t="n"/>
      <x:c r="H644" s="7" t="n"/>
      <x:c r="I644" s="7" t="n"/>
      <x:c r="J644" s="7" t="n"/>
      <x:c r="K644" s="7" t="n"/>
      <x:c r="L644" s="7" t="n"/>
      <x:c r="M644" s="7" t="n"/>
      <x:c r="N644" s="7" t="n"/>
      <x:c r="O644" s="7" t="n"/>
      <x:c r="P644" s="7" t="n"/>
      <x:c r="Q644" s="7" t="n"/>
      <x:c r="R644" s="7" t="n"/>
      <x:c r="S644" s="7" t="n"/>
      <x:c r="T644" s="7" t="n"/>
      <x:c r="U644" s="7" t="n"/>
      <x:c r="V644" s="7" t="n"/>
      <x:c r="W644" s="7" t="n"/>
      <x:c r="X644" s="7" t="n"/>
      <x:c r="Y644" s="7" t="n"/>
      <x:c r="Z644" s="7" t="n"/>
      <x:c r="AA644" s="7" t="n"/>
      <x:c r="AB644" s="7" t="n"/>
    </x:row>
    <x:row r="645" ht="20" customHeight="1">
      <x:c r="A645" s="12" t="inlineStr">
        <x:is>
          <x:t xml:space="preserve">Los Angeles Unified</x:t>
        </x:is>
      </x:c>
      <x:c r="B645" s="12" t="inlineStr">
        <x:is>
          <x:t xml:space="preserve">CA</x:t>
        </x:is>
      </x:c>
      <x:c r="C645" s="12" t="inlineStr">
        <x:is>
          <x:t xml:space="preserve">Bachelor's</x:t>
        </x:is>
      </x:c>
      <x:c r="D645" s="13" t="n">
        <x:v>5</x:v>
      </x:c>
      <x:c r="E645" s="14" t="n">
        <x:v>70715</x:v>
      </x:c>
      <x:c r="F645" s="83" t="inlineStr">
        <x:is>
          <x:t xml:space="preserve">2026-06-10</x:t>
        </x:is>
      </x:c>
      <x:c r="G645" s="7" t="n"/>
      <x:c r="H645" s="7" t="n"/>
      <x:c r="I645" s="7" t="n"/>
      <x:c r="J645" s="7" t="n"/>
      <x:c r="K645" s="7" t="n"/>
      <x:c r="L645" s="7" t="n"/>
      <x:c r="M645" s="7" t="n"/>
      <x:c r="N645" s="7" t="n"/>
      <x:c r="O645" s="7" t="n"/>
      <x:c r="P645" s="7" t="n"/>
      <x:c r="Q645" s="7" t="n"/>
      <x:c r="R645" s="7" t="n"/>
      <x:c r="S645" s="7" t="n"/>
      <x:c r="T645" s="7" t="n"/>
      <x:c r="U645" s="7" t="n"/>
      <x:c r="V645" s="7" t="n"/>
      <x:c r="W645" s="7" t="n"/>
      <x:c r="X645" s="7" t="n"/>
      <x:c r="Y645" s="7" t="n"/>
      <x:c r="Z645" s="7" t="n"/>
      <x:c r="AA645" s="7" t="n"/>
      <x:c r="AB645" s="7" t="n"/>
    </x:row>
    <x:row r="646" ht="20" customHeight="1">
      <x:c r="A646" s="12" t="inlineStr">
        <x:is>
          <x:t xml:space="preserve">Los Angeles Unified</x:t>
        </x:is>
      </x:c>
      <x:c r="B646" s="12" t="inlineStr">
        <x:is>
          <x:t xml:space="preserve">CA</x:t>
        </x:is>
      </x:c>
      <x:c r="C646" s="12" t="inlineStr">
        <x:is>
          <x:t xml:space="preserve">Bachelor's</x:t>
        </x:is>
      </x:c>
      <x:c r="D646" s="13" t="n">
        <x:v>6</x:v>
      </x:c>
      <x:c r="E646" s="14" t="n">
        <x:v>72738</x:v>
      </x:c>
      <x:c r="F646" s="83" t="inlineStr">
        <x:is>
          <x:t xml:space="preserve">2026-06-10</x:t>
        </x:is>
      </x:c>
      <x:c r="G646" s="7" t="n"/>
      <x:c r="H646" s="7" t="n"/>
      <x:c r="I646" s="7" t="n"/>
      <x:c r="J646" s="7" t="n"/>
      <x:c r="K646" s="7" t="n"/>
      <x:c r="L646" s="7" t="n"/>
      <x:c r="M646" s="7" t="n"/>
      <x:c r="N646" s="7" t="n"/>
      <x:c r="O646" s="7" t="n"/>
      <x:c r="P646" s="7" t="n"/>
      <x:c r="Q646" s="7" t="n"/>
      <x:c r="R646" s="7" t="n"/>
      <x:c r="S646" s="7" t="n"/>
      <x:c r="T646" s="7" t="n"/>
      <x:c r="U646" s="7" t="n"/>
      <x:c r="V646" s="7" t="n"/>
      <x:c r="W646" s="7" t="n"/>
      <x:c r="X646" s="7" t="n"/>
      <x:c r="Y646" s="7" t="n"/>
      <x:c r="Z646" s="7" t="n"/>
      <x:c r="AA646" s="7" t="n"/>
      <x:c r="AB646" s="7" t="n"/>
    </x:row>
    <x:row r="647" ht="20" customHeight="1">
      <x:c r="A647" s="12" t="inlineStr">
        <x:is>
          <x:t xml:space="preserve">Los Angeles Unified</x:t>
        </x:is>
      </x:c>
      <x:c r="B647" s="12" t="inlineStr">
        <x:is>
          <x:t xml:space="preserve">CA</x:t>
        </x:is>
      </x:c>
      <x:c r="C647" s="12" t="inlineStr">
        <x:is>
          <x:t xml:space="preserve">Bachelor's</x:t>
        </x:is>
      </x:c>
      <x:c r="D647" s="13" t="n">
        <x:v>7</x:v>
      </x:c>
      <x:c r="E647" s="14" t="n">
        <x:v>74440</x:v>
      </x:c>
      <x:c r="F647" s="83" t="inlineStr">
        <x:is>
          <x:t xml:space="preserve">2026-06-10</x:t>
        </x:is>
      </x:c>
      <x:c r="G647" s="7" t="n"/>
      <x:c r="H647" s="7" t="n"/>
      <x:c r="I647" s="7" t="n"/>
      <x:c r="J647" s="7" t="n"/>
      <x:c r="K647" s="7" t="n"/>
      <x:c r="L647" s="7" t="n"/>
      <x:c r="M647" s="7" t="n"/>
      <x:c r="N647" s="7" t="n"/>
      <x:c r="O647" s="7" t="n"/>
      <x:c r="P647" s="7" t="n"/>
      <x:c r="Q647" s="7" t="n"/>
      <x:c r="R647" s="7" t="n"/>
      <x:c r="S647" s="7" t="n"/>
      <x:c r="T647" s="7" t="n"/>
      <x:c r="U647" s="7" t="n"/>
      <x:c r="V647" s="7" t="n"/>
      <x:c r="W647" s="7" t="n"/>
      <x:c r="X647" s="7" t="n"/>
      <x:c r="Y647" s="7" t="n"/>
      <x:c r="Z647" s="7" t="n"/>
      <x:c r="AA647" s="7" t="n"/>
      <x:c r="AB647" s="7" t="n"/>
    </x:row>
    <x:row r="648" ht="20" customHeight="1">
      <x:c r="A648" s="12" t="inlineStr">
        <x:is>
          <x:t xml:space="preserve">Los Angeles Unified</x:t>
        </x:is>
      </x:c>
      <x:c r="B648" s="12" t="inlineStr">
        <x:is>
          <x:t xml:space="preserve">CA</x:t>
        </x:is>
      </x:c>
      <x:c r="C648" s="12" t="inlineStr">
        <x:is>
          <x:t xml:space="preserve">Bachelor's</x:t>
        </x:is>
      </x:c>
      <x:c r="D648" s="13" t="n">
        <x:v>8</x:v>
      </x:c>
      <x:c r="E648" s="14" t="n">
        <x:v>77004</x:v>
      </x:c>
      <x:c r="F648" s="83" t="inlineStr">
        <x:is>
          <x:t xml:space="preserve">2026-06-10</x:t>
        </x:is>
      </x:c>
      <x:c r="G648" s="7" t="n"/>
      <x:c r="H648" s="7" t="n"/>
      <x:c r="I648" s="7" t="n"/>
      <x:c r="J648" s="7" t="n"/>
      <x:c r="K648" s="7" t="n"/>
      <x:c r="L648" s="7" t="n"/>
      <x:c r="M648" s="7" t="n"/>
      <x:c r="N648" s="7" t="n"/>
      <x:c r="O648" s="7" t="n"/>
      <x:c r="P648" s="7" t="n"/>
      <x:c r="Q648" s="7" t="n"/>
      <x:c r="R648" s="7" t="n"/>
      <x:c r="S648" s="7" t="n"/>
      <x:c r="T648" s="7" t="n"/>
      <x:c r="U648" s="7" t="n"/>
      <x:c r="V648" s="7" t="n"/>
      <x:c r="W648" s="7" t="n"/>
      <x:c r="X648" s="7" t="n"/>
      <x:c r="Y648" s="7" t="n"/>
      <x:c r="Z648" s="7" t="n"/>
      <x:c r="AA648" s="7" t="n"/>
      <x:c r="AB648" s="7" t="n"/>
    </x:row>
    <x:row r="649" ht="20" customHeight="1">
      <x:c r="A649" s="12" t="inlineStr">
        <x:is>
          <x:t xml:space="preserve">Los Angeles Unified</x:t>
        </x:is>
      </x:c>
      <x:c r="B649" s="12" t="inlineStr">
        <x:is>
          <x:t xml:space="preserve">CA</x:t>
        </x:is>
      </x:c>
      <x:c r="C649" s="12" t="inlineStr">
        <x:is>
          <x:t xml:space="preserve">Bachelor's</x:t>
        </x:is>
      </x:c>
      <x:c r="D649" s="13" t="n">
        <x:v>9</x:v>
      </x:c>
      <x:c r="E649" s="14" t="n">
        <x:v>79193</x:v>
      </x:c>
      <x:c r="F649" s="83" t="inlineStr">
        <x:is>
          <x:t xml:space="preserve">2026-06-10</x:t>
        </x:is>
      </x:c>
      <x:c r="G649" s="7" t="n"/>
      <x:c r="H649" s="7" t="n"/>
      <x:c r="I649" s="7" t="n"/>
      <x:c r="J649" s="7" t="n"/>
      <x:c r="K649" s="7" t="n"/>
      <x:c r="L649" s="7" t="n"/>
      <x:c r="M649" s="7" t="n"/>
      <x:c r="N649" s="7" t="n"/>
      <x:c r="O649" s="7" t="n"/>
      <x:c r="P649" s="7" t="n"/>
      <x:c r="Q649" s="7" t="n"/>
      <x:c r="R649" s="7" t="n"/>
      <x:c r="S649" s="7" t="n"/>
      <x:c r="T649" s="7" t="n"/>
      <x:c r="U649" s="7" t="n"/>
      <x:c r="V649" s="7" t="n"/>
      <x:c r="W649" s="7" t="n"/>
      <x:c r="X649" s="7" t="n"/>
      <x:c r="Y649" s="7" t="n"/>
      <x:c r="Z649" s="7" t="n"/>
      <x:c r="AA649" s="7" t="n"/>
      <x:c r="AB649" s="7" t="n"/>
    </x:row>
    <x:row r="650" ht="20" customHeight="1">
      <x:c r="A650" s="12" t="inlineStr">
        <x:is>
          <x:t xml:space="preserve">Los Angeles Unified</x:t>
        </x:is>
      </x:c>
      <x:c r="B650" s="12" t="inlineStr">
        <x:is>
          <x:t xml:space="preserve">CA</x:t>
        </x:is>
      </x:c>
      <x:c r="C650" s="12" t="inlineStr">
        <x:is>
          <x:t xml:space="preserve">Bachelor's</x:t>
        </x:is>
      </x:c>
      <x:c r="D650" s="13" t="n">
        <x:v>10</x:v>
      </x:c>
      <x:c r="E650" s="14" t="n">
        <x:v>79193</x:v>
      </x:c>
      <x:c r="F650" s="83" t="inlineStr">
        <x:is>
          <x:t xml:space="preserve">2026-06-10</x:t>
        </x:is>
      </x:c>
      <x:c r="G650" s="7" t="n"/>
      <x:c r="H650" s="7" t="n"/>
      <x:c r="I650" s="7" t="n"/>
      <x:c r="J650" s="7" t="n"/>
      <x:c r="K650" s="7" t="n"/>
      <x:c r="L650" s="7" t="n"/>
      <x:c r="M650" s="7" t="n"/>
      <x:c r="N650" s="7" t="n"/>
      <x:c r="O650" s="7" t="n"/>
      <x:c r="P650" s="7" t="n"/>
      <x:c r="Q650" s="7" t="n"/>
      <x:c r="R650" s="7" t="n"/>
      <x:c r="S650" s="7" t="n"/>
      <x:c r="T650" s="7" t="n"/>
      <x:c r="U650" s="7" t="n"/>
      <x:c r="V650" s="7" t="n"/>
      <x:c r="W650" s="7" t="n"/>
      <x:c r="X650" s="7" t="n"/>
      <x:c r="Y650" s="7" t="n"/>
      <x:c r="Z650" s="7" t="n"/>
      <x:c r="AA650" s="7" t="n"/>
      <x:c r="AB650" s="7" t="n"/>
    </x:row>
    <x:row r="651" ht="20" customHeight="1">
      <x:c r="A651" s="12" t="inlineStr">
        <x:is>
          <x:t xml:space="preserve">Los Angeles Unified</x:t>
        </x:is>
      </x:c>
      <x:c r="B651" s="12" t="inlineStr">
        <x:is>
          <x:t xml:space="preserve">CA</x:t>
        </x:is>
      </x:c>
      <x:c r="C651" s="12" t="inlineStr">
        <x:is>
          <x:t xml:space="preserve">Master's</x:t>
        </x:is>
      </x:c>
      <x:c r="D651" s="13" t="n">
        <x:v>0</x:v>
      </x:c>
      <x:c r="E651" s="14" t="n">
        <x:v>69550</x:v>
      </x:c>
      <x:c r="F651" s="83" t="inlineStr">
        <x:is>
          <x:t xml:space="preserve">2026-06-10</x:t>
        </x:is>
      </x:c>
      <x:c r="G651" s="7" t="n"/>
      <x:c r="H651" s="7" t="n"/>
      <x:c r="I651" s="7" t="n"/>
      <x:c r="J651" s="7" t="n"/>
      <x:c r="K651" s="7" t="n"/>
      <x:c r="L651" s="7" t="n"/>
      <x:c r="M651" s="7" t="n"/>
      <x:c r="N651" s="7" t="n"/>
      <x:c r="O651" s="7" t="n"/>
      <x:c r="P651" s="7" t="n"/>
      <x:c r="Q651" s="7" t="n"/>
      <x:c r="R651" s="7" t="n"/>
      <x:c r="S651" s="7" t="n"/>
      <x:c r="T651" s="7" t="n"/>
      <x:c r="U651" s="7" t="n"/>
      <x:c r="V651" s="7" t="n"/>
      <x:c r="W651" s="7" t="n"/>
      <x:c r="X651" s="7" t="n"/>
      <x:c r="Y651" s="7" t="n"/>
      <x:c r="Z651" s="7" t="n"/>
      <x:c r="AA651" s="7" t="n"/>
      <x:c r="AB651" s="7" t="n"/>
    </x:row>
    <x:row r="652" ht="20" customHeight="1">
      <x:c r="A652" s="12" t="inlineStr">
        <x:is>
          <x:t xml:space="preserve">Los Angeles Unified</x:t>
        </x:is>
      </x:c>
      <x:c r="B652" s="12" t="inlineStr">
        <x:is>
          <x:t xml:space="preserve">CA</x:t>
        </x:is>
      </x:c>
      <x:c r="C652" s="12" t="inlineStr">
        <x:is>
          <x:t xml:space="preserve">Master's</x:t>
        </x:is>
      </x:c>
      <x:c r="D652" s="13" t="n">
        <x:v>1</x:v>
      </x:c>
      <x:c r="E652" s="14" t="n">
        <x:v>69632</x:v>
      </x:c>
      <x:c r="F652" s="83" t="inlineStr">
        <x:is>
          <x:t xml:space="preserve">2026-06-10</x:t>
        </x:is>
      </x:c>
      <x:c r="G652" s="7" t="n"/>
      <x:c r="H652" s="7" t="n"/>
      <x:c r="I652" s="7" t="n"/>
      <x:c r="J652" s="7" t="n"/>
      <x:c r="K652" s="7" t="n"/>
      <x:c r="L652" s="7" t="n"/>
      <x:c r="M652" s="7" t="n"/>
      <x:c r="N652" s="7" t="n"/>
      <x:c r="O652" s="7" t="n"/>
      <x:c r="P652" s="7" t="n"/>
      <x:c r="Q652" s="7" t="n"/>
      <x:c r="R652" s="7" t="n"/>
      <x:c r="S652" s="7" t="n"/>
      <x:c r="T652" s="7" t="n"/>
      <x:c r="U652" s="7" t="n"/>
      <x:c r="V652" s="7" t="n"/>
      <x:c r="W652" s="7" t="n"/>
      <x:c r="X652" s="7" t="n"/>
      <x:c r="Y652" s="7" t="n"/>
      <x:c r="Z652" s="7" t="n"/>
      <x:c r="AA652" s="7" t="n"/>
      <x:c r="AB652" s="7" t="n"/>
    </x:row>
    <x:row r="653" ht="20" customHeight="1">
      <x:c r="A653" s="12" t="inlineStr">
        <x:is>
          <x:t xml:space="preserve">Los Angeles Unified</x:t>
        </x:is>
      </x:c>
      <x:c r="B653" s="12" t="inlineStr">
        <x:is>
          <x:t xml:space="preserve">CA</x:t>
        </x:is>
      </x:c>
      <x:c r="C653" s="12" t="inlineStr">
        <x:is>
          <x:t xml:space="preserve">Master's</x:t>
        </x:is>
      </x:c>
      <x:c r="D653" s="13" t="n">
        <x:v>2</x:v>
      </x:c>
      <x:c r="E653" s="14" t="n">
        <x:v>70366</x:v>
      </x:c>
      <x:c r="F653" s="83" t="inlineStr">
        <x:is>
          <x:t xml:space="preserve">2026-06-10</x:t>
        </x:is>
      </x:c>
      <x:c r="G653" s="7" t="n"/>
      <x:c r="H653" s="7" t="n"/>
      <x:c r="I653" s="7" t="n"/>
      <x:c r="J653" s="7" t="n"/>
      <x:c r="K653" s="7" t="n"/>
      <x:c r="L653" s="7" t="n"/>
      <x:c r="M653" s="7" t="n"/>
      <x:c r="N653" s="7" t="n"/>
      <x:c r="O653" s="7" t="n"/>
      <x:c r="P653" s="7" t="n"/>
      <x:c r="Q653" s="7" t="n"/>
      <x:c r="R653" s="7" t="n"/>
      <x:c r="S653" s="7" t="n"/>
      <x:c r="T653" s="7" t="n"/>
      <x:c r="U653" s="7" t="n"/>
      <x:c r="V653" s="7" t="n"/>
      <x:c r="W653" s="7" t="n"/>
      <x:c r="X653" s="7" t="n"/>
      <x:c r="Y653" s="7" t="n"/>
      <x:c r="Z653" s="7" t="n"/>
      <x:c r="AA653" s="7" t="n"/>
      <x:c r="AB653" s="7" t="n"/>
    </x:row>
    <x:row r="654" ht="20" customHeight="1">
      <x:c r="A654" s="12" t="inlineStr">
        <x:is>
          <x:t xml:space="preserve">Los Angeles Unified</x:t>
        </x:is>
      </x:c>
      <x:c r="B654" s="12" t="inlineStr">
        <x:is>
          <x:t xml:space="preserve">CA</x:t>
        </x:is>
      </x:c>
      <x:c r="C654" s="12" t="inlineStr">
        <x:is>
          <x:t xml:space="preserve">Master's</x:t>
        </x:is>
      </x:c>
      <x:c r="D654" s="13" t="n">
        <x:v>3</x:v>
      </x:c>
      <x:c r="E654" s="14" t="n">
        <x:v>71103</x:v>
      </x:c>
      <x:c r="F654" s="83" t="inlineStr">
        <x:is>
          <x:t xml:space="preserve">2026-06-10</x:t>
        </x:is>
      </x:c>
      <x:c r="G654" s="7" t="n"/>
      <x:c r="H654" s="7" t="n"/>
      <x:c r="I654" s="7" t="n"/>
      <x:c r="J654" s="7" t="n"/>
      <x:c r="K654" s="7" t="n"/>
      <x:c r="L654" s="7" t="n"/>
      <x:c r="M654" s="7" t="n"/>
      <x:c r="N654" s="7" t="n"/>
      <x:c r="O654" s="7" t="n"/>
      <x:c r="P654" s="7" t="n"/>
      <x:c r="Q654" s="7" t="n"/>
      <x:c r="R654" s="7" t="n"/>
      <x:c r="S654" s="7" t="n"/>
      <x:c r="T654" s="7" t="n"/>
      <x:c r="U654" s="7" t="n"/>
      <x:c r="V654" s="7" t="n"/>
      <x:c r="W654" s="7" t="n"/>
      <x:c r="X654" s="7" t="n"/>
      <x:c r="Y654" s="7" t="n"/>
      <x:c r="Z654" s="7" t="n"/>
      <x:c r="AA654" s="7" t="n"/>
      <x:c r="AB654" s="7" t="n"/>
    </x:row>
    <x:row r="655" ht="20" customHeight="1">
      <x:c r="A655" s="12" t="inlineStr">
        <x:is>
          <x:t xml:space="preserve">Los Angeles Unified</x:t>
        </x:is>
      </x:c>
      <x:c r="B655" s="12" t="inlineStr">
        <x:is>
          <x:t xml:space="preserve">CA</x:t>
        </x:is>
      </x:c>
      <x:c r="C655" s="12" t="inlineStr">
        <x:is>
          <x:t xml:space="preserve">Master's</x:t>
        </x:is>
      </x:c>
      <x:c r="D655" s="13" t="n">
        <x:v>4</x:v>
      </x:c>
      <x:c r="E655" s="14" t="n">
        <x:v>71184</x:v>
      </x:c>
      <x:c r="F655" s="83" t="inlineStr">
        <x:is>
          <x:t xml:space="preserve">2026-06-10</x:t>
        </x:is>
      </x:c>
      <x:c r="G655" s="7" t="n"/>
      <x:c r="H655" s="7" t="n"/>
      <x:c r="I655" s="7" t="n"/>
      <x:c r="J655" s="7" t="n"/>
      <x:c r="K655" s="7" t="n"/>
      <x:c r="L655" s="7" t="n"/>
      <x:c r="M655" s="7" t="n"/>
      <x:c r="N655" s="7" t="n"/>
      <x:c r="O655" s="7" t="n"/>
      <x:c r="P655" s="7" t="n"/>
      <x:c r="Q655" s="7" t="n"/>
      <x:c r="R655" s="7" t="n"/>
      <x:c r="S655" s="7" t="n"/>
      <x:c r="T655" s="7" t="n"/>
      <x:c r="U655" s="7" t="n"/>
      <x:c r="V655" s="7" t="n"/>
      <x:c r="W655" s="7" t="n"/>
      <x:c r="X655" s="7" t="n"/>
      <x:c r="Y655" s="7" t="n"/>
      <x:c r="Z655" s="7" t="n"/>
      <x:c r="AA655" s="7" t="n"/>
      <x:c r="AB655" s="7" t="n"/>
    </x:row>
    <x:row r="656" ht="20" customHeight="1">
      <x:c r="A656" s="12" t="inlineStr">
        <x:is>
          <x:t xml:space="preserve">Los Angeles Unified</x:t>
        </x:is>
      </x:c>
      <x:c r="B656" s="12" t="inlineStr">
        <x:is>
          <x:t xml:space="preserve">CA</x:t>
        </x:is>
      </x:c>
      <x:c r="C656" s="12" t="inlineStr">
        <x:is>
          <x:t xml:space="preserve">Master's</x:t>
        </x:is>
      </x:c>
      <x:c r="D656" s="13" t="n">
        <x:v>5</x:v>
      </x:c>
      <x:c r="E656" s="14" t="n">
        <x:v>71299</x:v>
      </x:c>
      <x:c r="F656" s="83" t="inlineStr">
        <x:is>
          <x:t xml:space="preserve">2026-06-10</x:t>
        </x:is>
      </x:c>
      <x:c r="G656" s="7" t="n"/>
      <x:c r="H656" s="7" t="n"/>
      <x:c r="I656" s="7" t="n"/>
      <x:c r="J656" s="7" t="n"/>
      <x:c r="K656" s="7" t="n"/>
      <x:c r="L656" s="7" t="n"/>
      <x:c r="M656" s="7" t="n"/>
      <x:c r="N656" s="7" t="n"/>
      <x:c r="O656" s="7" t="n"/>
      <x:c r="P656" s="7" t="n"/>
      <x:c r="Q656" s="7" t="n"/>
      <x:c r="R656" s="7" t="n"/>
      <x:c r="S656" s="7" t="n"/>
      <x:c r="T656" s="7" t="n"/>
      <x:c r="U656" s="7" t="n"/>
      <x:c r="V656" s="7" t="n"/>
      <x:c r="W656" s="7" t="n"/>
      <x:c r="X656" s="7" t="n"/>
      <x:c r="Y656" s="7" t="n"/>
      <x:c r="Z656" s="7" t="n"/>
      <x:c r="AA656" s="7" t="n"/>
      <x:c r="AB656" s="7" t="n"/>
    </x:row>
    <x:row r="657" ht="20" customHeight="1">
      <x:c r="A657" s="12" t="inlineStr">
        <x:is>
          <x:t xml:space="preserve">Los Angeles Unified</x:t>
        </x:is>
      </x:c>
      <x:c r="B657" s="12" t="inlineStr">
        <x:is>
          <x:t xml:space="preserve">CA</x:t>
        </x:is>
      </x:c>
      <x:c r="C657" s="12" t="inlineStr">
        <x:is>
          <x:t xml:space="preserve">Master's</x:t>
        </x:is>
      </x:c>
      <x:c r="D657" s="13" t="n">
        <x:v>6</x:v>
      </x:c>
      <x:c r="E657" s="14" t="n">
        <x:v>73322</x:v>
      </x:c>
      <x:c r="F657" s="83" t="inlineStr">
        <x:is>
          <x:t xml:space="preserve">2026-06-10</x:t>
        </x:is>
      </x:c>
      <x:c r="G657" s="7" t="n"/>
      <x:c r="H657" s="7" t="n"/>
      <x:c r="I657" s="7" t="n"/>
      <x:c r="J657" s="7" t="n"/>
      <x:c r="K657" s="7" t="n"/>
      <x:c r="L657" s="7" t="n"/>
      <x:c r="M657" s="7" t="n"/>
      <x:c r="N657" s="7" t="n"/>
      <x:c r="O657" s="7" t="n"/>
      <x:c r="P657" s="7" t="n"/>
      <x:c r="Q657" s="7" t="n"/>
      <x:c r="R657" s="7" t="n"/>
      <x:c r="S657" s="7" t="n"/>
      <x:c r="T657" s="7" t="n"/>
      <x:c r="U657" s="7" t="n"/>
      <x:c r="V657" s="7" t="n"/>
      <x:c r="W657" s="7" t="n"/>
      <x:c r="X657" s="7" t="n"/>
      <x:c r="Y657" s="7" t="n"/>
      <x:c r="Z657" s="7" t="n"/>
      <x:c r="AA657" s="7" t="n"/>
      <x:c r="AB657" s="7" t="n"/>
    </x:row>
    <x:row r="658" ht="20" customHeight="1">
      <x:c r="A658" s="12" t="inlineStr">
        <x:is>
          <x:t xml:space="preserve">Los Angeles Unified</x:t>
        </x:is>
      </x:c>
      <x:c r="B658" s="12" t="inlineStr">
        <x:is>
          <x:t xml:space="preserve">CA</x:t>
        </x:is>
      </x:c>
      <x:c r="C658" s="12" t="inlineStr">
        <x:is>
          <x:t xml:space="preserve">Master's</x:t>
        </x:is>
      </x:c>
      <x:c r="D658" s="13" t="n">
        <x:v>7</x:v>
      </x:c>
      <x:c r="E658" s="14" t="n">
        <x:v>75024</x:v>
      </x:c>
      <x:c r="F658" s="83" t="inlineStr">
        <x:is>
          <x:t xml:space="preserve">2026-06-10</x:t>
        </x:is>
      </x:c>
      <x:c r="G658" s="7" t="n"/>
      <x:c r="H658" s="7" t="n"/>
      <x:c r="I658" s="7" t="n"/>
      <x:c r="J658" s="7" t="n"/>
      <x:c r="K658" s="7" t="n"/>
      <x:c r="L658" s="7" t="n"/>
      <x:c r="M658" s="7" t="n"/>
      <x:c r="N658" s="7" t="n"/>
      <x:c r="O658" s="7" t="n"/>
      <x:c r="P658" s="7" t="n"/>
      <x:c r="Q658" s="7" t="n"/>
      <x:c r="R658" s="7" t="n"/>
      <x:c r="S658" s="7" t="n"/>
      <x:c r="T658" s="7" t="n"/>
      <x:c r="U658" s="7" t="n"/>
      <x:c r="V658" s="7" t="n"/>
      <x:c r="W658" s="7" t="n"/>
      <x:c r="X658" s="7" t="n"/>
      <x:c r="Y658" s="7" t="n"/>
      <x:c r="Z658" s="7" t="n"/>
      <x:c r="AA658" s="7" t="n"/>
      <x:c r="AB658" s="7" t="n"/>
    </x:row>
    <x:row r="659" ht="20" customHeight="1">
      <x:c r="A659" s="12" t="inlineStr">
        <x:is>
          <x:t xml:space="preserve">Los Angeles Unified</x:t>
        </x:is>
      </x:c>
      <x:c r="B659" s="12" t="inlineStr">
        <x:is>
          <x:t xml:space="preserve">CA</x:t>
        </x:is>
      </x:c>
      <x:c r="C659" s="12" t="inlineStr">
        <x:is>
          <x:t xml:space="preserve">Master's</x:t>
        </x:is>
      </x:c>
      <x:c r="D659" s="13" t="n">
        <x:v>8</x:v>
      </x:c>
      <x:c r="E659" s="14" t="n">
        <x:v>77588</x:v>
      </x:c>
      <x:c r="F659" s="83" t="inlineStr">
        <x:is>
          <x:t xml:space="preserve">2026-06-10</x:t>
        </x:is>
      </x:c>
      <x:c r="G659" s="7" t="n"/>
      <x:c r="H659" s="7" t="n"/>
      <x:c r="I659" s="7" t="n"/>
      <x:c r="J659" s="7" t="n"/>
      <x:c r="K659" s="7" t="n"/>
      <x:c r="L659" s="7" t="n"/>
      <x:c r="M659" s="7" t="n"/>
      <x:c r="N659" s="7" t="n"/>
      <x:c r="O659" s="7" t="n"/>
      <x:c r="P659" s="7" t="n"/>
      <x:c r="Q659" s="7" t="n"/>
      <x:c r="R659" s="7" t="n"/>
      <x:c r="S659" s="7" t="n"/>
      <x:c r="T659" s="7" t="n"/>
      <x:c r="U659" s="7" t="n"/>
      <x:c r="V659" s="7" t="n"/>
      <x:c r="W659" s="7" t="n"/>
      <x:c r="X659" s="7" t="n"/>
      <x:c r="Y659" s="7" t="n"/>
      <x:c r="Z659" s="7" t="n"/>
      <x:c r="AA659" s="7" t="n"/>
      <x:c r="AB659" s="7" t="n"/>
    </x:row>
    <x:row r="660" ht="20" customHeight="1">
      <x:c r="A660" s="12" t="inlineStr">
        <x:is>
          <x:t xml:space="preserve">Los Angeles Unified</x:t>
        </x:is>
      </x:c>
      <x:c r="B660" s="12" t="inlineStr">
        <x:is>
          <x:t xml:space="preserve">CA</x:t>
        </x:is>
      </x:c>
      <x:c r="C660" s="12" t="inlineStr">
        <x:is>
          <x:t xml:space="preserve">Master's</x:t>
        </x:is>
      </x:c>
      <x:c r="D660" s="13" t="n">
        <x:v>9</x:v>
      </x:c>
      <x:c r="E660" s="14" t="n">
        <x:v>79777</x:v>
      </x:c>
      <x:c r="F660" s="83" t="inlineStr">
        <x:is>
          <x:t xml:space="preserve">2026-06-10</x:t>
        </x:is>
      </x:c>
      <x:c r="G660" s="7" t="n"/>
      <x:c r="H660" s="7" t="n"/>
      <x:c r="I660" s="7" t="n"/>
      <x:c r="J660" s="7" t="n"/>
      <x:c r="K660" s="7" t="n"/>
      <x:c r="L660" s="7" t="n"/>
      <x:c r="M660" s="7" t="n"/>
      <x:c r="N660" s="7" t="n"/>
      <x:c r="O660" s="7" t="n"/>
      <x:c r="P660" s="7" t="n"/>
      <x:c r="Q660" s="7" t="n"/>
      <x:c r="R660" s="7" t="n"/>
      <x:c r="S660" s="7" t="n"/>
      <x:c r="T660" s="7" t="n"/>
      <x:c r="U660" s="7" t="n"/>
      <x:c r="V660" s="7" t="n"/>
      <x:c r="W660" s="7" t="n"/>
      <x:c r="X660" s="7" t="n"/>
      <x:c r="Y660" s="7" t="n"/>
      <x:c r="Z660" s="7" t="n"/>
      <x:c r="AA660" s="7" t="n"/>
      <x:c r="AB660" s="7" t="n"/>
    </x:row>
    <x:row r="661" ht="20" customHeight="1">
      <x:c r="A661" s="12" t="inlineStr">
        <x:is>
          <x:t xml:space="preserve">Los Angeles Unified</x:t>
        </x:is>
      </x:c>
      <x:c r="B661" s="12" t="inlineStr">
        <x:is>
          <x:t xml:space="preserve">CA</x:t>
        </x:is>
      </x:c>
      <x:c r="C661" s="12" t="inlineStr">
        <x:is>
          <x:t xml:space="preserve">Master's</x:t>
        </x:is>
      </x:c>
      <x:c r="D661" s="13" t="n">
        <x:v>10</x:v>
      </x:c>
      <x:c r="E661" s="14" t="n">
        <x:v>79777</x:v>
      </x:c>
      <x:c r="F661" s="83" t="inlineStr">
        <x:is>
          <x:t xml:space="preserve">2026-06-10</x:t>
        </x:is>
      </x:c>
      <x:c r="G661" s="7" t="n"/>
      <x:c r="H661" s="7" t="n"/>
      <x:c r="I661" s="7" t="n"/>
      <x:c r="J661" s="7" t="n"/>
      <x:c r="K661" s="7" t="n"/>
      <x:c r="L661" s="7" t="n"/>
      <x:c r="M661" s="7" t="n"/>
      <x:c r="N661" s="7" t="n"/>
      <x:c r="O661" s="7" t="n"/>
      <x:c r="P661" s="7" t="n"/>
      <x:c r="Q661" s="7" t="n"/>
      <x:c r="R661" s="7" t="n"/>
      <x:c r="S661" s="7" t="n"/>
      <x:c r="T661" s="7" t="n"/>
      <x:c r="U661" s="7" t="n"/>
      <x:c r="V661" s="7" t="n"/>
      <x:c r="W661" s="7" t="n"/>
      <x:c r="X661" s="7" t="n"/>
      <x:c r="Y661" s="7" t="n"/>
      <x:c r="Z661" s="7" t="n"/>
      <x:c r="AA661" s="7" t="n"/>
      <x:c r="AB661" s="7" t="n"/>
    </x:row>
    <x:row r="662" ht="20" customHeight="1">
      <x:c r="A662" s="12" t="inlineStr">
        <x:is>
          <x:t xml:space="preserve">Loudoun County Public Schools</x:t>
        </x:is>
      </x:c>
      <x:c r="B662" s="12" t="inlineStr">
        <x:is>
          <x:t xml:space="preserve">VA</x:t>
        </x:is>
      </x:c>
      <x:c r="C662" s="12" t="inlineStr">
        <x:is>
          <x:t xml:space="preserve">Bachelor's</x:t>
        </x:is>
      </x:c>
      <x:c r="D662" s="13" t="n">
        <x:v>0</x:v>
      </x:c>
      <x:c r="E662" s="14" t="n">
        <x:v>60553</x:v>
      </x:c>
      <x:c r="F662" s="83" t="inlineStr">
        <x:is>
          <x:t xml:space="preserve">2026-06-13</x:t>
        </x:is>
      </x:c>
      <x:c r="G662" s="7" t="n"/>
      <x:c r="H662" s="7" t="n"/>
      <x:c r="I662" s="7" t="n"/>
      <x:c r="J662" s="7" t="n"/>
      <x:c r="K662" s="7" t="n"/>
      <x:c r="L662" s="7" t="n"/>
      <x:c r="M662" s="7" t="n"/>
      <x:c r="N662" s="7" t="n"/>
      <x:c r="O662" s="7" t="n"/>
      <x:c r="P662" s="7" t="n"/>
      <x:c r="Q662" s="7" t="n"/>
      <x:c r="R662" s="7" t="n"/>
      <x:c r="S662" s="7" t="n"/>
      <x:c r="T662" s="7" t="n"/>
      <x:c r="U662" s="7" t="n"/>
      <x:c r="V662" s="7" t="n"/>
      <x:c r="W662" s="7" t="n"/>
      <x:c r="X662" s="7" t="n"/>
      <x:c r="Y662" s="7" t="n"/>
      <x:c r="Z662" s="7" t="n"/>
      <x:c r="AA662" s="7" t="n"/>
      <x:c r="AB662" s="7" t="n"/>
    </x:row>
    <x:row r="663" ht="20" customHeight="1">
      <x:c r="A663" s="12" t="inlineStr">
        <x:is>
          <x:t xml:space="preserve">Loudoun County Public Schools</x:t>
        </x:is>
      </x:c>
      <x:c r="B663" s="12" t="inlineStr">
        <x:is>
          <x:t xml:space="preserve">VA</x:t>
        </x:is>
      </x:c>
      <x:c r="C663" s="12" t="inlineStr">
        <x:is>
          <x:t xml:space="preserve">Bachelor's</x:t>
        </x:is>
      </x:c>
      <x:c r="D663" s="13" t="n">
        <x:v>1</x:v>
      </x:c>
      <x:c r="E663" s="14" t="n">
        <x:v>63526</x:v>
      </x:c>
      <x:c r="F663" s="83" t="inlineStr">
        <x:is>
          <x:t xml:space="preserve">2026-06-13</x:t>
        </x:is>
      </x:c>
      <x:c r="G663" s="7" t="n"/>
      <x:c r="H663" s="7" t="n"/>
      <x:c r="I663" s="7" t="n"/>
      <x:c r="J663" s="7" t="n"/>
      <x:c r="K663" s="7" t="n"/>
      <x:c r="L663" s="7" t="n"/>
      <x:c r="M663" s="7" t="n"/>
      <x:c r="N663" s="7" t="n"/>
      <x:c r="O663" s="7" t="n"/>
      <x:c r="P663" s="7" t="n"/>
      <x:c r="Q663" s="7" t="n"/>
      <x:c r="R663" s="7" t="n"/>
      <x:c r="S663" s="7" t="n"/>
      <x:c r="T663" s="7" t="n"/>
      <x:c r="U663" s="7" t="n"/>
      <x:c r="V663" s="7" t="n"/>
      <x:c r="W663" s="7" t="n"/>
      <x:c r="X663" s="7" t="n"/>
      <x:c r="Y663" s="7" t="n"/>
      <x:c r="Z663" s="7" t="n"/>
      <x:c r="AA663" s="7" t="n"/>
      <x:c r="AB663" s="7" t="n"/>
    </x:row>
    <x:row r="664" ht="20" customHeight="1">
      <x:c r="A664" s="12" t="inlineStr">
        <x:is>
          <x:t xml:space="preserve">Loudoun County Public Schools</x:t>
        </x:is>
      </x:c>
      <x:c r="B664" s="12" t="inlineStr">
        <x:is>
          <x:t xml:space="preserve">VA</x:t>
        </x:is>
      </x:c>
      <x:c r="C664" s="12" t="inlineStr">
        <x:is>
          <x:t xml:space="preserve">Bachelor's</x:t>
        </x:is>
      </x:c>
      <x:c r="D664" s="13" t="n">
        <x:v>2</x:v>
      </x:c>
      <x:c r="E664" s="14" t="n">
        <x:v>65252</x:v>
      </x:c>
      <x:c r="F664" s="83" t="inlineStr">
        <x:is>
          <x:t xml:space="preserve">2026-06-13</x:t>
        </x:is>
      </x:c>
      <x:c r="G664" s="7" t="n"/>
      <x:c r="H664" s="7" t="n"/>
      <x:c r="I664" s="7" t="n"/>
      <x:c r="J664" s="7" t="n"/>
      <x:c r="K664" s="7" t="n"/>
      <x:c r="L664" s="7" t="n"/>
      <x:c r="M664" s="7" t="n"/>
      <x:c r="N664" s="7" t="n"/>
      <x:c r="O664" s="7" t="n"/>
      <x:c r="P664" s="7" t="n"/>
      <x:c r="Q664" s="7" t="n"/>
      <x:c r="R664" s="7" t="n"/>
      <x:c r="S664" s="7" t="n"/>
      <x:c r="T664" s="7" t="n"/>
      <x:c r="U664" s="7" t="n"/>
      <x:c r="V664" s="7" t="n"/>
      <x:c r="W664" s="7" t="n"/>
      <x:c r="X664" s="7" t="n"/>
      <x:c r="Y664" s="7" t="n"/>
      <x:c r="Z664" s="7" t="n"/>
      <x:c r="AA664" s="7" t="n"/>
      <x:c r="AB664" s="7" t="n"/>
    </x:row>
    <x:row r="665" ht="20" customHeight="1">
      <x:c r="A665" s="12" t="inlineStr">
        <x:is>
          <x:t xml:space="preserve">Loudoun County Public Schools</x:t>
        </x:is>
      </x:c>
      <x:c r="B665" s="12" t="inlineStr">
        <x:is>
          <x:t xml:space="preserve">VA</x:t>
        </x:is>
      </x:c>
      <x:c r="C665" s="12" t="inlineStr">
        <x:is>
          <x:t xml:space="preserve">Bachelor's</x:t>
        </x:is>
      </x:c>
      <x:c r="D665" s="13" t="n">
        <x:v>3</x:v>
      </x:c>
      <x:c r="E665" s="14" t="n">
        <x:v>67107</x:v>
      </x:c>
      <x:c r="F665" s="83" t="inlineStr">
        <x:is>
          <x:t xml:space="preserve">2026-06-13</x:t>
        </x:is>
      </x:c>
      <x:c r="G665" s="7" t="n"/>
      <x:c r="H665" s="7" t="n"/>
      <x:c r="I665" s="7" t="n"/>
      <x:c r="J665" s="7" t="n"/>
      <x:c r="K665" s="7" t="n"/>
      <x:c r="L665" s="7" t="n"/>
      <x:c r="M665" s="7" t="n"/>
      <x:c r="N665" s="7" t="n"/>
      <x:c r="O665" s="7" t="n"/>
      <x:c r="P665" s="7" t="n"/>
      <x:c r="Q665" s="7" t="n"/>
      <x:c r="R665" s="7" t="n"/>
      <x:c r="S665" s="7" t="n"/>
      <x:c r="T665" s="7" t="n"/>
      <x:c r="U665" s="7" t="n"/>
      <x:c r="V665" s="7" t="n"/>
      <x:c r="W665" s="7" t="n"/>
      <x:c r="X665" s="7" t="n"/>
      <x:c r="Y665" s="7" t="n"/>
      <x:c r="Z665" s="7" t="n"/>
      <x:c r="AA665" s="7" t="n"/>
      <x:c r="AB665" s="7" t="n"/>
    </x:row>
    <x:row r="666" ht="20" customHeight="1">
      <x:c r="A666" s="12" t="inlineStr">
        <x:is>
          <x:t xml:space="preserve">Loudoun County Public Schools</x:t>
        </x:is>
      </x:c>
      <x:c r="B666" s="12" t="inlineStr">
        <x:is>
          <x:t xml:space="preserve">VA</x:t>
        </x:is>
      </x:c>
      <x:c r="C666" s="12" t="inlineStr">
        <x:is>
          <x:t xml:space="preserve">Bachelor's</x:t>
        </x:is>
      </x:c>
      <x:c r="D666" s="13" t="n">
        <x:v>4</x:v>
      </x:c>
      <x:c r="E666" s="14" t="n">
        <x:v>68863</x:v>
      </x:c>
      <x:c r="F666" s="83" t="inlineStr">
        <x:is>
          <x:t xml:space="preserve">2026-06-13</x:t>
        </x:is>
      </x:c>
      <x:c r="G666" s="7" t="n"/>
      <x:c r="H666" s="7" t="n"/>
      <x:c r="I666" s="7" t="n"/>
      <x:c r="J666" s="7" t="n"/>
      <x:c r="K666" s="7" t="n"/>
      <x:c r="L666" s="7" t="n"/>
      <x:c r="M666" s="7" t="n"/>
      <x:c r="N666" s="7" t="n"/>
      <x:c r="O666" s="7" t="n"/>
      <x:c r="P666" s="7" t="n"/>
      <x:c r="Q666" s="7" t="n"/>
      <x:c r="R666" s="7" t="n"/>
      <x:c r="S666" s="7" t="n"/>
      <x:c r="T666" s="7" t="n"/>
      <x:c r="U666" s="7" t="n"/>
      <x:c r="V666" s="7" t="n"/>
      <x:c r="W666" s="7" t="n"/>
      <x:c r="X666" s="7" t="n"/>
      <x:c r="Y666" s="7" t="n"/>
      <x:c r="Z666" s="7" t="n"/>
      <x:c r="AA666" s="7" t="n"/>
      <x:c r="AB666" s="7" t="n"/>
    </x:row>
    <x:row r="667" ht="20" customHeight="1">
      <x:c r="A667" s="12" t="inlineStr">
        <x:is>
          <x:t xml:space="preserve">Loudoun County Public Schools</x:t>
        </x:is>
      </x:c>
      <x:c r="B667" s="12" t="inlineStr">
        <x:is>
          <x:t xml:space="preserve">VA</x:t>
        </x:is>
      </x:c>
      <x:c r="C667" s="12" t="inlineStr">
        <x:is>
          <x:t xml:space="preserve">Bachelor's</x:t>
        </x:is>
      </x:c>
      <x:c r="D667" s="13" t="n">
        <x:v>5</x:v>
      </x:c>
      <x:c r="E667" s="14" t="n">
        <x:v>71558</x:v>
      </x:c>
      <x:c r="F667" s="83" t="inlineStr">
        <x:is>
          <x:t xml:space="preserve">2026-06-13</x:t>
        </x:is>
      </x:c>
      <x:c r="G667" s="7" t="n"/>
      <x:c r="H667" s="7" t="n"/>
      <x:c r="I667" s="7" t="n"/>
      <x:c r="J667" s="7" t="n"/>
      <x:c r="K667" s="7" t="n"/>
      <x:c r="L667" s="7" t="n"/>
      <x:c r="M667" s="7" t="n"/>
      <x:c r="N667" s="7" t="n"/>
      <x:c r="O667" s="7" t="n"/>
      <x:c r="P667" s="7" t="n"/>
      <x:c r="Q667" s="7" t="n"/>
      <x:c r="R667" s="7" t="n"/>
      <x:c r="S667" s="7" t="n"/>
      <x:c r="T667" s="7" t="n"/>
      <x:c r="U667" s="7" t="n"/>
      <x:c r="V667" s="7" t="n"/>
      <x:c r="W667" s="7" t="n"/>
      <x:c r="X667" s="7" t="n"/>
      <x:c r="Y667" s="7" t="n"/>
      <x:c r="Z667" s="7" t="n"/>
      <x:c r="AA667" s="7" t="n"/>
      <x:c r="AB667" s="7" t="n"/>
    </x:row>
    <x:row r="668" ht="20" customHeight="1">
      <x:c r="A668" s="12" t="inlineStr">
        <x:is>
          <x:t xml:space="preserve">Loudoun County Public Schools</x:t>
        </x:is>
      </x:c>
      <x:c r="B668" s="12" t="inlineStr">
        <x:is>
          <x:t xml:space="preserve">VA</x:t>
        </x:is>
      </x:c>
      <x:c r="C668" s="12" t="inlineStr">
        <x:is>
          <x:t xml:space="preserve">Bachelor's</x:t>
        </x:is>
      </x:c>
      <x:c r="D668" s="13" t="n">
        <x:v>6</x:v>
      </x:c>
      <x:c r="E668" s="14" t="n">
        <x:v>73877</x:v>
      </x:c>
      <x:c r="F668" s="83" t="inlineStr">
        <x:is>
          <x:t xml:space="preserve">2026-06-13</x:t>
        </x:is>
      </x:c>
      <x:c r="G668" s="7" t="n"/>
      <x:c r="H668" s="7" t="n"/>
      <x:c r="I668" s="7" t="n"/>
      <x:c r="J668" s="7" t="n"/>
      <x:c r="K668" s="7" t="n"/>
      <x:c r="L668" s="7" t="n"/>
      <x:c r="M668" s="7" t="n"/>
      <x:c r="N668" s="7" t="n"/>
      <x:c r="O668" s="7" t="n"/>
      <x:c r="P668" s="7" t="n"/>
      <x:c r="Q668" s="7" t="n"/>
      <x:c r="R668" s="7" t="n"/>
      <x:c r="S668" s="7" t="n"/>
      <x:c r="T668" s="7" t="n"/>
      <x:c r="U668" s="7" t="n"/>
      <x:c r="V668" s="7" t="n"/>
      <x:c r="W668" s="7" t="n"/>
      <x:c r="X668" s="7" t="n"/>
      <x:c r="Y668" s="7" t="n"/>
      <x:c r="Z668" s="7" t="n"/>
      <x:c r="AA668" s="7" t="n"/>
      <x:c r="AB668" s="7" t="n"/>
    </x:row>
    <x:row r="669" ht="20" customHeight="1">
      <x:c r="A669" s="12" t="inlineStr">
        <x:is>
          <x:t xml:space="preserve">Loudoun County Public Schools</x:t>
        </x:is>
      </x:c>
      <x:c r="B669" s="12" t="inlineStr">
        <x:is>
          <x:t xml:space="preserve">VA</x:t>
        </x:is>
      </x:c>
      <x:c r="C669" s="12" t="inlineStr">
        <x:is>
          <x:t xml:space="preserve">Bachelor's</x:t>
        </x:is>
      </x:c>
      <x:c r="D669" s="13" t="n">
        <x:v>7</x:v>
      </x:c>
      <x:c r="E669" s="14" t="n">
        <x:v>76196</x:v>
      </x:c>
      <x:c r="F669" s="83" t="inlineStr">
        <x:is>
          <x:t xml:space="preserve">2026-06-13</x:t>
        </x:is>
      </x:c>
      <x:c r="G669" s="7" t="n"/>
      <x:c r="H669" s="7" t="n"/>
      <x:c r="I669" s="7" t="n"/>
      <x:c r="J669" s="7" t="n"/>
      <x:c r="K669" s="7" t="n"/>
      <x:c r="L669" s="7" t="n"/>
      <x:c r="M669" s="7" t="n"/>
      <x:c r="N669" s="7" t="n"/>
      <x:c r="O669" s="7" t="n"/>
      <x:c r="P669" s="7" t="n"/>
      <x:c r="Q669" s="7" t="n"/>
      <x:c r="R669" s="7" t="n"/>
      <x:c r="S669" s="7" t="n"/>
      <x:c r="T669" s="7" t="n"/>
      <x:c r="U669" s="7" t="n"/>
      <x:c r="V669" s="7" t="n"/>
      <x:c r="W669" s="7" t="n"/>
      <x:c r="X669" s="7" t="n"/>
      <x:c r="Y669" s="7" t="n"/>
      <x:c r="Z669" s="7" t="n"/>
      <x:c r="AA669" s="7" t="n"/>
      <x:c r="AB669" s="7" t="n"/>
    </x:row>
    <x:row r="670" ht="20" customHeight="1">
      <x:c r="A670" s="12" t="inlineStr">
        <x:is>
          <x:t xml:space="preserve">Loudoun County Public Schools</x:t>
        </x:is>
      </x:c>
      <x:c r="B670" s="12" t="inlineStr">
        <x:is>
          <x:t xml:space="preserve">VA</x:t>
        </x:is>
      </x:c>
      <x:c r="C670" s="12" t="inlineStr">
        <x:is>
          <x:t xml:space="preserve">Bachelor's</x:t>
        </x:is>
      </x:c>
      <x:c r="D670" s="13" t="n">
        <x:v>8</x:v>
      </x:c>
      <x:c r="E670" s="14" t="n">
        <x:v>78515</x:v>
      </x:c>
      <x:c r="F670" s="83" t="inlineStr">
        <x:is>
          <x:t xml:space="preserve">2026-06-13</x:t>
        </x:is>
      </x:c>
      <x:c r="G670" s="7" t="n"/>
      <x:c r="H670" s="7" t="n"/>
      <x:c r="I670" s="7" t="n"/>
      <x:c r="J670" s="7" t="n"/>
      <x:c r="K670" s="7" t="n"/>
      <x:c r="L670" s="7" t="n"/>
      <x:c r="M670" s="7" t="n"/>
      <x:c r="N670" s="7" t="n"/>
      <x:c r="O670" s="7" t="n"/>
      <x:c r="P670" s="7" t="n"/>
      <x:c r="Q670" s="7" t="n"/>
      <x:c r="R670" s="7" t="n"/>
      <x:c r="S670" s="7" t="n"/>
      <x:c r="T670" s="7" t="n"/>
      <x:c r="U670" s="7" t="n"/>
      <x:c r="V670" s="7" t="n"/>
      <x:c r="W670" s="7" t="n"/>
      <x:c r="X670" s="7" t="n"/>
      <x:c r="Y670" s="7" t="n"/>
      <x:c r="Z670" s="7" t="n"/>
      <x:c r="AA670" s="7" t="n"/>
      <x:c r="AB670" s="7" t="n"/>
    </x:row>
    <x:row r="671" ht="20" customHeight="1">
      <x:c r="A671" s="12" t="inlineStr">
        <x:is>
          <x:t xml:space="preserve">Loudoun County Public Schools</x:t>
        </x:is>
      </x:c>
      <x:c r="B671" s="12" t="inlineStr">
        <x:is>
          <x:t xml:space="preserve">VA</x:t>
        </x:is>
      </x:c>
      <x:c r="C671" s="12" t="inlineStr">
        <x:is>
          <x:t xml:space="preserve">Bachelor's</x:t>
        </x:is>
      </x:c>
      <x:c r="D671" s="13" t="n">
        <x:v>9</x:v>
      </x:c>
      <x:c r="E671" s="14" t="n">
        <x:v>81029</x:v>
      </x:c>
      <x:c r="F671" s="83" t="inlineStr">
        <x:is>
          <x:t xml:space="preserve">2026-06-13</x:t>
        </x:is>
      </x:c>
      <x:c r="G671" s="7" t="n"/>
      <x:c r="H671" s="7" t="n"/>
      <x:c r="I671" s="7" t="n"/>
      <x:c r="J671" s="7" t="n"/>
      <x:c r="K671" s="7" t="n"/>
      <x:c r="L671" s="7" t="n"/>
      <x:c r="M671" s="7" t="n"/>
      <x:c r="N671" s="7" t="n"/>
      <x:c r="O671" s="7" t="n"/>
      <x:c r="P671" s="7" t="n"/>
      <x:c r="Q671" s="7" t="n"/>
      <x:c r="R671" s="7" t="n"/>
      <x:c r="S671" s="7" t="n"/>
      <x:c r="T671" s="7" t="n"/>
      <x:c r="U671" s="7" t="n"/>
      <x:c r="V671" s="7" t="n"/>
      <x:c r="W671" s="7" t="n"/>
      <x:c r="X671" s="7" t="n"/>
      <x:c r="Y671" s="7" t="n"/>
      <x:c r="Z671" s="7" t="n"/>
      <x:c r="AA671" s="7" t="n"/>
      <x:c r="AB671" s="7" t="n"/>
    </x:row>
    <x:row r="672" ht="20" customHeight="1">
      <x:c r="A672" s="12" t="inlineStr">
        <x:is>
          <x:t xml:space="preserve">Loudoun County Public Schools</x:t>
        </x:is>
      </x:c>
      <x:c r="B672" s="12" t="inlineStr">
        <x:is>
          <x:t xml:space="preserve">VA</x:t>
        </x:is>
      </x:c>
      <x:c r="C672" s="12" t="inlineStr">
        <x:is>
          <x:t xml:space="preserve">Bachelor's</x:t>
        </x:is>
      </x:c>
      <x:c r="D672" s="13" t="n">
        <x:v>10</x:v>
      </x:c>
      <x:c r="E672" s="14" t="n">
        <x:v>84421</x:v>
      </x:c>
      <x:c r="F672" s="83" t="inlineStr">
        <x:is>
          <x:t xml:space="preserve">2026-06-13</x:t>
        </x:is>
      </x:c>
      <x:c r="G672" s="7" t="n"/>
      <x:c r="H672" s="7" t="n"/>
      <x:c r="I672" s="7" t="n"/>
      <x:c r="J672" s="7" t="n"/>
      <x:c r="K672" s="7" t="n"/>
      <x:c r="L672" s="7" t="n"/>
      <x:c r="M672" s="7" t="n"/>
      <x:c r="N672" s="7" t="n"/>
      <x:c r="O672" s="7" t="n"/>
      <x:c r="P672" s="7" t="n"/>
      <x:c r="Q672" s="7" t="n"/>
      <x:c r="R672" s="7" t="n"/>
      <x:c r="S672" s="7" t="n"/>
      <x:c r="T672" s="7" t="n"/>
      <x:c r="U672" s="7" t="n"/>
      <x:c r="V672" s="7" t="n"/>
      <x:c r="W672" s="7" t="n"/>
      <x:c r="X672" s="7" t="n"/>
      <x:c r="Y672" s="7" t="n"/>
      <x:c r="Z672" s="7" t="n"/>
      <x:c r="AA672" s="7" t="n"/>
      <x:c r="AB672" s="7" t="n"/>
    </x:row>
    <x:row r="673" ht="20" customHeight="1">
      <x:c r="A673" s="12" t="inlineStr">
        <x:is>
          <x:t xml:space="preserve">Loudoun County Public Schools</x:t>
        </x:is>
      </x:c>
      <x:c r="B673" s="12" t="inlineStr">
        <x:is>
          <x:t xml:space="preserve">VA</x:t>
        </x:is>
      </x:c>
      <x:c r="C673" s="12" t="inlineStr">
        <x:is>
          <x:t xml:space="preserve">Master's</x:t>
        </x:is>
      </x:c>
      <x:c r="D673" s="13" t="n">
        <x:v>0</x:v>
      </x:c>
      <x:c r="E673" s="14" t="n">
        <x:v>66562</x:v>
      </x:c>
      <x:c r="F673" s="83" t="inlineStr">
        <x:is>
          <x:t xml:space="preserve">2026-06-13</x:t>
        </x:is>
      </x:c>
      <x:c r="G673" s="7" t="n"/>
      <x:c r="H673" s="7" t="n"/>
      <x:c r="I673" s="7" t="n"/>
      <x:c r="J673" s="7" t="n"/>
      <x:c r="K673" s="7" t="n"/>
      <x:c r="L673" s="7" t="n"/>
      <x:c r="M673" s="7" t="n"/>
      <x:c r="N673" s="7" t="n"/>
      <x:c r="O673" s="7" t="n"/>
      <x:c r="P673" s="7" t="n"/>
      <x:c r="Q673" s="7" t="n"/>
      <x:c r="R673" s="7" t="n"/>
      <x:c r="S673" s="7" t="n"/>
      <x:c r="T673" s="7" t="n"/>
      <x:c r="U673" s="7" t="n"/>
      <x:c r="V673" s="7" t="n"/>
      <x:c r="W673" s="7" t="n"/>
      <x:c r="X673" s="7" t="n"/>
      <x:c r="Y673" s="7" t="n"/>
      <x:c r="Z673" s="7" t="n"/>
      <x:c r="AA673" s="7" t="n"/>
      <x:c r="AB673" s="7" t="n"/>
    </x:row>
    <x:row r="674" ht="20" customHeight="1">
      <x:c r="A674" s="12" t="inlineStr">
        <x:is>
          <x:t xml:space="preserve">Loudoun County Public Schools</x:t>
        </x:is>
      </x:c>
      <x:c r="B674" s="12" t="inlineStr">
        <x:is>
          <x:t xml:space="preserve">VA</x:t>
        </x:is>
      </x:c>
      <x:c r="C674" s="12" t="inlineStr">
        <x:is>
          <x:t xml:space="preserve">Master's</x:t>
        </x:is>
      </x:c>
      <x:c r="D674" s="13" t="n">
        <x:v>1</x:v>
      </x:c>
      <x:c r="E674" s="14" t="n">
        <x:v>69463</x:v>
      </x:c>
      <x:c r="F674" s="83" t="inlineStr">
        <x:is>
          <x:t xml:space="preserve">2026-06-13</x:t>
        </x:is>
      </x:c>
      <x:c r="G674" s="7" t="n"/>
      <x:c r="H674" s="7" t="n"/>
      <x:c r="I674" s="7" t="n"/>
      <x:c r="J674" s="7" t="n"/>
      <x:c r="K674" s="7" t="n"/>
      <x:c r="L674" s="7" t="n"/>
      <x:c r="M674" s="7" t="n"/>
      <x:c r="N674" s="7" t="n"/>
      <x:c r="O674" s="7" t="n"/>
      <x:c r="P674" s="7" t="n"/>
      <x:c r="Q674" s="7" t="n"/>
      <x:c r="R674" s="7" t="n"/>
      <x:c r="S674" s="7" t="n"/>
      <x:c r="T674" s="7" t="n"/>
      <x:c r="U674" s="7" t="n"/>
      <x:c r="V674" s="7" t="n"/>
      <x:c r="W674" s="7" t="n"/>
      <x:c r="X674" s="7" t="n"/>
      <x:c r="Y674" s="7" t="n"/>
      <x:c r="Z674" s="7" t="n"/>
      <x:c r="AA674" s="7" t="n"/>
      <x:c r="AB674" s="7" t="n"/>
    </x:row>
    <x:row r="675" ht="20" customHeight="1">
      <x:c r="A675" s="12" t="inlineStr">
        <x:is>
          <x:t xml:space="preserve">Loudoun County Public Schools</x:t>
        </x:is>
      </x:c>
      <x:c r="B675" s="12" t="inlineStr">
        <x:is>
          <x:t xml:space="preserve">VA</x:t>
        </x:is>
      </x:c>
      <x:c r="C675" s="12" t="inlineStr">
        <x:is>
          <x:t xml:space="preserve">Master's</x:t>
        </x:is>
      </x:c>
      <x:c r="D675" s="13" t="n">
        <x:v>2</x:v>
      </x:c>
      <x:c r="E675" s="14" t="n">
        <x:v>71189</x:v>
      </x:c>
      <x:c r="F675" s="83" t="inlineStr">
        <x:is>
          <x:t xml:space="preserve">2026-06-13</x:t>
        </x:is>
      </x:c>
      <x:c r="G675" s="7" t="n"/>
      <x:c r="H675" s="7" t="n"/>
      <x:c r="I675" s="7" t="n"/>
      <x:c r="J675" s="7" t="n"/>
      <x:c r="K675" s="7" t="n"/>
      <x:c r="L675" s="7" t="n"/>
      <x:c r="M675" s="7" t="n"/>
      <x:c r="N675" s="7" t="n"/>
      <x:c r="O675" s="7" t="n"/>
      <x:c r="P675" s="7" t="n"/>
      <x:c r="Q675" s="7" t="n"/>
      <x:c r="R675" s="7" t="n"/>
      <x:c r="S675" s="7" t="n"/>
      <x:c r="T675" s="7" t="n"/>
      <x:c r="U675" s="7" t="n"/>
      <x:c r="V675" s="7" t="n"/>
      <x:c r="W675" s="7" t="n"/>
      <x:c r="X675" s="7" t="n"/>
      <x:c r="Y675" s="7" t="n"/>
      <x:c r="Z675" s="7" t="n"/>
      <x:c r="AA675" s="7" t="n"/>
      <x:c r="AB675" s="7" t="n"/>
    </x:row>
    <x:row r="676" ht="20" customHeight="1">
      <x:c r="A676" s="12" t="inlineStr">
        <x:is>
          <x:t xml:space="preserve">Loudoun County Public Schools</x:t>
        </x:is>
      </x:c>
      <x:c r="B676" s="12" t="inlineStr">
        <x:is>
          <x:t xml:space="preserve">VA</x:t>
        </x:is>
      </x:c>
      <x:c r="C676" s="12" t="inlineStr">
        <x:is>
          <x:t xml:space="preserve">Master's</x:t>
        </x:is>
      </x:c>
      <x:c r="D676" s="13" t="n">
        <x:v>3</x:v>
      </x:c>
      <x:c r="E676" s="14" t="n">
        <x:v>73044</x:v>
      </x:c>
      <x:c r="F676" s="83" t="inlineStr">
        <x:is>
          <x:t xml:space="preserve">2026-06-13</x:t>
        </x:is>
      </x:c>
      <x:c r="G676" s="7" t="n"/>
      <x:c r="H676" s="7" t="n"/>
      <x:c r="I676" s="7" t="n"/>
      <x:c r="J676" s="7" t="n"/>
      <x:c r="K676" s="7" t="n"/>
      <x:c r="L676" s="7" t="n"/>
      <x:c r="M676" s="7" t="n"/>
      <x:c r="N676" s="7" t="n"/>
      <x:c r="O676" s="7" t="n"/>
      <x:c r="P676" s="7" t="n"/>
      <x:c r="Q676" s="7" t="n"/>
      <x:c r="R676" s="7" t="n"/>
      <x:c r="S676" s="7" t="n"/>
      <x:c r="T676" s="7" t="n"/>
      <x:c r="U676" s="7" t="n"/>
      <x:c r="V676" s="7" t="n"/>
      <x:c r="W676" s="7" t="n"/>
      <x:c r="X676" s="7" t="n"/>
      <x:c r="Y676" s="7" t="n"/>
      <x:c r="Z676" s="7" t="n"/>
      <x:c r="AA676" s="7" t="n"/>
      <x:c r="AB676" s="7" t="n"/>
    </x:row>
    <x:row r="677" ht="20" customHeight="1">
      <x:c r="A677" s="12" t="inlineStr">
        <x:is>
          <x:t xml:space="preserve">Loudoun County Public Schools</x:t>
        </x:is>
      </x:c>
      <x:c r="B677" s="12" t="inlineStr">
        <x:is>
          <x:t xml:space="preserve">VA</x:t>
        </x:is>
      </x:c>
      <x:c r="C677" s="12" t="inlineStr">
        <x:is>
          <x:t xml:space="preserve">Master's</x:t>
        </x:is>
      </x:c>
      <x:c r="D677" s="13" t="n">
        <x:v>4</x:v>
      </x:c>
      <x:c r="E677" s="14" t="n">
        <x:v>74800</x:v>
      </x:c>
      <x:c r="F677" s="83" t="inlineStr">
        <x:is>
          <x:t xml:space="preserve">2026-06-13</x:t>
        </x:is>
      </x:c>
      <x:c r="G677" s="7" t="n"/>
      <x:c r="H677" s="7" t="n"/>
      <x:c r="I677" s="7" t="n"/>
      <x:c r="J677" s="7" t="n"/>
      <x:c r="K677" s="7" t="n"/>
      <x:c r="L677" s="7" t="n"/>
      <x:c r="M677" s="7" t="n"/>
      <x:c r="N677" s="7" t="n"/>
      <x:c r="O677" s="7" t="n"/>
      <x:c r="P677" s="7" t="n"/>
      <x:c r="Q677" s="7" t="n"/>
      <x:c r="R677" s="7" t="n"/>
      <x:c r="S677" s="7" t="n"/>
      <x:c r="T677" s="7" t="n"/>
      <x:c r="U677" s="7" t="n"/>
      <x:c r="V677" s="7" t="n"/>
      <x:c r="W677" s="7" t="n"/>
      <x:c r="X677" s="7" t="n"/>
      <x:c r="Y677" s="7" t="n"/>
      <x:c r="Z677" s="7" t="n"/>
      <x:c r="AA677" s="7" t="n"/>
      <x:c r="AB677" s="7" t="n"/>
    </x:row>
    <x:row r="678" ht="20" customHeight="1">
      <x:c r="A678" s="12" t="inlineStr">
        <x:is>
          <x:t xml:space="preserve">Loudoun County Public Schools</x:t>
        </x:is>
      </x:c>
      <x:c r="B678" s="12" t="inlineStr">
        <x:is>
          <x:t xml:space="preserve">VA</x:t>
        </x:is>
      </x:c>
      <x:c r="C678" s="12" t="inlineStr">
        <x:is>
          <x:t xml:space="preserve">Master's</x:t>
        </x:is>
      </x:c>
      <x:c r="D678" s="13" t="n">
        <x:v>5</x:v>
      </x:c>
      <x:c r="E678" s="14" t="n">
        <x:v>77509</x:v>
      </x:c>
      <x:c r="F678" s="83" t="inlineStr">
        <x:is>
          <x:t xml:space="preserve">2026-06-13</x:t>
        </x:is>
      </x:c>
      <x:c r="G678" s="7" t="n"/>
      <x:c r="H678" s="7" t="n"/>
      <x:c r="I678" s="7" t="n"/>
      <x:c r="J678" s="7" t="n"/>
      <x:c r="K678" s="7" t="n"/>
      <x:c r="L678" s="7" t="n"/>
      <x:c r="M678" s="7" t="n"/>
      <x:c r="N678" s="7" t="n"/>
      <x:c r="O678" s="7" t="n"/>
      <x:c r="P678" s="7" t="n"/>
      <x:c r="Q678" s="7" t="n"/>
      <x:c r="R678" s="7" t="n"/>
      <x:c r="S678" s="7" t="n"/>
      <x:c r="T678" s="7" t="n"/>
      <x:c r="U678" s="7" t="n"/>
      <x:c r="V678" s="7" t="n"/>
      <x:c r="W678" s="7" t="n"/>
      <x:c r="X678" s="7" t="n"/>
      <x:c r="Y678" s="7" t="n"/>
      <x:c r="Z678" s="7" t="n"/>
      <x:c r="AA678" s="7" t="n"/>
      <x:c r="AB678" s="7" t="n"/>
    </x:row>
    <x:row r="679" ht="20" customHeight="1">
      <x:c r="A679" s="12" t="inlineStr">
        <x:is>
          <x:t xml:space="preserve">Loudoun County Public Schools</x:t>
        </x:is>
      </x:c>
      <x:c r="B679" s="12" t="inlineStr">
        <x:is>
          <x:t xml:space="preserve">VA</x:t>
        </x:is>
      </x:c>
      <x:c r="C679" s="12" t="inlineStr">
        <x:is>
          <x:t xml:space="preserve">Master's</x:t>
        </x:is>
      </x:c>
      <x:c r="D679" s="13" t="n">
        <x:v>6</x:v>
      </x:c>
      <x:c r="E679" s="14" t="n">
        <x:v>79828</x:v>
      </x:c>
      <x:c r="F679" s="83" t="inlineStr">
        <x:is>
          <x:t xml:space="preserve">2026-06-13</x:t>
        </x:is>
      </x:c>
      <x:c r="G679" s="7" t="n"/>
      <x:c r="H679" s="7" t="n"/>
      <x:c r="I679" s="7" t="n"/>
      <x:c r="J679" s="7" t="n"/>
      <x:c r="K679" s="7" t="n"/>
      <x:c r="L679" s="7" t="n"/>
      <x:c r="M679" s="7" t="n"/>
      <x:c r="N679" s="7" t="n"/>
      <x:c r="O679" s="7" t="n"/>
      <x:c r="P679" s="7" t="n"/>
      <x:c r="Q679" s="7" t="n"/>
      <x:c r="R679" s="7" t="n"/>
      <x:c r="S679" s="7" t="n"/>
      <x:c r="T679" s="7" t="n"/>
      <x:c r="U679" s="7" t="n"/>
      <x:c r="V679" s="7" t="n"/>
      <x:c r="W679" s="7" t="n"/>
      <x:c r="X679" s="7" t="n"/>
      <x:c r="Y679" s="7" t="n"/>
      <x:c r="Z679" s="7" t="n"/>
      <x:c r="AA679" s="7" t="n"/>
      <x:c r="AB679" s="7" t="n"/>
    </x:row>
    <x:row r="680" ht="20" customHeight="1">
      <x:c r="A680" s="12" t="inlineStr">
        <x:is>
          <x:t xml:space="preserve">Loudoun County Public Schools</x:t>
        </x:is>
      </x:c>
      <x:c r="B680" s="12" t="inlineStr">
        <x:is>
          <x:t xml:space="preserve">VA</x:t>
        </x:is>
      </x:c>
      <x:c r="C680" s="12" t="inlineStr">
        <x:is>
          <x:t xml:space="preserve">Master's</x:t>
        </x:is>
      </x:c>
      <x:c r="D680" s="13" t="n">
        <x:v>7</x:v>
      </x:c>
      <x:c r="E680" s="14" t="n">
        <x:v>82147</x:v>
      </x:c>
      <x:c r="F680" s="83" t="inlineStr">
        <x:is>
          <x:t xml:space="preserve">2026-06-13</x:t>
        </x:is>
      </x:c>
      <x:c r="G680" s="7" t="n"/>
      <x:c r="H680" s="7" t="n"/>
      <x:c r="I680" s="7" t="n"/>
      <x:c r="J680" s="7" t="n"/>
      <x:c r="K680" s="7" t="n"/>
      <x:c r="L680" s="7" t="n"/>
      <x:c r="M680" s="7" t="n"/>
      <x:c r="N680" s="7" t="n"/>
      <x:c r="O680" s="7" t="n"/>
      <x:c r="P680" s="7" t="n"/>
      <x:c r="Q680" s="7" t="n"/>
      <x:c r="R680" s="7" t="n"/>
      <x:c r="S680" s="7" t="n"/>
      <x:c r="T680" s="7" t="n"/>
      <x:c r="U680" s="7" t="n"/>
      <x:c r="V680" s="7" t="n"/>
      <x:c r="W680" s="7" t="n"/>
      <x:c r="X680" s="7" t="n"/>
      <x:c r="Y680" s="7" t="n"/>
      <x:c r="Z680" s="7" t="n"/>
      <x:c r="AA680" s="7" t="n"/>
      <x:c r="AB680" s="7" t="n"/>
    </x:row>
    <x:row r="681" ht="20" customHeight="1">
      <x:c r="A681" s="12" t="inlineStr">
        <x:is>
          <x:t xml:space="preserve">Loudoun County Public Schools</x:t>
        </x:is>
      </x:c>
      <x:c r="B681" s="12" t="inlineStr">
        <x:is>
          <x:t xml:space="preserve">VA</x:t>
        </x:is>
      </x:c>
      <x:c r="C681" s="12" t="inlineStr">
        <x:is>
          <x:t xml:space="preserve">Master's</x:t>
        </x:is>
      </x:c>
      <x:c r="D681" s="13" t="n">
        <x:v>8</x:v>
      </x:c>
      <x:c r="E681" s="14" t="n">
        <x:v>84466</x:v>
      </x:c>
      <x:c r="F681" s="83" t="inlineStr">
        <x:is>
          <x:t xml:space="preserve">2026-06-13</x:t>
        </x:is>
      </x:c>
      <x:c r="G681" s="7" t="n"/>
      <x:c r="H681" s="7" t="n"/>
      <x:c r="I681" s="7" t="n"/>
      <x:c r="J681" s="7" t="n"/>
      <x:c r="K681" s="7" t="n"/>
      <x:c r="L681" s="7" t="n"/>
      <x:c r="M681" s="7" t="n"/>
      <x:c r="N681" s="7" t="n"/>
      <x:c r="O681" s="7" t="n"/>
      <x:c r="P681" s="7" t="n"/>
      <x:c r="Q681" s="7" t="n"/>
      <x:c r="R681" s="7" t="n"/>
      <x:c r="S681" s="7" t="n"/>
      <x:c r="T681" s="7" t="n"/>
      <x:c r="U681" s="7" t="n"/>
      <x:c r="V681" s="7" t="n"/>
      <x:c r="W681" s="7" t="n"/>
      <x:c r="X681" s="7" t="n"/>
      <x:c r="Y681" s="7" t="n"/>
      <x:c r="Z681" s="7" t="n"/>
      <x:c r="AA681" s="7" t="n"/>
      <x:c r="AB681" s="7" t="n"/>
    </x:row>
    <x:row r="682" ht="20" customHeight="1">
      <x:c r="A682" s="12" t="inlineStr">
        <x:is>
          <x:t xml:space="preserve">Loudoun County Public Schools</x:t>
        </x:is>
      </x:c>
      <x:c r="B682" s="12" t="inlineStr">
        <x:is>
          <x:t xml:space="preserve">VA</x:t>
        </x:is>
      </x:c>
      <x:c r="C682" s="12" t="inlineStr">
        <x:is>
          <x:t xml:space="preserve">Master's</x:t>
        </x:is>
      </x:c>
      <x:c r="D682" s="13" t="n">
        <x:v>9</x:v>
      </x:c>
      <x:c r="E682" s="14" t="n">
        <x:v>86995</x:v>
      </x:c>
      <x:c r="F682" s="83" t="inlineStr">
        <x:is>
          <x:t xml:space="preserve">2026-06-13</x:t>
        </x:is>
      </x:c>
      <x:c r="G682" s="7" t="n"/>
      <x:c r="H682" s="7" t="n"/>
      <x:c r="I682" s="7" t="n"/>
      <x:c r="J682" s="7" t="n"/>
      <x:c r="K682" s="7" t="n"/>
      <x:c r="L682" s="7" t="n"/>
      <x:c r="M682" s="7" t="n"/>
      <x:c r="N682" s="7" t="n"/>
      <x:c r="O682" s="7" t="n"/>
      <x:c r="P682" s="7" t="n"/>
      <x:c r="Q682" s="7" t="n"/>
      <x:c r="R682" s="7" t="n"/>
      <x:c r="S682" s="7" t="n"/>
      <x:c r="T682" s="7" t="n"/>
      <x:c r="U682" s="7" t="n"/>
      <x:c r="V682" s="7" t="n"/>
      <x:c r="W682" s="7" t="n"/>
      <x:c r="X682" s="7" t="n"/>
      <x:c r="Y682" s="7" t="n"/>
      <x:c r="Z682" s="7" t="n"/>
      <x:c r="AA682" s="7" t="n"/>
      <x:c r="AB682" s="7" t="n"/>
    </x:row>
    <x:row r="683" ht="20" customHeight="1">
      <x:c r="A683" s="12" t="inlineStr">
        <x:is>
          <x:t xml:space="preserve">Loudoun County Public Schools</x:t>
        </x:is>
      </x:c>
      <x:c r="B683" s="12" t="inlineStr">
        <x:is>
          <x:t xml:space="preserve">VA</x:t>
        </x:is>
      </x:c>
      <x:c r="C683" s="12" t="inlineStr">
        <x:is>
          <x:t xml:space="preserve">Master's</x:t>
        </x:is>
      </x:c>
      <x:c r="D683" s="13" t="n">
        <x:v>10</x:v>
      </x:c>
      <x:c r="E683" s="14" t="n">
        <x:v>90400</x:v>
      </x:c>
      <x:c r="F683" s="83" t="inlineStr">
        <x:is>
          <x:t xml:space="preserve">2026-06-13</x:t>
        </x:is>
      </x:c>
      <x:c r="G683" s="7" t="n"/>
      <x:c r="H683" s="7" t="n"/>
      <x:c r="I683" s="7" t="n"/>
      <x:c r="J683" s="7" t="n"/>
      <x:c r="K683" s="7" t="n"/>
      <x:c r="L683" s="7" t="n"/>
      <x:c r="M683" s="7" t="n"/>
      <x:c r="N683" s="7" t="n"/>
      <x:c r="O683" s="7" t="n"/>
      <x:c r="P683" s="7" t="n"/>
      <x:c r="Q683" s="7" t="n"/>
      <x:c r="R683" s="7" t="n"/>
      <x:c r="S683" s="7" t="n"/>
      <x:c r="T683" s="7" t="n"/>
      <x:c r="U683" s="7" t="n"/>
      <x:c r="V683" s="7" t="n"/>
      <x:c r="W683" s="7" t="n"/>
      <x:c r="X683" s="7" t="n"/>
      <x:c r="Y683" s="7" t="n"/>
      <x:c r="Z683" s="7" t="n"/>
      <x:c r="AA683" s="7" t="n"/>
      <x:c r="AB683" s="7" t="n"/>
    </x:row>
    <x:row r="684" ht="20" customHeight="1">
      <x:c r="A684" s="12" t="inlineStr">
        <x:is>
          <x:t xml:space="preserve">Madison Metropolitan School District</x:t>
        </x:is>
      </x:c>
      <x:c r="B684" s="12" t="inlineStr">
        <x:is>
          <x:t xml:space="preserve">WI</x:t>
        </x:is>
      </x:c>
      <x:c r="C684" s="12" t="inlineStr">
        <x:is>
          <x:t xml:space="preserve">Bachelor's</x:t>
        </x:is>
      </x:c>
      <x:c r="D684" s="13" t="n">
        <x:v>0</x:v>
      </x:c>
      <x:c r="E684" s="14" t="n">
        <x:v>57587</x:v>
      </x:c>
      <x:c r="F684" s="83" t="inlineStr">
        <x:is>
          <x:t xml:space="preserve">2026-06-11</x:t>
        </x:is>
      </x:c>
      <x:c r="G684" s="7" t="n"/>
      <x:c r="H684" s="7" t="n"/>
      <x:c r="I684" s="7" t="n"/>
      <x:c r="J684" s="7" t="n"/>
      <x:c r="K684" s="7" t="n"/>
      <x:c r="L684" s="7" t="n"/>
      <x:c r="M684" s="7" t="n"/>
      <x:c r="N684" s="7" t="n"/>
      <x:c r="O684" s="7" t="n"/>
      <x:c r="P684" s="7" t="n"/>
      <x:c r="Q684" s="7" t="n"/>
      <x:c r="R684" s="7" t="n"/>
      <x:c r="S684" s="7" t="n"/>
      <x:c r="T684" s="7" t="n"/>
      <x:c r="U684" s="7" t="n"/>
      <x:c r="V684" s="7" t="n"/>
      <x:c r="W684" s="7" t="n"/>
      <x:c r="X684" s="7" t="n"/>
      <x:c r="Y684" s="7" t="n"/>
      <x:c r="Z684" s="7" t="n"/>
      <x:c r="AA684" s="7" t="n"/>
      <x:c r="AB684" s="7" t="n"/>
    </x:row>
    <x:row r="685" ht="20" customHeight="1">
      <x:c r="A685" s="12" t="inlineStr">
        <x:is>
          <x:t xml:space="preserve">Madison Metropolitan School District</x:t>
        </x:is>
      </x:c>
      <x:c r="B685" s="12" t="inlineStr">
        <x:is>
          <x:t xml:space="preserve">WI</x:t>
        </x:is>
      </x:c>
      <x:c r="C685" s="12" t="inlineStr">
        <x:is>
          <x:t xml:space="preserve">Bachelor's</x:t>
        </x:is>
      </x:c>
      <x:c r="D685" s="13" t="n">
        <x:v>1</x:v>
      </x:c>
      <x:c r="E685" s="14" t="n">
        <x:v>59847</x:v>
      </x:c>
      <x:c r="F685" s="83" t="inlineStr">
        <x:is>
          <x:t xml:space="preserve">2026-06-11</x:t>
        </x:is>
      </x:c>
      <x:c r="G685" s="7" t="n"/>
      <x:c r="H685" s="7" t="n"/>
      <x:c r="I685" s="7" t="n"/>
      <x:c r="J685" s="7" t="n"/>
      <x:c r="K685" s="7" t="n"/>
      <x:c r="L685" s="7" t="n"/>
      <x:c r="M685" s="7" t="n"/>
      <x:c r="N685" s="7" t="n"/>
      <x:c r="O685" s="7" t="n"/>
      <x:c r="P685" s="7" t="n"/>
      <x:c r="Q685" s="7" t="n"/>
      <x:c r="R685" s="7" t="n"/>
      <x:c r="S685" s="7" t="n"/>
      <x:c r="T685" s="7" t="n"/>
      <x:c r="U685" s="7" t="n"/>
      <x:c r="V685" s="7" t="n"/>
      <x:c r="W685" s="7" t="n"/>
      <x:c r="X685" s="7" t="n"/>
      <x:c r="Y685" s="7" t="n"/>
      <x:c r="Z685" s="7" t="n"/>
      <x:c r="AA685" s="7" t="n"/>
      <x:c r="AB685" s="7" t="n"/>
    </x:row>
    <x:row r="686" ht="20" customHeight="1">
      <x:c r="A686" s="12" t="inlineStr">
        <x:is>
          <x:t xml:space="preserve">Madison Metropolitan School District</x:t>
        </x:is>
      </x:c>
      <x:c r="B686" s="12" t="inlineStr">
        <x:is>
          <x:t xml:space="preserve">WI</x:t>
        </x:is>
      </x:c>
      <x:c r="C686" s="12" t="inlineStr">
        <x:is>
          <x:t xml:space="preserve">Bachelor's</x:t>
        </x:is>
      </x:c>
      <x:c r="D686" s="13" t="n">
        <x:v>2</x:v>
      </x:c>
      <x:c r="E686" s="14" t="n">
        <x:v>62105</x:v>
      </x:c>
      <x:c r="F686" s="83" t="inlineStr">
        <x:is>
          <x:t xml:space="preserve">2026-06-11</x:t>
        </x:is>
      </x:c>
      <x:c r="G686" s="7" t="n"/>
      <x:c r="H686" s="7" t="n"/>
      <x:c r="I686" s="7" t="n"/>
      <x:c r="J686" s="7" t="n"/>
      <x:c r="K686" s="7" t="n"/>
      <x:c r="L686" s="7" t="n"/>
      <x:c r="M686" s="7" t="n"/>
      <x:c r="N686" s="7" t="n"/>
      <x:c r="O686" s="7" t="n"/>
      <x:c r="P686" s="7" t="n"/>
      <x:c r="Q686" s="7" t="n"/>
      <x:c r="R686" s="7" t="n"/>
      <x:c r="S686" s="7" t="n"/>
      <x:c r="T686" s="7" t="n"/>
      <x:c r="U686" s="7" t="n"/>
      <x:c r="V686" s="7" t="n"/>
      <x:c r="W686" s="7" t="n"/>
      <x:c r="X686" s="7" t="n"/>
      <x:c r="Y686" s="7" t="n"/>
      <x:c r="Z686" s="7" t="n"/>
      <x:c r="AA686" s="7" t="n"/>
      <x:c r="AB686" s="7" t="n"/>
    </x:row>
    <x:row r="687" ht="20" customHeight="1">
      <x:c r="A687" s="12" t="inlineStr">
        <x:is>
          <x:t xml:space="preserve">Madison Metropolitan School District</x:t>
        </x:is>
      </x:c>
      <x:c r="B687" s="12" t="inlineStr">
        <x:is>
          <x:t xml:space="preserve">WI</x:t>
        </x:is>
      </x:c>
      <x:c r="C687" s="12" t="inlineStr">
        <x:is>
          <x:t xml:space="preserve">Bachelor's</x:t>
        </x:is>
      </x:c>
      <x:c r="D687" s="13" t="n">
        <x:v>3</x:v>
      </x:c>
      <x:c r="E687" s="14" t="n">
        <x:v>64365</x:v>
      </x:c>
      <x:c r="F687" s="83" t="inlineStr">
        <x:is>
          <x:t xml:space="preserve">2026-06-11</x:t>
        </x:is>
      </x:c>
      <x:c r="G687" s="7" t="n"/>
      <x:c r="H687" s="7" t="n"/>
      <x:c r="I687" s="7" t="n"/>
      <x:c r="J687" s="7" t="n"/>
      <x:c r="K687" s="7" t="n"/>
      <x:c r="L687" s="7" t="n"/>
      <x:c r="M687" s="7" t="n"/>
      <x:c r="N687" s="7" t="n"/>
      <x:c r="O687" s="7" t="n"/>
      <x:c r="P687" s="7" t="n"/>
      <x:c r="Q687" s="7" t="n"/>
      <x:c r="R687" s="7" t="n"/>
      <x:c r="S687" s="7" t="n"/>
      <x:c r="T687" s="7" t="n"/>
      <x:c r="U687" s="7" t="n"/>
      <x:c r="V687" s="7" t="n"/>
      <x:c r="W687" s="7" t="n"/>
      <x:c r="X687" s="7" t="n"/>
      <x:c r="Y687" s="7" t="n"/>
      <x:c r="Z687" s="7" t="n"/>
      <x:c r="AA687" s="7" t="n"/>
      <x:c r="AB687" s="7" t="n"/>
    </x:row>
    <x:row r="688" ht="20" customHeight="1">
      <x:c r="A688" s="12" t="inlineStr">
        <x:is>
          <x:t xml:space="preserve">Madison Metropolitan School District</x:t>
        </x:is>
      </x:c>
      <x:c r="B688" s="12" t="inlineStr">
        <x:is>
          <x:t xml:space="preserve">WI</x:t>
        </x:is>
      </x:c>
      <x:c r="C688" s="12" t="inlineStr">
        <x:is>
          <x:t xml:space="preserve">Bachelor's</x:t>
        </x:is>
      </x:c>
      <x:c r="D688" s="13" t="n">
        <x:v>4</x:v>
      </x:c>
      <x:c r="E688" s="14" t="n">
        <x:v>66625</x:v>
      </x:c>
      <x:c r="F688" s="83" t="inlineStr">
        <x:is>
          <x:t xml:space="preserve">2026-06-11</x:t>
        </x:is>
      </x:c>
      <x:c r="G688" s="7" t="n"/>
      <x:c r="H688" s="7" t="n"/>
      <x:c r="I688" s="7" t="n"/>
      <x:c r="J688" s="7" t="n"/>
      <x:c r="K688" s="7" t="n"/>
      <x:c r="L688" s="7" t="n"/>
      <x:c r="M688" s="7" t="n"/>
      <x:c r="N688" s="7" t="n"/>
      <x:c r="O688" s="7" t="n"/>
      <x:c r="P688" s="7" t="n"/>
      <x:c r="Q688" s="7" t="n"/>
      <x:c r="R688" s="7" t="n"/>
      <x:c r="S688" s="7" t="n"/>
      <x:c r="T688" s="7" t="n"/>
      <x:c r="U688" s="7" t="n"/>
      <x:c r="V688" s="7" t="n"/>
      <x:c r="W688" s="7" t="n"/>
      <x:c r="X688" s="7" t="n"/>
      <x:c r="Y688" s="7" t="n"/>
      <x:c r="Z688" s="7" t="n"/>
      <x:c r="AA688" s="7" t="n"/>
      <x:c r="AB688" s="7" t="n"/>
    </x:row>
    <x:row r="689" ht="20" customHeight="1">
      <x:c r="A689" s="12" t="inlineStr">
        <x:is>
          <x:t xml:space="preserve">Madison Metropolitan School District</x:t>
        </x:is>
      </x:c>
      <x:c r="B689" s="12" t="inlineStr">
        <x:is>
          <x:t xml:space="preserve">WI</x:t>
        </x:is>
      </x:c>
      <x:c r="C689" s="12" t="inlineStr">
        <x:is>
          <x:t xml:space="preserve">Bachelor's</x:t>
        </x:is>
      </x:c>
      <x:c r="D689" s="13" t="n">
        <x:v>5</x:v>
      </x:c>
      <x:c r="E689" s="14" t="n">
        <x:v>68880</x:v>
      </x:c>
      <x:c r="F689" s="83" t="inlineStr">
        <x:is>
          <x:t xml:space="preserve">2026-06-11</x:t>
        </x:is>
      </x:c>
      <x:c r="G689" s="7" t="n"/>
      <x:c r="H689" s="7" t="n"/>
      <x:c r="I689" s="7" t="n"/>
      <x:c r="J689" s="7" t="n"/>
      <x:c r="K689" s="7" t="n"/>
      <x:c r="L689" s="7" t="n"/>
      <x:c r="M689" s="7" t="n"/>
      <x:c r="N689" s="7" t="n"/>
      <x:c r="O689" s="7" t="n"/>
      <x:c r="P689" s="7" t="n"/>
      <x:c r="Q689" s="7" t="n"/>
      <x:c r="R689" s="7" t="n"/>
      <x:c r="S689" s="7" t="n"/>
      <x:c r="T689" s="7" t="n"/>
      <x:c r="U689" s="7" t="n"/>
      <x:c r="V689" s="7" t="n"/>
      <x:c r="W689" s="7" t="n"/>
      <x:c r="X689" s="7" t="n"/>
      <x:c r="Y689" s="7" t="n"/>
      <x:c r="Z689" s="7" t="n"/>
      <x:c r="AA689" s="7" t="n"/>
      <x:c r="AB689" s="7" t="n"/>
    </x:row>
    <x:row r="690" ht="20" customHeight="1">
      <x:c r="A690" s="12" t="inlineStr">
        <x:is>
          <x:t xml:space="preserve">Madison Metropolitan School District</x:t>
        </x:is>
      </x:c>
      <x:c r="B690" s="12" t="inlineStr">
        <x:is>
          <x:t xml:space="preserve">WI</x:t>
        </x:is>
      </x:c>
      <x:c r="C690" s="12" t="inlineStr">
        <x:is>
          <x:t xml:space="preserve">Bachelor's</x:t>
        </x:is>
      </x:c>
      <x:c r="D690" s="13" t="n">
        <x:v>6</x:v>
      </x:c>
      <x:c r="E690" s="14" t="n">
        <x:v>71140</x:v>
      </x:c>
      <x:c r="F690" s="83" t="inlineStr">
        <x:is>
          <x:t xml:space="preserve">2026-06-11</x:t>
        </x:is>
      </x:c>
      <x:c r="G690" s="7" t="n"/>
      <x:c r="H690" s="7" t="n"/>
      <x:c r="I690" s="7" t="n"/>
      <x:c r="J690" s="7" t="n"/>
      <x:c r="K690" s="7" t="n"/>
      <x:c r="L690" s="7" t="n"/>
      <x:c r="M690" s="7" t="n"/>
      <x:c r="N690" s="7" t="n"/>
      <x:c r="O690" s="7" t="n"/>
      <x:c r="P690" s="7" t="n"/>
      <x:c r="Q690" s="7" t="n"/>
      <x:c r="R690" s="7" t="n"/>
      <x:c r="S690" s="7" t="n"/>
      <x:c r="T690" s="7" t="n"/>
      <x:c r="U690" s="7" t="n"/>
      <x:c r="V690" s="7" t="n"/>
      <x:c r="W690" s="7" t="n"/>
      <x:c r="X690" s="7" t="n"/>
      <x:c r="Y690" s="7" t="n"/>
      <x:c r="Z690" s="7" t="n"/>
      <x:c r="AA690" s="7" t="n"/>
      <x:c r="AB690" s="7" t="n"/>
    </x:row>
    <x:row r="691" ht="20" customHeight="1">
      <x:c r="A691" s="12" t="inlineStr">
        <x:is>
          <x:t xml:space="preserve">Madison Metropolitan School District</x:t>
        </x:is>
      </x:c>
      <x:c r="B691" s="12" t="inlineStr">
        <x:is>
          <x:t xml:space="preserve">WI</x:t>
        </x:is>
      </x:c>
      <x:c r="C691" s="12" t="inlineStr">
        <x:is>
          <x:t xml:space="preserve">Bachelor's</x:t>
        </x:is>
      </x:c>
      <x:c r="D691" s="13" t="n">
        <x:v>7</x:v>
      </x:c>
      <x:c r="E691" s="14" t="n">
        <x:v>73534</x:v>
      </x:c>
      <x:c r="F691" s="83" t="inlineStr">
        <x:is>
          <x:t xml:space="preserve">2026-06-11</x:t>
        </x:is>
      </x:c>
      <x:c r="G691" s="7" t="n"/>
      <x:c r="H691" s="7" t="n"/>
      <x:c r="I691" s="7" t="n"/>
      <x:c r="J691" s="7" t="n"/>
      <x:c r="K691" s="7" t="n"/>
      <x:c r="L691" s="7" t="n"/>
      <x:c r="M691" s="7" t="n"/>
      <x:c r="N691" s="7" t="n"/>
      <x:c r="O691" s="7" t="n"/>
      <x:c r="P691" s="7" t="n"/>
      <x:c r="Q691" s="7" t="n"/>
      <x:c r="R691" s="7" t="n"/>
      <x:c r="S691" s="7" t="n"/>
      <x:c r="T691" s="7" t="n"/>
      <x:c r="U691" s="7" t="n"/>
      <x:c r="V691" s="7" t="n"/>
      <x:c r="W691" s="7" t="n"/>
      <x:c r="X691" s="7" t="n"/>
      <x:c r="Y691" s="7" t="n"/>
      <x:c r="Z691" s="7" t="n"/>
      <x:c r="AA691" s="7" t="n"/>
      <x:c r="AB691" s="7" t="n"/>
    </x:row>
    <x:row r="692" ht="20" customHeight="1">
      <x:c r="A692" s="12" t="inlineStr">
        <x:is>
          <x:t xml:space="preserve">Madison Metropolitan School District</x:t>
        </x:is>
      </x:c>
      <x:c r="B692" s="12" t="inlineStr">
        <x:is>
          <x:t xml:space="preserve">WI</x:t>
        </x:is>
      </x:c>
      <x:c r="C692" s="12" t="inlineStr">
        <x:is>
          <x:t xml:space="preserve">Bachelor's</x:t>
        </x:is>
      </x:c>
      <x:c r="D692" s="13" t="n">
        <x:v>8</x:v>
      </x:c>
      <x:c r="E692" s="14" t="n">
        <x:v>74178</x:v>
      </x:c>
      <x:c r="F692" s="83" t="inlineStr">
        <x:is>
          <x:t xml:space="preserve">2026-06-11</x:t>
        </x:is>
      </x:c>
      <x:c r="G692" s="7" t="n"/>
      <x:c r="H692" s="7" t="n"/>
      <x:c r="I692" s="7" t="n"/>
      <x:c r="J692" s="7" t="n"/>
      <x:c r="K692" s="7" t="n"/>
      <x:c r="L692" s="7" t="n"/>
      <x:c r="M692" s="7" t="n"/>
      <x:c r="N692" s="7" t="n"/>
      <x:c r="O692" s="7" t="n"/>
      <x:c r="P692" s="7" t="n"/>
      <x:c r="Q692" s="7" t="n"/>
      <x:c r="R692" s="7" t="n"/>
      <x:c r="S692" s="7" t="n"/>
      <x:c r="T692" s="7" t="n"/>
      <x:c r="U692" s="7" t="n"/>
      <x:c r="V692" s="7" t="n"/>
      <x:c r="W692" s="7" t="n"/>
      <x:c r="X692" s="7" t="n"/>
      <x:c r="Y692" s="7" t="n"/>
      <x:c r="Z692" s="7" t="n"/>
      <x:c r="AA692" s="7" t="n"/>
      <x:c r="AB692" s="7" t="n"/>
    </x:row>
    <x:row r="693" ht="20" customHeight="1">
      <x:c r="A693" s="12" t="inlineStr">
        <x:is>
          <x:t xml:space="preserve">Madison Metropolitan School District</x:t>
        </x:is>
      </x:c>
      <x:c r="B693" s="12" t="inlineStr">
        <x:is>
          <x:t xml:space="preserve">WI</x:t>
        </x:is>
      </x:c>
      <x:c r="C693" s="12" t="inlineStr">
        <x:is>
          <x:t xml:space="preserve">Bachelor's</x:t>
        </x:is>
      </x:c>
      <x:c r="D693" s="13" t="n">
        <x:v>9</x:v>
      </x:c>
      <x:c r="E693" s="14" t="n">
        <x:v>74821</x:v>
      </x:c>
      <x:c r="F693" s="83" t="inlineStr">
        <x:is>
          <x:t xml:space="preserve">2026-06-11</x:t>
        </x:is>
      </x:c>
      <x:c r="G693" s="7" t="n"/>
      <x:c r="H693" s="7" t="n"/>
      <x:c r="I693" s="7" t="n"/>
      <x:c r="J693" s="7" t="n"/>
      <x:c r="K693" s="7" t="n"/>
      <x:c r="L693" s="7" t="n"/>
      <x:c r="M693" s="7" t="n"/>
      <x:c r="N693" s="7" t="n"/>
      <x:c r="O693" s="7" t="n"/>
      <x:c r="P693" s="7" t="n"/>
      <x:c r="Q693" s="7" t="n"/>
      <x:c r="R693" s="7" t="n"/>
      <x:c r="S693" s="7" t="n"/>
      <x:c r="T693" s="7" t="n"/>
      <x:c r="U693" s="7" t="n"/>
      <x:c r="V693" s="7" t="n"/>
      <x:c r="W693" s="7" t="n"/>
      <x:c r="X693" s="7" t="n"/>
      <x:c r="Y693" s="7" t="n"/>
      <x:c r="Z693" s="7" t="n"/>
      <x:c r="AA693" s="7" t="n"/>
      <x:c r="AB693" s="7" t="n"/>
    </x:row>
    <x:row r="694" ht="20" customHeight="1">
      <x:c r="A694" s="12" t="inlineStr">
        <x:is>
          <x:t xml:space="preserve">Madison Metropolitan School District</x:t>
        </x:is>
      </x:c>
      <x:c r="B694" s="12" t="inlineStr">
        <x:is>
          <x:t xml:space="preserve">WI</x:t>
        </x:is>
      </x:c>
      <x:c r="C694" s="12" t="inlineStr">
        <x:is>
          <x:t xml:space="preserve">Bachelor's</x:t>
        </x:is>
      </x:c>
      <x:c r="D694" s="13" t="n">
        <x:v>10</x:v>
      </x:c>
      <x:c r="E694" s="14" t="n">
        <x:v>75476</x:v>
      </x:c>
      <x:c r="F694" s="83" t="inlineStr">
        <x:is>
          <x:t xml:space="preserve">2026-06-11</x:t>
        </x:is>
      </x:c>
      <x:c r="G694" s="7" t="n"/>
      <x:c r="H694" s="7" t="n"/>
      <x:c r="I694" s="7" t="n"/>
      <x:c r="J694" s="7" t="n"/>
      <x:c r="K694" s="7" t="n"/>
      <x:c r="L694" s="7" t="n"/>
      <x:c r="M694" s="7" t="n"/>
      <x:c r="N694" s="7" t="n"/>
      <x:c r="O694" s="7" t="n"/>
      <x:c r="P694" s="7" t="n"/>
      <x:c r="Q694" s="7" t="n"/>
      <x:c r="R694" s="7" t="n"/>
      <x:c r="S694" s="7" t="n"/>
      <x:c r="T694" s="7" t="n"/>
      <x:c r="U694" s="7" t="n"/>
      <x:c r="V694" s="7" t="n"/>
      <x:c r="W694" s="7" t="n"/>
      <x:c r="X694" s="7" t="n"/>
      <x:c r="Y694" s="7" t="n"/>
      <x:c r="Z694" s="7" t="n"/>
      <x:c r="AA694" s="7" t="n"/>
      <x:c r="AB694" s="7" t="n"/>
    </x:row>
    <x:row r="695" ht="20" customHeight="1">
      <x:c r="A695" s="12" t="inlineStr">
        <x:is>
          <x:t xml:space="preserve">Madison Metropolitan School District</x:t>
        </x:is>
      </x:c>
      <x:c r="B695" s="12" t="inlineStr">
        <x:is>
          <x:t xml:space="preserve">WI</x:t>
        </x:is>
      </x:c>
      <x:c r="C695" s="12" t="inlineStr">
        <x:is>
          <x:t xml:space="preserve">Master's</x:t>
        </x:is>
      </x:c>
      <x:c r="D695" s="13" t="n">
        <x:v>0</x:v>
      </x:c>
      <x:c r="E695" s="14" t="n">
        <x:v>62105</x:v>
      </x:c>
      <x:c r="F695" s="83" t="inlineStr">
        <x:is>
          <x:t xml:space="preserve">2026-06-11</x:t>
        </x:is>
      </x:c>
      <x:c r="G695" s="7" t="n"/>
      <x:c r="H695" s="7" t="n"/>
      <x:c r="I695" s="7" t="n"/>
      <x:c r="J695" s="7" t="n"/>
      <x:c r="K695" s="7" t="n"/>
      <x:c r="L695" s="7" t="n"/>
      <x:c r="M695" s="7" t="n"/>
      <x:c r="N695" s="7" t="n"/>
      <x:c r="O695" s="7" t="n"/>
      <x:c r="P695" s="7" t="n"/>
      <x:c r="Q695" s="7" t="n"/>
      <x:c r="R695" s="7" t="n"/>
      <x:c r="S695" s="7" t="n"/>
      <x:c r="T695" s="7" t="n"/>
      <x:c r="U695" s="7" t="n"/>
      <x:c r="V695" s="7" t="n"/>
      <x:c r="W695" s="7" t="n"/>
      <x:c r="X695" s="7" t="n"/>
      <x:c r="Y695" s="7" t="n"/>
      <x:c r="Z695" s="7" t="n"/>
      <x:c r="AA695" s="7" t="n"/>
      <x:c r="AB695" s="7" t="n"/>
    </x:row>
    <x:row r="696" ht="20" customHeight="1">
      <x:c r="A696" s="12" t="inlineStr">
        <x:is>
          <x:t xml:space="preserve">Madison Metropolitan School District</x:t>
        </x:is>
      </x:c>
      <x:c r="B696" s="12" t="inlineStr">
        <x:is>
          <x:t xml:space="preserve">WI</x:t>
        </x:is>
      </x:c>
      <x:c r="C696" s="12" t="inlineStr">
        <x:is>
          <x:t xml:space="preserve">Master's</x:t>
        </x:is>
      </x:c>
      <x:c r="D696" s="13" t="n">
        <x:v>1</x:v>
      </x:c>
      <x:c r="E696" s="14" t="n">
        <x:v>64365</x:v>
      </x:c>
      <x:c r="F696" s="83" t="inlineStr">
        <x:is>
          <x:t xml:space="preserve">2026-06-11</x:t>
        </x:is>
      </x:c>
      <x:c r="G696" s="7" t="n"/>
      <x:c r="H696" s="7" t="n"/>
      <x:c r="I696" s="7" t="n"/>
      <x:c r="J696" s="7" t="n"/>
      <x:c r="K696" s="7" t="n"/>
      <x:c r="L696" s="7" t="n"/>
      <x:c r="M696" s="7" t="n"/>
      <x:c r="N696" s="7" t="n"/>
      <x:c r="O696" s="7" t="n"/>
      <x:c r="P696" s="7" t="n"/>
      <x:c r="Q696" s="7" t="n"/>
      <x:c r="R696" s="7" t="n"/>
      <x:c r="S696" s="7" t="n"/>
      <x:c r="T696" s="7" t="n"/>
      <x:c r="U696" s="7" t="n"/>
      <x:c r="V696" s="7" t="n"/>
      <x:c r="W696" s="7" t="n"/>
      <x:c r="X696" s="7" t="n"/>
      <x:c r="Y696" s="7" t="n"/>
      <x:c r="Z696" s="7" t="n"/>
      <x:c r="AA696" s="7" t="n"/>
      <x:c r="AB696" s="7" t="n"/>
    </x:row>
    <x:row r="697" ht="20" customHeight="1">
      <x:c r="A697" s="12" t="inlineStr">
        <x:is>
          <x:t xml:space="preserve">Madison Metropolitan School District</x:t>
        </x:is>
      </x:c>
      <x:c r="B697" s="12" t="inlineStr">
        <x:is>
          <x:t xml:space="preserve">WI</x:t>
        </x:is>
      </x:c>
      <x:c r="C697" s="12" t="inlineStr">
        <x:is>
          <x:t xml:space="preserve">Master's</x:t>
        </x:is>
      </x:c>
      <x:c r="D697" s="13" t="n">
        <x:v>2</x:v>
      </x:c>
      <x:c r="E697" s="14" t="n">
        <x:v>66625</x:v>
      </x:c>
      <x:c r="F697" s="83" t="inlineStr">
        <x:is>
          <x:t xml:space="preserve">2026-06-11</x:t>
        </x:is>
      </x:c>
      <x:c r="G697" s="7" t="n"/>
      <x:c r="H697" s="7" t="n"/>
      <x:c r="I697" s="7" t="n"/>
      <x:c r="J697" s="7" t="n"/>
      <x:c r="K697" s="7" t="n"/>
      <x:c r="L697" s="7" t="n"/>
      <x:c r="M697" s="7" t="n"/>
      <x:c r="N697" s="7" t="n"/>
      <x:c r="O697" s="7" t="n"/>
      <x:c r="P697" s="7" t="n"/>
      <x:c r="Q697" s="7" t="n"/>
      <x:c r="R697" s="7" t="n"/>
      <x:c r="S697" s="7" t="n"/>
      <x:c r="T697" s="7" t="n"/>
      <x:c r="U697" s="7" t="n"/>
      <x:c r="V697" s="7" t="n"/>
      <x:c r="W697" s="7" t="n"/>
      <x:c r="X697" s="7" t="n"/>
      <x:c r="Y697" s="7" t="n"/>
      <x:c r="Z697" s="7" t="n"/>
      <x:c r="AA697" s="7" t="n"/>
      <x:c r="AB697" s="7" t="n"/>
    </x:row>
    <x:row r="698" ht="20" customHeight="1">
      <x:c r="A698" s="12" t="inlineStr">
        <x:is>
          <x:t xml:space="preserve">Madison Metropolitan School District</x:t>
        </x:is>
      </x:c>
      <x:c r="B698" s="12" t="inlineStr">
        <x:is>
          <x:t xml:space="preserve">WI</x:t>
        </x:is>
      </x:c>
      <x:c r="C698" s="12" t="inlineStr">
        <x:is>
          <x:t xml:space="preserve">Master's</x:t>
        </x:is>
      </x:c>
      <x:c r="D698" s="13" t="n">
        <x:v>3</x:v>
      </x:c>
      <x:c r="E698" s="14" t="n">
        <x:v>68880</x:v>
      </x:c>
      <x:c r="F698" s="83" t="inlineStr">
        <x:is>
          <x:t xml:space="preserve">2026-06-11</x:t>
        </x:is>
      </x:c>
      <x:c r="G698" s="7" t="n"/>
      <x:c r="H698" s="7" t="n"/>
      <x:c r="I698" s="7" t="n"/>
      <x:c r="J698" s="7" t="n"/>
      <x:c r="K698" s="7" t="n"/>
      <x:c r="L698" s="7" t="n"/>
      <x:c r="M698" s="7" t="n"/>
      <x:c r="N698" s="7" t="n"/>
      <x:c r="O698" s="7" t="n"/>
      <x:c r="P698" s="7" t="n"/>
      <x:c r="Q698" s="7" t="n"/>
      <x:c r="R698" s="7" t="n"/>
      <x:c r="S698" s="7" t="n"/>
      <x:c r="T698" s="7" t="n"/>
      <x:c r="U698" s="7" t="n"/>
      <x:c r="V698" s="7" t="n"/>
      <x:c r="W698" s="7" t="n"/>
      <x:c r="X698" s="7" t="n"/>
      <x:c r="Y698" s="7" t="n"/>
      <x:c r="Z698" s="7" t="n"/>
      <x:c r="AA698" s="7" t="n"/>
      <x:c r="AB698" s="7" t="n"/>
    </x:row>
    <x:row r="699" ht="20" customHeight="1">
      <x:c r="A699" s="12" t="inlineStr">
        <x:is>
          <x:t xml:space="preserve">Madison Metropolitan School District</x:t>
        </x:is>
      </x:c>
      <x:c r="B699" s="12" t="inlineStr">
        <x:is>
          <x:t xml:space="preserve">WI</x:t>
        </x:is>
      </x:c>
      <x:c r="C699" s="12" t="inlineStr">
        <x:is>
          <x:t xml:space="preserve">Master's</x:t>
        </x:is>
      </x:c>
      <x:c r="D699" s="13" t="n">
        <x:v>4</x:v>
      </x:c>
      <x:c r="E699" s="14" t="n">
        <x:v>71140</x:v>
      </x:c>
      <x:c r="F699" s="83" t="inlineStr">
        <x:is>
          <x:t xml:space="preserve">2026-06-11</x:t>
        </x:is>
      </x:c>
      <x:c r="G699" s="7" t="n"/>
      <x:c r="H699" s="7" t="n"/>
      <x:c r="I699" s="7" t="n"/>
      <x:c r="J699" s="7" t="n"/>
      <x:c r="K699" s="7" t="n"/>
      <x:c r="L699" s="7" t="n"/>
      <x:c r="M699" s="7" t="n"/>
      <x:c r="N699" s="7" t="n"/>
      <x:c r="O699" s="7" t="n"/>
      <x:c r="P699" s="7" t="n"/>
      <x:c r="Q699" s="7" t="n"/>
      <x:c r="R699" s="7" t="n"/>
      <x:c r="S699" s="7" t="n"/>
      <x:c r="T699" s="7" t="n"/>
      <x:c r="U699" s="7" t="n"/>
      <x:c r="V699" s="7" t="n"/>
      <x:c r="W699" s="7" t="n"/>
      <x:c r="X699" s="7" t="n"/>
      <x:c r="Y699" s="7" t="n"/>
      <x:c r="Z699" s="7" t="n"/>
      <x:c r="AA699" s="7" t="n"/>
      <x:c r="AB699" s="7" t="n"/>
    </x:row>
    <x:row r="700" ht="20" customHeight="1">
      <x:c r="A700" s="12" t="inlineStr">
        <x:is>
          <x:t xml:space="preserve">Madison Metropolitan School District</x:t>
        </x:is>
      </x:c>
      <x:c r="B700" s="12" t="inlineStr">
        <x:is>
          <x:t xml:space="preserve">WI</x:t>
        </x:is>
      </x:c>
      <x:c r="C700" s="12" t="inlineStr">
        <x:is>
          <x:t xml:space="preserve">Master's</x:t>
        </x:is>
      </x:c>
      <x:c r="D700" s="13" t="n">
        <x:v>5</x:v>
      </x:c>
      <x:c r="E700" s="14" t="n">
        <x:v>73398</x:v>
      </x:c>
      <x:c r="F700" s="83" t="inlineStr">
        <x:is>
          <x:t xml:space="preserve">2026-06-11</x:t>
        </x:is>
      </x:c>
      <x:c r="G700" s="7" t="n"/>
      <x:c r="H700" s="7" t="n"/>
      <x:c r="I700" s="7" t="n"/>
      <x:c r="J700" s="7" t="n"/>
      <x:c r="K700" s="7" t="n"/>
      <x:c r="L700" s="7" t="n"/>
      <x:c r="M700" s="7" t="n"/>
      <x:c r="N700" s="7" t="n"/>
      <x:c r="O700" s="7" t="n"/>
      <x:c r="P700" s="7" t="n"/>
      <x:c r="Q700" s="7" t="n"/>
      <x:c r="R700" s="7" t="n"/>
      <x:c r="S700" s="7" t="n"/>
      <x:c r="T700" s="7" t="n"/>
      <x:c r="U700" s="7" t="n"/>
      <x:c r="V700" s="7" t="n"/>
      <x:c r="W700" s="7" t="n"/>
      <x:c r="X700" s="7" t="n"/>
      <x:c r="Y700" s="7" t="n"/>
      <x:c r="Z700" s="7" t="n"/>
      <x:c r="AA700" s="7" t="n"/>
      <x:c r="AB700" s="7" t="n"/>
    </x:row>
    <x:row r="701" ht="20" customHeight="1">
      <x:c r="A701" s="12" t="inlineStr">
        <x:is>
          <x:t xml:space="preserve">Madison Metropolitan School District</x:t>
        </x:is>
      </x:c>
      <x:c r="B701" s="12" t="inlineStr">
        <x:is>
          <x:t xml:space="preserve">WI</x:t>
        </x:is>
      </x:c>
      <x:c r="C701" s="12" t="inlineStr">
        <x:is>
          <x:t xml:space="preserve">Master's</x:t>
        </x:is>
      </x:c>
      <x:c r="D701" s="13" t="n">
        <x:v>6</x:v>
      </x:c>
      <x:c r="E701" s="14" t="n">
        <x:v>75658</x:v>
      </x:c>
      <x:c r="F701" s="83" t="inlineStr">
        <x:is>
          <x:t xml:space="preserve">2026-06-11</x:t>
        </x:is>
      </x:c>
      <x:c r="G701" s="7" t="n"/>
      <x:c r="H701" s="7" t="n"/>
      <x:c r="I701" s="7" t="n"/>
      <x:c r="J701" s="7" t="n"/>
      <x:c r="K701" s="7" t="n"/>
      <x:c r="L701" s="7" t="n"/>
      <x:c r="M701" s="7" t="n"/>
      <x:c r="N701" s="7" t="n"/>
      <x:c r="O701" s="7" t="n"/>
      <x:c r="P701" s="7" t="n"/>
      <x:c r="Q701" s="7" t="n"/>
      <x:c r="R701" s="7" t="n"/>
      <x:c r="S701" s="7" t="n"/>
      <x:c r="T701" s="7" t="n"/>
      <x:c r="U701" s="7" t="n"/>
      <x:c r="V701" s="7" t="n"/>
      <x:c r="W701" s="7" t="n"/>
      <x:c r="X701" s="7" t="n"/>
      <x:c r="Y701" s="7" t="n"/>
      <x:c r="Z701" s="7" t="n"/>
      <x:c r="AA701" s="7" t="n"/>
      <x:c r="AB701" s="7" t="n"/>
    </x:row>
    <x:row r="702" ht="20" customHeight="1">
      <x:c r="A702" s="12" t="inlineStr">
        <x:is>
          <x:t xml:space="preserve">Madison Metropolitan School District</x:t>
        </x:is>
      </x:c>
      <x:c r="B702" s="12" t="inlineStr">
        <x:is>
          <x:t xml:space="preserve">WI</x:t>
        </x:is>
      </x:c>
      <x:c r="C702" s="12" t="inlineStr">
        <x:is>
          <x:t xml:space="preserve">Master's</x:t>
        </x:is>
      </x:c>
      <x:c r="D702" s="13" t="n">
        <x:v>7</x:v>
      </x:c>
      <x:c r="E702" s="14" t="n">
        <x:v>78323</x:v>
      </x:c>
      <x:c r="F702" s="83" t="inlineStr">
        <x:is>
          <x:t xml:space="preserve">2026-06-11</x:t>
        </x:is>
      </x:c>
      <x:c r="G702" s="7" t="n"/>
      <x:c r="H702" s="7" t="n"/>
      <x:c r="I702" s="7" t="n"/>
      <x:c r="J702" s="7" t="n"/>
      <x:c r="K702" s="7" t="n"/>
      <x:c r="L702" s="7" t="n"/>
      <x:c r="M702" s="7" t="n"/>
      <x:c r="N702" s="7" t="n"/>
      <x:c r="O702" s="7" t="n"/>
      <x:c r="P702" s="7" t="n"/>
      <x:c r="Q702" s="7" t="n"/>
      <x:c r="R702" s="7" t="n"/>
      <x:c r="S702" s="7" t="n"/>
      <x:c r="T702" s="7" t="n"/>
      <x:c r="U702" s="7" t="n"/>
      <x:c r="V702" s="7" t="n"/>
      <x:c r="W702" s="7" t="n"/>
      <x:c r="X702" s="7" t="n"/>
      <x:c r="Y702" s="7" t="n"/>
      <x:c r="Z702" s="7" t="n"/>
      <x:c r="AA702" s="7" t="n"/>
      <x:c r="AB702" s="7" t="n"/>
    </x:row>
    <x:row r="703" ht="20" customHeight="1">
      <x:c r="A703" s="12" t="inlineStr">
        <x:is>
          <x:t xml:space="preserve">Madison Metropolitan School District</x:t>
        </x:is>
      </x:c>
      <x:c r="B703" s="12" t="inlineStr">
        <x:is>
          <x:t xml:space="preserve">WI</x:t>
        </x:is>
      </x:c>
      <x:c r="C703" s="12" t="inlineStr">
        <x:is>
          <x:t xml:space="preserve">Master's</x:t>
        </x:is>
      </x:c>
      <x:c r="D703" s="13" t="n">
        <x:v>8</x:v>
      </x:c>
      <x:c r="E703" s="14" t="n">
        <x:v>79105</x:v>
      </x:c>
      <x:c r="F703" s="83" t="inlineStr">
        <x:is>
          <x:t xml:space="preserve">2026-06-11</x:t>
        </x:is>
      </x:c>
      <x:c r="G703" s="7" t="n"/>
      <x:c r="H703" s="7" t="n"/>
      <x:c r="I703" s="7" t="n"/>
      <x:c r="J703" s="7" t="n"/>
      <x:c r="K703" s="7" t="n"/>
      <x:c r="L703" s="7" t="n"/>
      <x:c r="M703" s="7" t="n"/>
      <x:c r="N703" s="7" t="n"/>
      <x:c r="O703" s="7" t="n"/>
      <x:c r="P703" s="7" t="n"/>
      <x:c r="Q703" s="7" t="n"/>
      <x:c r="R703" s="7" t="n"/>
      <x:c r="S703" s="7" t="n"/>
      <x:c r="T703" s="7" t="n"/>
      <x:c r="U703" s="7" t="n"/>
      <x:c r="V703" s="7" t="n"/>
      <x:c r="W703" s="7" t="n"/>
      <x:c r="X703" s="7" t="n"/>
      <x:c r="Y703" s="7" t="n"/>
      <x:c r="Z703" s="7" t="n"/>
      <x:c r="AA703" s="7" t="n"/>
      <x:c r="AB703" s="7" t="n"/>
    </x:row>
    <x:row r="704" ht="20" customHeight="1">
      <x:c r="A704" s="12" t="inlineStr">
        <x:is>
          <x:t xml:space="preserve">Madison Metropolitan School District</x:t>
        </x:is>
      </x:c>
      <x:c r="B704" s="12" t="inlineStr">
        <x:is>
          <x:t xml:space="preserve">WI</x:t>
        </x:is>
      </x:c>
      <x:c r="C704" s="12" t="inlineStr">
        <x:is>
          <x:t xml:space="preserve">Master's</x:t>
        </x:is>
      </x:c>
      <x:c r="D704" s="13" t="n">
        <x:v>9</x:v>
      </x:c>
      <x:c r="E704" s="14" t="n">
        <x:v>79890</x:v>
      </x:c>
      <x:c r="F704" s="83" t="inlineStr">
        <x:is>
          <x:t xml:space="preserve">2026-06-11</x:t>
        </x:is>
      </x:c>
      <x:c r="G704" s="7" t="n"/>
      <x:c r="H704" s="7" t="n"/>
      <x:c r="I704" s="7" t="n"/>
      <x:c r="J704" s="7" t="n"/>
      <x:c r="K704" s="7" t="n"/>
      <x:c r="L704" s="7" t="n"/>
      <x:c r="M704" s="7" t="n"/>
      <x:c r="N704" s="7" t="n"/>
      <x:c r="O704" s="7" t="n"/>
      <x:c r="P704" s="7" t="n"/>
      <x:c r="Q704" s="7" t="n"/>
      <x:c r="R704" s="7" t="n"/>
      <x:c r="S704" s="7" t="n"/>
      <x:c r="T704" s="7" t="n"/>
      <x:c r="U704" s="7" t="n"/>
      <x:c r="V704" s="7" t="n"/>
      <x:c r="W704" s="7" t="n"/>
      <x:c r="X704" s="7" t="n"/>
      <x:c r="Y704" s="7" t="n"/>
      <x:c r="Z704" s="7" t="n"/>
      <x:c r="AA704" s="7" t="n"/>
      <x:c r="AB704" s="7" t="n"/>
    </x:row>
    <x:row r="705" ht="20" customHeight="1">
      <x:c r="A705" s="12" t="inlineStr">
        <x:is>
          <x:t xml:space="preserve">Madison Metropolitan School District</x:t>
        </x:is>
      </x:c>
      <x:c r="B705" s="12" t="inlineStr">
        <x:is>
          <x:t xml:space="preserve">WI</x:t>
        </x:is>
      </x:c>
      <x:c r="C705" s="12" t="inlineStr">
        <x:is>
          <x:t xml:space="preserve">Master's</x:t>
        </x:is>
      </x:c>
      <x:c r="D705" s="13" t="n">
        <x:v>10</x:v>
      </x:c>
      <x:c r="E705" s="14" t="n">
        <x:v>80689</x:v>
      </x:c>
      <x:c r="F705" s="83" t="inlineStr">
        <x:is>
          <x:t xml:space="preserve">2026-06-11</x:t>
        </x:is>
      </x:c>
      <x:c r="G705" s="7" t="n"/>
      <x:c r="H705" s="7" t="n"/>
      <x:c r="I705" s="7" t="n"/>
      <x:c r="J705" s="7" t="n"/>
      <x:c r="K705" s="7" t="n"/>
      <x:c r="L705" s="7" t="n"/>
      <x:c r="M705" s="7" t="n"/>
      <x:c r="N705" s="7" t="n"/>
      <x:c r="O705" s="7" t="n"/>
      <x:c r="P705" s="7" t="n"/>
      <x:c r="Q705" s="7" t="n"/>
      <x:c r="R705" s="7" t="n"/>
      <x:c r="S705" s="7" t="n"/>
      <x:c r="T705" s="7" t="n"/>
      <x:c r="U705" s="7" t="n"/>
      <x:c r="V705" s="7" t="n"/>
      <x:c r="W705" s="7" t="n"/>
      <x:c r="X705" s="7" t="n"/>
      <x:c r="Y705" s="7" t="n"/>
      <x:c r="Z705" s="7" t="n"/>
      <x:c r="AA705" s="7" t="n"/>
      <x:c r="AB705" s="7" t="n"/>
    </x:row>
    <x:row r="706" ht="20" customHeight="1">
      <x:c r="A706" s="12" t="inlineStr">
        <x:is>
          <x:t xml:space="preserve">Metro Nashville Public Schools</x:t>
        </x:is>
      </x:c>
      <x:c r="B706" s="12" t="inlineStr">
        <x:is>
          <x:t xml:space="preserve">TN</x:t>
        </x:is>
      </x:c>
      <x:c r="C706" s="12" t="inlineStr">
        <x:is>
          <x:t xml:space="preserve">Bachelor's</x:t>
        </x:is>
      </x:c>
      <x:c r="D706" s="13" t="n">
        <x:v>0</x:v>
      </x:c>
      <x:c r="E706" s="14" t="n">
        <x:v>53610.04</x:v>
      </x:c>
      <x:c r="F706" s="83" t="inlineStr">
        <x:is>
          <x:t xml:space="preserve">2026-06-11</x:t>
        </x:is>
      </x:c>
      <x:c r="G706" s="7" t="n"/>
      <x:c r="H706" s="7" t="n"/>
      <x:c r="I706" s="7" t="n"/>
      <x:c r="J706" s="7" t="n"/>
      <x:c r="K706" s="7" t="n"/>
      <x:c r="L706" s="7" t="n"/>
      <x:c r="M706" s="7" t="n"/>
      <x:c r="N706" s="7" t="n"/>
      <x:c r="O706" s="7" t="n"/>
      <x:c r="P706" s="7" t="n"/>
      <x:c r="Q706" s="7" t="n"/>
      <x:c r="R706" s="7" t="n"/>
      <x:c r="S706" s="7" t="n"/>
      <x:c r="T706" s="7" t="n"/>
      <x:c r="U706" s="7" t="n"/>
      <x:c r="V706" s="7" t="n"/>
      <x:c r="W706" s="7" t="n"/>
      <x:c r="X706" s="7" t="n"/>
      <x:c r="Y706" s="7" t="n"/>
      <x:c r="Z706" s="7" t="n"/>
      <x:c r="AA706" s="7" t="n"/>
      <x:c r="AB706" s="7" t="n"/>
    </x:row>
    <x:row r="707" ht="20" customHeight="1">
      <x:c r="A707" s="12" t="inlineStr">
        <x:is>
          <x:t xml:space="preserve">Metro Nashville Public Schools</x:t>
        </x:is>
      </x:c>
      <x:c r="B707" s="12" t="inlineStr">
        <x:is>
          <x:t xml:space="preserve">TN</x:t>
        </x:is>
      </x:c>
      <x:c r="C707" s="12" t="inlineStr">
        <x:is>
          <x:t xml:space="preserve">Bachelor's</x:t>
        </x:is>
      </x:c>
      <x:c r="D707" s="13" t="n">
        <x:v>1</x:v>
      </x:c>
      <x:c r="E707" s="14" t="n">
        <x:v>54793.5</x:v>
      </x:c>
      <x:c r="F707" s="83" t="inlineStr">
        <x:is>
          <x:t xml:space="preserve">2026-06-11</x:t>
        </x:is>
      </x:c>
      <x:c r="G707" s="7" t="n"/>
      <x:c r="H707" s="7" t="n"/>
      <x:c r="I707" s="7" t="n"/>
      <x:c r="J707" s="7" t="n"/>
      <x:c r="K707" s="7" t="n"/>
      <x:c r="L707" s="7" t="n"/>
      <x:c r="M707" s="7" t="n"/>
      <x:c r="N707" s="7" t="n"/>
      <x:c r="O707" s="7" t="n"/>
      <x:c r="P707" s="7" t="n"/>
      <x:c r="Q707" s="7" t="n"/>
      <x:c r="R707" s="7" t="n"/>
      <x:c r="S707" s="7" t="n"/>
      <x:c r="T707" s="7" t="n"/>
      <x:c r="U707" s="7" t="n"/>
      <x:c r="V707" s="7" t="n"/>
      <x:c r="W707" s="7" t="n"/>
      <x:c r="X707" s="7" t="n"/>
      <x:c r="Y707" s="7" t="n"/>
      <x:c r="Z707" s="7" t="n"/>
      <x:c r="AA707" s="7" t="n"/>
      <x:c r="AB707" s="7" t="n"/>
    </x:row>
    <x:row r="708" ht="20" customHeight="1">
      <x:c r="A708" s="12" t="inlineStr">
        <x:is>
          <x:t xml:space="preserve">Metro Nashville Public Schools</x:t>
        </x:is>
      </x:c>
      <x:c r="B708" s="12" t="inlineStr">
        <x:is>
          <x:t xml:space="preserve">TN</x:t>
        </x:is>
      </x:c>
      <x:c r="C708" s="12" t="inlineStr">
        <x:is>
          <x:t xml:space="preserve">Bachelor's</x:t>
        </x:is>
      </x:c>
      <x:c r="D708" s="13" t="n">
        <x:v>2</x:v>
      </x:c>
      <x:c r="E708" s="14" t="n">
        <x:v>55976.96</x:v>
      </x:c>
      <x:c r="F708" s="83" t="inlineStr">
        <x:is>
          <x:t xml:space="preserve">2026-06-11</x:t>
        </x:is>
      </x:c>
      <x:c r="G708" s="7" t="n"/>
      <x:c r="H708" s="7" t="n"/>
      <x:c r="I708" s="7" t="n"/>
      <x:c r="J708" s="7" t="n"/>
      <x:c r="K708" s="7" t="n"/>
      <x:c r="L708" s="7" t="n"/>
      <x:c r="M708" s="7" t="n"/>
      <x:c r="N708" s="7" t="n"/>
      <x:c r="O708" s="7" t="n"/>
      <x:c r="P708" s="7" t="n"/>
      <x:c r="Q708" s="7" t="n"/>
      <x:c r="R708" s="7" t="n"/>
      <x:c r="S708" s="7" t="n"/>
      <x:c r="T708" s="7" t="n"/>
      <x:c r="U708" s="7" t="n"/>
      <x:c r="V708" s="7" t="n"/>
      <x:c r="W708" s="7" t="n"/>
      <x:c r="X708" s="7" t="n"/>
      <x:c r="Y708" s="7" t="n"/>
      <x:c r="Z708" s="7" t="n"/>
      <x:c r="AA708" s="7" t="n"/>
      <x:c r="AB708" s="7" t="n"/>
    </x:row>
    <x:row r="709" ht="20" customHeight="1">
      <x:c r="A709" s="12" t="inlineStr">
        <x:is>
          <x:t xml:space="preserve">Metro Nashville Public Schools</x:t>
        </x:is>
      </x:c>
      <x:c r="B709" s="12" t="inlineStr">
        <x:is>
          <x:t xml:space="preserve">TN</x:t>
        </x:is>
      </x:c>
      <x:c r="C709" s="12" t="inlineStr">
        <x:is>
          <x:t xml:space="preserve">Bachelor's</x:t>
        </x:is>
      </x:c>
      <x:c r="D709" s="13" t="n">
        <x:v>3</x:v>
      </x:c>
      <x:c r="E709" s="14" t="n">
        <x:v>57160.42</x:v>
      </x:c>
      <x:c r="F709" s="83" t="inlineStr">
        <x:is>
          <x:t xml:space="preserve">2026-06-11</x:t>
        </x:is>
      </x:c>
      <x:c r="G709" s="7" t="n"/>
      <x:c r="H709" s="7" t="n"/>
      <x:c r="I709" s="7" t="n"/>
      <x:c r="J709" s="7" t="n"/>
      <x:c r="K709" s="7" t="n"/>
      <x:c r="L709" s="7" t="n"/>
      <x:c r="M709" s="7" t="n"/>
      <x:c r="N709" s="7" t="n"/>
      <x:c r="O709" s="7" t="n"/>
      <x:c r="P709" s="7" t="n"/>
      <x:c r="Q709" s="7" t="n"/>
      <x:c r="R709" s="7" t="n"/>
      <x:c r="S709" s="7" t="n"/>
      <x:c r="T709" s="7" t="n"/>
      <x:c r="U709" s="7" t="n"/>
      <x:c r="V709" s="7" t="n"/>
      <x:c r="W709" s="7" t="n"/>
      <x:c r="X709" s="7" t="n"/>
      <x:c r="Y709" s="7" t="n"/>
      <x:c r="Z709" s="7" t="n"/>
      <x:c r="AA709" s="7" t="n"/>
      <x:c r="AB709" s="7" t="n"/>
    </x:row>
    <x:row r="710" ht="20" customHeight="1">
      <x:c r="A710" s="12" t="inlineStr">
        <x:is>
          <x:t xml:space="preserve">Metro Nashville Public Schools</x:t>
        </x:is>
      </x:c>
      <x:c r="B710" s="12" t="inlineStr">
        <x:is>
          <x:t xml:space="preserve">TN</x:t>
        </x:is>
      </x:c>
      <x:c r="C710" s="12" t="inlineStr">
        <x:is>
          <x:t xml:space="preserve">Bachelor's</x:t>
        </x:is>
      </x:c>
      <x:c r="D710" s="13" t="n">
        <x:v>4</x:v>
      </x:c>
      <x:c r="E710" s="14" t="n">
        <x:v>58343.88</x:v>
      </x:c>
      <x:c r="F710" s="83" t="inlineStr">
        <x:is>
          <x:t xml:space="preserve">2026-06-11</x:t>
        </x:is>
      </x:c>
      <x:c r="G710" s="7" t="n"/>
      <x:c r="H710" s="7" t="n"/>
      <x:c r="I710" s="7" t="n"/>
      <x:c r="J710" s="7" t="n"/>
      <x:c r="K710" s="7" t="n"/>
      <x:c r="L710" s="7" t="n"/>
      <x:c r="M710" s="7" t="n"/>
      <x:c r="N710" s="7" t="n"/>
      <x:c r="O710" s="7" t="n"/>
      <x:c r="P710" s="7" t="n"/>
      <x:c r="Q710" s="7" t="n"/>
      <x:c r="R710" s="7" t="n"/>
      <x:c r="S710" s="7" t="n"/>
      <x:c r="T710" s="7" t="n"/>
      <x:c r="U710" s="7" t="n"/>
      <x:c r="V710" s="7" t="n"/>
      <x:c r="W710" s="7" t="n"/>
      <x:c r="X710" s="7" t="n"/>
      <x:c r="Y710" s="7" t="n"/>
      <x:c r="Z710" s="7" t="n"/>
      <x:c r="AA710" s="7" t="n"/>
      <x:c r="AB710" s="7" t="n"/>
    </x:row>
    <x:row r="711" ht="20" customHeight="1">
      <x:c r="A711" s="12" t="inlineStr">
        <x:is>
          <x:t xml:space="preserve">Metro Nashville Public Schools</x:t>
        </x:is>
      </x:c>
      <x:c r="B711" s="12" t="inlineStr">
        <x:is>
          <x:t xml:space="preserve">TN</x:t>
        </x:is>
      </x:c>
      <x:c r="C711" s="12" t="inlineStr">
        <x:is>
          <x:t xml:space="preserve">Bachelor's</x:t>
        </x:is>
      </x:c>
      <x:c r="D711" s="13" t="n">
        <x:v>5</x:v>
      </x:c>
      <x:c r="E711" s="14" t="n">
        <x:v>59527.35</x:v>
      </x:c>
      <x:c r="F711" s="83" t="inlineStr">
        <x:is>
          <x:t xml:space="preserve">2026-06-11</x:t>
        </x:is>
      </x:c>
      <x:c r="G711" s="7" t="n"/>
      <x:c r="H711" s="7" t="n"/>
      <x:c r="I711" s="7" t="n"/>
      <x:c r="J711" s="7" t="n"/>
      <x:c r="K711" s="7" t="n"/>
      <x:c r="L711" s="7" t="n"/>
      <x:c r="M711" s="7" t="n"/>
      <x:c r="N711" s="7" t="n"/>
      <x:c r="O711" s="7" t="n"/>
      <x:c r="P711" s="7" t="n"/>
      <x:c r="Q711" s="7" t="n"/>
      <x:c r="R711" s="7" t="n"/>
      <x:c r="S711" s="7" t="n"/>
      <x:c r="T711" s="7" t="n"/>
      <x:c r="U711" s="7" t="n"/>
      <x:c r="V711" s="7" t="n"/>
      <x:c r="W711" s="7" t="n"/>
      <x:c r="X711" s="7" t="n"/>
      <x:c r="Y711" s="7" t="n"/>
      <x:c r="Z711" s="7" t="n"/>
      <x:c r="AA711" s="7" t="n"/>
      <x:c r="AB711" s="7" t="n"/>
    </x:row>
    <x:row r="712" ht="20" customHeight="1">
      <x:c r="A712" s="12" t="inlineStr">
        <x:is>
          <x:t xml:space="preserve">Metro Nashville Public Schools</x:t>
        </x:is>
      </x:c>
      <x:c r="B712" s="12" t="inlineStr">
        <x:is>
          <x:t xml:space="preserve">TN</x:t>
        </x:is>
      </x:c>
      <x:c r="C712" s="12" t="inlineStr">
        <x:is>
          <x:t xml:space="preserve">Bachelor's</x:t>
        </x:is>
      </x:c>
      <x:c r="D712" s="13" t="n">
        <x:v>6</x:v>
      </x:c>
      <x:c r="E712" s="14" t="n">
        <x:v>60710.81</x:v>
      </x:c>
      <x:c r="F712" s="83" t="inlineStr">
        <x:is>
          <x:t xml:space="preserve">2026-06-11</x:t>
        </x:is>
      </x:c>
      <x:c r="G712" s="7" t="n"/>
      <x:c r="H712" s="7" t="n"/>
      <x:c r="I712" s="7" t="n"/>
      <x:c r="J712" s="7" t="n"/>
      <x:c r="K712" s="7" t="n"/>
      <x:c r="L712" s="7" t="n"/>
      <x:c r="M712" s="7" t="n"/>
      <x:c r="N712" s="7" t="n"/>
      <x:c r="O712" s="7" t="n"/>
      <x:c r="P712" s="7" t="n"/>
      <x:c r="Q712" s="7" t="n"/>
      <x:c r="R712" s="7" t="n"/>
      <x:c r="S712" s="7" t="n"/>
      <x:c r="T712" s="7" t="n"/>
      <x:c r="U712" s="7" t="n"/>
      <x:c r="V712" s="7" t="n"/>
      <x:c r="W712" s="7" t="n"/>
      <x:c r="X712" s="7" t="n"/>
      <x:c r="Y712" s="7" t="n"/>
      <x:c r="Z712" s="7" t="n"/>
      <x:c r="AA712" s="7" t="n"/>
      <x:c r="AB712" s="7" t="n"/>
    </x:row>
    <x:row r="713" ht="20" customHeight="1">
      <x:c r="A713" s="12" t="inlineStr">
        <x:is>
          <x:t xml:space="preserve">Metro Nashville Public Schools</x:t>
        </x:is>
      </x:c>
      <x:c r="B713" s="12" t="inlineStr">
        <x:is>
          <x:t xml:space="preserve">TN</x:t>
        </x:is>
      </x:c>
      <x:c r="C713" s="12" t="inlineStr">
        <x:is>
          <x:t xml:space="preserve">Bachelor's</x:t>
        </x:is>
      </x:c>
      <x:c r="D713" s="13" t="n">
        <x:v>7</x:v>
      </x:c>
      <x:c r="E713" s="14" t="n">
        <x:v>61894.27</x:v>
      </x:c>
      <x:c r="F713" s="83" t="inlineStr">
        <x:is>
          <x:t xml:space="preserve">2026-06-11</x:t>
        </x:is>
      </x:c>
      <x:c r="G713" s="7" t="n"/>
      <x:c r="H713" s="7" t="n"/>
      <x:c r="I713" s="7" t="n"/>
      <x:c r="J713" s="7" t="n"/>
      <x:c r="K713" s="7" t="n"/>
      <x:c r="L713" s="7" t="n"/>
      <x:c r="M713" s="7" t="n"/>
      <x:c r="N713" s="7" t="n"/>
      <x:c r="O713" s="7" t="n"/>
      <x:c r="P713" s="7" t="n"/>
      <x:c r="Q713" s="7" t="n"/>
      <x:c r="R713" s="7" t="n"/>
      <x:c r="S713" s="7" t="n"/>
      <x:c r="T713" s="7" t="n"/>
      <x:c r="U713" s="7" t="n"/>
      <x:c r="V713" s="7" t="n"/>
      <x:c r="W713" s="7" t="n"/>
      <x:c r="X713" s="7" t="n"/>
      <x:c r="Y713" s="7" t="n"/>
      <x:c r="Z713" s="7" t="n"/>
      <x:c r="AA713" s="7" t="n"/>
      <x:c r="AB713" s="7" t="n"/>
    </x:row>
    <x:row r="714" ht="20" customHeight="1">
      <x:c r="A714" s="12" t="inlineStr">
        <x:is>
          <x:t xml:space="preserve">Metro Nashville Public Schools</x:t>
        </x:is>
      </x:c>
      <x:c r="B714" s="12" t="inlineStr">
        <x:is>
          <x:t xml:space="preserve">TN</x:t>
        </x:is>
      </x:c>
      <x:c r="C714" s="12" t="inlineStr">
        <x:is>
          <x:t xml:space="preserve">Bachelor's</x:t>
        </x:is>
      </x:c>
      <x:c r="D714" s="13" t="n">
        <x:v>8</x:v>
      </x:c>
      <x:c r="E714" s="14" t="n">
        <x:v>63077.74</x:v>
      </x:c>
      <x:c r="F714" s="83" t="inlineStr">
        <x:is>
          <x:t xml:space="preserve">2026-06-11</x:t>
        </x:is>
      </x:c>
      <x:c r="G714" s="7" t="n"/>
      <x:c r="H714" s="7" t="n"/>
      <x:c r="I714" s="7" t="n"/>
      <x:c r="J714" s="7" t="n"/>
      <x:c r="K714" s="7" t="n"/>
      <x:c r="L714" s="7" t="n"/>
      <x:c r="M714" s="7" t="n"/>
      <x:c r="N714" s="7" t="n"/>
      <x:c r="O714" s="7" t="n"/>
      <x:c r="P714" s="7" t="n"/>
      <x:c r="Q714" s="7" t="n"/>
      <x:c r="R714" s="7" t="n"/>
      <x:c r="S714" s="7" t="n"/>
      <x:c r="T714" s="7" t="n"/>
      <x:c r="U714" s="7" t="n"/>
      <x:c r="V714" s="7" t="n"/>
      <x:c r="W714" s="7" t="n"/>
      <x:c r="X714" s="7" t="n"/>
      <x:c r="Y714" s="7" t="n"/>
      <x:c r="Z714" s="7" t="n"/>
      <x:c r="AA714" s="7" t="n"/>
      <x:c r="AB714" s="7" t="n"/>
    </x:row>
    <x:row r="715" ht="20" customHeight="1">
      <x:c r="A715" s="12" t="inlineStr">
        <x:is>
          <x:t xml:space="preserve">Metro Nashville Public Schools</x:t>
        </x:is>
      </x:c>
      <x:c r="B715" s="12" t="inlineStr">
        <x:is>
          <x:t xml:space="preserve">TN</x:t>
        </x:is>
      </x:c>
      <x:c r="C715" s="12" t="inlineStr">
        <x:is>
          <x:t xml:space="preserve">Bachelor's</x:t>
        </x:is>
      </x:c>
      <x:c r="D715" s="13" t="n">
        <x:v>9</x:v>
      </x:c>
      <x:c r="E715" s="14" t="n">
        <x:v>64261.2</x:v>
      </x:c>
      <x:c r="F715" s="83" t="inlineStr">
        <x:is>
          <x:t xml:space="preserve">2026-06-11</x:t>
        </x:is>
      </x:c>
      <x:c r="G715" s="7" t="n"/>
      <x:c r="H715" s="7" t="n"/>
      <x:c r="I715" s="7" t="n"/>
      <x:c r="J715" s="7" t="n"/>
      <x:c r="K715" s="7" t="n"/>
      <x:c r="L715" s="7" t="n"/>
      <x:c r="M715" s="7" t="n"/>
      <x:c r="N715" s="7" t="n"/>
      <x:c r="O715" s="7" t="n"/>
      <x:c r="P715" s="7" t="n"/>
      <x:c r="Q715" s="7" t="n"/>
      <x:c r="R715" s="7" t="n"/>
      <x:c r="S715" s="7" t="n"/>
      <x:c r="T715" s="7" t="n"/>
      <x:c r="U715" s="7" t="n"/>
      <x:c r="V715" s="7" t="n"/>
      <x:c r="W715" s="7" t="n"/>
      <x:c r="X715" s="7" t="n"/>
      <x:c r="Y715" s="7" t="n"/>
      <x:c r="Z715" s="7" t="n"/>
      <x:c r="AA715" s="7" t="n"/>
      <x:c r="AB715" s="7" t="n"/>
    </x:row>
    <x:row r="716" ht="20" customHeight="1">
      <x:c r="A716" s="12" t="inlineStr">
        <x:is>
          <x:t xml:space="preserve">Metro Nashville Public Schools</x:t>
        </x:is>
      </x:c>
      <x:c r="B716" s="12" t="inlineStr">
        <x:is>
          <x:t xml:space="preserve">TN</x:t>
        </x:is>
      </x:c>
      <x:c r="C716" s="12" t="inlineStr">
        <x:is>
          <x:t xml:space="preserve">Bachelor's</x:t>
        </x:is>
      </x:c>
      <x:c r="D716" s="13" t="n">
        <x:v>10</x:v>
      </x:c>
      <x:c r="E716" s="14" t="n">
        <x:v>65444.67</x:v>
      </x:c>
      <x:c r="F716" s="83" t="inlineStr">
        <x:is>
          <x:t xml:space="preserve">2026-06-11</x:t>
        </x:is>
      </x:c>
      <x:c r="G716" s="7" t="n"/>
      <x:c r="H716" s="7" t="n"/>
      <x:c r="I716" s="7" t="n"/>
      <x:c r="J716" s="7" t="n"/>
      <x:c r="K716" s="7" t="n"/>
      <x:c r="L716" s="7" t="n"/>
      <x:c r="M716" s="7" t="n"/>
      <x:c r="N716" s="7" t="n"/>
      <x:c r="O716" s="7" t="n"/>
      <x:c r="P716" s="7" t="n"/>
      <x:c r="Q716" s="7" t="n"/>
      <x:c r="R716" s="7" t="n"/>
      <x:c r="S716" s="7" t="n"/>
      <x:c r="T716" s="7" t="n"/>
      <x:c r="U716" s="7" t="n"/>
      <x:c r="V716" s="7" t="n"/>
      <x:c r="W716" s="7" t="n"/>
      <x:c r="X716" s="7" t="n"/>
      <x:c r="Y716" s="7" t="n"/>
      <x:c r="Z716" s="7" t="n"/>
      <x:c r="AA716" s="7" t="n"/>
      <x:c r="AB716" s="7" t="n"/>
    </x:row>
    <x:row r="717" ht="20" customHeight="1">
      <x:c r="A717" s="12" t="inlineStr">
        <x:is>
          <x:t xml:space="preserve">Metro Nashville Public Schools</x:t>
        </x:is>
      </x:c>
      <x:c r="B717" s="12" t="inlineStr">
        <x:is>
          <x:t xml:space="preserve">TN</x:t>
        </x:is>
      </x:c>
      <x:c r="C717" s="12" t="inlineStr">
        <x:is>
          <x:t xml:space="preserve">Master's</x:t>
        </x:is>
      </x:c>
      <x:c r="D717" s="13" t="n">
        <x:v>0</x:v>
      </x:c>
      <x:c r="E717" s="14" t="n">
        <x:v>59065.94</x:v>
      </x:c>
      <x:c r="F717" s="83" t="inlineStr">
        <x:is>
          <x:t xml:space="preserve">2026-06-11</x:t>
        </x:is>
      </x:c>
      <x:c r="G717" s="7" t="n"/>
      <x:c r="H717" s="7" t="n"/>
      <x:c r="I717" s="7" t="n"/>
      <x:c r="J717" s="7" t="n"/>
      <x:c r="K717" s="7" t="n"/>
      <x:c r="L717" s="7" t="n"/>
      <x:c r="M717" s="7" t="n"/>
      <x:c r="N717" s="7" t="n"/>
      <x:c r="O717" s="7" t="n"/>
      <x:c r="P717" s="7" t="n"/>
      <x:c r="Q717" s="7" t="n"/>
      <x:c r="R717" s="7" t="n"/>
      <x:c r="S717" s="7" t="n"/>
      <x:c r="T717" s="7" t="n"/>
      <x:c r="U717" s="7" t="n"/>
      <x:c r="V717" s="7" t="n"/>
      <x:c r="W717" s="7" t="n"/>
      <x:c r="X717" s="7" t="n"/>
      <x:c r="Y717" s="7" t="n"/>
      <x:c r="Z717" s="7" t="n"/>
      <x:c r="AA717" s="7" t="n"/>
      <x:c r="AB717" s="7" t="n"/>
    </x:row>
    <x:row r="718" ht="20" customHeight="1">
      <x:c r="A718" s="12" t="inlineStr">
        <x:is>
          <x:t xml:space="preserve">Metro Nashville Public Schools</x:t>
        </x:is>
      </x:c>
      <x:c r="B718" s="12" t="inlineStr">
        <x:is>
          <x:t xml:space="preserve">TN</x:t>
        </x:is>
      </x:c>
      <x:c r="C718" s="12" t="inlineStr">
        <x:is>
          <x:t xml:space="preserve">Master's</x:t>
        </x:is>
      </x:c>
      <x:c r="D718" s="13" t="n">
        <x:v>1</x:v>
      </x:c>
      <x:c r="E718" s="14" t="n">
        <x:v>60404.13</x:v>
      </x:c>
      <x:c r="F718" s="83" t="inlineStr">
        <x:is>
          <x:t xml:space="preserve">2026-06-11</x:t>
        </x:is>
      </x:c>
      <x:c r="G718" s="7" t="n"/>
      <x:c r="H718" s="7" t="n"/>
      <x:c r="I718" s="7" t="n"/>
      <x:c r="J718" s="7" t="n"/>
      <x:c r="K718" s="7" t="n"/>
      <x:c r="L718" s="7" t="n"/>
      <x:c r="M718" s="7" t="n"/>
      <x:c r="N718" s="7" t="n"/>
      <x:c r="O718" s="7" t="n"/>
      <x:c r="P718" s="7" t="n"/>
      <x:c r="Q718" s="7" t="n"/>
      <x:c r="R718" s="7" t="n"/>
      <x:c r="S718" s="7" t="n"/>
      <x:c r="T718" s="7" t="n"/>
      <x:c r="U718" s="7" t="n"/>
      <x:c r="V718" s="7" t="n"/>
      <x:c r="W718" s="7" t="n"/>
      <x:c r="X718" s="7" t="n"/>
      <x:c r="Y718" s="7" t="n"/>
      <x:c r="Z718" s="7" t="n"/>
      <x:c r="AA718" s="7" t="n"/>
      <x:c r="AB718" s="7" t="n"/>
    </x:row>
    <x:row r="719" ht="20" customHeight="1">
      <x:c r="A719" s="12" t="inlineStr">
        <x:is>
          <x:t xml:space="preserve">Metro Nashville Public Schools</x:t>
        </x:is>
      </x:c>
      <x:c r="B719" s="12" t="inlineStr">
        <x:is>
          <x:t xml:space="preserve">TN</x:t>
        </x:is>
      </x:c>
      <x:c r="C719" s="12" t="inlineStr">
        <x:is>
          <x:t xml:space="preserve">Master's</x:t>
        </x:is>
      </x:c>
      <x:c r="D719" s="13" t="n">
        <x:v>2</x:v>
      </x:c>
      <x:c r="E719" s="14" t="n">
        <x:v>61742.33</x:v>
      </x:c>
      <x:c r="F719" s="83" t="inlineStr">
        <x:is>
          <x:t xml:space="preserve">2026-06-11</x:t>
        </x:is>
      </x:c>
      <x:c r="G719" s="7" t="n"/>
      <x:c r="H719" s="7" t="n"/>
      <x:c r="I719" s="7" t="n"/>
      <x:c r="J719" s="7" t="n"/>
      <x:c r="K719" s="7" t="n"/>
      <x:c r="L719" s="7" t="n"/>
      <x:c r="M719" s="7" t="n"/>
      <x:c r="N719" s="7" t="n"/>
      <x:c r="O719" s="7" t="n"/>
      <x:c r="P719" s="7" t="n"/>
      <x:c r="Q719" s="7" t="n"/>
      <x:c r="R719" s="7" t="n"/>
      <x:c r="S719" s="7" t="n"/>
      <x:c r="T719" s="7" t="n"/>
      <x:c r="U719" s="7" t="n"/>
      <x:c r="V719" s="7" t="n"/>
      <x:c r="W719" s="7" t="n"/>
      <x:c r="X719" s="7" t="n"/>
      <x:c r="Y719" s="7" t="n"/>
      <x:c r="Z719" s="7" t="n"/>
      <x:c r="AA719" s="7" t="n"/>
      <x:c r="AB719" s="7" t="n"/>
    </x:row>
    <x:row r="720" ht="20" customHeight="1">
      <x:c r="A720" s="12" t="inlineStr">
        <x:is>
          <x:t xml:space="preserve">Metro Nashville Public Schools</x:t>
        </x:is>
      </x:c>
      <x:c r="B720" s="12" t="inlineStr">
        <x:is>
          <x:t xml:space="preserve">TN</x:t>
        </x:is>
      </x:c>
      <x:c r="C720" s="12" t="inlineStr">
        <x:is>
          <x:t xml:space="preserve">Master's</x:t>
        </x:is>
      </x:c>
      <x:c r="D720" s="13" t="n">
        <x:v>3</x:v>
      </x:c>
      <x:c r="E720" s="14" t="n">
        <x:v>63080.52</x:v>
      </x:c>
      <x:c r="F720" s="83" t="inlineStr">
        <x:is>
          <x:t xml:space="preserve">2026-06-11</x:t>
        </x:is>
      </x:c>
      <x:c r="G720" s="7" t="n"/>
      <x:c r="H720" s="7" t="n"/>
      <x:c r="I720" s="7" t="n"/>
      <x:c r="J720" s="7" t="n"/>
      <x:c r="K720" s="7" t="n"/>
      <x:c r="L720" s="7" t="n"/>
      <x:c r="M720" s="7" t="n"/>
      <x:c r="N720" s="7" t="n"/>
      <x:c r="O720" s="7" t="n"/>
      <x:c r="P720" s="7" t="n"/>
      <x:c r="Q720" s="7" t="n"/>
      <x:c r="R720" s="7" t="n"/>
      <x:c r="S720" s="7" t="n"/>
      <x:c r="T720" s="7" t="n"/>
      <x:c r="U720" s="7" t="n"/>
      <x:c r="V720" s="7" t="n"/>
      <x:c r="W720" s="7" t="n"/>
      <x:c r="X720" s="7" t="n"/>
      <x:c r="Y720" s="7" t="n"/>
      <x:c r="Z720" s="7" t="n"/>
      <x:c r="AA720" s="7" t="n"/>
      <x:c r="AB720" s="7" t="n"/>
    </x:row>
    <x:row r="721" ht="20" customHeight="1">
      <x:c r="A721" s="12" t="inlineStr">
        <x:is>
          <x:t xml:space="preserve">Metro Nashville Public Schools</x:t>
        </x:is>
      </x:c>
      <x:c r="B721" s="12" t="inlineStr">
        <x:is>
          <x:t xml:space="preserve">TN</x:t>
        </x:is>
      </x:c>
      <x:c r="C721" s="12" t="inlineStr">
        <x:is>
          <x:t xml:space="preserve">Master's</x:t>
        </x:is>
      </x:c>
      <x:c r="D721" s="13" t="n">
        <x:v>4</x:v>
      </x:c>
      <x:c r="E721" s="14" t="n">
        <x:v>64418.72</x:v>
      </x:c>
      <x:c r="F721" s="83" t="inlineStr">
        <x:is>
          <x:t xml:space="preserve">2026-06-11</x:t>
        </x:is>
      </x:c>
      <x:c r="G721" s="7" t="n"/>
      <x:c r="H721" s="7" t="n"/>
      <x:c r="I721" s="7" t="n"/>
      <x:c r="J721" s="7" t="n"/>
      <x:c r="K721" s="7" t="n"/>
      <x:c r="L721" s="7" t="n"/>
      <x:c r="M721" s="7" t="n"/>
      <x:c r="N721" s="7" t="n"/>
      <x:c r="O721" s="7" t="n"/>
      <x:c r="P721" s="7" t="n"/>
      <x:c r="Q721" s="7" t="n"/>
      <x:c r="R721" s="7" t="n"/>
      <x:c r="S721" s="7" t="n"/>
      <x:c r="T721" s="7" t="n"/>
      <x:c r="U721" s="7" t="n"/>
      <x:c r="V721" s="7" t="n"/>
      <x:c r="W721" s="7" t="n"/>
      <x:c r="X721" s="7" t="n"/>
      <x:c r="Y721" s="7" t="n"/>
      <x:c r="Z721" s="7" t="n"/>
      <x:c r="AA721" s="7" t="n"/>
      <x:c r="AB721" s="7" t="n"/>
    </x:row>
    <x:row r="722" ht="20" customHeight="1">
      <x:c r="A722" s="12" t="inlineStr">
        <x:is>
          <x:t xml:space="preserve">Metro Nashville Public Schools</x:t>
        </x:is>
      </x:c>
      <x:c r="B722" s="12" t="inlineStr">
        <x:is>
          <x:t xml:space="preserve">TN</x:t>
        </x:is>
      </x:c>
      <x:c r="C722" s="12" t="inlineStr">
        <x:is>
          <x:t xml:space="preserve">Master's</x:t>
        </x:is>
      </x:c>
      <x:c r="D722" s="13" t="n">
        <x:v>5</x:v>
      </x:c>
      <x:c r="E722" s="14" t="n">
        <x:v>65756.91</x:v>
      </x:c>
      <x:c r="F722" s="83" t="inlineStr">
        <x:is>
          <x:t xml:space="preserve">2026-06-11</x:t>
        </x:is>
      </x:c>
      <x:c r="G722" s="7" t="n"/>
      <x:c r="H722" s="7" t="n"/>
      <x:c r="I722" s="7" t="n"/>
      <x:c r="J722" s="7" t="n"/>
      <x:c r="K722" s="7" t="n"/>
      <x:c r="L722" s="7" t="n"/>
      <x:c r="M722" s="7" t="n"/>
      <x:c r="N722" s="7" t="n"/>
      <x:c r="O722" s="7" t="n"/>
      <x:c r="P722" s="7" t="n"/>
      <x:c r="Q722" s="7" t="n"/>
      <x:c r="R722" s="7" t="n"/>
      <x:c r="S722" s="7" t="n"/>
      <x:c r="T722" s="7" t="n"/>
      <x:c r="U722" s="7" t="n"/>
      <x:c r="V722" s="7" t="n"/>
      <x:c r="W722" s="7" t="n"/>
      <x:c r="X722" s="7" t="n"/>
      <x:c r="Y722" s="7" t="n"/>
      <x:c r="Z722" s="7" t="n"/>
      <x:c r="AA722" s="7" t="n"/>
      <x:c r="AB722" s="7" t="n"/>
    </x:row>
    <x:row r="723" ht="20" customHeight="1">
      <x:c r="A723" s="12" t="inlineStr">
        <x:is>
          <x:t xml:space="preserve">Metro Nashville Public Schools</x:t>
        </x:is>
      </x:c>
      <x:c r="B723" s="12" t="inlineStr">
        <x:is>
          <x:t xml:space="preserve">TN</x:t>
        </x:is>
      </x:c>
      <x:c r="C723" s="12" t="inlineStr">
        <x:is>
          <x:t xml:space="preserve">Master's</x:t>
        </x:is>
      </x:c>
      <x:c r="D723" s="13" t="n">
        <x:v>6</x:v>
      </x:c>
      <x:c r="E723" s="14" t="n">
        <x:v>66886.55</x:v>
      </x:c>
      <x:c r="F723" s="83" t="inlineStr">
        <x:is>
          <x:t xml:space="preserve">2026-06-11</x:t>
        </x:is>
      </x:c>
      <x:c r="G723" s="7" t="n"/>
      <x:c r="H723" s="7" t="n"/>
      <x:c r="I723" s="7" t="n"/>
      <x:c r="J723" s="7" t="n"/>
      <x:c r="K723" s="7" t="n"/>
      <x:c r="L723" s="7" t="n"/>
      <x:c r="M723" s="7" t="n"/>
      <x:c r="N723" s="7" t="n"/>
      <x:c r="O723" s="7" t="n"/>
      <x:c r="P723" s="7" t="n"/>
      <x:c r="Q723" s="7" t="n"/>
      <x:c r="R723" s="7" t="n"/>
      <x:c r="S723" s="7" t="n"/>
      <x:c r="T723" s="7" t="n"/>
      <x:c r="U723" s="7" t="n"/>
      <x:c r="V723" s="7" t="n"/>
      <x:c r="W723" s="7" t="n"/>
      <x:c r="X723" s="7" t="n"/>
      <x:c r="Y723" s="7" t="n"/>
      <x:c r="Z723" s="7" t="n"/>
      <x:c r="AA723" s="7" t="n"/>
      <x:c r="AB723" s="7" t="n"/>
    </x:row>
    <x:row r="724" ht="20" customHeight="1">
      <x:c r="A724" s="12" t="inlineStr">
        <x:is>
          <x:t xml:space="preserve">Metro Nashville Public Schools</x:t>
        </x:is>
      </x:c>
      <x:c r="B724" s="12" t="inlineStr">
        <x:is>
          <x:t xml:space="preserve">TN</x:t>
        </x:is>
      </x:c>
      <x:c r="C724" s="12" t="inlineStr">
        <x:is>
          <x:t xml:space="preserve">Master's</x:t>
        </x:is>
      </x:c>
      <x:c r="D724" s="13" t="n">
        <x:v>7</x:v>
      </x:c>
      <x:c r="E724" s="14" t="n">
        <x:v>68016.2</x:v>
      </x:c>
      <x:c r="F724" s="83" t="inlineStr">
        <x:is>
          <x:t xml:space="preserve">2026-06-11</x:t>
        </x:is>
      </x:c>
      <x:c r="G724" s="7" t="n"/>
      <x:c r="H724" s="7" t="n"/>
      <x:c r="I724" s="7" t="n"/>
      <x:c r="J724" s="7" t="n"/>
      <x:c r="K724" s="7" t="n"/>
      <x:c r="L724" s="7" t="n"/>
      <x:c r="M724" s="7" t="n"/>
      <x:c r="N724" s="7" t="n"/>
      <x:c r="O724" s="7" t="n"/>
      <x:c r="P724" s="7" t="n"/>
      <x:c r="Q724" s="7" t="n"/>
      <x:c r="R724" s="7" t="n"/>
      <x:c r="S724" s="7" t="n"/>
      <x:c r="T724" s="7" t="n"/>
      <x:c r="U724" s="7" t="n"/>
      <x:c r="V724" s="7" t="n"/>
      <x:c r="W724" s="7" t="n"/>
      <x:c r="X724" s="7" t="n"/>
      <x:c r="Y724" s="7" t="n"/>
      <x:c r="Z724" s="7" t="n"/>
      <x:c r="AA724" s="7" t="n"/>
      <x:c r="AB724" s="7" t="n"/>
    </x:row>
    <x:row r="725" ht="20" customHeight="1">
      <x:c r="A725" s="12" t="inlineStr">
        <x:is>
          <x:t xml:space="preserve">Metro Nashville Public Schools</x:t>
        </x:is>
      </x:c>
      <x:c r="B725" s="12" t="inlineStr">
        <x:is>
          <x:t xml:space="preserve">TN</x:t>
        </x:is>
      </x:c>
      <x:c r="C725" s="12" t="inlineStr">
        <x:is>
          <x:t xml:space="preserve">Master's</x:t>
        </x:is>
      </x:c>
      <x:c r="D725" s="13" t="n">
        <x:v>8</x:v>
      </x:c>
      <x:c r="E725" s="14" t="n">
        <x:v>69145.84</x:v>
      </x:c>
      <x:c r="F725" s="83" t="inlineStr">
        <x:is>
          <x:t xml:space="preserve">2026-06-11</x:t>
        </x:is>
      </x:c>
      <x:c r="G725" s="7" t="n"/>
      <x:c r="H725" s="7" t="n"/>
      <x:c r="I725" s="7" t="n"/>
      <x:c r="J725" s="7" t="n"/>
      <x:c r="K725" s="7" t="n"/>
      <x:c r="L725" s="7" t="n"/>
      <x:c r="M725" s="7" t="n"/>
      <x:c r="N725" s="7" t="n"/>
      <x:c r="O725" s="7" t="n"/>
      <x:c r="P725" s="7" t="n"/>
      <x:c r="Q725" s="7" t="n"/>
      <x:c r="R725" s="7" t="n"/>
      <x:c r="S725" s="7" t="n"/>
      <x:c r="T725" s="7" t="n"/>
      <x:c r="U725" s="7" t="n"/>
      <x:c r="V725" s="7" t="n"/>
      <x:c r="W725" s="7" t="n"/>
      <x:c r="X725" s="7" t="n"/>
      <x:c r="Y725" s="7" t="n"/>
      <x:c r="Z725" s="7" t="n"/>
      <x:c r="AA725" s="7" t="n"/>
      <x:c r="AB725" s="7" t="n"/>
    </x:row>
    <x:row r="726" ht="20" customHeight="1">
      <x:c r="A726" s="12" t="inlineStr">
        <x:is>
          <x:t xml:space="preserve">Metro Nashville Public Schools</x:t>
        </x:is>
      </x:c>
      <x:c r="B726" s="12" t="inlineStr">
        <x:is>
          <x:t xml:space="preserve">TN</x:t>
        </x:is>
      </x:c>
      <x:c r="C726" s="12" t="inlineStr">
        <x:is>
          <x:t xml:space="preserve">Master's</x:t>
        </x:is>
      </x:c>
      <x:c r="D726" s="13" t="n">
        <x:v>9</x:v>
      </x:c>
      <x:c r="E726" s="14" t="n">
        <x:v>70275.49000000001</x:v>
      </x:c>
      <x:c r="F726" s="83" t="inlineStr">
        <x:is>
          <x:t xml:space="preserve">2026-06-11</x:t>
        </x:is>
      </x:c>
      <x:c r="G726" s="7" t="n"/>
      <x:c r="H726" s="7" t="n"/>
      <x:c r="I726" s="7" t="n"/>
      <x:c r="J726" s="7" t="n"/>
      <x:c r="K726" s="7" t="n"/>
      <x:c r="L726" s="7" t="n"/>
      <x:c r="M726" s="7" t="n"/>
      <x:c r="N726" s="7" t="n"/>
      <x:c r="O726" s="7" t="n"/>
      <x:c r="P726" s="7" t="n"/>
      <x:c r="Q726" s="7" t="n"/>
      <x:c r="R726" s="7" t="n"/>
      <x:c r="S726" s="7" t="n"/>
      <x:c r="T726" s="7" t="n"/>
      <x:c r="U726" s="7" t="n"/>
      <x:c r="V726" s="7" t="n"/>
      <x:c r="W726" s="7" t="n"/>
      <x:c r="X726" s="7" t="n"/>
      <x:c r="Y726" s="7" t="n"/>
      <x:c r="Z726" s="7" t="n"/>
      <x:c r="AA726" s="7" t="n"/>
      <x:c r="AB726" s="7" t="n"/>
    </x:row>
    <x:row r="727" ht="20" customHeight="1">
      <x:c r="A727" s="12" t="inlineStr">
        <x:is>
          <x:t xml:space="preserve">Metro Nashville Public Schools</x:t>
        </x:is>
      </x:c>
      <x:c r="B727" s="12" t="inlineStr">
        <x:is>
          <x:t xml:space="preserve">TN</x:t>
        </x:is>
      </x:c>
      <x:c r="C727" s="12" t="inlineStr">
        <x:is>
          <x:t xml:space="preserve">Master's</x:t>
        </x:is>
      </x:c>
      <x:c r="D727" s="13" t="n">
        <x:v>10</x:v>
      </x:c>
      <x:c r="E727" s="14" t="n">
        <x:v>71405.13</x:v>
      </x:c>
      <x:c r="F727" s="83" t="inlineStr">
        <x:is>
          <x:t xml:space="preserve">2026-06-11</x:t>
        </x:is>
      </x:c>
      <x:c r="G727" s="7" t="n"/>
      <x:c r="H727" s="7" t="n"/>
      <x:c r="I727" s="7" t="n"/>
      <x:c r="J727" s="7" t="n"/>
      <x:c r="K727" s="7" t="n"/>
      <x:c r="L727" s="7" t="n"/>
      <x:c r="M727" s="7" t="n"/>
      <x:c r="N727" s="7" t="n"/>
      <x:c r="O727" s="7" t="n"/>
      <x:c r="P727" s="7" t="n"/>
      <x:c r="Q727" s="7" t="n"/>
      <x:c r="R727" s="7" t="n"/>
      <x:c r="S727" s="7" t="n"/>
      <x:c r="T727" s="7" t="n"/>
      <x:c r="U727" s="7" t="n"/>
      <x:c r="V727" s="7" t="n"/>
      <x:c r="W727" s="7" t="n"/>
      <x:c r="X727" s="7" t="n"/>
      <x:c r="Y727" s="7" t="n"/>
      <x:c r="Z727" s="7" t="n"/>
      <x:c r="AA727" s="7" t="n"/>
      <x:c r="AB727" s="7" t="n"/>
    </x:row>
    <x:row r="728" ht="20" customHeight="1">
      <x:c r="A728" s="12" t="inlineStr">
        <x:is>
          <x:t xml:space="preserve">Middleton-Cross Plains Area School District</x:t>
        </x:is>
      </x:c>
      <x:c r="B728" s="12" t="inlineStr">
        <x:is>
          <x:t xml:space="preserve">WI</x:t>
        </x:is>
      </x:c>
      <x:c r="C728" s="12" t="inlineStr">
        <x:is>
          <x:t xml:space="preserve">Bachelor's</x:t>
        </x:is>
      </x:c>
      <x:c r="D728" s="13" t="n">
        <x:v>0</x:v>
      </x:c>
      <x:c r="E728" s="14" t="n">
        <x:v>55000</x:v>
      </x:c>
      <x:c r="F728" s="12" t="inlineStr">
        <x:is>
          <x:t xml:space="preserve">2026-06-15</x:t>
        </x:is>
      </x:c>
      <x:c r="G728" s="7" t="n"/>
      <x:c r="H728" s="7" t="n"/>
      <x:c r="I728" s="7" t="n"/>
      <x:c r="J728" s="7" t="n"/>
      <x:c r="K728" s="7" t="n"/>
      <x:c r="L728" s="7" t="n"/>
      <x:c r="M728" s="7" t="n"/>
      <x:c r="N728" s="7" t="n"/>
      <x:c r="O728" s="7" t="n"/>
      <x:c r="P728" s="7" t="n"/>
      <x:c r="Q728" s="7" t="n"/>
      <x:c r="R728" s="7" t="n"/>
      <x:c r="S728" s="7" t="n"/>
      <x:c r="T728" s="7" t="n"/>
      <x:c r="U728" s="7" t="n"/>
      <x:c r="V728" s="7" t="n"/>
      <x:c r="W728" s="7" t="n"/>
      <x:c r="X728" s="7" t="n"/>
      <x:c r="Y728" s="7" t="n"/>
      <x:c r="Z728" s="7" t="n"/>
      <x:c r="AA728" s="7" t="n"/>
      <x:c r="AB728" s="7" t="n"/>
    </x:row>
    <x:row r="729" ht="20" customHeight="1">
      <x:c r="A729" s="12" t="inlineStr">
        <x:is>
          <x:t xml:space="preserve">Middleton-Cross Plains Area School District</x:t>
        </x:is>
      </x:c>
      <x:c r="B729" s="12" t="inlineStr">
        <x:is>
          <x:t xml:space="preserve">WI</x:t>
        </x:is>
      </x:c>
      <x:c r="C729" s="12" t="inlineStr">
        <x:is>
          <x:t xml:space="preserve">Bachelor's</x:t>
        </x:is>
      </x:c>
      <x:c r="D729" s="13" t="n">
        <x:v>1</x:v>
      </x:c>
      <x:c r="E729" s="14" t="n">
        <x:v>56200</x:v>
      </x:c>
      <x:c r="F729" s="12" t="inlineStr">
        <x:is>
          <x:t xml:space="preserve">2026-06-15</x:t>
        </x:is>
      </x:c>
      <x:c r="G729" s="7" t="n"/>
      <x:c r="H729" s="7" t="n"/>
      <x:c r="I729" s="7" t="n"/>
      <x:c r="J729" s="7" t="n"/>
      <x:c r="K729" s="7" t="n"/>
      <x:c r="L729" s="7" t="n"/>
      <x:c r="M729" s="7" t="n"/>
      <x:c r="N729" s="7" t="n"/>
      <x:c r="O729" s="7" t="n"/>
      <x:c r="P729" s="7" t="n"/>
      <x:c r="Q729" s="7" t="n"/>
      <x:c r="R729" s="7" t="n"/>
      <x:c r="S729" s="7" t="n"/>
      <x:c r="T729" s="7" t="n"/>
      <x:c r="U729" s="7" t="n"/>
      <x:c r="V729" s="7" t="n"/>
      <x:c r="W729" s="7" t="n"/>
      <x:c r="X729" s="7" t="n"/>
      <x:c r="Y729" s="7" t="n"/>
      <x:c r="Z729" s="7" t="n"/>
      <x:c r="AA729" s="7" t="n"/>
      <x:c r="AB729" s="7" t="n"/>
    </x:row>
    <x:row r="730" ht="20" customHeight="1">
      <x:c r="A730" s="12" t="inlineStr">
        <x:is>
          <x:t xml:space="preserve">Middleton-Cross Plains Area School District</x:t>
        </x:is>
      </x:c>
      <x:c r="B730" s="12" t="inlineStr">
        <x:is>
          <x:t xml:space="preserve">WI</x:t>
        </x:is>
      </x:c>
      <x:c r="C730" s="12" t="inlineStr">
        <x:is>
          <x:t xml:space="preserve">Bachelor's</x:t>
        </x:is>
      </x:c>
      <x:c r="D730" s="13" t="n">
        <x:v>2</x:v>
      </x:c>
      <x:c r="E730" s="14" t="n">
        <x:v>57400</x:v>
      </x:c>
      <x:c r="F730" s="12" t="inlineStr">
        <x:is>
          <x:t xml:space="preserve">2026-06-15</x:t>
        </x:is>
      </x:c>
      <x:c r="G730" s="7" t="n"/>
      <x:c r="H730" s="7" t="n"/>
      <x:c r="I730" s="7" t="n"/>
      <x:c r="J730" s="7" t="n"/>
      <x:c r="K730" s="7" t="n"/>
      <x:c r="L730" s="7" t="n"/>
      <x:c r="M730" s="7" t="n"/>
      <x:c r="N730" s="7" t="n"/>
      <x:c r="O730" s="7" t="n"/>
      <x:c r="P730" s="7" t="n"/>
      <x:c r="Q730" s="7" t="n"/>
      <x:c r="R730" s="7" t="n"/>
      <x:c r="S730" s="7" t="n"/>
      <x:c r="T730" s="7" t="n"/>
      <x:c r="U730" s="7" t="n"/>
      <x:c r="V730" s="7" t="n"/>
      <x:c r="W730" s="7" t="n"/>
      <x:c r="X730" s="7" t="n"/>
      <x:c r="Y730" s="7" t="n"/>
      <x:c r="Z730" s="7" t="n"/>
      <x:c r="AA730" s="7" t="n"/>
      <x:c r="AB730" s="7" t="n"/>
    </x:row>
    <x:row r="731" ht="20" customHeight="1">
      <x:c r="A731" s="12" t="inlineStr">
        <x:is>
          <x:t xml:space="preserve">Middleton-Cross Plains Area School District</x:t>
        </x:is>
      </x:c>
      <x:c r="B731" s="12" t="inlineStr">
        <x:is>
          <x:t xml:space="preserve">WI</x:t>
        </x:is>
      </x:c>
      <x:c r="C731" s="12" t="inlineStr">
        <x:is>
          <x:t xml:space="preserve">Bachelor's</x:t>
        </x:is>
      </x:c>
      <x:c r="D731" s="13" t="n">
        <x:v>3</x:v>
      </x:c>
      <x:c r="E731" s="14" t="n">
        <x:v>58600</x:v>
      </x:c>
      <x:c r="F731" s="12" t="inlineStr">
        <x:is>
          <x:t xml:space="preserve">2026-06-15</x:t>
        </x:is>
      </x:c>
      <x:c r="G731" s="7" t="n"/>
      <x:c r="H731" s="7" t="n"/>
      <x:c r="I731" s="7" t="n"/>
      <x:c r="J731" s="7" t="n"/>
      <x:c r="K731" s="7" t="n"/>
      <x:c r="L731" s="7" t="n"/>
      <x:c r="M731" s="7" t="n"/>
      <x:c r="N731" s="7" t="n"/>
      <x:c r="O731" s="7" t="n"/>
      <x:c r="P731" s="7" t="n"/>
      <x:c r="Q731" s="7" t="n"/>
      <x:c r="R731" s="7" t="n"/>
      <x:c r="S731" s="7" t="n"/>
      <x:c r="T731" s="7" t="n"/>
      <x:c r="U731" s="7" t="n"/>
      <x:c r="V731" s="7" t="n"/>
      <x:c r="W731" s="7" t="n"/>
      <x:c r="X731" s="7" t="n"/>
      <x:c r="Y731" s="7" t="n"/>
      <x:c r="Z731" s="7" t="n"/>
      <x:c r="AA731" s="7" t="n"/>
      <x:c r="AB731" s="7" t="n"/>
    </x:row>
    <x:row r="732" ht="20" customHeight="1">
      <x:c r="A732" s="12" t="inlineStr">
        <x:is>
          <x:t xml:space="preserve">Middleton-Cross Plains Area School District</x:t>
        </x:is>
      </x:c>
      <x:c r="B732" s="12" t="inlineStr">
        <x:is>
          <x:t xml:space="preserve">WI</x:t>
        </x:is>
      </x:c>
      <x:c r="C732" s="12" t="inlineStr">
        <x:is>
          <x:t xml:space="preserve">Bachelor's</x:t>
        </x:is>
      </x:c>
      <x:c r="D732" s="13" t="n">
        <x:v>4</x:v>
      </x:c>
      <x:c r="E732" s="14" t="n">
        <x:v>59800</x:v>
      </x:c>
      <x:c r="F732" s="12" t="inlineStr">
        <x:is>
          <x:t xml:space="preserve">2026-06-15</x:t>
        </x:is>
      </x:c>
      <x:c r="G732" s="7" t="n"/>
      <x:c r="H732" s="7" t="n"/>
      <x:c r="I732" s="7" t="n"/>
      <x:c r="J732" s="7" t="n"/>
      <x:c r="K732" s="7" t="n"/>
      <x:c r="L732" s="7" t="n"/>
      <x:c r="M732" s="7" t="n"/>
      <x:c r="N732" s="7" t="n"/>
      <x:c r="O732" s="7" t="n"/>
      <x:c r="P732" s="7" t="n"/>
      <x:c r="Q732" s="7" t="n"/>
      <x:c r="R732" s="7" t="n"/>
      <x:c r="S732" s="7" t="n"/>
      <x:c r="T732" s="7" t="n"/>
      <x:c r="U732" s="7" t="n"/>
      <x:c r="V732" s="7" t="n"/>
      <x:c r="W732" s="7" t="n"/>
      <x:c r="X732" s="7" t="n"/>
      <x:c r="Y732" s="7" t="n"/>
      <x:c r="Z732" s="7" t="n"/>
      <x:c r="AA732" s="7" t="n"/>
      <x:c r="AB732" s="7" t="n"/>
    </x:row>
    <x:row r="733" ht="20" customHeight="1">
      <x:c r="A733" s="12" t="inlineStr">
        <x:is>
          <x:t xml:space="preserve">Middleton-Cross Plains Area School District</x:t>
        </x:is>
      </x:c>
      <x:c r="B733" s="12" t="inlineStr">
        <x:is>
          <x:t xml:space="preserve">WI</x:t>
        </x:is>
      </x:c>
      <x:c r="C733" s="12" t="inlineStr">
        <x:is>
          <x:t xml:space="preserve">Bachelor's</x:t>
        </x:is>
      </x:c>
      <x:c r="D733" s="13" t="n">
        <x:v>5</x:v>
      </x:c>
      <x:c r="E733" s="14" t="n">
        <x:v>61000</x:v>
      </x:c>
      <x:c r="F733" s="12" t="inlineStr">
        <x:is>
          <x:t xml:space="preserve">2026-06-15</x:t>
        </x:is>
      </x:c>
      <x:c r="G733" s="7" t="n"/>
      <x:c r="H733" s="7" t="n"/>
      <x:c r="I733" s="7" t="n"/>
      <x:c r="J733" s="7" t="n"/>
      <x:c r="K733" s="7" t="n"/>
      <x:c r="L733" s="7" t="n"/>
      <x:c r="M733" s="7" t="n"/>
      <x:c r="N733" s="7" t="n"/>
      <x:c r="O733" s="7" t="n"/>
      <x:c r="P733" s="7" t="n"/>
      <x:c r="Q733" s="7" t="n"/>
      <x:c r="R733" s="7" t="n"/>
      <x:c r="S733" s="7" t="n"/>
      <x:c r="T733" s="7" t="n"/>
      <x:c r="U733" s="7" t="n"/>
      <x:c r="V733" s="7" t="n"/>
      <x:c r="W733" s="7" t="n"/>
      <x:c r="X733" s="7" t="n"/>
      <x:c r="Y733" s="7" t="n"/>
      <x:c r="Z733" s="7" t="n"/>
      <x:c r="AA733" s="7" t="n"/>
      <x:c r="AB733" s="7" t="n"/>
    </x:row>
    <x:row r="734" ht="20" customHeight="1">
      <x:c r="A734" s="12" t="inlineStr">
        <x:is>
          <x:t xml:space="preserve">Middleton-Cross Plains Area School District</x:t>
        </x:is>
      </x:c>
      <x:c r="B734" s="12" t="inlineStr">
        <x:is>
          <x:t xml:space="preserve">WI</x:t>
        </x:is>
      </x:c>
      <x:c r="C734" s="12" t="inlineStr">
        <x:is>
          <x:t xml:space="preserve">Bachelor's</x:t>
        </x:is>
      </x:c>
      <x:c r="D734" s="13" t="n">
        <x:v>6</x:v>
      </x:c>
      <x:c r="E734" s="14" t="n">
        <x:v>62200</x:v>
      </x:c>
      <x:c r="F734" s="12" t="inlineStr">
        <x:is>
          <x:t xml:space="preserve">2026-06-15</x:t>
        </x:is>
      </x:c>
      <x:c r="G734" s="7" t="n"/>
      <x:c r="H734" s="7" t="n"/>
      <x:c r="I734" s="7" t="n"/>
      <x:c r="J734" s="7" t="n"/>
      <x:c r="K734" s="7" t="n"/>
      <x:c r="L734" s="7" t="n"/>
      <x:c r="M734" s="7" t="n"/>
      <x:c r="N734" s="7" t="n"/>
      <x:c r="O734" s="7" t="n"/>
      <x:c r="P734" s="7" t="n"/>
      <x:c r="Q734" s="7" t="n"/>
      <x:c r="R734" s="7" t="n"/>
      <x:c r="S734" s="7" t="n"/>
      <x:c r="T734" s="7" t="n"/>
      <x:c r="U734" s="7" t="n"/>
      <x:c r="V734" s="7" t="n"/>
      <x:c r="W734" s="7" t="n"/>
      <x:c r="X734" s="7" t="n"/>
      <x:c r="Y734" s="7" t="n"/>
      <x:c r="Z734" s="7" t="n"/>
      <x:c r="AA734" s="7" t="n"/>
      <x:c r="AB734" s="7" t="n"/>
    </x:row>
    <x:row r="735" ht="20" customHeight="1">
      <x:c r="A735" s="12" t="inlineStr">
        <x:is>
          <x:t xml:space="preserve">Middleton-Cross Plains Area School District</x:t>
        </x:is>
      </x:c>
      <x:c r="B735" s="12" t="inlineStr">
        <x:is>
          <x:t xml:space="preserve">WI</x:t>
        </x:is>
      </x:c>
      <x:c r="C735" s="12" t="inlineStr">
        <x:is>
          <x:t xml:space="preserve">Bachelor's</x:t>
        </x:is>
      </x:c>
      <x:c r="D735" s="13" t="n">
        <x:v>7</x:v>
      </x:c>
      <x:c r="E735" s="14" t="n">
        <x:v>63400</x:v>
      </x:c>
      <x:c r="F735" s="12" t="inlineStr">
        <x:is>
          <x:t xml:space="preserve">2026-06-15</x:t>
        </x:is>
      </x:c>
      <x:c r="G735" s="7" t="n"/>
      <x:c r="H735" s="7" t="n"/>
      <x:c r="I735" s="7" t="n"/>
      <x:c r="J735" s="7" t="n"/>
      <x:c r="K735" s="7" t="n"/>
      <x:c r="L735" s="7" t="n"/>
      <x:c r="M735" s="7" t="n"/>
      <x:c r="N735" s="7" t="n"/>
      <x:c r="O735" s="7" t="n"/>
      <x:c r="P735" s="7" t="n"/>
      <x:c r="Q735" s="7" t="n"/>
      <x:c r="R735" s="7" t="n"/>
      <x:c r="S735" s="7" t="n"/>
      <x:c r="T735" s="7" t="n"/>
      <x:c r="U735" s="7" t="n"/>
      <x:c r="V735" s="7" t="n"/>
      <x:c r="W735" s="7" t="n"/>
      <x:c r="X735" s="7" t="n"/>
      <x:c r="Y735" s="7" t="n"/>
      <x:c r="Z735" s="7" t="n"/>
      <x:c r="AA735" s="7" t="n"/>
      <x:c r="AB735" s="7" t="n"/>
    </x:row>
    <x:row r="736" ht="20" customHeight="1">
      <x:c r="A736" s="12" t="inlineStr">
        <x:is>
          <x:t xml:space="preserve">Middleton-Cross Plains Area School District</x:t>
        </x:is>
      </x:c>
      <x:c r="B736" s="12" t="inlineStr">
        <x:is>
          <x:t xml:space="preserve">WI</x:t>
        </x:is>
      </x:c>
      <x:c r="C736" s="12" t="inlineStr">
        <x:is>
          <x:t xml:space="preserve">Bachelor's</x:t>
        </x:is>
      </x:c>
      <x:c r="D736" s="13" t="n">
        <x:v>8</x:v>
      </x:c>
      <x:c r="E736" s="14" t="n">
        <x:v>64600</x:v>
      </x:c>
      <x:c r="F736" s="12" t="inlineStr">
        <x:is>
          <x:t xml:space="preserve">2026-06-15</x:t>
        </x:is>
      </x:c>
      <x:c r="G736" s="7" t="n"/>
      <x:c r="H736" s="7" t="n"/>
      <x:c r="I736" s="7" t="n"/>
      <x:c r="J736" s="7" t="n"/>
      <x:c r="K736" s="7" t="n"/>
      <x:c r="L736" s="7" t="n"/>
      <x:c r="M736" s="7" t="n"/>
      <x:c r="N736" s="7" t="n"/>
      <x:c r="O736" s="7" t="n"/>
      <x:c r="P736" s="7" t="n"/>
      <x:c r="Q736" s="7" t="n"/>
      <x:c r="R736" s="7" t="n"/>
      <x:c r="S736" s="7" t="n"/>
      <x:c r="T736" s="7" t="n"/>
      <x:c r="U736" s="7" t="n"/>
      <x:c r="V736" s="7" t="n"/>
      <x:c r="W736" s="7" t="n"/>
      <x:c r="X736" s="7" t="n"/>
      <x:c r="Y736" s="7" t="n"/>
      <x:c r="Z736" s="7" t="n"/>
      <x:c r="AA736" s="7" t="n"/>
      <x:c r="AB736" s="7" t="n"/>
    </x:row>
    <x:row r="737" ht="20" customHeight="1">
      <x:c r="A737" s="12" t="inlineStr">
        <x:is>
          <x:t xml:space="preserve">Middleton-Cross Plains Area School District</x:t>
        </x:is>
      </x:c>
      <x:c r="B737" s="12" t="inlineStr">
        <x:is>
          <x:t xml:space="preserve">WI</x:t>
        </x:is>
      </x:c>
      <x:c r="C737" s="12" t="inlineStr">
        <x:is>
          <x:t xml:space="preserve">Bachelor's</x:t>
        </x:is>
      </x:c>
      <x:c r="D737" s="13" t="n">
        <x:v>9</x:v>
      </x:c>
      <x:c r="E737" s="14" t="n">
        <x:v>65800</x:v>
      </x:c>
      <x:c r="F737" s="12" t="inlineStr">
        <x:is>
          <x:t xml:space="preserve">2026-06-15</x:t>
        </x:is>
      </x:c>
      <x:c r="G737" s="7" t="n"/>
      <x:c r="H737" s="7" t="n"/>
      <x:c r="I737" s="7" t="n"/>
      <x:c r="J737" s="7" t="n"/>
      <x:c r="K737" s="7" t="n"/>
      <x:c r="L737" s="7" t="n"/>
      <x:c r="M737" s="7" t="n"/>
      <x:c r="N737" s="7" t="n"/>
      <x:c r="O737" s="7" t="n"/>
      <x:c r="P737" s="7" t="n"/>
      <x:c r="Q737" s="7" t="n"/>
      <x:c r="R737" s="7" t="n"/>
      <x:c r="S737" s="7" t="n"/>
      <x:c r="T737" s="7" t="n"/>
      <x:c r="U737" s="7" t="n"/>
      <x:c r="V737" s="7" t="n"/>
      <x:c r="W737" s="7" t="n"/>
      <x:c r="X737" s="7" t="n"/>
      <x:c r="Y737" s="7" t="n"/>
      <x:c r="Z737" s="7" t="n"/>
      <x:c r="AA737" s="7" t="n"/>
      <x:c r="AB737" s="7" t="n"/>
    </x:row>
    <x:row r="738" ht="20" customHeight="1">
      <x:c r="A738" s="12" t="inlineStr">
        <x:is>
          <x:t xml:space="preserve">Middleton-Cross Plains Area School District</x:t>
        </x:is>
      </x:c>
      <x:c r="B738" s="12" t="inlineStr">
        <x:is>
          <x:t xml:space="preserve">WI</x:t>
        </x:is>
      </x:c>
      <x:c r="C738" s="12" t="inlineStr">
        <x:is>
          <x:t xml:space="preserve">Bachelor's</x:t>
        </x:is>
      </x:c>
      <x:c r="D738" s="13" t="n">
        <x:v>10</x:v>
      </x:c>
      <x:c r="E738" s="14" t="n">
        <x:v>67000</x:v>
      </x:c>
      <x:c r="F738" s="12" t="inlineStr">
        <x:is>
          <x:t xml:space="preserve">2026-06-15</x:t>
        </x:is>
      </x:c>
      <x:c r="G738" s="7" t="n"/>
      <x:c r="H738" s="7" t="n"/>
      <x:c r="I738" s="7" t="n"/>
      <x:c r="J738" s="7" t="n"/>
      <x:c r="K738" s="7" t="n"/>
      <x:c r="L738" s="7" t="n"/>
      <x:c r="M738" s="7" t="n"/>
      <x:c r="N738" s="7" t="n"/>
      <x:c r="O738" s="7" t="n"/>
      <x:c r="P738" s="7" t="n"/>
      <x:c r="Q738" s="7" t="n"/>
      <x:c r="R738" s="7" t="n"/>
      <x:c r="S738" s="7" t="n"/>
      <x:c r="T738" s="7" t="n"/>
      <x:c r="U738" s="7" t="n"/>
      <x:c r="V738" s="7" t="n"/>
      <x:c r="W738" s="7" t="n"/>
      <x:c r="X738" s="7" t="n"/>
      <x:c r="Y738" s="7" t="n"/>
      <x:c r="Z738" s="7" t="n"/>
      <x:c r="AA738" s="7" t="n"/>
      <x:c r="AB738" s="7" t="n"/>
    </x:row>
    <x:row r="739" ht="20" customHeight="1">
      <x:c r="A739" s="12" t="inlineStr">
        <x:is>
          <x:t xml:space="preserve">Middleton-Cross Plains Area School District</x:t>
        </x:is>
      </x:c>
      <x:c r="B739" s="12" t="inlineStr">
        <x:is>
          <x:t xml:space="preserve">WI</x:t>
        </x:is>
      </x:c>
      <x:c r="C739" s="12" t="inlineStr">
        <x:is>
          <x:t xml:space="preserve">Master's</x:t>
        </x:is>
      </x:c>
      <x:c r="D739" s="13" t="n">
        <x:v>0</x:v>
      </x:c>
      <x:c r="E739" s="14" t="n">
        <x:v>59000</x:v>
      </x:c>
      <x:c r="F739" s="12" t="inlineStr">
        <x:is>
          <x:t xml:space="preserve">2026-06-15</x:t>
        </x:is>
      </x:c>
      <x:c r="G739" s="7" t="n"/>
      <x:c r="H739" s="7" t="n"/>
      <x:c r="I739" s="7" t="n"/>
      <x:c r="J739" s="7" t="n"/>
      <x:c r="K739" s="7" t="n"/>
      <x:c r="L739" s="7" t="n"/>
      <x:c r="M739" s="7" t="n"/>
      <x:c r="N739" s="7" t="n"/>
      <x:c r="O739" s="7" t="n"/>
      <x:c r="P739" s="7" t="n"/>
      <x:c r="Q739" s="7" t="n"/>
      <x:c r="R739" s="7" t="n"/>
      <x:c r="S739" s="7" t="n"/>
      <x:c r="T739" s="7" t="n"/>
      <x:c r="U739" s="7" t="n"/>
      <x:c r="V739" s="7" t="n"/>
      <x:c r="W739" s="7" t="n"/>
      <x:c r="X739" s="7" t="n"/>
      <x:c r="Y739" s="7" t="n"/>
      <x:c r="Z739" s="7" t="n"/>
      <x:c r="AA739" s="7" t="n"/>
      <x:c r="AB739" s="7" t="n"/>
    </x:row>
    <x:row r="740" ht="20" customHeight="1">
      <x:c r="A740" s="12" t="inlineStr">
        <x:is>
          <x:t xml:space="preserve">Middleton-Cross Plains Area School District</x:t>
        </x:is>
      </x:c>
      <x:c r="B740" s="12" t="inlineStr">
        <x:is>
          <x:t xml:space="preserve">WI</x:t>
        </x:is>
      </x:c>
      <x:c r="C740" s="12" t="inlineStr">
        <x:is>
          <x:t xml:space="preserve">Master's</x:t>
        </x:is>
      </x:c>
      <x:c r="D740" s="13" t="n">
        <x:v>1</x:v>
      </x:c>
      <x:c r="E740" s="14" t="n">
        <x:v>60200</x:v>
      </x:c>
      <x:c r="F740" s="12" t="inlineStr">
        <x:is>
          <x:t xml:space="preserve">2026-06-15</x:t>
        </x:is>
      </x:c>
      <x:c r="G740" s="7" t="n"/>
      <x:c r="H740" s="7" t="n"/>
      <x:c r="I740" s="7" t="n"/>
      <x:c r="J740" s="7" t="n"/>
      <x:c r="K740" s="7" t="n"/>
      <x:c r="L740" s="7" t="n"/>
      <x:c r="M740" s="7" t="n"/>
      <x:c r="N740" s="7" t="n"/>
      <x:c r="O740" s="7" t="n"/>
      <x:c r="P740" s="7" t="n"/>
      <x:c r="Q740" s="7" t="n"/>
      <x:c r="R740" s="7" t="n"/>
      <x:c r="S740" s="7" t="n"/>
      <x:c r="T740" s="7" t="n"/>
      <x:c r="U740" s="7" t="n"/>
      <x:c r="V740" s="7" t="n"/>
      <x:c r="W740" s="7" t="n"/>
      <x:c r="X740" s="7" t="n"/>
      <x:c r="Y740" s="7" t="n"/>
      <x:c r="Z740" s="7" t="n"/>
      <x:c r="AA740" s="7" t="n"/>
      <x:c r="AB740" s="7" t="n"/>
    </x:row>
    <x:row r="741" ht="20" customHeight="1">
      <x:c r="A741" s="12" t="inlineStr">
        <x:is>
          <x:t xml:space="preserve">Middleton-Cross Plains Area School District</x:t>
        </x:is>
      </x:c>
      <x:c r="B741" s="12" t="inlineStr">
        <x:is>
          <x:t xml:space="preserve">WI</x:t>
        </x:is>
      </x:c>
      <x:c r="C741" s="12" t="inlineStr">
        <x:is>
          <x:t xml:space="preserve">Master's</x:t>
        </x:is>
      </x:c>
      <x:c r="D741" s="13" t="n">
        <x:v>2</x:v>
      </x:c>
      <x:c r="E741" s="14" t="n">
        <x:v>61400</x:v>
      </x:c>
      <x:c r="F741" s="12" t="inlineStr">
        <x:is>
          <x:t xml:space="preserve">2026-06-15</x:t>
        </x:is>
      </x:c>
      <x:c r="G741" s="7" t="n"/>
      <x:c r="H741" s="7" t="n"/>
      <x:c r="I741" s="7" t="n"/>
      <x:c r="J741" s="7" t="n"/>
      <x:c r="K741" s="7" t="n"/>
      <x:c r="L741" s="7" t="n"/>
      <x:c r="M741" s="7" t="n"/>
      <x:c r="N741" s="7" t="n"/>
      <x:c r="O741" s="7" t="n"/>
      <x:c r="P741" s="7" t="n"/>
      <x:c r="Q741" s="7" t="n"/>
      <x:c r="R741" s="7" t="n"/>
      <x:c r="S741" s="7" t="n"/>
      <x:c r="T741" s="7" t="n"/>
      <x:c r="U741" s="7" t="n"/>
      <x:c r="V741" s="7" t="n"/>
      <x:c r="W741" s="7" t="n"/>
      <x:c r="X741" s="7" t="n"/>
      <x:c r="Y741" s="7" t="n"/>
      <x:c r="Z741" s="7" t="n"/>
      <x:c r="AA741" s="7" t="n"/>
      <x:c r="AB741" s="7" t="n"/>
    </x:row>
    <x:row r="742" ht="20" customHeight="1">
      <x:c r="A742" s="12" t="inlineStr">
        <x:is>
          <x:t xml:space="preserve">Middleton-Cross Plains Area School District</x:t>
        </x:is>
      </x:c>
      <x:c r="B742" s="12" t="inlineStr">
        <x:is>
          <x:t xml:space="preserve">WI</x:t>
        </x:is>
      </x:c>
      <x:c r="C742" s="12" t="inlineStr">
        <x:is>
          <x:t xml:space="preserve">Master's</x:t>
        </x:is>
      </x:c>
      <x:c r="D742" s="13" t="n">
        <x:v>3</x:v>
      </x:c>
      <x:c r="E742" s="14" t="n">
        <x:v>62600</x:v>
      </x:c>
      <x:c r="F742" s="12" t="inlineStr">
        <x:is>
          <x:t xml:space="preserve">2026-06-15</x:t>
        </x:is>
      </x:c>
      <x:c r="G742" s="7" t="n"/>
      <x:c r="H742" s="7" t="n"/>
      <x:c r="I742" s="7" t="n"/>
      <x:c r="J742" s="7" t="n"/>
      <x:c r="K742" s="7" t="n"/>
      <x:c r="L742" s="7" t="n"/>
      <x:c r="M742" s="7" t="n"/>
      <x:c r="N742" s="7" t="n"/>
      <x:c r="O742" s="7" t="n"/>
      <x:c r="P742" s="7" t="n"/>
      <x:c r="Q742" s="7" t="n"/>
      <x:c r="R742" s="7" t="n"/>
      <x:c r="S742" s="7" t="n"/>
      <x:c r="T742" s="7" t="n"/>
      <x:c r="U742" s="7" t="n"/>
      <x:c r="V742" s="7" t="n"/>
      <x:c r="W742" s="7" t="n"/>
      <x:c r="X742" s="7" t="n"/>
      <x:c r="Y742" s="7" t="n"/>
      <x:c r="Z742" s="7" t="n"/>
      <x:c r="AA742" s="7" t="n"/>
      <x:c r="AB742" s="7" t="n"/>
    </x:row>
    <x:row r="743" ht="20" customHeight="1">
      <x:c r="A743" s="12" t="inlineStr">
        <x:is>
          <x:t xml:space="preserve">Middleton-Cross Plains Area School District</x:t>
        </x:is>
      </x:c>
      <x:c r="B743" s="12" t="inlineStr">
        <x:is>
          <x:t xml:space="preserve">WI</x:t>
        </x:is>
      </x:c>
      <x:c r="C743" s="12" t="inlineStr">
        <x:is>
          <x:t xml:space="preserve">Master's</x:t>
        </x:is>
      </x:c>
      <x:c r="D743" s="13" t="n">
        <x:v>4</x:v>
      </x:c>
      <x:c r="E743" s="14" t="n">
        <x:v>63800</x:v>
      </x:c>
      <x:c r="F743" s="12" t="inlineStr">
        <x:is>
          <x:t xml:space="preserve">2026-06-15</x:t>
        </x:is>
      </x:c>
      <x:c r="G743" s="7" t="n"/>
      <x:c r="H743" s="7" t="n"/>
      <x:c r="I743" s="7" t="n"/>
      <x:c r="J743" s="7" t="n"/>
      <x:c r="K743" s="7" t="n"/>
      <x:c r="L743" s="7" t="n"/>
      <x:c r="M743" s="7" t="n"/>
      <x:c r="N743" s="7" t="n"/>
      <x:c r="O743" s="7" t="n"/>
      <x:c r="P743" s="7" t="n"/>
      <x:c r="Q743" s="7" t="n"/>
      <x:c r="R743" s="7" t="n"/>
      <x:c r="S743" s="7" t="n"/>
      <x:c r="T743" s="7" t="n"/>
      <x:c r="U743" s="7" t="n"/>
      <x:c r="V743" s="7" t="n"/>
      <x:c r="W743" s="7" t="n"/>
      <x:c r="X743" s="7" t="n"/>
      <x:c r="Y743" s="7" t="n"/>
      <x:c r="Z743" s="7" t="n"/>
      <x:c r="AA743" s="7" t="n"/>
      <x:c r="AB743" s="7" t="n"/>
    </x:row>
    <x:row r="744" ht="20" customHeight="1">
      <x:c r="A744" s="12" t="inlineStr">
        <x:is>
          <x:t xml:space="preserve">Middleton-Cross Plains Area School District</x:t>
        </x:is>
      </x:c>
      <x:c r="B744" s="12" t="inlineStr">
        <x:is>
          <x:t xml:space="preserve">WI</x:t>
        </x:is>
      </x:c>
      <x:c r="C744" s="12" t="inlineStr">
        <x:is>
          <x:t xml:space="preserve">Master's</x:t>
        </x:is>
      </x:c>
      <x:c r="D744" s="13" t="n">
        <x:v>5</x:v>
      </x:c>
      <x:c r="E744" s="14" t="n">
        <x:v>65000</x:v>
      </x:c>
      <x:c r="F744" s="12" t="inlineStr">
        <x:is>
          <x:t xml:space="preserve">2026-06-15</x:t>
        </x:is>
      </x:c>
      <x:c r="G744" s="7" t="n"/>
      <x:c r="H744" s="7" t="n"/>
      <x:c r="I744" s="7" t="n"/>
      <x:c r="J744" s="7" t="n"/>
      <x:c r="K744" s="7" t="n"/>
      <x:c r="L744" s="7" t="n"/>
      <x:c r="M744" s="7" t="n"/>
      <x:c r="N744" s="7" t="n"/>
      <x:c r="O744" s="7" t="n"/>
      <x:c r="P744" s="7" t="n"/>
      <x:c r="Q744" s="7" t="n"/>
      <x:c r="R744" s="7" t="n"/>
      <x:c r="S744" s="7" t="n"/>
      <x:c r="T744" s="7" t="n"/>
      <x:c r="U744" s="7" t="n"/>
      <x:c r="V744" s="7" t="n"/>
      <x:c r="W744" s="7" t="n"/>
      <x:c r="X744" s="7" t="n"/>
      <x:c r="Y744" s="7" t="n"/>
      <x:c r="Z744" s="7" t="n"/>
      <x:c r="AA744" s="7" t="n"/>
      <x:c r="AB744" s="7" t="n"/>
    </x:row>
    <x:row r="745" ht="20" customHeight="1">
      <x:c r="A745" s="12" t="inlineStr">
        <x:is>
          <x:t xml:space="preserve">Middleton-Cross Plains Area School District</x:t>
        </x:is>
      </x:c>
      <x:c r="B745" s="12" t="inlineStr">
        <x:is>
          <x:t xml:space="preserve">WI</x:t>
        </x:is>
      </x:c>
      <x:c r="C745" s="12" t="inlineStr">
        <x:is>
          <x:t xml:space="preserve">Master's</x:t>
        </x:is>
      </x:c>
      <x:c r="D745" s="13" t="n">
        <x:v>6</x:v>
      </x:c>
      <x:c r="E745" s="14" t="n">
        <x:v>66200</x:v>
      </x:c>
      <x:c r="F745" s="12" t="inlineStr">
        <x:is>
          <x:t xml:space="preserve">2026-06-15</x:t>
        </x:is>
      </x:c>
      <x:c r="G745" s="7" t="n"/>
      <x:c r="H745" s="7" t="n"/>
      <x:c r="I745" s="7" t="n"/>
      <x:c r="J745" s="7" t="n"/>
      <x:c r="K745" s="7" t="n"/>
      <x:c r="L745" s="7" t="n"/>
      <x:c r="M745" s="7" t="n"/>
      <x:c r="N745" s="7" t="n"/>
      <x:c r="O745" s="7" t="n"/>
      <x:c r="P745" s="7" t="n"/>
      <x:c r="Q745" s="7" t="n"/>
      <x:c r="R745" s="7" t="n"/>
      <x:c r="S745" s="7" t="n"/>
      <x:c r="T745" s="7" t="n"/>
      <x:c r="U745" s="7" t="n"/>
      <x:c r="V745" s="7" t="n"/>
      <x:c r="W745" s="7" t="n"/>
      <x:c r="X745" s="7" t="n"/>
      <x:c r="Y745" s="7" t="n"/>
      <x:c r="Z745" s="7" t="n"/>
      <x:c r="AA745" s="7" t="n"/>
      <x:c r="AB745" s="7" t="n"/>
    </x:row>
    <x:row r="746" ht="20" customHeight="1">
      <x:c r="A746" s="12" t="inlineStr">
        <x:is>
          <x:t xml:space="preserve">Middleton-Cross Plains Area School District</x:t>
        </x:is>
      </x:c>
      <x:c r="B746" s="12" t="inlineStr">
        <x:is>
          <x:t xml:space="preserve">WI</x:t>
        </x:is>
      </x:c>
      <x:c r="C746" s="12" t="inlineStr">
        <x:is>
          <x:t xml:space="preserve">Master's</x:t>
        </x:is>
      </x:c>
      <x:c r="D746" s="13" t="n">
        <x:v>7</x:v>
      </x:c>
      <x:c r="E746" s="14" t="n">
        <x:v>67400</x:v>
      </x:c>
      <x:c r="F746" s="12" t="inlineStr">
        <x:is>
          <x:t xml:space="preserve">2026-06-15</x:t>
        </x:is>
      </x:c>
      <x:c r="G746" s="7" t="n"/>
      <x:c r="H746" s="7" t="n"/>
      <x:c r="I746" s="7" t="n"/>
      <x:c r="J746" s="7" t="n"/>
      <x:c r="K746" s="7" t="n"/>
      <x:c r="L746" s="7" t="n"/>
      <x:c r="M746" s="7" t="n"/>
      <x:c r="N746" s="7" t="n"/>
      <x:c r="O746" s="7" t="n"/>
      <x:c r="P746" s="7" t="n"/>
      <x:c r="Q746" s="7" t="n"/>
      <x:c r="R746" s="7" t="n"/>
      <x:c r="S746" s="7" t="n"/>
      <x:c r="T746" s="7" t="n"/>
      <x:c r="U746" s="7" t="n"/>
      <x:c r="V746" s="7" t="n"/>
      <x:c r="W746" s="7" t="n"/>
      <x:c r="X746" s="7" t="n"/>
      <x:c r="Y746" s="7" t="n"/>
      <x:c r="Z746" s="7" t="n"/>
      <x:c r="AA746" s="7" t="n"/>
      <x:c r="AB746" s="7" t="n"/>
    </x:row>
    <x:row r="747" ht="20" customHeight="1">
      <x:c r="A747" s="12" t="inlineStr">
        <x:is>
          <x:t xml:space="preserve">Middleton-Cross Plains Area School District</x:t>
        </x:is>
      </x:c>
      <x:c r="B747" s="12" t="inlineStr">
        <x:is>
          <x:t xml:space="preserve">WI</x:t>
        </x:is>
      </x:c>
      <x:c r="C747" s="12" t="inlineStr">
        <x:is>
          <x:t xml:space="preserve">Master's</x:t>
        </x:is>
      </x:c>
      <x:c r="D747" s="13" t="n">
        <x:v>8</x:v>
      </x:c>
      <x:c r="E747" s="14" t="n">
        <x:v>68600</x:v>
      </x:c>
      <x:c r="F747" s="12" t="inlineStr">
        <x:is>
          <x:t xml:space="preserve">2026-06-15</x:t>
        </x:is>
      </x:c>
      <x:c r="G747" s="7" t="n"/>
      <x:c r="H747" s="7" t="n"/>
      <x:c r="I747" s="7" t="n"/>
      <x:c r="J747" s="7" t="n"/>
      <x:c r="K747" s="7" t="n"/>
      <x:c r="L747" s="7" t="n"/>
      <x:c r="M747" s="7" t="n"/>
      <x:c r="N747" s="7" t="n"/>
      <x:c r="O747" s="7" t="n"/>
      <x:c r="P747" s="7" t="n"/>
      <x:c r="Q747" s="7" t="n"/>
      <x:c r="R747" s="7" t="n"/>
      <x:c r="S747" s="7" t="n"/>
      <x:c r="T747" s="7" t="n"/>
      <x:c r="U747" s="7" t="n"/>
      <x:c r="V747" s="7" t="n"/>
      <x:c r="W747" s="7" t="n"/>
      <x:c r="X747" s="7" t="n"/>
      <x:c r="Y747" s="7" t="n"/>
      <x:c r="Z747" s="7" t="n"/>
      <x:c r="AA747" s="7" t="n"/>
      <x:c r="AB747" s="7" t="n"/>
    </x:row>
    <x:row r="748" ht="20" customHeight="1">
      <x:c r="A748" s="12" t="inlineStr">
        <x:is>
          <x:t xml:space="preserve">Middleton-Cross Plains Area School District</x:t>
        </x:is>
      </x:c>
      <x:c r="B748" s="12" t="inlineStr">
        <x:is>
          <x:t xml:space="preserve">WI</x:t>
        </x:is>
      </x:c>
      <x:c r="C748" s="12" t="inlineStr">
        <x:is>
          <x:t xml:space="preserve">Master's</x:t>
        </x:is>
      </x:c>
      <x:c r="D748" s="13" t="n">
        <x:v>9</x:v>
      </x:c>
      <x:c r="E748" s="14" t="n">
        <x:v>69800</x:v>
      </x:c>
      <x:c r="F748" s="12" t="inlineStr">
        <x:is>
          <x:t xml:space="preserve">2026-06-15</x:t>
        </x:is>
      </x:c>
      <x:c r="G748" s="7" t="n"/>
      <x:c r="H748" s="7" t="n"/>
      <x:c r="I748" s="7" t="n"/>
      <x:c r="J748" s="7" t="n"/>
      <x:c r="K748" s="7" t="n"/>
      <x:c r="L748" s="7" t="n"/>
      <x:c r="M748" s="7" t="n"/>
      <x:c r="N748" s="7" t="n"/>
      <x:c r="O748" s="7" t="n"/>
      <x:c r="P748" s="7" t="n"/>
      <x:c r="Q748" s="7" t="n"/>
      <x:c r="R748" s="7" t="n"/>
      <x:c r="S748" s="7" t="n"/>
      <x:c r="T748" s="7" t="n"/>
      <x:c r="U748" s="7" t="n"/>
      <x:c r="V748" s="7" t="n"/>
      <x:c r="W748" s="7" t="n"/>
      <x:c r="X748" s="7" t="n"/>
      <x:c r="Y748" s="7" t="n"/>
      <x:c r="Z748" s="7" t="n"/>
      <x:c r="AA748" s="7" t="n"/>
      <x:c r="AB748" s="7" t="n"/>
    </x:row>
    <x:row r="749" ht="20" customHeight="1">
      <x:c r="A749" s="12" t="inlineStr">
        <x:is>
          <x:t xml:space="preserve">Middleton-Cross Plains Area School District</x:t>
        </x:is>
      </x:c>
      <x:c r="B749" s="12" t="inlineStr">
        <x:is>
          <x:t xml:space="preserve">WI</x:t>
        </x:is>
      </x:c>
      <x:c r="C749" s="12" t="inlineStr">
        <x:is>
          <x:t xml:space="preserve">Master's</x:t>
        </x:is>
      </x:c>
      <x:c r="D749" s="13" t="n">
        <x:v>10</x:v>
      </x:c>
      <x:c r="E749" s="14" t="n">
        <x:v>71000</x:v>
      </x:c>
      <x:c r="F749" s="12" t="inlineStr">
        <x:is>
          <x:t xml:space="preserve">2026-06-15</x:t>
        </x:is>
      </x:c>
      <x:c r="G749" s="7" t="n"/>
      <x:c r="H749" s="7" t="n"/>
      <x:c r="I749" s="7" t="n"/>
      <x:c r="J749" s="7" t="n"/>
      <x:c r="K749" s="7" t="n"/>
      <x:c r="L749" s="7" t="n"/>
      <x:c r="M749" s="7" t="n"/>
      <x:c r="N749" s="7" t="n"/>
      <x:c r="O749" s="7" t="n"/>
      <x:c r="P749" s="7" t="n"/>
      <x:c r="Q749" s="7" t="n"/>
      <x:c r="R749" s="7" t="n"/>
      <x:c r="S749" s="7" t="n"/>
      <x:c r="T749" s="7" t="n"/>
      <x:c r="U749" s="7" t="n"/>
      <x:c r="V749" s="7" t="n"/>
      <x:c r="W749" s="7" t="n"/>
      <x:c r="X749" s="7" t="n"/>
      <x:c r="Y749" s="7" t="n"/>
      <x:c r="Z749" s="7" t="n"/>
      <x:c r="AA749" s="7" t="n"/>
      <x:c r="AB749" s="7" t="n"/>
    </x:row>
    <x:row r="750" ht="20" customHeight="1">
      <x:c r="A750" s="79" t="inlineStr">
        <x:is>
          <x:t xml:space="preserve">Minnetonka Public Schools</x:t>
        </x:is>
      </x:c>
      <x:c r="B750" s="79" t="inlineStr">
        <x:is>
          <x:t xml:space="preserve">MN</x:t>
        </x:is>
      </x:c>
      <x:c r="C750" s="79" t="inlineStr">
        <x:is>
          <x:t xml:space="preserve">Bachelor's</x:t>
        </x:is>
      </x:c>
      <x:c r="D750" s="79" t="n">
        <x:v>0</x:v>
      </x:c>
      <x:c r="E750" s="80" t="n">
        <x:v>52217</x:v>
      </x:c>
      <x:c r="F750" s="79" t="inlineStr">
        <x:is>
          <x:t xml:space="preserve">2026-06-16</x:t>
        </x:is>
      </x:c>
      <x:c r="G750" s="7" t="n"/>
      <x:c r="H750" s="7" t="n"/>
      <x:c r="I750" s="7" t="n"/>
      <x:c r="J750" s="7" t="n"/>
      <x:c r="K750" s="7" t="n"/>
      <x:c r="L750" s="7" t="n"/>
      <x:c r="M750" s="7" t="n"/>
      <x:c r="N750" s="7" t="n"/>
      <x:c r="O750" s="7" t="n"/>
      <x:c r="P750" s="7" t="n"/>
      <x:c r="Q750" s="7" t="n"/>
      <x:c r="R750" s="7" t="n"/>
      <x:c r="S750" s="7" t="n"/>
      <x:c r="T750" s="7" t="n"/>
      <x:c r="U750" s="7" t="n"/>
      <x:c r="V750" s="7" t="n"/>
      <x:c r="W750" s="7" t="n"/>
      <x:c r="X750" s="7" t="n"/>
      <x:c r="Y750" s="7" t="n"/>
      <x:c r="Z750" s="7" t="n"/>
      <x:c r="AA750" s="7" t="n"/>
      <x:c r="AB750" s="7" t="n"/>
    </x:row>
    <x:row r="751" ht="20" customHeight="1">
      <x:c r="A751" s="79" t="inlineStr">
        <x:is>
          <x:t xml:space="preserve">Minnetonka Public Schools</x:t>
        </x:is>
      </x:c>
      <x:c r="B751" s="79" t="inlineStr">
        <x:is>
          <x:t xml:space="preserve">MN</x:t>
        </x:is>
      </x:c>
      <x:c r="C751" s="79" t="inlineStr">
        <x:is>
          <x:t xml:space="preserve">Bachelor's</x:t>
        </x:is>
      </x:c>
      <x:c r="D751" s="79" t="n">
        <x:v>1</x:v>
      </x:c>
      <x:c r="E751" s="80" t="n">
        <x:v>53712</x:v>
      </x:c>
      <x:c r="F751" s="79" t="inlineStr">
        <x:is>
          <x:t xml:space="preserve">2026-06-16</x:t>
        </x:is>
      </x:c>
      <x:c r="G751" s="7" t="n"/>
      <x:c r="H751" s="7" t="n"/>
      <x:c r="I751" s="7" t="n"/>
      <x:c r="J751" s="7" t="n"/>
      <x:c r="K751" s="7" t="n"/>
      <x:c r="L751" s="7" t="n"/>
      <x:c r="M751" s="7" t="n"/>
      <x:c r="N751" s="7" t="n"/>
      <x:c r="O751" s="7" t="n"/>
      <x:c r="P751" s="7" t="n"/>
      <x:c r="Q751" s="7" t="n"/>
      <x:c r="R751" s="7" t="n"/>
      <x:c r="S751" s="7" t="n"/>
      <x:c r="T751" s="7" t="n"/>
      <x:c r="U751" s="7" t="n"/>
      <x:c r="V751" s="7" t="n"/>
      <x:c r="W751" s="7" t="n"/>
      <x:c r="X751" s="7" t="n"/>
      <x:c r="Y751" s="7" t="n"/>
      <x:c r="Z751" s="7" t="n"/>
      <x:c r="AA751" s="7" t="n"/>
      <x:c r="AB751" s="7" t="n"/>
    </x:row>
    <x:row r="752" ht="20" customHeight="1">
      <x:c r="A752" s="79" t="inlineStr">
        <x:is>
          <x:t xml:space="preserve">Minnetonka Public Schools</x:t>
        </x:is>
      </x:c>
      <x:c r="B752" s="79" t="inlineStr">
        <x:is>
          <x:t xml:space="preserve">MN</x:t>
        </x:is>
      </x:c>
      <x:c r="C752" s="79" t="inlineStr">
        <x:is>
          <x:t xml:space="preserve">Bachelor's</x:t>
        </x:is>
      </x:c>
      <x:c r="D752" s="79" t="n">
        <x:v>2</x:v>
      </x:c>
      <x:c r="E752" s="80" t="n">
        <x:v>55209</x:v>
      </x:c>
      <x:c r="F752" s="79" t="inlineStr">
        <x:is>
          <x:t xml:space="preserve">2026-06-16</x:t>
        </x:is>
      </x:c>
      <x:c r="G752" s="7" t="n"/>
      <x:c r="H752" s="7" t="n"/>
      <x:c r="I752" s="7" t="n"/>
      <x:c r="J752" s="7" t="n"/>
      <x:c r="K752" s="7" t="n"/>
      <x:c r="L752" s="7" t="n"/>
      <x:c r="M752" s="7" t="n"/>
      <x:c r="N752" s="7" t="n"/>
      <x:c r="O752" s="7" t="n"/>
      <x:c r="P752" s="7" t="n"/>
      <x:c r="Q752" s="7" t="n"/>
      <x:c r="R752" s="7" t="n"/>
      <x:c r="S752" s="7" t="n"/>
      <x:c r="T752" s="7" t="n"/>
      <x:c r="U752" s="7" t="n"/>
      <x:c r="V752" s="7" t="n"/>
      <x:c r="W752" s="7" t="n"/>
      <x:c r="X752" s="7" t="n"/>
      <x:c r="Y752" s="7" t="n"/>
      <x:c r="Z752" s="7" t="n"/>
      <x:c r="AA752" s="7" t="n"/>
      <x:c r="AB752" s="7" t="n"/>
    </x:row>
    <x:row r="753" ht="20" customHeight="1">
      <x:c r="A753" s="79" t="inlineStr">
        <x:is>
          <x:t xml:space="preserve">Minnetonka Public Schools</x:t>
        </x:is>
      </x:c>
      <x:c r="B753" s="79" t="inlineStr">
        <x:is>
          <x:t xml:space="preserve">MN</x:t>
        </x:is>
      </x:c>
      <x:c r="C753" s="79" t="inlineStr">
        <x:is>
          <x:t xml:space="preserve">Bachelor's</x:t>
        </x:is>
      </x:c>
      <x:c r="D753" s="79" t="n">
        <x:v>3</x:v>
      </x:c>
      <x:c r="E753" s="80" t="n">
        <x:v>56703</x:v>
      </x:c>
      <x:c r="F753" s="79" t="inlineStr">
        <x:is>
          <x:t xml:space="preserve">2026-06-16</x:t>
        </x:is>
      </x:c>
      <x:c r="G753" s="7" t="n"/>
      <x:c r="H753" s="7" t="n"/>
      <x:c r="I753" s="7" t="n"/>
      <x:c r="J753" s="7" t="n"/>
      <x:c r="K753" s="7" t="n"/>
      <x:c r="L753" s="7" t="n"/>
      <x:c r="M753" s="7" t="n"/>
      <x:c r="N753" s="7" t="n"/>
      <x:c r="O753" s="7" t="n"/>
      <x:c r="P753" s="7" t="n"/>
      <x:c r="Q753" s="7" t="n"/>
      <x:c r="R753" s="7" t="n"/>
      <x:c r="S753" s="7" t="n"/>
      <x:c r="T753" s="7" t="n"/>
      <x:c r="U753" s="7" t="n"/>
      <x:c r="V753" s="7" t="n"/>
      <x:c r="W753" s="7" t="n"/>
      <x:c r="X753" s="7" t="n"/>
      <x:c r="Y753" s="7" t="n"/>
      <x:c r="Z753" s="7" t="n"/>
      <x:c r="AA753" s="7" t="n"/>
      <x:c r="AB753" s="7" t="n"/>
    </x:row>
    <x:row r="754" ht="20" customHeight="1">
      <x:c r="A754" s="79" t="inlineStr">
        <x:is>
          <x:t xml:space="preserve">Minnetonka Public Schools</x:t>
        </x:is>
      </x:c>
      <x:c r="B754" s="79" t="inlineStr">
        <x:is>
          <x:t xml:space="preserve">MN</x:t>
        </x:is>
      </x:c>
      <x:c r="C754" s="79" t="inlineStr">
        <x:is>
          <x:t xml:space="preserve">Bachelor's</x:t>
        </x:is>
      </x:c>
      <x:c r="D754" s="79" t="n">
        <x:v>4</x:v>
      </x:c>
      <x:c r="E754" s="80" t="n">
        <x:v>58198</x:v>
      </x:c>
      <x:c r="F754" s="79" t="inlineStr">
        <x:is>
          <x:t xml:space="preserve">2026-06-16</x:t>
        </x:is>
      </x:c>
      <x:c r="G754" s="7" t="n"/>
      <x:c r="H754" s="7" t="n"/>
      <x:c r="I754" s="7" t="n"/>
      <x:c r="J754" s="7" t="n"/>
      <x:c r="K754" s="7" t="n"/>
      <x:c r="L754" s="7" t="n"/>
      <x:c r="M754" s="7" t="n"/>
      <x:c r="N754" s="7" t="n"/>
      <x:c r="O754" s="7" t="n"/>
      <x:c r="P754" s="7" t="n"/>
      <x:c r="Q754" s="7" t="n"/>
      <x:c r="R754" s="7" t="n"/>
      <x:c r="S754" s="7" t="n"/>
      <x:c r="T754" s="7" t="n"/>
      <x:c r="U754" s="7" t="n"/>
      <x:c r="V754" s="7" t="n"/>
      <x:c r="W754" s="7" t="n"/>
      <x:c r="X754" s="7" t="n"/>
      <x:c r="Y754" s="7" t="n"/>
      <x:c r="Z754" s="7" t="n"/>
      <x:c r="AA754" s="7" t="n"/>
      <x:c r="AB754" s="7" t="n"/>
    </x:row>
    <x:row r="755" ht="20" customHeight="1">
      <x:c r="A755" s="79" t="inlineStr">
        <x:is>
          <x:t xml:space="preserve">Minnetonka Public Schools</x:t>
        </x:is>
      </x:c>
      <x:c r="B755" s="79" t="inlineStr">
        <x:is>
          <x:t xml:space="preserve">MN</x:t>
        </x:is>
      </x:c>
      <x:c r="C755" s="79" t="inlineStr">
        <x:is>
          <x:t xml:space="preserve">Bachelor's</x:t>
        </x:is>
      </x:c>
      <x:c r="D755" s="79" t="n">
        <x:v>5</x:v>
      </x:c>
      <x:c r="E755" s="80" t="n">
        <x:v>59693</x:v>
      </x:c>
      <x:c r="F755" s="79" t="inlineStr">
        <x:is>
          <x:t xml:space="preserve">2026-06-16</x:t>
        </x:is>
      </x:c>
      <x:c r="G755" s="7" t="n"/>
      <x:c r="H755" s="7" t="n"/>
      <x:c r="I755" s="7" t="n"/>
      <x:c r="J755" s="7" t="n"/>
      <x:c r="K755" s="7" t="n"/>
      <x:c r="L755" s="7" t="n"/>
      <x:c r="M755" s="7" t="n"/>
      <x:c r="N755" s="7" t="n"/>
      <x:c r="O755" s="7" t="n"/>
      <x:c r="P755" s="7" t="n"/>
      <x:c r="Q755" s="7" t="n"/>
      <x:c r="R755" s="7" t="n"/>
      <x:c r="S755" s="7" t="n"/>
      <x:c r="T755" s="7" t="n"/>
      <x:c r="U755" s="7" t="n"/>
      <x:c r="V755" s="7" t="n"/>
      <x:c r="W755" s="7" t="n"/>
      <x:c r="X755" s="7" t="n"/>
      <x:c r="Y755" s="7" t="n"/>
      <x:c r="Z755" s="7" t="n"/>
      <x:c r="AA755" s="7" t="n"/>
      <x:c r="AB755" s="7" t="n"/>
    </x:row>
    <x:row r="756" ht="20" customHeight="1">
      <x:c r="A756" s="79" t="inlineStr">
        <x:is>
          <x:t xml:space="preserve">Minnetonka Public Schools</x:t>
        </x:is>
      </x:c>
      <x:c r="B756" s="79" t="inlineStr">
        <x:is>
          <x:t xml:space="preserve">MN</x:t>
        </x:is>
      </x:c>
      <x:c r="C756" s="79" t="inlineStr">
        <x:is>
          <x:t xml:space="preserve">Bachelor's</x:t>
        </x:is>
      </x:c>
      <x:c r="D756" s="79" t="n">
        <x:v>6</x:v>
      </x:c>
      <x:c r="E756" s="80" t="n">
        <x:v>61184</x:v>
      </x:c>
      <x:c r="F756" s="79" t="inlineStr">
        <x:is>
          <x:t xml:space="preserve">2026-06-16</x:t>
        </x:is>
      </x:c>
      <x:c r="G756" s="7" t="n"/>
      <x:c r="H756" s="7" t="n"/>
      <x:c r="I756" s="7" t="n"/>
      <x:c r="J756" s="7" t="n"/>
      <x:c r="K756" s="7" t="n"/>
      <x:c r="L756" s="7" t="n"/>
      <x:c r="M756" s="7" t="n"/>
      <x:c r="N756" s="7" t="n"/>
      <x:c r="O756" s="7" t="n"/>
      <x:c r="P756" s="7" t="n"/>
      <x:c r="Q756" s="7" t="n"/>
      <x:c r="R756" s="7" t="n"/>
      <x:c r="S756" s="7" t="n"/>
      <x:c r="T756" s="7" t="n"/>
      <x:c r="U756" s="7" t="n"/>
      <x:c r="V756" s="7" t="n"/>
      <x:c r="W756" s="7" t="n"/>
      <x:c r="X756" s="7" t="n"/>
      <x:c r="Y756" s="7" t="n"/>
      <x:c r="Z756" s="7" t="n"/>
      <x:c r="AA756" s="7" t="n"/>
      <x:c r="AB756" s="7" t="n"/>
    </x:row>
    <x:row r="757" ht="20" customHeight="1">
      <x:c r="A757" s="79" t="inlineStr">
        <x:is>
          <x:t xml:space="preserve">Minnetonka Public Schools</x:t>
        </x:is>
      </x:c>
      <x:c r="B757" s="79" t="inlineStr">
        <x:is>
          <x:t xml:space="preserve">MN</x:t>
        </x:is>
      </x:c>
      <x:c r="C757" s="79" t="inlineStr">
        <x:is>
          <x:t xml:space="preserve">Bachelor's</x:t>
        </x:is>
      </x:c>
      <x:c r="D757" s="79" t="n">
        <x:v>7</x:v>
      </x:c>
      <x:c r="E757" s="80" t="n">
        <x:v>62680</x:v>
      </x:c>
      <x:c r="F757" s="79" t="inlineStr">
        <x:is>
          <x:t xml:space="preserve">2026-06-16</x:t>
        </x:is>
      </x:c>
      <x:c r="G757" s="7" t="n"/>
      <x:c r="H757" s="7" t="n"/>
      <x:c r="I757" s="7" t="n"/>
      <x:c r="J757" s="7" t="n"/>
      <x:c r="K757" s="7" t="n"/>
      <x:c r="L757" s="7" t="n"/>
      <x:c r="M757" s="7" t="n"/>
      <x:c r="N757" s="7" t="n"/>
      <x:c r="O757" s="7" t="n"/>
      <x:c r="P757" s="7" t="n"/>
      <x:c r="Q757" s="7" t="n"/>
      <x:c r="R757" s="7" t="n"/>
      <x:c r="S757" s="7" t="n"/>
      <x:c r="T757" s="7" t="n"/>
      <x:c r="U757" s="7" t="n"/>
      <x:c r="V757" s="7" t="n"/>
      <x:c r="W757" s="7" t="n"/>
      <x:c r="X757" s="7" t="n"/>
      <x:c r="Y757" s="7" t="n"/>
      <x:c r="Z757" s="7" t="n"/>
      <x:c r="AA757" s="7" t="n"/>
      <x:c r="AB757" s="7" t="n"/>
    </x:row>
    <x:row r="758" ht="20" customHeight="1">
      <x:c r="A758" s="79" t="inlineStr">
        <x:is>
          <x:t xml:space="preserve">Minnetonka Public Schools</x:t>
        </x:is>
      </x:c>
      <x:c r="B758" s="79" t="inlineStr">
        <x:is>
          <x:t xml:space="preserve">MN</x:t>
        </x:is>
      </x:c>
      <x:c r="C758" s="79" t="inlineStr">
        <x:is>
          <x:t xml:space="preserve">Bachelor's</x:t>
        </x:is>
      </x:c>
      <x:c r="D758" s="79" t="n">
        <x:v>8</x:v>
      </x:c>
      <x:c r="E758" s="80" t="n">
        <x:v>64175</x:v>
      </x:c>
      <x:c r="F758" s="79" t="inlineStr">
        <x:is>
          <x:t xml:space="preserve">2026-06-16</x:t>
        </x:is>
      </x:c>
      <x:c r="G758" s="7" t="n"/>
      <x:c r="H758" s="7" t="n"/>
      <x:c r="I758" s="7" t="n"/>
      <x:c r="J758" s="7" t="n"/>
      <x:c r="K758" s="7" t="n"/>
      <x:c r="L758" s="7" t="n"/>
      <x:c r="M758" s="7" t="n"/>
      <x:c r="N758" s="7" t="n"/>
      <x:c r="O758" s="7" t="n"/>
      <x:c r="P758" s="7" t="n"/>
      <x:c r="Q758" s="7" t="n"/>
      <x:c r="R758" s="7" t="n"/>
      <x:c r="S758" s="7" t="n"/>
      <x:c r="T758" s="7" t="n"/>
      <x:c r="U758" s="7" t="n"/>
      <x:c r="V758" s="7" t="n"/>
      <x:c r="W758" s="7" t="n"/>
      <x:c r="X758" s="7" t="n"/>
      <x:c r="Y758" s="7" t="n"/>
      <x:c r="Z758" s="7" t="n"/>
      <x:c r="AA758" s="7" t="n"/>
      <x:c r="AB758" s="7" t="n"/>
    </x:row>
    <x:row r="759" ht="20" customHeight="1">
      <x:c r="A759" s="79" t="inlineStr">
        <x:is>
          <x:t xml:space="preserve">Minnetonka Public Schools</x:t>
        </x:is>
      </x:c>
      <x:c r="B759" s="79" t="inlineStr">
        <x:is>
          <x:t xml:space="preserve">MN</x:t>
        </x:is>
      </x:c>
      <x:c r="C759" s="79" t="inlineStr">
        <x:is>
          <x:t xml:space="preserve">Bachelor's</x:t>
        </x:is>
      </x:c>
      <x:c r="D759" s="79" t="n">
        <x:v>9</x:v>
      </x:c>
      <x:c r="E759" s="80" t="n">
        <x:v>65670</x:v>
      </x:c>
      <x:c r="F759" s="79" t="inlineStr">
        <x:is>
          <x:t xml:space="preserve">2026-06-16</x:t>
        </x:is>
      </x:c>
      <x:c r="G759" s="7" t="n"/>
      <x:c r="H759" s="7" t="n"/>
      <x:c r="I759" s="7" t="n"/>
      <x:c r="J759" s="7" t="n"/>
      <x:c r="K759" s="7" t="n"/>
      <x:c r="L759" s="7" t="n"/>
      <x:c r="M759" s="7" t="n"/>
      <x:c r="N759" s="7" t="n"/>
      <x:c r="O759" s="7" t="n"/>
      <x:c r="P759" s="7" t="n"/>
      <x:c r="Q759" s="7" t="n"/>
      <x:c r="R759" s="7" t="n"/>
      <x:c r="S759" s="7" t="n"/>
      <x:c r="T759" s="7" t="n"/>
      <x:c r="U759" s="7" t="n"/>
      <x:c r="V759" s="7" t="n"/>
      <x:c r="W759" s="7" t="n"/>
      <x:c r="X759" s="7" t="n"/>
      <x:c r="Y759" s="7" t="n"/>
      <x:c r="Z759" s="7" t="n"/>
      <x:c r="AA759" s="7" t="n"/>
      <x:c r="AB759" s="7" t="n"/>
    </x:row>
    <x:row r="760" ht="20" customHeight="1">
      <x:c r="A760" s="79" t="inlineStr">
        <x:is>
          <x:t xml:space="preserve">Minnetonka Public Schools</x:t>
        </x:is>
      </x:c>
      <x:c r="B760" s="79" t="inlineStr">
        <x:is>
          <x:t xml:space="preserve">MN</x:t>
        </x:is>
      </x:c>
      <x:c r="C760" s="79" t="inlineStr">
        <x:is>
          <x:t xml:space="preserve">Bachelor's</x:t>
        </x:is>
      </x:c>
      <x:c r="D760" s="79" t="n">
        <x:v>10</x:v>
      </x:c>
      <x:c r="E760" s="80" t="n">
        <x:v>67163</x:v>
      </x:c>
      <x:c r="F760" s="79" t="inlineStr">
        <x:is>
          <x:t xml:space="preserve">2026-06-16</x:t>
        </x:is>
      </x:c>
      <x:c r="G760" s="7" t="n"/>
      <x:c r="H760" s="7" t="n"/>
      <x:c r="I760" s="7" t="n"/>
      <x:c r="J760" s="7" t="n"/>
      <x:c r="K760" s="7" t="n"/>
      <x:c r="L760" s="7" t="n"/>
      <x:c r="M760" s="7" t="n"/>
      <x:c r="N760" s="7" t="n"/>
      <x:c r="O760" s="7" t="n"/>
      <x:c r="P760" s="7" t="n"/>
      <x:c r="Q760" s="7" t="n"/>
      <x:c r="R760" s="7" t="n"/>
      <x:c r="S760" s="7" t="n"/>
      <x:c r="T760" s="7" t="n"/>
      <x:c r="U760" s="7" t="n"/>
      <x:c r="V760" s="7" t="n"/>
      <x:c r="W760" s="7" t="n"/>
      <x:c r="X760" s="7" t="n"/>
      <x:c r="Y760" s="7" t="n"/>
      <x:c r="Z760" s="7" t="n"/>
      <x:c r="AA760" s="7" t="n"/>
      <x:c r="AB760" s="7" t="n"/>
    </x:row>
    <x:row r="761" ht="20" customHeight="1">
      <x:c r="A761" s="79" t="inlineStr">
        <x:is>
          <x:t xml:space="preserve">Minnetonka Public Schools</x:t>
        </x:is>
      </x:c>
      <x:c r="B761" s="79" t="inlineStr">
        <x:is>
          <x:t xml:space="preserve">MN</x:t>
        </x:is>
      </x:c>
      <x:c r="C761" s="79" t="inlineStr">
        <x:is>
          <x:t xml:space="preserve">Master's</x:t>
        </x:is>
      </x:c>
      <x:c r="D761" s="79" t="n">
        <x:v>0</x:v>
      </x:c>
      <x:c r="E761" s="80" t="n">
        <x:v>64583</x:v>
      </x:c>
      <x:c r="F761" s="79" t="inlineStr">
        <x:is>
          <x:t xml:space="preserve">2026-06-16</x:t>
        </x:is>
      </x:c>
      <x:c r="G761" s="7" t="n"/>
      <x:c r="H761" s="7" t="n"/>
      <x:c r="I761" s="7" t="n"/>
      <x:c r="J761" s="7" t="n"/>
      <x:c r="K761" s="7" t="n"/>
      <x:c r="L761" s="7" t="n"/>
      <x:c r="M761" s="7" t="n"/>
      <x:c r="N761" s="7" t="n"/>
      <x:c r="O761" s="7" t="n"/>
      <x:c r="P761" s="7" t="n"/>
      <x:c r="Q761" s="7" t="n"/>
      <x:c r="R761" s="7" t="n"/>
      <x:c r="S761" s="7" t="n"/>
      <x:c r="T761" s="7" t="n"/>
      <x:c r="U761" s="7" t="n"/>
      <x:c r="V761" s="7" t="n"/>
      <x:c r="W761" s="7" t="n"/>
      <x:c r="X761" s="7" t="n"/>
      <x:c r="Y761" s="7" t="n"/>
      <x:c r="Z761" s="7" t="n"/>
      <x:c r="AA761" s="7" t="n"/>
      <x:c r="AB761" s="7" t="n"/>
    </x:row>
    <x:row r="762" ht="20" customHeight="1">
      <x:c r="A762" s="79" t="inlineStr">
        <x:is>
          <x:t xml:space="preserve">Minnetonka Public Schools</x:t>
        </x:is>
      </x:c>
      <x:c r="B762" s="79" t="inlineStr">
        <x:is>
          <x:t xml:space="preserve">MN</x:t>
        </x:is>
      </x:c>
      <x:c r="C762" s="79" t="inlineStr">
        <x:is>
          <x:t xml:space="preserve">Master's</x:t>
        </x:is>
      </x:c>
      <x:c r="D762" s="79" t="n">
        <x:v>1</x:v>
      </x:c>
      <x:c r="E762" s="80" t="n">
        <x:v>66747</x:v>
      </x:c>
      <x:c r="F762" s="79" t="inlineStr">
        <x:is>
          <x:t xml:space="preserve">2026-06-16</x:t>
        </x:is>
      </x:c>
      <x:c r="G762" s="7" t="n"/>
      <x:c r="H762" s="7" t="n"/>
      <x:c r="I762" s="7" t="n"/>
      <x:c r="J762" s="7" t="n"/>
      <x:c r="K762" s="7" t="n"/>
      <x:c r="L762" s="7" t="n"/>
      <x:c r="M762" s="7" t="n"/>
      <x:c r="N762" s="7" t="n"/>
      <x:c r="O762" s="7" t="n"/>
      <x:c r="P762" s="7" t="n"/>
      <x:c r="Q762" s="7" t="n"/>
      <x:c r="R762" s="7" t="n"/>
      <x:c r="S762" s="7" t="n"/>
      <x:c r="T762" s="7" t="n"/>
      <x:c r="U762" s="7" t="n"/>
      <x:c r="V762" s="7" t="n"/>
      <x:c r="W762" s="7" t="n"/>
      <x:c r="X762" s="7" t="n"/>
      <x:c r="Y762" s="7" t="n"/>
      <x:c r="Z762" s="7" t="n"/>
      <x:c r="AA762" s="7" t="n"/>
      <x:c r="AB762" s="7" t="n"/>
    </x:row>
    <x:row r="763" ht="20" customHeight="1">
      <x:c r="A763" s="79" t="inlineStr">
        <x:is>
          <x:t xml:space="preserve">Minnetonka Public Schools</x:t>
        </x:is>
      </x:c>
      <x:c r="B763" s="79" t="inlineStr">
        <x:is>
          <x:t xml:space="preserve">MN</x:t>
        </x:is>
      </x:c>
      <x:c r="C763" s="79" t="inlineStr">
        <x:is>
          <x:t xml:space="preserve">Master's</x:t>
        </x:is>
      </x:c>
      <x:c r="D763" s="79" t="n">
        <x:v>2</x:v>
      </x:c>
      <x:c r="E763" s="80" t="n">
        <x:v>68905</x:v>
      </x:c>
      <x:c r="F763" s="79" t="inlineStr">
        <x:is>
          <x:t xml:space="preserve">2026-06-16</x:t>
        </x:is>
      </x:c>
      <x:c r="G763" s="7" t="n"/>
      <x:c r="H763" s="7" t="n"/>
      <x:c r="I763" s="7" t="n"/>
      <x:c r="J763" s="7" t="n"/>
      <x:c r="K763" s="7" t="n"/>
      <x:c r="L763" s="7" t="n"/>
      <x:c r="M763" s="7" t="n"/>
      <x:c r="N763" s="7" t="n"/>
      <x:c r="O763" s="7" t="n"/>
      <x:c r="P763" s="7" t="n"/>
      <x:c r="Q763" s="7" t="n"/>
      <x:c r="R763" s="7" t="n"/>
      <x:c r="S763" s="7" t="n"/>
      <x:c r="T763" s="7" t="n"/>
      <x:c r="U763" s="7" t="n"/>
      <x:c r="V763" s="7" t="n"/>
      <x:c r="W763" s="7" t="n"/>
      <x:c r="X763" s="7" t="n"/>
      <x:c r="Y763" s="7" t="n"/>
      <x:c r="Z763" s="7" t="n"/>
      <x:c r="AA763" s="7" t="n"/>
      <x:c r="AB763" s="7" t="n"/>
    </x:row>
    <x:row r="764" ht="20" customHeight="1">
      <x:c r="A764" s="79" t="inlineStr">
        <x:is>
          <x:t xml:space="preserve">Minnetonka Public Schools</x:t>
        </x:is>
      </x:c>
      <x:c r="B764" s="79" t="inlineStr">
        <x:is>
          <x:t xml:space="preserve">MN</x:t>
        </x:is>
      </x:c>
      <x:c r="C764" s="79" t="inlineStr">
        <x:is>
          <x:t xml:space="preserve">Master's</x:t>
        </x:is>
      </x:c>
      <x:c r="D764" s="79" t="n">
        <x:v>3</x:v>
      </x:c>
      <x:c r="E764" s="80" t="n">
        <x:v>71067</x:v>
      </x:c>
      <x:c r="F764" s="79" t="inlineStr">
        <x:is>
          <x:t xml:space="preserve">2026-06-16</x:t>
        </x:is>
      </x:c>
      <x:c r="G764" s="7" t="n"/>
      <x:c r="H764" s="7" t="n"/>
      <x:c r="I764" s="7" t="n"/>
      <x:c r="J764" s="7" t="n"/>
      <x:c r="K764" s="7" t="n"/>
      <x:c r="L764" s="7" t="n"/>
      <x:c r="M764" s="7" t="n"/>
      <x:c r="N764" s="7" t="n"/>
      <x:c r="O764" s="7" t="n"/>
      <x:c r="P764" s="7" t="n"/>
      <x:c r="Q764" s="7" t="n"/>
      <x:c r="R764" s="7" t="n"/>
      <x:c r="S764" s="7" t="n"/>
      <x:c r="T764" s="7" t="n"/>
      <x:c r="U764" s="7" t="n"/>
      <x:c r="V764" s="7" t="n"/>
      <x:c r="W764" s="7" t="n"/>
      <x:c r="X764" s="7" t="n"/>
      <x:c r="Y764" s="7" t="n"/>
      <x:c r="Z764" s="7" t="n"/>
      <x:c r="AA764" s="7" t="n"/>
      <x:c r="AB764" s="7" t="n"/>
    </x:row>
    <x:row r="765" ht="20" customHeight="1">
      <x:c r="A765" s="79" t="inlineStr">
        <x:is>
          <x:t xml:space="preserve">Minnetonka Public Schools</x:t>
        </x:is>
      </x:c>
      <x:c r="B765" s="79" t="inlineStr">
        <x:is>
          <x:t xml:space="preserve">MN</x:t>
        </x:is>
      </x:c>
      <x:c r="C765" s="79" t="inlineStr">
        <x:is>
          <x:t xml:space="preserve">Master's</x:t>
        </x:is>
      </x:c>
      <x:c r="D765" s="79" t="n">
        <x:v>4</x:v>
      </x:c>
      <x:c r="E765" s="80" t="n">
        <x:v>73224</x:v>
      </x:c>
      <x:c r="F765" s="79" t="inlineStr">
        <x:is>
          <x:t xml:space="preserve">2026-06-16</x:t>
        </x:is>
      </x:c>
      <x:c r="G765" s="7" t="n"/>
      <x:c r="H765" s="7" t="n"/>
      <x:c r="I765" s="7" t="n"/>
      <x:c r="J765" s="7" t="n"/>
      <x:c r="K765" s="7" t="n"/>
      <x:c r="L765" s="7" t="n"/>
      <x:c r="M765" s="7" t="n"/>
      <x:c r="N765" s="7" t="n"/>
      <x:c r="O765" s="7" t="n"/>
      <x:c r="P765" s="7" t="n"/>
      <x:c r="Q765" s="7" t="n"/>
      <x:c r="R765" s="7" t="n"/>
      <x:c r="S765" s="7" t="n"/>
      <x:c r="T765" s="7" t="n"/>
      <x:c r="U765" s="7" t="n"/>
      <x:c r="V765" s="7" t="n"/>
      <x:c r="W765" s="7" t="n"/>
      <x:c r="X765" s="7" t="n"/>
      <x:c r="Y765" s="7" t="n"/>
      <x:c r="Z765" s="7" t="n"/>
      <x:c r="AA765" s="7" t="n"/>
      <x:c r="AB765" s="7" t="n"/>
    </x:row>
    <x:row r="766" ht="20" customHeight="1">
      <x:c r="A766" s="79" t="inlineStr">
        <x:is>
          <x:t xml:space="preserve">Minnetonka Public Schools</x:t>
        </x:is>
      </x:c>
      <x:c r="B766" s="79" t="inlineStr">
        <x:is>
          <x:t xml:space="preserve">MN</x:t>
        </x:is>
      </x:c>
      <x:c r="C766" s="79" t="inlineStr">
        <x:is>
          <x:t xml:space="preserve">Master's</x:t>
        </x:is>
      </x:c>
      <x:c r="D766" s="79" t="n">
        <x:v>5</x:v>
      </x:c>
      <x:c r="E766" s="80" t="n">
        <x:v>75389</x:v>
      </x:c>
      <x:c r="F766" s="79" t="inlineStr">
        <x:is>
          <x:t xml:space="preserve">2026-06-16</x:t>
        </x:is>
      </x:c>
      <x:c r="G766" s="7" t="n"/>
      <x:c r="H766" s="7" t="n"/>
      <x:c r="I766" s="7" t="n"/>
      <x:c r="J766" s="7" t="n"/>
      <x:c r="K766" s="7" t="n"/>
      <x:c r="L766" s="7" t="n"/>
      <x:c r="M766" s="7" t="n"/>
      <x:c r="N766" s="7" t="n"/>
      <x:c r="O766" s="7" t="n"/>
      <x:c r="P766" s="7" t="n"/>
      <x:c r="Q766" s="7" t="n"/>
      <x:c r="R766" s="7" t="n"/>
      <x:c r="S766" s="7" t="n"/>
      <x:c r="T766" s="7" t="n"/>
      <x:c r="U766" s="7" t="n"/>
      <x:c r="V766" s="7" t="n"/>
      <x:c r="W766" s="7" t="n"/>
      <x:c r="X766" s="7" t="n"/>
      <x:c r="Y766" s="7" t="n"/>
      <x:c r="Z766" s="7" t="n"/>
      <x:c r="AA766" s="7" t="n"/>
      <x:c r="AB766" s="7" t="n"/>
    </x:row>
    <x:row r="767" ht="20" customHeight="1">
      <x:c r="A767" s="79" t="inlineStr">
        <x:is>
          <x:t xml:space="preserve">Minnetonka Public Schools</x:t>
        </x:is>
      </x:c>
      <x:c r="B767" s="79" t="inlineStr">
        <x:is>
          <x:t xml:space="preserve">MN</x:t>
        </x:is>
      </x:c>
      <x:c r="C767" s="79" t="inlineStr">
        <x:is>
          <x:t xml:space="preserve">Master's</x:t>
        </x:is>
      </x:c>
      <x:c r="D767" s="79" t="n">
        <x:v>6</x:v>
      </x:c>
      <x:c r="E767" s="80" t="n">
        <x:v>77549</x:v>
      </x:c>
      <x:c r="F767" s="79" t="inlineStr">
        <x:is>
          <x:t xml:space="preserve">2026-06-16</x:t>
        </x:is>
      </x:c>
      <x:c r="G767" s="7" t="n"/>
      <x:c r="H767" s="7" t="n"/>
      <x:c r="I767" s="7" t="n"/>
      <x:c r="J767" s="7" t="n"/>
      <x:c r="K767" s="7" t="n"/>
      <x:c r="L767" s="7" t="n"/>
      <x:c r="M767" s="7" t="n"/>
      <x:c r="N767" s="7" t="n"/>
      <x:c r="O767" s="7" t="n"/>
      <x:c r="P767" s="7" t="n"/>
      <x:c r="Q767" s="7" t="n"/>
      <x:c r="R767" s="7" t="n"/>
      <x:c r="S767" s="7" t="n"/>
      <x:c r="T767" s="7" t="n"/>
      <x:c r="U767" s="7" t="n"/>
      <x:c r="V767" s="7" t="n"/>
      <x:c r="W767" s="7" t="n"/>
      <x:c r="X767" s="7" t="n"/>
      <x:c r="Y767" s="7" t="n"/>
      <x:c r="Z767" s="7" t="n"/>
      <x:c r="AA767" s="7" t="n"/>
      <x:c r="AB767" s="7" t="n"/>
    </x:row>
    <x:row r="768" ht="20" customHeight="1">
      <x:c r="A768" s="79" t="inlineStr">
        <x:is>
          <x:t xml:space="preserve">Minnetonka Public Schools</x:t>
        </x:is>
      </x:c>
      <x:c r="B768" s="79" t="inlineStr">
        <x:is>
          <x:t xml:space="preserve">MN</x:t>
        </x:is>
      </x:c>
      <x:c r="C768" s="79" t="inlineStr">
        <x:is>
          <x:t xml:space="preserve">Master's</x:t>
        </x:is>
      </x:c>
      <x:c r="D768" s="79" t="n">
        <x:v>7</x:v>
      </x:c>
      <x:c r="E768" s="80" t="n">
        <x:v>79708</x:v>
      </x:c>
      <x:c r="F768" s="79" t="inlineStr">
        <x:is>
          <x:t xml:space="preserve">2026-06-16</x:t>
        </x:is>
      </x:c>
      <x:c r="G768" s="7" t="n"/>
      <x:c r="H768" s="7" t="n"/>
      <x:c r="I768" s="7" t="n"/>
      <x:c r="J768" s="7" t="n"/>
      <x:c r="K768" s="7" t="n"/>
      <x:c r="L768" s="7" t="n"/>
      <x:c r="M768" s="7" t="n"/>
      <x:c r="N768" s="7" t="n"/>
      <x:c r="O768" s="7" t="n"/>
      <x:c r="P768" s="7" t="n"/>
      <x:c r="Q768" s="7" t="n"/>
      <x:c r="R768" s="7" t="n"/>
      <x:c r="S768" s="7" t="n"/>
      <x:c r="T768" s="7" t="n"/>
      <x:c r="U768" s="7" t="n"/>
      <x:c r="V768" s="7" t="n"/>
      <x:c r="W768" s="7" t="n"/>
      <x:c r="X768" s="7" t="n"/>
      <x:c r="Y768" s="7" t="n"/>
      <x:c r="Z768" s="7" t="n"/>
      <x:c r="AA768" s="7" t="n"/>
      <x:c r="AB768" s="7" t="n"/>
    </x:row>
    <x:row r="769" ht="20" customHeight="1">
      <x:c r="A769" s="79" t="inlineStr">
        <x:is>
          <x:t xml:space="preserve">Minnetonka Public Schools</x:t>
        </x:is>
      </x:c>
      <x:c r="B769" s="79" t="inlineStr">
        <x:is>
          <x:t xml:space="preserve">MN</x:t>
        </x:is>
      </x:c>
      <x:c r="C769" s="79" t="inlineStr">
        <x:is>
          <x:t xml:space="preserve">Master's</x:t>
        </x:is>
      </x:c>
      <x:c r="D769" s="79" t="n">
        <x:v>8</x:v>
      </x:c>
      <x:c r="E769" s="80" t="n">
        <x:v>81867</x:v>
      </x:c>
      <x:c r="F769" s="79" t="inlineStr">
        <x:is>
          <x:t xml:space="preserve">2026-06-16</x:t>
        </x:is>
      </x:c>
      <x:c r="G769" s="7" t="n"/>
      <x:c r="H769" s="7" t="n"/>
      <x:c r="I769" s="7" t="n"/>
      <x:c r="J769" s="7" t="n"/>
      <x:c r="K769" s="7" t="n"/>
      <x:c r="L769" s="7" t="n"/>
      <x:c r="M769" s="7" t="n"/>
      <x:c r="N769" s="7" t="n"/>
      <x:c r="O769" s="7" t="n"/>
      <x:c r="P769" s="7" t="n"/>
      <x:c r="Q769" s="7" t="n"/>
      <x:c r="R769" s="7" t="n"/>
      <x:c r="S769" s="7" t="n"/>
      <x:c r="T769" s="7" t="n"/>
      <x:c r="U769" s="7" t="n"/>
      <x:c r="V769" s="7" t="n"/>
      <x:c r="W769" s="7" t="n"/>
      <x:c r="X769" s="7" t="n"/>
      <x:c r="Y769" s="7" t="n"/>
      <x:c r="Z769" s="7" t="n"/>
      <x:c r="AA769" s="7" t="n"/>
      <x:c r="AB769" s="7" t="n"/>
    </x:row>
    <x:row r="770" ht="20" customHeight="1">
      <x:c r="A770" s="79" t="inlineStr">
        <x:is>
          <x:t xml:space="preserve">Minnetonka Public Schools</x:t>
        </x:is>
      </x:c>
      <x:c r="B770" s="79" t="inlineStr">
        <x:is>
          <x:t xml:space="preserve">MN</x:t>
        </x:is>
      </x:c>
      <x:c r="C770" s="79" t="inlineStr">
        <x:is>
          <x:t xml:space="preserve">Master's</x:t>
        </x:is>
      </x:c>
      <x:c r="D770" s="79" t="n">
        <x:v>9</x:v>
      </x:c>
      <x:c r="E770" s="80" t="n">
        <x:v>84030</x:v>
      </x:c>
      <x:c r="F770" s="79" t="inlineStr">
        <x:is>
          <x:t xml:space="preserve">2026-06-16</x:t>
        </x:is>
      </x:c>
      <x:c r="G770" s="7" t="n"/>
      <x:c r="H770" s="7" t="n"/>
      <x:c r="I770" s="7" t="n"/>
      <x:c r="J770" s="7" t="n"/>
      <x:c r="K770" s="7" t="n"/>
      <x:c r="L770" s="7" t="n"/>
      <x:c r="M770" s="7" t="n"/>
      <x:c r="N770" s="7" t="n"/>
      <x:c r="O770" s="7" t="n"/>
      <x:c r="P770" s="7" t="n"/>
      <x:c r="Q770" s="7" t="n"/>
      <x:c r="R770" s="7" t="n"/>
      <x:c r="S770" s="7" t="n"/>
      <x:c r="T770" s="7" t="n"/>
      <x:c r="U770" s="7" t="n"/>
      <x:c r="V770" s="7" t="n"/>
      <x:c r="W770" s="7" t="n"/>
      <x:c r="X770" s="7" t="n"/>
      <x:c r="Y770" s="7" t="n"/>
      <x:c r="Z770" s="7" t="n"/>
      <x:c r="AA770" s="7" t="n"/>
      <x:c r="AB770" s="7" t="n"/>
    </x:row>
    <x:row r="771" ht="20" customHeight="1">
      <x:c r="A771" s="79" t="inlineStr">
        <x:is>
          <x:t xml:space="preserve">Minnetonka Public Schools</x:t>
        </x:is>
      </x:c>
      <x:c r="B771" s="79" t="inlineStr">
        <x:is>
          <x:t xml:space="preserve">MN</x:t>
        </x:is>
      </x:c>
      <x:c r="C771" s="79" t="inlineStr">
        <x:is>
          <x:t xml:space="preserve">Master's</x:t>
        </x:is>
      </x:c>
      <x:c r="D771" s="79" t="n">
        <x:v>10</x:v>
      </x:c>
      <x:c r="E771" s="80" t="n">
        <x:v>86190</x:v>
      </x:c>
      <x:c r="F771" s="79" t="inlineStr">
        <x:is>
          <x:t xml:space="preserve">2026-06-16</x:t>
        </x:is>
      </x:c>
      <x:c r="G771" s="7" t="n"/>
      <x:c r="H771" s="7" t="n"/>
      <x:c r="I771" s="7" t="n"/>
      <x:c r="J771" s="7" t="n"/>
      <x:c r="K771" s="7" t="n"/>
      <x:c r="L771" s="7" t="n"/>
      <x:c r="M771" s="7" t="n"/>
      <x:c r="N771" s="7" t="n"/>
      <x:c r="O771" s="7" t="n"/>
      <x:c r="P771" s="7" t="n"/>
      <x:c r="Q771" s="7" t="n"/>
      <x:c r="R771" s="7" t="n"/>
      <x:c r="S771" s="7" t="n"/>
      <x:c r="T771" s="7" t="n"/>
      <x:c r="U771" s="7" t="n"/>
      <x:c r="V771" s="7" t="n"/>
      <x:c r="W771" s="7" t="n"/>
      <x:c r="X771" s="7" t="n"/>
      <x:c r="Y771" s="7" t="n"/>
      <x:c r="Z771" s="7" t="n"/>
      <x:c r="AA771" s="7" t="n"/>
      <x:c r="AB771" s="7" t="n"/>
    </x:row>
    <x:row r="772" ht="20" customHeight="1">
      <x:c r="A772" s="12" t="inlineStr">
        <x:is>
          <x:t xml:space="preserve">Mounds View Public Schools</x:t>
        </x:is>
      </x:c>
      <x:c r="B772" s="12" t="inlineStr">
        <x:is>
          <x:t xml:space="preserve">MN</x:t>
        </x:is>
      </x:c>
      <x:c r="C772" s="12" t="inlineStr">
        <x:is>
          <x:t xml:space="preserve">Bachelor's</x:t>
        </x:is>
      </x:c>
      <x:c r="D772" s="13" t="n">
        <x:v>0</x:v>
      </x:c>
      <x:c r="E772" s="14" t="n">
        <x:v>52932</x:v>
      </x:c>
      <x:c r="F772" s="12" t="inlineStr">
        <x:is>
          <x:t xml:space="preserve">2026-06-15</x:t>
        </x:is>
      </x:c>
      <x:c r="G772" s="7" t="n"/>
      <x:c r="H772" s="7" t="n"/>
      <x:c r="I772" s="7" t="n"/>
      <x:c r="J772" s="7" t="n"/>
      <x:c r="K772" s="7" t="n"/>
      <x:c r="L772" s="7" t="n"/>
      <x:c r="M772" s="7" t="n"/>
      <x:c r="N772" s="7" t="n"/>
      <x:c r="O772" s="7" t="n"/>
      <x:c r="P772" s="7" t="n"/>
      <x:c r="Q772" s="7" t="n"/>
      <x:c r="R772" s="7" t="n"/>
      <x:c r="S772" s="7" t="n"/>
      <x:c r="T772" s="7" t="n"/>
      <x:c r="U772" s="7" t="n"/>
      <x:c r="V772" s="7" t="n"/>
      <x:c r="W772" s="7" t="n"/>
      <x:c r="X772" s="7" t="n"/>
      <x:c r="Y772" s="7" t="n"/>
      <x:c r="Z772" s="7" t="n"/>
      <x:c r="AA772" s="7" t="n"/>
      <x:c r="AB772" s="7" t="n"/>
    </x:row>
    <x:row r="773" ht="20" customHeight="1">
      <x:c r="A773" s="12" t="inlineStr">
        <x:is>
          <x:t xml:space="preserve">Mounds View Public Schools</x:t>
        </x:is>
      </x:c>
      <x:c r="B773" s="12" t="inlineStr">
        <x:is>
          <x:t xml:space="preserve">MN</x:t>
        </x:is>
      </x:c>
      <x:c r="C773" s="12" t="inlineStr">
        <x:is>
          <x:t xml:space="preserve">Bachelor's</x:t>
        </x:is>
      </x:c>
      <x:c r="D773" s="13" t="n">
        <x:v>1</x:v>
      </x:c>
      <x:c r="E773" s="14" t="n">
        <x:v>53429</x:v>
      </x:c>
      <x:c r="F773" s="12" t="inlineStr">
        <x:is>
          <x:t xml:space="preserve">2026-06-15</x:t>
        </x:is>
      </x:c>
      <x:c r="G773" s="7" t="n"/>
      <x:c r="H773" s="7" t="n"/>
      <x:c r="I773" s="7" t="n"/>
      <x:c r="J773" s="7" t="n"/>
      <x:c r="K773" s="7" t="n"/>
      <x:c r="L773" s="7" t="n"/>
      <x:c r="M773" s="7" t="n"/>
      <x:c r="N773" s="7" t="n"/>
      <x:c r="O773" s="7" t="n"/>
      <x:c r="P773" s="7" t="n"/>
      <x:c r="Q773" s="7" t="n"/>
      <x:c r="R773" s="7" t="n"/>
      <x:c r="S773" s="7" t="n"/>
      <x:c r="T773" s="7" t="n"/>
      <x:c r="U773" s="7" t="n"/>
      <x:c r="V773" s="7" t="n"/>
      <x:c r="W773" s="7" t="n"/>
      <x:c r="X773" s="7" t="n"/>
      <x:c r="Y773" s="7" t="n"/>
      <x:c r="Z773" s="7" t="n"/>
      <x:c r="AA773" s="7" t="n"/>
      <x:c r="AB773" s="7" t="n"/>
    </x:row>
    <x:row r="774" ht="20" customHeight="1">
      <x:c r="A774" s="12" t="inlineStr">
        <x:is>
          <x:t xml:space="preserve">Mounds View Public Schools</x:t>
        </x:is>
      </x:c>
      <x:c r="B774" s="12" t="inlineStr">
        <x:is>
          <x:t xml:space="preserve">MN</x:t>
        </x:is>
      </x:c>
      <x:c r="C774" s="12" t="inlineStr">
        <x:is>
          <x:t xml:space="preserve">Bachelor's</x:t>
        </x:is>
      </x:c>
      <x:c r="D774" s="13" t="n">
        <x:v>2</x:v>
      </x:c>
      <x:c r="E774" s="14" t="n">
        <x:v>54150</x:v>
      </x:c>
      <x:c r="F774" s="12" t="inlineStr">
        <x:is>
          <x:t xml:space="preserve">2026-06-15</x:t>
        </x:is>
      </x:c>
      <x:c r="G774" s="7" t="n"/>
      <x:c r="H774" s="7" t="n"/>
      <x:c r="I774" s="7" t="n"/>
      <x:c r="J774" s="7" t="n"/>
      <x:c r="K774" s="7" t="n"/>
      <x:c r="L774" s="7" t="n"/>
      <x:c r="M774" s="7" t="n"/>
      <x:c r="N774" s="7" t="n"/>
      <x:c r="O774" s="7" t="n"/>
      <x:c r="P774" s="7" t="n"/>
      <x:c r="Q774" s="7" t="n"/>
      <x:c r="R774" s="7" t="n"/>
      <x:c r="S774" s="7" t="n"/>
      <x:c r="T774" s="7" t="n"/>
      <x:c r="U774" s="7" t="n"/>
      <x:c r="V774" s="7" t="n"/>
      <x:c r="W774" s="7" t="n"/>
      <x:c r="X774" s="7" t="n"/>
      <x:c r="Y774" s="7" t="n"/>
      <x:c r="Z774" s="7" t="n"/>
      <x:c r="AA774" s="7" t="n"/>
      <x:c r="AB774" s="7" t="n"/>
    </x:row>
    <x:row r="775" ht="20" customHeight="1">
      <x:c r="A775" s="12" t="inlineStr">
        <x:is>
          <x:t xml:space="preserve">Mounds View Public Schools</x:t>
        </x:is>
      </x:c>
      <x:c r="B775" s="12" t="inlineStr">
        <x:is>
          <x:t xml:space="preserve">MN</x:t>
        </x:is>
      </x:c>
      <x:c r="C775" s="12" t="inlineStr">
        <x:is>
          <x:t xml:space="preserve">Bachelor's</x:t>
        </x:is>
      </x:c>
      <x:c r="D775" s="13" t="n">
        <x:v>3</x:v>
      </x:c>
      <x:c r="E775" s="14" t="n">
        <x:v>54984</x:v>
      </x:c>
      <x:c r="F775" s="12" t="inlineStr">
        <x:is>
          <x:t xml:space="preserve">2026-06-15</x:t>
        </x:is>
      </x:c>
      <x:c r="G775" s="7" t="n"/>
      <x:c r="H775" s="7" t="n"/>
      <x:c r="I775" s="7" t="n"/>
      <x:c r="J775" s="7" t="n"/>
      <x:c r="K775" s="7" t="n"/>
      <x:c r="L775" s="7" t="n"/>
      <x:c r="M775" s="7" t="n"/>
      <x:c r="N775" s="7" t="n"/>
      <x:c r="O775" s="7" t="n"/>
      <x:c r="P775" s="7" t="n"/>
      <x:c r="Q775" s="7" t="n"/>
      <x:c r="R775" s="7" t="n"/>
      <x:c r="S775" s="7" t="n"/>
      <x:c r="T775" s="7" t="n"/>
      <x:c r="U775" s="7" t="n"/>
      <x:c r="V775" s="7" t="n"/>
      <x:c r="W775" s="7" t="n"/>
      <x:c r="X775" s="7" t="n"/>
      <x:c r="Y775" s="7" t="n"/>
      <x:c r="Z775" s="7" t="n"/>
      <x:c r="AA775" s="7" t="n"/>
      <x:c r="AB775" s="7" t="n"/>
    </x:row>
    <x:row r="776" ht="20" customHeight="1">
      <x:c r="A776" s="12" t="inlineStr">
        <x:is>
          <x:t xml:space="preserve">Mounds View Public Schools</x:t>
        </x:is>
      </x:c>
      <x:c r="B776" s="12" t="inlineStr">
        <x:is>
          <x:t xml:space="preserve">MN</x:t>
        </x:is>
      </x:c>
      <x:c r="C776" s="12" t="inlineStr">
        <x:is>
          <x:t xml:space="preserve">Bachelor's</x:t>
        </x:is>
      </x:c>
      <x:c r="D776" s="13" t="n">
        <x:v>4</x:v>
      </x:c>
      <x:c r="E776" s="14" t="n">
        <x:v>55952</x:v>
      </x:c>
      <x:c r="F776" s="12" t="inlineStr">
        <x:is>
          <x:t xml:space="preserve">2026-06-15</x:t>
        </x:is>
      </x:c>
      <x:c r="G776" s="7" t="n"/>
      <x:c r="H776" s="7" t="n"/>
      <x:c r="I776" s="7" t="n"/>
      <x:c r="J776" s="7" t="n"/>
      <x:c r="K776" s="7" t="n"/>
      <x:c r="L776" s="7" t="n"/>
      <x:c r="M776" s="7" t="n"/>
      <x:c r="N776" s="7" t="n"/>
      <x:c r="O776" s="7" t="n"/>
      <x:c r="P776" s="7" t="n"/>
      <x:c r="Q776" s="7" t="n"/>
      <x:c r="R776" s="7" t="n"/>
      <x:c r="S776" s="7" t="n"/>
      <x:c r="T776" s="7" t="n"/>
      <x:c r="U776" s="7" t="n"/>
      <x:c r="V776" s="7" t="n"/>
      <x:c r="W776" s="7" t="n"/>
      <x:c r="X776" s="7" t="n"/>
      <x:c r="Y776" s="7" t="n"/>
      <x:c r="Z776" s="7" t="n"/>
      <x:c r="AA776" s="7" t="n"/>
      <x:c r="AB776" s="7" t="n"/>
    </x:row>
    <x:row r="777" ht="20" customHeight="1">
      <x:c r="A777" s="12" t="inlineStr">
        <x:is>
          <x:t xml:space="preserve">Mounds View Public Schools</x:t>
        </x:is>
      </x:c>
      <x:c r="B777" s="12" t="inlineStr">
        <x:is>
          <x:t xml:space="preserve">MN</x:t>
        </x:is>
      </x:c>
      <x:c r="C777" s="12" t="inlineStr">
        <x:is>
          <x:t xml:space="preserve">Bachelor's</x:t>
        </x:is>
      </x:c>
      <x:c r="D777" s="13" t="n">
        <x:v>5</x:v>
      </x:c>
      <x:c r="E777" s="14" t="n">
        <x:v>57028</x:v>
      </x:c>
      <x:c r="F777" s="12" t="inlineStr">
        <x:is>
          <x:t xml:space="preserve">2026-06-15</x:t>
        </x:is>
      </x:c>
      <x:c r="G777" s="7" t="n"/>
      <x:c r="H777" s="7" t="n"/>
      <x:c r="I777" s="7" t="n"/>
      <x:c r="J777" s="7" t="n"/>
      <x:c r="K777" s="7" t="n"/>
      <x:c r="L777" s="7" t="n"/>
      <x:c r="M777" s="7" t="n"/>
      <x:c r="N777" s="7" t="n"/>
      <x:c r="O777" s="7" t="n"/>
      <x:c r="P777" s="7" t="n"/>
      <x:c r="Q777" s="7" t="n"/>
      <x:c r="R777" s="7" t="n"/>
      <x:c r="S777" s="7" t="n"/>
      <x:c r="T777" s="7" t="n"/>
      <x:c r="U777" s="7" t="n"/>
      <x:c r="V777" s="7" t="n"/>
      <x:c r="W777" s="7" t="n"/>
      <x:c r="X777" s="7" t="n"/>
      <x:c r="Y777" s="7" t="n"/>
      <x:c r="Z777" s="7" t="n"/>
      <x:c r="AA777" s="7" t="n"/>
      <x:c r="AB777" s="7" t="n"/>
    </x:row>
    <x:row r="778" ht="20" customHeight="1">
      <x:c r="A778" s="12" t="inlineStr">
        <x:is>
          <x:t xml:space="preserve">Mounds View Public Schools</x:t>
        </x:is>
      </x:c>
      <x:c r="B778" s="12" t="inlineStr">
        <x:is>
          <x:t xml:space="preserve">MN</x:t>
        </x:is>
      </x:c>
      <x:c r="C778" s="12" t="inlineStr">
        <x:is>
          <x:t xml:space="preserve">Bachelor's</x:t>
        </x:is>
      </x:c>
      <x:c r="D778" s="13" t="n">
        <x:v>6</x:v>
      </x:c>
      <x:c r="E778" s="14" t="n">
        <x:v>58961</x:v>
      </x:c>
      <x:c r="F778" s="12" t="inlineStr">
        <x:is>
          <x:t xml:space="preserve">2026-06-15</x:t>
        </x:is>
      </x:c>
      <x:c r="G778" s="7" t="n"/>
      <x:c r="H778" s="7" t="n"/>
      <x:c r="I778" s="7" t="n"/>
      <x:c r="J778" s="7" t="n"/>
      <x:c r="K778" s="7" t="n"/>
      <x:c r="L778" s="7" t="n"/>
      <x:c r="M778" s="7" t="n"/>
      <x:c r="N778" s="7" t="n"/>
      <x:c r="O778" s="7" t="n"/>
      <x:c r="P778" s="7" t="n"/>
      <x:c r="Q778" s="7" t="n"/>
      <x:c r="R778" s="7" t="n"/>
      <x:c r="S778" s="7" t="n"/>
      <x:c r="T778" s="7" t="n"/>
      <x:c r="U778" s="7" t="n"/>
      <x:c r="V778" s="7" t="n"/>
      <x:c r="W778" s="7" t="n"/>
      <x:c r="X778" s="7" t="n"/>
      <x:c r="Y778" s="7" t="n"/>
      <x:c r="Z778" s="7" t="n"/>
      <x:c r="AA778" s="7" t="n"/>
      <x:c r="AB778" s="7" t="n"/>
    </x:row>
    <x:row r="779" ht="20" customHeight="1">
      <x:c r="A779" s="12" t="inlineStr">
        <x:is>
          <x:t xml:space="preserve">Mounds View Public Schools</x:t>
        </x:is>
      </x:c>
      <x:c r="B779" s="12" t="inlineStr">
        <x:is>
          <x:t xml:space="preserve">MN</x:t>
        </x:is>
      </x:c>
      <x:c r="C779" s="12" t="inlineStr">
        <x:is>
          <x:t xml:space="preserve">Bachelor's</x:t>
        </x:is>
      </x:c>
      <x:c r="D779" s="13" t="n">
        <x:v>7</x:v>
      </x:c>
      <x:c r="E779" s="14" t="n">
        <x:v>62042</x:v>
      </x:c>
      <x:c r="F779" s="12" t="inlineStr">
        <x:is>
          <x:t xml:space="preserve">2026-06-15</x:t>
        </x:is>
      </x:c>
      <x:c r="G779" s="7" t="n"/>
      <x:c r="H779" s="7" t="n"/>
      <x:c r="I779" s="7" t="n"/>
      <x:c r="J779" s="7" t="n"/>
      <x:c r="K779" s="7" t="n"/>
      <x:c r="L779" s="7" t="n"/>
      <x:c r="M779" s="7" t="n"/>
      <x:c r="N779" s="7" t="n"/>
      <x:c r="O779" s="7" t="n"/>
      <x:c r="P779" s="7" t="n"/>
      <x:c r="Q779" s="7" t="n"/>
      <x:c r="R779" s="7" t="n"/>
      <x:c r="S779" s="7" t="n"/>
      <x:c r="T779" s="7" t="n"/>
      <x:c r="U779" s="7" t="n"/>
      <x:c r="V779" s="7" t="n"/>
      <x:c r="W779" s="7" t="n"/>
      <x:c r="X779" s="7" t="n"/>
      <x:c r="Y779" s="7" t="n"/>
      <x:c r="Z779" s="7" t="n"/>
      <x:c r="AA779" s="7" t="n"/>
      <x:c r="AB779" s="7" t="n"/>
    </x:row>
    <x:row r="780" ht="20" customHeight="1">
      <x:c r="A780" s="12" t="inlineStr">
        <x:is>
          <x:t xml:space="preserve">Mounds View Public Schools</x:t>
        </x:is>
      </x:c>
      <x:c r="B780" s="12" t="inlineStr">
        <x:is>
          <x:t xml:space="preserve">MN</x:t>
        </x:is>
      </x:c>
      <x:c r="C780" s="12" t="inlineStr">
        <x:is>
          <x:t xml:space="preserve">Bachelor's</x:t>
        </x:is>
      </x:c>
      <x:c r="D780" s="13" t="n">
        <x:v>8</x:v>
      </x:c>
      <x:c r="E780" s="14" t="n">
        <x:v>69343</x:v>
      </x:c>
      <x:c r="F780" s="12" t="inlineStr">
        <x:is>
          <x:t xml:space="preserve">2026-06-15</x:t>
        </x:is>
      </x:c>
      <x:c r="G780" s="7" t="n"/>
      <x:c r="H780" s="7" t="n"/>
      <x:c r="I780" s="7" t="n"/>
      <x:c r="J780" s="7" t="n"/>
      <x:c r="K780" s="7" t="n"/>
      <x:c r="L780" s="7" t="n"/>
      <x:c r="M780" s="7" t="n"/>
      <x:c r="N780" s="7" t="n"/>
      <x:c r="O780" s="7" t="n"/>
      <x:c r="P780" s="7" t="n"/>
      <x:c r="Q780" s="7" t="n"/>
      <x:c r="R780" s="7" t="n"/>
      <x:c r="S780" s="7" t="n"/>
      <x:c r="T780" s="7" t="n"/>
      <x:c r="U780" s="7" t="n"/>
      <x:c r="V780" s="7" t="n"/>
      <x:c r="W780" s="7" t="n"/>
      <x:c r="X780" s="7" t="n"/>
      <x:c r="Y780" s="7" t="n"/>
      <x:c r="Z780" s="7" t="n"/>
      <x:c r="AA780" s="7" t="n"/>
      <x:c r="AB780" s="7" t="n"/>
    </x:row>
    <x:row r="781" ht="20" customHeight="1">
      <x:c r="A781" s="12" t="inlineStr">
        <x:is>
          <x:t xml:space="preserve">Mounds View Public Schools</x:t>
        </x:is>
      </x:c>
      <x:c r="B781" s="12" t="inlineStr">
        <x:is>
          <x:t xml:space="preserve">MN</x:t>
        </x:is>
      </x:c>
      <x:c r="C781" s="12" t="inlineStr">
        <x:is>
          <x:t xml:space="preserve">Bachelor's</x:t>
        </x:is>
      </x:c>
      <x:c r="D781" s="13" t="n">
        <x:v>9</x:v>
      </x:c>
      <x:c r="E781" s="14" t="n">
        <x:v>74464</x:v>
      </x:c>
      <x:c r="F781" s="12" t="inlineStr">
        <x:is>
          <x:t xml:space="preserve">2026-06-15</x:t>
        </x:is>
      </x:c>
      <x:c r="G781" s="7" t="n"/>
      <x:c r="H781" s="7" t="n"/>
      <x:c r="I781" s="7" t="n"/>
      <x:c r="J781" s="7" t="n"/>
      <x:c r="K781" s="7" t="n"/>
      <x:c r="L781" s="7" t="n"/>
      <x:c r="M781" s="7" t="n"/>
      <x:c r="N781" s="7" t="n"/>
      <x:c r="O781" s="7" t="n"/>
      <x:c r="P781" s="7" t="n"/>
      <x:c r="Q781" s="7" t="n"/>
      <x:c r="R781" s="7" t="n"/>
      <x:c r="S781" s="7" t="n"/>
      <x:c r="T781" s="7" t="n"/>
      <x:c r="U781" s="7" t="n"/>
      <x:c r="V781" s="7" t="n"/>
      <x:c r="W781" s="7" t="n"/>
      <x:c r="X781" s="7" t="n"/>
      <x:c r="Y781" s="7" t="n"/>
      <x:c r="Z781" s="7" t="n"/>
      <x:c r="AA781" s="7" t="n"/>
      <x:c r="AB781" s="7" t="n"/>
    </x:row>
    <x:row r="782" ht="20" customHeight="1">
      <x:c r="A782" s="12" t="inlineStr">
        <x:is>
          <x:t xml:space="preserve">Mounds View Public Schools</x:t>
        </x:is>
      </x:c>
      <x:c r="B782" s="12" t="inlineStr">
        <x:is>
          <x:t xml:space="preserve">MN</x:t>
        </x:is>
      </x:c>
      <x:c r="C782" s="12" t="inlineStr">
        <x:is>
          <x:t xml:space="preserve">Bachelor's</x:t>
        </x:is>
      </x:c>
      <x:c r="D782" s="13" t="n">
        <x:v>10</x:v>
      </x:c>
      <x:c r="E782" s="14" t="n">
        <x:v>79976</x:v>
      </x:c>
      <x:c r="F782" s="12" t="inlineStr">
        <x:is>
          <x:t xml:space="preserve">2026-06-15</x:t>
        </x:is>
      </x:c>
      <x:c r="G782" s="7" t="n"/>
      <x:c r="H782" s="7" t="n"/>
      <x:c r="I782" s="7" t="n"/>
      <x:c r="J782" s="7" t="n"/>
      <x:c r="K782" s="7" t="n"/>
      <x:c r="L782" s="7" t="n"/>
      <x:c r="M782" s="7" t="n"/>
      <x:c r="N782" s="7" t="n"/>
      <x:c r="O782" s="7" t="n"/>
      <x:c r="P782" s="7" t="n"/>
      <x:c r="Q782" s="7" t="n"/>
      <x:c r="R782" s="7" t="n"/>
      <x:c r="S782" s="7" t="n"/>
      <x:c r="T782" s="7" t="n"/>
      <x:c r="U782" s="7" t="n"/>
      <x:c r="V782" s="7" t="n"/>
      <x:c r="W782" s="7" t="n"/>
      <x:c r="X782" s="7" t="n"/>
      <x:c r="Y782" s="7" t="n"/>
      <x:c r="Z782" s="7" t="n"/>
      <x:c r="AA782" s="7" t="n"/>
      <x:c r="AB782" s="7" t="n"/>
    </x:row>
    <x:row r="783" ht="20" customHeight="1">
      <x:c r="A783" s="12" t="inlineStr">
        <x:is>
          <x:t xml:space="preserve">Mounds View Public Schools</x:t>
        </x:is>
      </x:c>
      <x:c r="B783" s="12" t="inlineStr">
        <x:is>
          <x:t xml:space="preserve">MN</x:t>
        </x:is>
      </x:c>
      <x:c r="C783" s="12" t="inlineStr">
        <x:is>
          <x:t xml:space="preserve">Master's</x:t>
        </x:is>
      </x:c>
      <x:c r="D783" s="13" t="n">
        <x:v>0</x:v>
      </x:c>
      <x:c r="E783" s="14" t="n">
        <x:v>62732</x:v>
      </x:c>
      <x:c r="F783" s="12" t="inlineStr">
        <x:is>
          <x:t xml:space="preserve">2026-06-15</x:t>
        </x:is>
      </x:c>
      <x:c r="G783" s="7" t="n"/>
      <x:c r="H783" s="7" t="n"/>
      <x:c r="I783" s="7" t="n"/>
      <x:c r="J783" s="7" t="n"/>
      <x:c r="K783" s="7" t="n"/>
      <x:c r="L783" s="7" t="n"/>
      <x:c r="M783" s="7" t="n"/>
      <x:c r="N783" s="7" t="n"/>
      <x:c r="O783" s="7" t="n"/>
      <x:c r="P783" s="7" t="n"/>
      <x:c r="Q783" s="7" t="n"/>
      <x:c r="R783" s="7" t="n"/>
      <x:c r="S783" s="7" t="n"/>
      <x:c r="T783" s="7" t="n"/>
      <x:c r="U783" s="7" t="n"/>
      <x:c r="V783" s="7" t="n"/>
      <x:c r="W783" s="7" t="n"/>
      <x:c r="X783" s="7" t="n"/>
      <x:c r="Y783" s="7" t="n"/>
      <x:c r="Z783" s="7" t="n"/>
      <x:c r="AA783" s="7" t="n"/>
      <x:c r="AB783" s="7" t="n"/>
    </x:row>
    <x:row r="784" ht="20" customHeight="1">
      <x:c r="A784" s="12" t="inlineStr">
        <x:is>
          <x:t xml:space="preserve">Mounds View Public Schools</x:t>
        </x:is>
      </x:c>
      <x:c r="B784" s="12" t="inlineStr">
        <x:is>
          <x:t xml:space="preserve">MN</x:t>
        </x:is>
      </x:c>
      <x:c r="C784" s="12" t="inlineStr">
        <x:is>
          <x:t xml:space="preserve">Master's</x:t>
        </x:is>
      </x:c>
      <x:c r="D784" s="13" t="n">
        <x:v>1</x:v>
      </x:c>
      <x:c r="E784" s="14" t="n">
        <x:v>63532</x:v>
      </x:c>
      <x:c r="F784" s="12" t="inlineStr">
        <x:is>
          <x:t xml:space="preserve">2026-06-15</x:t>
        </x:is>
      </x:c>
      <x:c r="G784" s="7" t="n"/>
      <x:c r="H784" s="7" t="n"/>
      <x:c r="I784" s="7" t="n"/>
      <x:c r="J784" s="7" t="n"/>
      <x:c r="K784" s="7" t="n"/>
      <x:c r="L784" s="7" t="n"/>
      <x:c r="M784" s="7" t="n"/>
      <x:c r="N784" s="7" t="n"/>
      <x:c r="O784" s="7" t="n"/>
      <x:c r="P784" s="7" t="n"/>
      <x:c r="Q784" s="7" t="n"/>
      <x:c r="R784" s="7" t="n"/>
      <x:c r="S784" s="7" t="n"/>
      <x:c r="T784" s="7" t="n"/>
      <x:c r="U784" s="7" t="n"/>
      <x:c r="V784" s="7" t="n"/>
      <x:c r="W784" s="7" t="n"/>
      <x:c r="X784" s="7" t="n"/>
      <x:c r="Y784" s="7" t="n"/>
      <x:c r="Z784" s="7" t="n"/>
      <x:c r="AA784" s="7" t="n"/>
      <x:c r="AB784" s="7" t="n"/>
    </x:row>
    <x:row r="785" ht="20" customHeight="1">
      <x:c r="A785" s="12" t="inlineStr">
        <x:is>
          <x:t xml:space="preserve">Mounds View Public Schools</x:t>
        </x:is>
      </x:c>
      <x:c r="B785" s="12" t="inlineStr">
        <x:is>
          <x:t xml:space="preserve">MN</x:t>
        </x:is>
      </x:c>
      <x:c r="C785" s="12" t="inlineStr">
        <x:is>
          <x:t xml:space="preserve">Master's</x:t>
        </x:is>
      </x:c>
      <x:c r="D785" s="13" t="n">
        <x:v>2</x:v>
      </x:c>
      <x:c r="E785" s="14" t="n">
        <x:v>64547</x:v>
      </x:c>
      <x:c r="F785" s="12" t="inlineStr">
        <x:is>
          <x:t xml:space="preserve">2026-06-15</x:t>
        </x:is>
      </x:c>
      <x:c r="G785" s="7" t="n"/>
      <x:c r="H785" s="7" t="n"/>
      <x:c r="I785" s="7" t="n"/>
      <x:c r="J785" s="7" t="n"/>
      <x:c r="K785" s="7" t="n"/>
      <x:c r="L785" s="7" t="n"/>
      <x:c r="M785" s="7" t="n"/>
      <x:c r="N785" s="7" t="n"/>
      <x:c r="O785" s="7" t="n"/>
      <x:c r="P785" s="7" t="n"/>
      <x:c r="Q785" s="7" t="n"/>
      <x:c r="R785" s="7" t="n"/>
      <x:c r="S785" s="7" t="n"/>
      <x:c r="T785" s="7" t="n"/>
      <x:c r="U785" s="7" t="n"/>
      <x:c r="V785" s="7" t="n"/>
      <x:c r="W785" s="7" t="n"/>
      <x:c r="X785" s="7" t="n"/>
      <x:c r="Y785" s="7" t="n"/>
      <x:c r="Z785" s="7" t="n"/>
      <x:c r="AA785" s="7" t="n"/>
      <x:c r="AB785" s="7" t="n"/>
    </x:row>
    <x:row r="786" ht="20" customHeight="1">
      <x:c r="A786" s="12" t="inlineStr">
        <x:is>
          <x:t xml:space="preserve">Mounds View Public Schools</x:t>
        </x:is>
      </x:c>
      <x:c r="B786" s="12" t="inlineStr">
        <x:is>
          <x:t xml:space="preserve">MN</x:t>
        </x:is>
      </x:c>
      <x:c r="C786" s="12" t="inlineStr">
        <x:is>
          <x:t xml:space="preserve">Master's</x:t>
        </x:is>
      </x:c>
      <x:c r="D786" s="13" t="n">
        <x:v>3</x:v>
      </x:c>
      <x:c r="E786" s="14" t="n">
        <x:v>65603</x:v>
      </x:c>
      <x:c r="F786" s="12" t="inlineStr">
        <x:is>
          <x:t xml:space="preserve">2026-06-15</x:t>
        </x:is>
      </x:c>
      <x:c r="G786" s="7" t="n"/>
      <x:c r="H786" s="7" t="n"/>
      <x:c r="I786" s="7" t="n"/>
      <x:c r="J786" s="7" t="n"/>
      <x:c r="K786" s="7" t="n"/>
      <x:c r="L786" s="7" t="n"/>
      <x:c r="M786" s="7" t="n"/>
      <x:c r="N786" s="7" t="n"/>
      <x:c r="O786" s="7" t="n"/>
      <x:c r="P786" s="7" t="n"/>
      <x:c r="Q786" s="7" t="n"/>
      <x:c r="R786" s="7" t="n"/>
      <x:c r="S786" s="7" t="n"/>
      <x:c r="T786" s="7" t="n"/>
      <x:c r="U786" s="7" t="n"/>
      <x:c r="V786" s="7" t="n"/>
      <x:c r="W786" s="7" t="n"/>
      <x:c r="X786" s="7" t="n"/>
      <x:c r="Y786" s="7" t="n"/>
      <x:c r="Z786" s="7" t="n"/>
      <x:c r="AA786" s="7" t="n"/>
      <x:c r="AB786" s="7" t="n"/>
    </x:row>
    <x:row r="787" ht="20" customHeight="1">
      <x:c r="A787" s="12" t="inlineStr">
        <x:is>
          <x:t xml:space="preserve">Mounds View Public Schools</x:t>
        </x:is>
      </x:c>
      <x:c r="B787" s="12" t="inlineStr">
        <x:is>
          <x:t xml:space="preserve">MN</x:t>
        </x:is>
      </x:c>
      <x:c r="C787" s="12" t="inlineStr">
        <x:is>
          <x:t xml:space="preserve">Master's</x:t>
        </x:is>
      </x:c>
      <x:c r="D787" s="13" t="n">
        <x:v>4</x:v>
      </x:c>
      <x:c r="E787" s="14" t="n">
        <x:v>66882</x:v>
      </x:c>
      <x:c r="F787" s="12" t="inlineStr">
        <x:is>
          <x:t xml:space="preserve">2026-06-15</x:t>
        </x:is>
      </x:c>
      <x:c r="G787" s="7" t="n"/>
      <x:c r="H787" s="7" t="n"/>
      <x:c r="I787" s="7" t="n"/>
      <x:c r="J787" s="7" t="n"/>
      <x:c r="K787" s="7" t="n"/>
      <x:c r="L787" s="7" t="n"/>
      <x:c r="M787" s="7" t="n"/>
      <x:c r="N787" s="7" t="n"/>
      <x:c r="O787" s="7" t="n"/>
      <x:c r="P787" s="7" t="n"/>
      <x:c r="Q787" s="7" t="n"/>
      <x:c r="R787" s="7" t="n"/>
      <x:c r="S787" s="7" t="n"/>
      <x:c r="T787" s="7" t="n"/>
      <x:c r="U787" s="7" t="n"/>
      <x:c r="V787" s="7" t="n"/>
      <x:c r="W787" s="7" t="n"/>
      <x:c r="X787" s="7" t="n"/>
      <x:c r="Y787" s="7" t="n"/>
      <x:c r="Z787" s="7" t="n"/>
      <x:c r="AA787" s="7" t="n"/>
      <x:c r="AB787" s="7" t="n"/>
    </x:row>
    <x:row r="788" ht="20" customHeight="1">
      <x:c r="A788" s="12" t="inlineStr">
        <x:is>
          <x:t xml:space="preserve">Mounds View Public Schools</x:t>
        </x:is>
      </x:c>
      <x:c r="B788" s="12" t="inlineStr">
        <x:is>
          <x:t xml:space="preserve">MN</x:t>
        </x:is>
      </x:c>
      <x:c r="C788" s="12" t="inlineStr">
        <x:is>
          <x:t xml:space="preserve">Master's</x:t>
        </x:is>
      </x:c>
      <x:c r="D788" s="13" t="n">
        <x:v>5</x:v>
      </x:c>
      <x:c r="E788" s="14" t="n">
        <x:v>68282</x:v>
      </x:c>
      <x:c r="F788" s="12" t="inlineStr">
        <x:is>
          <x:t xml:space="preserve">2026-06-15</x:t>
        </x:is>
      </x:c>
      <x:c r="G788" s="7" t="n"/>
      <x:c r="H788" s="7" t="n"/>
      <x:c r="I788" s="7" t="n"/>
      <x:c r="J788" s="7" t="n"/>
      <x:c r="K788" s="7" t="n"/>
      <x:c r="L788" s="7" t="n"/>
      <x:c r="M788" s="7" t="n"/>
      <x:c r="N788" s="7" t="n"/>
      <x:c r="O788" s="7" t="n"/>
      <x:c r="P788" s="7" t="n"/>
      <x:c r="Q788" s="7" t="n"/>
      <x:c r="R788" s="7" t="n"/>
      <x:c r="S788" s="7" t="n"/>
      <x:c r="T788" s="7" t="n"/>
      <x:c r="U788" s="7" t="n"/>
      <x:c r="V788" s="7" t="n"/>
      <x:c r="W788" s="7" t="n"/>
      <x:c r="X788" s="7" t="n"/>
      <x:c r="Y788" s="7" t="n"/>
      <x:c r="Z788" s="7" t="n"/>
      <x:c r="AA788" s="7" t="n"/>
      <x:c r="AB788" s="7" t="n"/>
    </x:row>
    <x:row r="789" ht="20" customHeight="1">
      <x:c r="A789" s="12" t="inlineStr">
        <x:is>
          <x:t xml:space="preserve">Mounds View Public Schools</x:t>
        </x:is>
      </x:c>
      <x:c r="B789" s="12" t="inlineStr">
        <x:is>
          <x:t xml:space="preserve">MN</x:t>
        </x:is>
      </x:c>
      <x:c r="C789" s="12" t="inlineStr">
        <x:is>
          <x:t xml:space="preserve">Master's</x:t>
        </x:is>
      </x:c>
      <x:c r="D789" s="13" t="n">
        <x:v>6</x:v>
      </x:c>
      <x:c r="E789" s="14" t="n">
        <x:v>71469</x:v>
      </x:c>
      <x:c r="F789" s="12" t="inlineStr">
        <x:is>
          <x:t xml:space="preserve">2026-06-15</x:t>
        </x:is>
      </x:c>
      <x:c r="G789" s="7" t="n"/>
      <x:c r="H789" s="7" t="n"/>
      <x:c r="I789" s="7" t="n"/>
      <x:c r="J789" s="7" t="n"/>
      <x:c r="K789" s="7" t="n"/>
      <x:c r="L789" s="7" t="n"/>
      <x:c r="M789" s="7" t="n"/>
      <x:c r="N789" s="7" t="n"/>
      <x:c r="O789" s="7" t="n"/>
      <x:c r="P789" s="7" t="n"/>
      <x:c r="Q789" s="7" t="n"/>
      <x:c r="R789" s="7" t="n"/>
      <x:c r="S789" s="7" t="n"/>
      <x:c r="T789" s="7" t="n"/>
      <x:c r="U789" s="7" t="n"/>
      <x:c r="V789" s="7" t="n"/>
      <x:c r="W789" s="7" t="n"/>
      <x:c r="X789" s="7" t="n"/>
      <x:c r="Y789" s="7" t="n"/>
      <x:c r="Z789" s="7" t="n"/>
      <x:c r="AA789" s="7" t="n"/>
      <x:c r="AB789" s="7" t="n"/>
    </x:row>
    <x:row r="790" ht="20" customHeight="1">
      <x:c r="A790" s="12" t="inlineStr">
        <x:is>
          <x:t xml:space="preserve">Mounds View Public Schools</x:t>
        </x:is>
      </x:c>
      <x:c r="B790" s="12" t="inlineStr">
        <x:is>
          <x:t xml:space="preserve">MN</x:t>
        </x:is>
      </x:c>
      <x:c r="C790" s="12" t="inlineStr">
        <x:is>
          <x:t xml:space="preserve">Master's</x:t>
        </x:is>
      </x:c>
      <x:c r="D790" s="13" t="n">
        <x:v>7</x:v>
      </x:c>
      <x:c r="E790" s="14" t="n">
        <x:v>74942</x:v>
      </x:c>
      <x:c r="F790" s="12" t="inlineStr">
        <x:is>
          <x:t xml:space="preserve">2026-06-15</x:t>
        </x:is>
      </x:c>
      <x:c r="G790" s="7" t="n"/>
      <x:c r="H790" s="7" t="n"/>
      <x:c r="I790" s="7" t="n"/>
      <x:c r="J790" s="7" t="n"/>
      <x:c r="K790" s="7" t="n"/>
      <x:c r="L790" s="7" t="n"/>
      <x:c r="M790" s="7" t="n"/>
      <x:c r="N790" s="7" t="n"/>
      <x:c r="O790" s="7" t="n"/>
      <x:c r="P790" s="7" t="n"/>
      <x:c r="Q790" s="7" t="n"/>
      <x:c r="R790" s="7" t="n"/>
      <x:c r="S790" s="7" t="n"/>
      <x:c r="T790" s="7" t="n"/>
      <x:c r="U790" s="7" t="n"/>
      <x:c r="V790" s="7" t="n"/>
      <x:c r="W790" s="7" t="n"/>
      <x:c r="X790" s="7" t="n"/>
      <x:c r="Y790" s="7" t="n"/>
      <x:c r="Z790" s="7" t="n"/>
      <x:c r="AA790" s="7" t="n"/>
      <x:c r="AB790" s="7" t="n"/>
    </x:row>
    <x:row r="791" ht="20" customHeight="1">
      <x:c r="A791" s="12" t="inlineStr">
        <x:is>
          <x:t xml:space="preserve">Mounds View Public Schools</x:t>
        </x:is>
      </x:c>
      <x:c r="B791" s="12" t="inlineStr">
        <x:is>
          <x:t xml:space="preserve">MN</x:t>
        </x:is>
      </x:c>
      <x:c r="C791" s="12" t="inlineStr">
        <x:is>
          <x:t xml:space="preserve">Master's</x:t>
        </x:is>
      </x:c>
      <x:c r="D791" s="13" t="n">
        <x:v>8</x:v>
      </x:c>
      <x:c r="E791" s="14" t="n">
        <x:v>78869</x:v>
      </x:c>
      <x:c r="F791" s="12" t="inlineStr">
        <x:is>
          <x:t xml:space="preserve">2026-06-15</x:t>
        </x:is>
      </x:c>
      <x:c r="G791" s="7" t="n"/>
      <x:c r="H791" s="7" t="n"/>
      <x:c r="I791" s="7" t="n"/>
      <x:c r="J791" s="7" t="n"/>
      <x:c r="K791" s="7" t="n"/>
      <x:c r="L791" s="7" t="n"/>
      <x:c r="M791" s="7" t="n"/>
      <x:c r="N791" s="7" t="n"/>
      <x:c r="O791" s="7" t="n"/>
      <x:c r="P791" s="7" t="n"/>
      <x:c r="Q791" s="7" t="n"/>
      <x:c r="R791" s="7" t="n"/>
      <x:c r="S791" s="7" t="n"/>
      <x:c r="T791" s="7" t="n"/>
      <x:c r="U791" s="7" t="n"/>
      <x:c r="V791" s="7" t="n"/>
      <x:c r="W791" s="7" t="n"/>
      <x:c r="X791" s="7" t="n"/>
      <x:c r="Y791" s="7" t="n"/>
      <x:c r="Z791" s="7" t="n"/>
      <x:c r="AA791" s="7" t="n"/>
      <x:c r="AB791" s="7" t="n"/>
    </x:row>
    <x:row r="792" ht="20" customHeight="1">
      <x:c r="A792" s="12" t="inlineStr">
        <x:is>
          <x:t xml:space="preserve">Mounds View Public Schools</x:t>
        </x:is>
      </x:c>
      <x:c r="B792" s="12" t="inlineStr">
        <x:is>
          <x:t xml:space="preserve">MN</x:t>
        </x:is>
      </x:c>
      <x:c r="C792" s="12" t="inlineStr">
        <x:is>
          <x:t xml:space="preserve">Master's</x:t>
        </x:is>
      </x:c>
      <x:c r="D792" s="13" t="n">
        <x:v>9</x:v>
      </x:c>
      <x:c r="E792" s="14" t="n">
        <x:v>84363</x:v>
      </x:c>
      <x:c r="F792" s="12" t="inlineStr">
        <x:is>
          <x:t xml:space="preserve">2026-06-15</x:t>
        </x:is>
      </x:c>
      <x:c r="G792" s="7" t="n"/>
      <x:c r="H792" s="7" t="n"/>
      <x:c r="I792" s="7" t="n"/>
      <x:c r="J792" s="7" t="n"/>
      <x:c r="K792" s="7" t="n"/>
      <x:c r="L792" s="7" t="n"/>
      <x:c r="M792" s="7" t="n"/>
      <x:c r="N792" s="7" t="n"/>
      <x:c r="O792" s="7" t="n"/>
      <x:c r="P792" s="7" t="n"/>
      <x:c r="Q792" s="7" t="n"/>
      <x:c r="R792" s="7" t="n"/>
      <x:c r="S792" s="7" t="n"/>
      <x:c r="T792" s="7" t="n"/>
      <x:c r="U792" s="7" t="n"/>
      <x:c r="V792" s="7" t="n"/>
      <x:c r="W792" s="7" t="n"/>
      <x:c r="X792" s="7" t="n"/>
      <x:c r="Y792" s="7" t="n"/>
      <x:c r="Z792" s="7" t="n"/>
      <x:c r="AA792" s="7" t="n"/>
      <x:c r="AB792" s="7" t="n"/>
    </x:row>
    <x:row r="793" ht="20" customHeight="1">
      <x:c r="A793" s="12" t="inlineStr">
        <x:is>
          <x:t xml:space="preserve">Mounds View Public Schools</x:t>
        </x:is>
      </x:c>
      <x:c r="B793" s="12" t="inlineStr">
        <x:is>
          <x:t xml:space="preserve">MN</x:t>
        </x:is>
      </x:c>
      <x:c r="C793" s="12" t="inlineStr">
        <x:is>
          <x:t xml:space="preserve">Master's</x:t>
        </x:is>
      </x:c>
      <x:c r="D793" s="13" t="n">
        <x:v>10</x:v>
      </x:c>
      <x:c r="E793" s="14" t="n">
        <x:v>91578</x:v>
      </x:c>
      <x:c r="F793" s="12" t="inlineStr">
        <x:is>
          <x:t xml:space="preserve">2026-06-15</x:t>
        </x:is>
      </x:c>
      <x:c r="G793" s="7" t="n"/>
      <x:c r="H793" s="7" t="n"/>
      <x:c r="I793" s="7" t="n"/>
      <x:c r="J793" s="7" t="n"/>
      <x:c r="K793" s="7" t="n"/>
      <x:c r="L793" s="7" t="n"/>
      <x:c r="M793" s="7" t="n"/>
      <x:c r="N793" s="7" t="n"/>
      <x:c r="O793" s="7" t="n"/>
      <x:c r="P793" s="7" t="n"/>
      <x:c r="Q793" s="7" t="n"/>
      <x:c r="R793" s="7" t="n"/>
      <x:c r="S793" s="7" t="n"/>
      <x:c r="T793" s="7" t="n"/>
      <x:c r="U793" s="7" t="n"/>
      <x:c r="V793" s="7" t="n"/>
      <x:c r="W793" s="7" t="n"/>
      <x:c r="X793" s="7" t="n"/>
      <x:c r="Y793" s="7" t="n"/>
      <x:c r="Z793" s="7" t="n"/>
      <x:c r="AA793" s="7" t="n"/>
      <x:c r="AB793" s="7" t="n"/>
    </x:row>
    <x:row r="794" ht="20" customHeight="1">
      <x:c r="A794" s="12" t="inlineStr">
        <x:is>
          <x:t xml:space="preserve">Naperville CUSD 203</x:t>
        </x:is>
      </x:c>
      <x:c r="B794" s="12" t="inlineStr">
        <x:is>
          <x:t xml:space="preserve">IL</x:t>
        </x:is>
      </x:c>
      <x:c r="C794" s="12" t="inlineStr">
        <x:is>
          <x:t xml:space="preserve">Bachelor's</x:t>
        </x:is>
      </x:c>
      <x:c r="D794" s="13" t="n">
        <x:v>0</x:v>
      </x:c>
      <x:c r="E794" s="14" t="n">
        <x:v>58403</x:v>
      </x:c>
      <x:c r="F794" s="12" t="inlineStr">
        <x:is>
          <x:t xml:space="preserve">2026-06-15</x:t>
        </x:is>
      </x:c>
      <x:c r="G794" s="7" t="n"/>
      <x:c r="H794" s="7" t="n"/>
      <x:c r="I794" s="7" t="n"/>
      <x:c r="J794" s="7" t="n"/>
      <x:c r="K794" s="7" t="n"/>
      <x:c r="L794" s="7" t="n"/>
      <x:c r="M794" s="7" t="n"/>
      <x:c r="N794" s="7" t="n"/>
      <x:c r="O794" s="7" t="n"/>
      <x:c r="P794" s="7" t="n"/>
      <x:c r="Q794" s="7" t="n"/>
      <x:c r="R794" s="7" t="n"/>
      <x:c r="S794" s="7" t="n"/>
      <x:c r="T794" s="7" t="n"/>
      <x:c r="U794" s="7" t="n"/>
      <x:c r="V794" s="7" t="n"/>
      <x:c r="W794" s="7" t="n"/>
      <x:c r="X794" s="7" t="n"/>
      <x:c r="Y794" s="7" t="n"/>
      <x:c r="Z794" s="7" t="n"/>
      <x:c r="AA794" s="7" t="n"/>
      <x:c r="AB794" s="7" t="n"/>
    </x:row>
    <x:row r="795" ht="20" customHeight="1">
      <x:c r="A795" s="12" t="inlineStr">
        <x:is>
          <x:t xml:space="preserve">Naperville CUSD 203</x:t>
        </x:is>
      </x:c>
      <x:c r="B795" s="12" t="inlineStr">
        <x:is>
          <x:t xml:space="preserve">IL</x:t>
        </x:is>
      </x:c>
      <x:c r="C795" s="12" t="inlineStr">
        <x:is>
          <x:t xml:space="preserve">Bachelor's</x:t>
        </x:is>
      </x:c>
      <x:c r="D795" s="13" t="n">
        <x:v>1</x:v>
      </x:c>
      <x:c r="E795" s="14" t="n">
        <x:v>60844</x:v>
      </x:c>
      <x:c r="F795" s="12" t="inlineStr">
        <x:is>
          <x:t xml:space="preserve">2026-06-15</x:t>
        </x:is>
      </x:c>
      <x:c r="G795" s="7" t="n"/>
      <x:c r="H795" s="7" t="n"/>
      <x:c r="I795" s="7" t="n"/>
      <x:c r="J795" s="7" t="n"/>
      <x:c r="K795" s="7" t="n"/>
      <x:c r="L795" s="7" t="n"/>
      <x:c r="M795" s="7" t="n"/>
      <x:c r="N795" s="7" t="n"/>
      <x:c r="O795" s="7" t="n"/>
      <x:c r="P795" s="7" t="n"/>
      <x:c r="Q795" s="7" t="n"/>
      <x:c r="R795" s="7" t="n"/>
      <x:c r="S795" s="7" t="n"/>
      <x:c r="T795" s="7" t="n"/>
      <x:c r="U795" s="7" t="n"/>
      <x:c r="V795" s="7" t="n"/>
      <x:c r="W795" s="7" t="n"/>
      <x:c r="X795" s="7" t="n"/>
      <x:c r="Y795" s="7" t="n"/>
      <x:c r="Z795" s="7" t="n"/>
      <x:c r="AA795" s="7" t="n"/>
      <x:c r="AB795" s="7" t="n"/>
    </x:row>
    <x:row r="796" ht="20" customHeight="1">
      <x:c r="A796" s="12" t="inlineStr">
        <x:is>
          <x:t xml:space="preserve">Naperville CUSD 203</x:t>
        </x:is>
      </x:c>
      <x:c r="B796" s="12" t="inlineStr">
        <x:is>
          <x:t xml:space="preserve">IL</x:t>
        </x:is>
      </x:c>
      <x:c r="C796" s="12" t="inlineStr">
        <x:is>
          <x:t xml:space="preserve">Bachelor's</x:t>
        </x:is>
      </x:c>
      <x:c r="D796" s="13" t="n">
        <x:v>2</x:v>
      </x:c>
      <x:c r="E796" s="14" t="n">
        <x:v>63285</x:v>
      </x:c>
      <x:c r="F796" s="12" t="inlineStr">
        <x:is>
          <x:t xml:space="preserve">2026-06-15</x:t>
        </x:is>
      </x:c>
      <x:c r="G796" s="7" t="n"/>
      <x:c r="H796" s="7" t="n"/>
      <x:c r="I796" s="7" t="n"/>
      <x:c r="J796" s="7" t="n"/>
      <x:c r="K796" s="7" t="n"/>
      <x:c r="L796" s="7" t="n"/>
      <x:c r="M796" s="7" t="n"/>
      <x:c r="N796" s="7" t="n"/>
      <x:c r="O796" s="7" t="n"/>
      <x:c r="P796" s="7" t="n"/>
      <x:c r="Q796" s="7" t="n"/>
      <x:c r="R796" s="7" t="n"/>
      <x:c r="S796" s="7" t="n"/>
      <x:c r="T796" s="7" t="n"/>
      <x:c r="U796" s="7" t="n"/>
      <x:c r="V796" s="7" t="n"/>
      <x:c r="W796" s="7" t="n"/>
      <x:c r="X796" s="7" t="n"/>
      <x:c r="Y796" s="7" t="n"/>
      <x:c r="Z796" s="7" t="n"/>
      <x:c r="AA796" s="7" t="n"/>
      <x:c r="AB796" s="7" t="n"/>
    </x:row>
    <x:row r="797" ht="20" customHeight="1">
      <x:c r="A797" s="12" t="inlineStr">
        <x:is>
          <x:t xml:space="preserve">Naperville CUSD 203</x:t>
        </x:is>
      </x:c>
      <x:c r="B797" s="12" t="inlineStr">
        <x:is>
          <x:t xml:space="preserve">IL</x:t>
        </x:is>
      </x:c>
      <x:c r="C797" s="12" t="inlineStr">
        <x:is>
          <x:t xml:space="preserve">Bachelor's</x:t>
        </x:is>
      </x:c>
      <x:c r="D797" s="13" t="n">
        <x:v>3</x:v>
      </x:c>
      <x:c r="E797" s="14" t="n">
        <x:v>65726</x:v>
      </x:c>
      <x:c r="F797" s="12" t="inlineStr">
        <x:is>
          <x:t xml:space="preserve">2026-06-15</x:t>
        </x:is>
      </x:c>
      <x:c r="G797" s="7" t="n"/>
      <x:c r="H797" s="7" t="n"/>
      <x:c r="I797" s="7" t="n"/>
      <x:c r="J797" s="7" t="n"/>
      <x:c r="K797" s="7" t="n"/>
      <x:c r="L797" s="7" t="n"/>
      <x:c r="M797" s="7" t="n"/>
      <x:c r="N797" s="7" t="n"/>
      <x:c r="O797" s="7" t="n"/>
      <x:c r="P797" s="7" t="n"/>
      <x:c r="Q797" s="7" t="n"/>
      <x:c r="R797" s="7" t="n"/>
      <x:c r="S797" s="7" t="n"/>
      <x:c r="T797" s="7" t="n"/>
      <x:c r="U797" s="7" t="n"/>
      <x:c r="V797" s="7" t="n"/>
      <x:c r="W797" s="7" t="n"/>
      <x:c r="X797" s="7" t="n"/>
      <x:c r="Y797" s="7" t="n"/>
      <x:c r="Z797" s="7" t="n"/>
      <x:c r="AA797" s="7" t="n"/>
      <x:c r="AB797" s="7" t="n"/>
    </x:row>
    <x:row r="798" ht="20" customHeight="1">
      <x:c r="A798" s="12" t="inlineStr">
        <x:is>
          <x:t xml:space="preserve">Naperville CUSD 203</x:t>
        </x:is>
      </x:c>
      <x:c r="B798" s="12" t="inlineStr">
        <x:is>
          <x:t xml:space="preserve">IL</x:t>
        </x:is>
      </x:c>
      <x:c r="C798" s="12" t="inlineStr">
        <x:is>
          <x:t xml:space="preserve">Bachelor's</x:t>
        </x:is>
      </x:c>
      <x:c r="D798" s="13" t="n">
        <x:v>4</x:v>
      </x:c>
      <x:c r="E798" s="14" t="n">
        <x:v>68168</x:v>
      </x:c>
      <x:c r="F798" s="12" t="inlineStr">
        <x:is>
          <x:t xml:space="preserve">2026-06-15</x:t>
        </x:is>
      </x:c>
      <x:c r="G798" s="7" t="n"/>
      <x:c r="H798" s="7" t="n"/>
      <x:c r="I798" s="7" t="n"/>
      <x:c r="J798" s="7" t="n"/>
      <x:c r="K798" s="7" t="n"/>
      <x:c r="L798" s="7" t="n"/>
      <x:c r="M798" s="7" t="n"/>
      <x:c r="N798" s="7" t="n"/>
      <x:c r="O798" s="7" t="n"/>
      <x:c r="P798" s="7" t="n"/>
      <x:c r="Q798" s="7" t="n"/>
      <x:c r="R798" s="7" t="n"/>
      <x:c r="S798" s="7" t="n"/>
      <x:c r="T798" s="7" t="n"/>
      <x:c r="U798" s="7" t="n"/>
      <x:c r="V798" s="7" t="n"/>
      <x:c r="W798" s="7" t="n"/>
      <x:c r="X798" s="7" t="n"/>
      <x:c r="Y798" s="7" t="n"/>
      <x:c r="Z798" s="7" t="n"/>
      <x:c r="AA798" s="7" t="n"/>
      <x:c r="AB798" s="7" t="n"/>
    </x:row>
    <x:row r="799" ht="20" customHeight="1">
      <x:c r="A799" s="12" t="inlineStr">
        <x:is>
          <x:t xml:space="preserve">Naperville CUSD 203</x:t>
        </x:is>
      </x:c>
      <x:c r="B799" s="12" t="inlineStr">
        <x:is>
          <x:t xml:space="preserve">IL</x:t>
        </x:is>
      </x:c>
      <x:c r="C799" s="12" t="inlineStr">
        <x:is>
          <x:t xml:space="preserve">Bachelor's</x:t>
        </x:is>
      </x:c>
      <x:c r="D799" s="13" t="n">
        <x:v>5</x:v>
      </x:c>
      <x:c r="E799" s="14" t="n">
        <x:v>71189</x:v>
      </x:c>
      <x:c r="F799" s="12" t="inlineStr">
        <x:is>
          <x:t xml:space="preserve">2026-06-15</x:t>
        </x:is>
      </x:c>
      <x:c r="G799" s="7" t="n"/>
      <x:c r="H799" s="7" t="n"/>
      <x:c r="I799" s="7" t="n"/>
      <x:c r="J799" s="7" t="n"/>
      <x:c r="K799" s="7" t="n"/>
      <x:c r="L799" s="7" t="n"/>
      <x:c r="M799" s="7" t="n"/>
      <x:c r="N799" s="7" t="n"/>
      <x:c r="O799" s="7" t="n"/>
      <x:c r="P799" s="7" t="n"/>
      <x:c r="Q799" s="7" t="n"/>
      <x:c r="R799" s="7" t="n"/>
      <x:c r="S799" s="7" t="n"/>
      <x:c r="T799" s="7" t="n"/>
      <x:c r="U799" s="7" t="n"/>
      <x:c r="V799" s="7" t="n"/>
      <x:c r="W799" s="7" t="n"/>
      <x:c r="X799" s="7" t="n"/>
      <x:c r="Y799" s="7" t="n"/>
      <x:c r="Z799" s="7" t="n"/>
      <x:c r="AA799" s="7" t="n"/>
      <x:c r="AB799" s="7" t="n"/>
    </x:row>
    <x:row r="800" ht="20" customHeight="1">
      <x:c r="A800" s="12" t="inlineStr">
        <x:is>
          <x:t xml:space="preserve">Naperville CUSD 203</x:t>
        </x:is>
      </x:c>
      <x:c r="B800" s="12" t="inlineStr">
        <x:is>
          <x:t xml:space="preserve">IL</x:t>
        </x:is>
      </x:c>
      <x:c r="C800" s="12" t="inlineStr">
        <x:is>
          <x:t xml:space="preserve">Bachelor's</x:t>
        </x:is>
      </x:c>
      <x:c r="D800" s="13" t="n">
        <x:v>6</x:v>
      </x:c>
      <x:c r="E800" s="14" t="n">
        <x:v>74210</x:v>
      </x:c>
      <x:c r="F800" s="12" t="inlineStr">
        <x:is>
          <x:t xml:space="preserve">2026-06-15</x:t>
        </x:is>
      </x:c>
      <x:c r="G800" s="7" t="n"/>
      <x:c r="H800" s="7" t="n"/>
      <x:c r="I800" s="7" t="n"/>
      <x:c r="J800" s="7" t="n"/>
      <x:c r="K800" s="7" t="n"/>
      <x:c r="L800" s="7" t="n"/>
      <x:c r="M800" s="7" t="n"/>
      <x:c r="N800" s="7" t="n"/>
      <x:c r="O800" s="7" t="n"/>
      <x:c r="P800" s="7" t="n"/>
      <x:c r="Q800" s="7" t="n"/>
      <x:c r="R800" s="7" t="n"/>
      <x:c r="S800" s="7" t="n"/>
      <x:c r="T800" s="7" t="n"/>
      <x:c r="U800" s="7" t="n"/>
      <x:c r="V800" s="7" t="n"/>
      <x:c r="W800" s="7" t="n"/>
      <x:c r="X800" s="7" t="n"/>
      <x:c r="Y800" s="7" t="n"/>
      <x:c r="Z800" s="7" t="n"/>
      <x:c r="AA800" s="7" t="n"/>
      <x:c r="AB800" s="7" t="n"/>
    </x:row>
    <x:row r="801" ht="20" customHeight="1">
      <x:c r="A801" s="12" t="inlineStr">
        <x:is>
          <x:t xml:space="preserve">Naperville CUSD 203</x:t>
        </x:is>
      </x:c>
      <x:c r="B801" s="12" t="inlineStr">
        <x:is>
          <x:t xml:space="preserve">IL</x:t>
        </x:is>
      </x:c>
      <x:c r="C801" s="12" t="inlineStr">
        <x:is>
          <x:t xml:space="preserve">Bachelor's</x:t>
        </x:is>
      </x:c>
      <x:c r="D801" s="13" t="n">
        <x:v>7</x:v>
      </x:c>
      <x:c r="E801" s="14" t="n">
        <x:v>77231</x:v>
      </x:c>
      <x:c r="F801" s="12" t="inlineStr">
        <x:is>
          <x:t xml:space="preserve">2026-06-15</x:t>
        </x:is>
      </x:c>
      <x:c r="G801" s="7" t="n"/>
      <x:c r="H801" s="7" t="n"/>
      <x:c r="I801" s="7" t="n"/>
      <x:c r="J801" s="7" t="n"/>
      <x:c r="K801" s="7" t="n"/>
      <x:c r="L801" s="7" t="n"/>
      <x:c r="M801" s="7" t="n"/>
      <x:c r="N801" s="7" t="n"/>
      <x:c r="O801" s="7" t="n"/>
      <x:c r="P801" s="7" t="n"/>
      <x:c r="Q801" s="7" t="n"/>
      <x:c r="R801" s="7" t="n"/>
      <x:c r="S801" s="7" t="n"/>
      <x:c r="T801" s="7" t="n"/>
      <x:c r="U801" s="7" t="n"/>
      <x:c r="V801" s="7" t="n"/>
      <x:c r="W801" s="7" t="n"/>
      <x:c r="X801" s="7" t="n"/>
      <x:c r="Y801" s="7" t="n"/>
      <x:c r="Z801" s="7" t="n"/>
      <x:c r="AA801" s="7" t="n"/>
      <x:c r="AB801" s="7" t="n"/>
    </x:row>
    <x:row r="802" ht="20" customHeight="1">
      <x:c r="A802" s="12" t="inlineStr">
        <x:is>
          <x:t xml:space="preserve">Naperville CUSD 203</x:t>
        </x:is>
      </x:c>
      <x:c r="B802" s="12" t="inlineStr">
        <x:is>
          <x:t xml:space="preserve">IL</x:t>
        </x:is>
      </x:c>
      <x:c r="C802" s="12" t="inlineStr">
        <x:is>
          <x:t xml:space="preserve">Bachelor's</x:t>
        </x:is>
      </x:c>
      <x:c r="D802" s="13" t="n">
        <x:v>8</x:v>
      </x:c>
      <x:c r="E802" s="14" t="n">
        <x:v>80252</x:v>
      </x:c>
      <x:c r="F802" s="12" t="inlineStr">
        <x:is>
          <x:t xml:space="preserve">2026-06-15</x:t>
        </x:is>
      </x:c>
      <x:c r="G802" s="7" t="n"/>
      <x:c r="H802" s="7" t="n"/>
      <x:c r="I802" s="7" t="n"/>
      <x:c r="J802" s="7" t="n"/>
      <x:c r="K802" s="7" t="n"/>
      <x:c r="L802" s="7" t="n"/>
      <x:c r="M802" s="7" t="n"/>
      <x:c r="N802" s="7" t="n"/>
      <x:c r="O802" s="7" t="n"/>
      <x:c r="P802" s="7" t="n"/>
      <x:c r="Q802" s="7" t="n"/>
      <x:c r="R802" s="7" t="n"/>
      <x:c r="S802" s="7" t="n"/>
      <x:c r="T802" s="7" t="n"/>
      <x:c r="U802" s="7" t="n"/>
      <x:c r="V802" s="7" t="n"/>
      <x:c r="W802" s="7" t="n"/>
      <x:c r="X802" s="7" t="n"/>
      <x:c r="Y802" s="7" t="n"/>
      <x:c r="Z802" s="7" t="n"/>
      <x:c r="AA802" s="7" t="n"/>
      <x:c r="AB802" s="7" t="n"/>
    </x:row>
    <x:row r="803" ht="20" customHeight="1">
      <x:c r="A803" s="12" t="inlineStr">
        <x:is>
          <x:t xml:space="preserve">Naperville CUSD 203</x:t>
        </x:is>
      </x:c>
      <x:c r="B803" s="12" t="inlineStr">
        <x:is>
          <x:t xml:space="preserve">IL</x:t>
        </x:is>
      </x:c>
      <x:c r="C803" s="12" t="inlineStr">
        <x:is>
          <x:t xml:space="preserve">Bachelor's</x:t>
        </x:is>
      </x:c>
      <x:c r="D803" s="13" t="n">
        <x:v>9</x:v>
      </x:c>
      <x:c r="E803" s="14" t="n">
        <x:v>83008</x:v>
      </x:c>
      <x:c r="F803" s="12" t="inlineStr">
        <x:is>
          <x:t xml:space="preserve">2026-06-15</x:t>
        </x:is>
      </x:c>
      <x:c r="G803" s="7" t="n"/>
      <x:c r="H803" s="7" t="n"/>
      <x:c r="I803" s="7" t="n"/>
      <x:c r="J803" s="7" t="n"/>
      <x:c r="K803" s="7" t="n"/>
      <x:c r="L803" s="7" t="n"/>
      <x:c r="M803" s="7" t="n"/>
      <x:c r="N803" s="7" t="n"/>
      <x:c r="O803" s="7" t="n"/>
      <x:c r="P803" s="7" t="n"/>
      <x:c r="Q803" s="7" t="n"/>
      <x:c r="R803" s="7" t="n"/>
      <x:c r="S803" s="7" t="n"/>
      <x:c r="T803" s="7" t="n"/>
      <x:c r="U803" s="7" t="n"/>
      <x:c r="V803" s="7" t="n"/>
      <x:c r="W803" s="7" t="n"/>
      <x:c r="X803" s="7" t="n"/>
      <x:c r="Y803" s="7" t="n"/>
      <x:c r="Z803" s="7" t="n"/>
      <x:c r="AA803" s="7" t="n"/>
      <x:c r="AB803" s="7" t="n"/>
    </x:row>
    <x:row r="804" ht="20" customHeight="1">
      <x:c r="A804" s="12" t="inlineStr">
        <x:is>
          <x:t xml:space="preserve">Naperville CUSD 203</x:t>
        </x:is>
      </x:c>
      <x:c r="B804" s="12" t="inlineStr">
        <x:is>
          <x:t xml:space="preserve">IL</x:t>
        </x:is>
      </x:c>
      <x:c r="C804" s="12" t="inlineStr">
        <x:is>
          <x:t xml:space="preserve">Bachelor's</x:t>
        </x:is>
      </x:c>
      <x:c r="D804" s="13" t="n">
        <x:v>10</x:v>
      </x:c>
      <x:c r="E804" s="14" t="n">
        <x:v>85764</x:v>
      </x:c>
      <x:c r="F804" s="12" t="inlineStr">
        <x:is>
          <x:t xml:space="preserve">2026-06-15</x:t>
        </x:is>
      </x:c>
      <x:c r="G804" s="7" t="n"/>
      <x:c r="H804" s="7" t="n"/>
      <x:c r="I804" s="7" t="n"/>
      <x:c r="J804" s="7" t="n"/>
      <x:c r="K804" s="7" t="n"/>
      <x:c r="L804" s="7" t="n"/>
      <x:c r="M804" s="7" t="n"/>
      <x:c r="N804" s="7" t="n"/>
      <x:c r="O804" s="7" t="n"/>
      <x:c r="P804" s="7" t="n"/>
      <x:c r="Q804" s="7" t="n"/>
      <x:c r="R804" s="7" t="n"/>
      <x:c r="S804" s="7" t="n"/>
      <x:c r="T804" s="7" t="n"/>
      <x:c r="U804" s="7" t="n"/>
      <x:c r="V804" s="7" t="n"/>
      <x:c r="W804" s="7" t="n"/>
      <x:c r="X804" s="7" t="n"/>
      <x:c r="Y804" s="7" t="n"/>
      <x:c r="Z804" s="7" t="n"/>
      <x:c r="AA804" s="7" t="n"/>
      <x:c r="AB804" s="7" t="n"/>
    </x:row>
    <x:row r="805" ht="20" customHeight="1">
      <x:c r="A805" s="12" t="inlineStr">
        <x:is>
          <x:t xml:space="preserve">Naperville CUSD 203</x:t>
        </x:is>
      </x:c>
      <x:c r="B805" s="12" t="inlineStr">
        <x:is>
          <x:t xml:space="preserve">IL</x:t>
        </x:is>
      </x:c>
      <x:c r="C805" s="12" t="inlineStr">
        <x:is>
          <x:t xml:space="preserve">Master's</x:t>
        </x:is>
      </x:c>
      <x:c r="D805" s="13" t="n">
        <x:v>0</x:v>
      </x:c>
      <x:c r="E805" s="14" t="n">
        <x:v>68946</x:v>
      </x:c>
      <x:c r="F805" s="12" t="inlineStr">
        <x:is>
          <x:t xml:space="preserve">2026-06-15</x:t>
        </x:is>
      </x:c>
      <x:c r="G805" s="7" t="n"/>
      <x:c r="H805" s="7" t="n"/>
      <x:c r="I805" s="7" t="n"/>
      <x:c r="J805" s="7" t="n"/>
      <x:c r="K805" s="7" t="n"/>
      <x:c r="L805" s="7" t="n"/>
      <x:c r="M805" s="7" t="n"/>
      <x:c r="N805" s="7" t="n"/>
      <x:c r="O805" s="7" t="n"/>
      <x:c r="P805" s="7" t="n"/>
      <x:c r="Q805" s="7" t="n"/>
      <x:c r="R805" s="7" t="n"/>
      <x:c r="S805" s="7" t="n"/>
      <x:c r="T805" s="7" t="n"/>
      <x:c r="U805" s="7" t="n"/>
      <x:c r="V805" s="7" t="n"/>
      <x:c r="W805" s="7" t="n"/>
      <x:c r="X805" s="7" t="n"/>
      <x:c r="Y805" s="7" t="n"/>
      <x:c r="Z805" s="7" t="n"/>
      <x:c r="AA805" s="7" t="n"/>
      <x:c r="AB805" s="7" t="n"/>
    </x:row>
    <x:row r="806" ht="20" customHeight="1">
      <x:c r="A806" s="12" t="inlineStr">
        <x:is>
          <x:t xml:space="preserve">Naperville CUSD 203</x:t>
        </x:is>
      </x:c>
      <x:c r="B806" s="12" t="inlineStr">
        <x:is>
          <x:t xml:space="preserve">IL</x:t>
        </x:is>
      </x:c>
      <x:c r="C806" s="12" t="inlineStr">
        <x:is>
          <x:t xml:space="preserve">Master's</x:t>
        </x:is>
      </x:c>
      <x:c r="D806" s="13" t="n">
        <x:v>1</x:v>
      </x:c>
      <x:c r="E806" s="14" t="n">
        <x:v>71402</x:v>
      </x:c>
      <x:c r="F806" s="12" t="inlineStr">
        <x:is>
          <x:t xml:space="preserve">2026-06-15</x:t>
        </x:is>
      </x:c>
      <x:c r="G806" s="7" t="n"/>
      <x:c r="H806" s="7" t="n"/>
      <x:c r="I806" s="7" t="n"/>
      <x:c r="J806" s="7" t="n"/>
      <x:c r="K806" s="7" t="n"/>
      <x:c r="L806" s="7" t="n"/>
      <x:c r="M806" s="7" t="n"/>
      <x:c r="N806" s="7" t="n"/>
      <x:c r="O806" s="7" t="n"/>
      <x:c r="P806" s="7" t="n"/>
      <x:c r="Q806" s="7" t="n"/>
      <x:c r="R806" s="7" t="n"/>
      <x:c r="S806" s="7" t="n"/>
      <x:c r="T806" s="7" t="n"/>
      <x:c r="U806" s="7" t="n"/>
      <x:c r="V806" s="7" t="n"/>
      <x:c r="W806" s="7" t="n"/>
      <x:c r="X806" s="7" t="n"/>
      <x:c r="Y806" s="7" t="n"/>
      <x:c r="Z806" s="7" t="n"/>
      <x:c r="AA806" s="7" t="n"/>
      <x:c r="AB806" s="7" t="n"/>
    </x:row>
    <x:row r="807" ht="20" customHeight="1">
      <x:c r="A807" s="12" t="inlineStr">
        <x:is>
          <x:t xml:space="preserve">Naperville CUSD 203</x:t>
        </x:is>
      </x:c>
      <x:c r="B807" s="12" t="inlineStr">
        <x:is>
          <x:t xml:space="preserve">IL</x:t>
        </x:is>
      </x:c>
      <x:c r="C807" s="12" t="inlineStr">
        <x:is>
          <x:t xml:space="preserve">Master's</x:t>
        </x:is>
      </x:c>
      <x:c r="D807" s="13" t="n">
        <x:v>2</x:v>
      </x:c>
      <x:c r="E807" s="14" t="n">
        <x:v>73858</x:v>
      </x:c>
      <x:c r="F807" s="12" t="inlineStr">
        <x:is>
          <x:t xml:space="preserve">2026-06-15</x:t>
        </x:is>
      </x:c>
      <x:c r="G807" s="7" t="n"/>
      <x:c r="H807" s="7" t="n"/>
      <x:c r="I807" s="7" t="n"/>
      <x:c r="J807" s="7" t="n"/>
      <x:c r="K807" s="7" t="n"/>
      <x:c r="L807" s="7" t="n"/>
      <x:c r="M807" s="7" t="n"/>
      <x:c r="N807" s="7" t="n"/>
      <x:c r="O807" s="7" t="n"/>
      <x:c r="P807" s="7" t="n"/>
      <x:c r="Q807" s="7" t="n"/>
      <x:c r="R807" s="7" t="n"/>
      <x:c r="S807" s="7" t="n"/>
      <x:c r="T807" s="7" t="n"/>
      <x:c r="U807" s="7" t="n"/>
      <x:c r="V807" s="7" t="n"/>
      <x:c r="W807" s="7" t="n"/>
      <x:c r="X807" s="7" t="n"/>
      <x:c r="Y807" s="7" t="n"/>
      <x:c r="Z807" s="7" t="n"/>
      <x:c r="AA807" s="7" t="n"/>
      <x:c r="AB807" s="7" t="n"/>
    </x:row>
    <x:row r="808" ht="20" customHeight="1">
      <x:c r="A808" s="12" t="inlineStr">
        <x:is>
          <x:t xml:space="preserve">Naperville CUSD 203</x:t>
        </x:is>
      </x:c>
      <x:c r="B808" s="12" t="inlineStr">
        <x:is>
          <x:t xml:space="preserve">IL</x:t>
        </x:is>
      </x:c>
      <x:c r="C808" s="12" t="inlineStr">
        <x:is>
          <x:t xml:space="preserve">Master's</x:t>
        </x:is>
      </x:c>
      <x:c r="D808" s="13" t="n">
        <x:v>3</x:v>
      </x:c>
      <x:c r="E808" s="14" t="n">
        <x:v>76314</x:v>
      </x:c>
      <x:c r="F808" s="12" t="inlineStr">
        <x:is>
          <x:t xml:space="preserve">2026-06-15</x:t>
        </x:is>
      </x:c>
      <x:c r="G808" s="7" t="n"/>
      <x:c r="H808" s="7" t="n"/>
      <x:c r="I808" s="7" t="n"/>
      <x:c r="J808" s="7" t="n"/>
      <x:c r="K808" s="7" t="n"/>
      <x:c r="L808" s="7" t="n"/>
      <x:c r="M808" s="7" t="n"/>
      <x:c r="N808" s="7" t="n"/>
      <x:c r="O808" s="7" t="n"/>
      <x:c r="P808" s="7" t="n"/>
      <x:c r="Q808" s="7" t="n"/>
      <x:c r="R808" s="7" t="n"/>
      <x:c r="S808" s="7" t="n"/>
      <x:c r="T808" s="7" t="n"/>
      <x:c r="U808" s="7" t="n"/>
      <x:c r="V808" s="7" t="n"/>
      <x:c r="W808" s="7" t="n"/>
      <x:c r="X808" s="7" t="n"/>
      <x:c r="Y808" s="7" t="n"/>
      <x:c r="Z808" s="7" t="n"/>
      <x:c r="AA808" s="7" t="n"/>
      <x:c r="AB808" s="7" t="n"/>
    </x:row>
    <x:row r="809" ht="20" customHeight="1">
      <x:c r="A809" s="12" t="inlineStr">
        <x:is>
          <x:t xml:space="preserve">Naperville CUSD 203</x:t>
        </x:is>
      </x:c>
      <x:c r="B809" s="12" t="inlineStr">
        <x:is>
          <x:t xml:space="preserve">IL</x:t>
        </x:is>
      </x:c>
      <x:c r="C809" s="12" t="inlineStr">
        <x:is>
          <x:t xml:space="preserve">Master's</x:t>
        </x:is>
      </x:c>
      <x:c r="D809" s="13" t="n">
        <x:v>4</x:v>
      </x:c>
      <x:c r="E809" s="14" t="n">
        <x:v>78769</x:v>
      </x:c>
      <x:c r="F809" s="12" t="inlineStr">
        <x:is>
          <x:t xml:space="preserve">2026-06-15</x:t>
        </x:is>
      </x:c>
      <x:c r="G809" s="7" t="n"/>
      <x:c r="H809" s="7" t="n"/>
      <x:c r="I809" s="7" t="n"/>
      <x:c r="J809" s="7" t="n"/>
      <x:c r="K809" s="7" t="n"/>
      <x:c r="L809" s="7" t="n"/>
      <x:c r="M809" s="7" t="n"/>
      <x:c r="N809" s="7" t="n"/>
      <x:c r="O809" s="7" t="n"/>
      <x:c r="P809" s="7" t="n"/>
      <x:c r="Q809" s="7" t="n"/>
      <x:c r="R809" s="7" t="n"/>
      <x:c r="S809" s="7" t="n"/>
      <x:c r="T809" s="7" t="n"/>
      <x:c r="U809" s="7" t="n"/>
      <x:c r="V809" s="7" t="n"/>
      <x:c r="W809" s="7" t="n"/>
      <x:c r="X809" s="7" t="n"/>
      <x:c r="Y809" s="7" t="n"/>
      <x:c r="Z809" s="7" t="n"/>
      <x:c r="AA809" s="7" t="n"/>
      <x:c r="AB809" s="7" t="n"/>
    </x:row>
    <x:row r="810" ht="20" customHeight="1">
      <x:c r="A810" s="12" t="inlineStr">
        <x:is>
          <x:t xml:space="preserve">Naperville CUSD 203</x:t>
        </x:is>
      </x:c>
      <x:c r="B810" s="12" t="inlineStr">
        <x:is>
          <x:t xml:space="preserve">IL</x:t>
        </x:is>
      </x:c>
      <x:c r="C810" s="12" t="inlineStr">
        <x:is>
          <x:t xml:space="preserve">Master's</x:t>
        </x:is>
      </x:c>
      <x:c r="D810" s="13" t="n">
        <x:v>5</x:v>
      </x:c>
      <x:c r="E810" s="14" t="n">
        <x:v>82123</x:v>
      </x:c>
      <x:c r="F810" s="12" t="inlineStr">
        <x:is>
          <x:t xml:space="preserve">2026-06-15</x:t>
        </x:is>
      </x:c>
      <x:c r="G810" s="7" t="n"/>
      <x:c r="H810" s="7" t="n"/>
      <x:c r="I810" s="7" t="n"/>
      <x:c r="J810" s="7" t="n"/>
      <x:c r="K810" s="7" t="n"/>
      <x:c r="L810" s="7" t="n"/>
      <x:c r="M810" s="7" t="n"/>
      <x:c r="N810" s="7" t="n"/>
      <x:c r="O810" s="7" t="n"/>
      <x:c r="P810" s="7" t="n"/>
      <x:c r="Q810" s="7" t="n"/>
      <x:c r="R810" s="7" t="n"/>
      <x:c r="S810" s="7" t="n"/>
      <x:c r="T810" s="7" t="n"/>
      <x:c r="U810" s="7" t="n"/>
      <x:c r="V810" s="7" t="n"/>
      <x:c r="W810" s="7" t="n"/>
      <x:c r="X810" s="7" t="n"/>
      <x:c r="Y810" s="7" t="n"/>
      <x:c r="Z810" s="7" t="n"/>
      <x:c r="AA810" s="7" t="n"/>
      <x:c r="AB810" s="7" t="n"/>
    </x:row>
    <x:row r="811" ht="20" customHeight="1">
      <x:c r="A811" s="12" t="inlineStr">
        <x:is>
          <x:t xml:space="preserve">Naperville CUSD 203</x:t>
        </x:is>
      </x:c>
      <x:c r="B811" s="12" t="inlineStr">
        <x:is>
          <x:t xml:space="preserve">IL</x:t>
        </x:is>
      </x:c>
      <x:c r="C811" s="12" t="inlineStr">
        <x:is>
          <x:t xml:space="preserve">Master's</x:t>
        </x:is>
      </x:c>
      <x:c r="D811" s="13" t="n">
        <x:v>6</x:v>
      </x:c>
      <x:c r="E811" s="14" t="n">
        <x:v>85477</x:v>
      </x:c>
      <x:c r="F811" s="12" t="inlineStr">
        <x:is>
          <x:t xml:space="preserve">2026-06-15</x:t>
        </x:is>
      </x:c>
      <x:c r="G811" s="7" t="n"/>
      <x:c r="H811" s="7" t="n"/>
      <x:c r="I811" s="7" t="n"/>
      <x:c r="J811" s="7" t="n"/>
      <x:c r="K811" s="7" t="n"/>
      <x:c r="L811" s="7" t="n"/>
      <x:c r="M811" s="7" t="n"/>
      <x:c r="N811" s="7" t="n"/>
      <x:c r="O811" s="7" t="n"/>
      <x:c r="P811" s="7" t="n"/>
      <x:c r="Q811" s="7" t="n"/>
      <x:c r="R811" s="7" t="n"/>
      <x:c r="S811" s="7" t="n"/>
      <x:c r="T811" s="7" t="n"/>
      <x:c r="U811" s="7" t="n"/>
      <x:c r="V811" s="7" t="n"/>
      <x:c r="W811" s="7" t="n"/>
      <x:c r="X811" s="7" t="n"/>
      <x:c r="Y811" s="7" t="n"/>
      <x:c r="Z811" s="7" t="n"/>
      <x:c r="AA811" s="7" t="n"/>
      <x:c r="AB811" s="7" t="n"/>
    </x:row>
    <x:row r="812" ht="20" customHeight="1">
      <x:c r="A812" s="12" t="inlineStr">
        <x:is>
          <x:t xml:space="preserve">Naperville CUSD 203</x:t>
        </x:is>
      </x:c>
      <x:c r="B812" s="12" t="inlineStr">
        <x:is>
          <x:t xml:space="preserve">IL</x:t>
        </x:is>
      </x:c>
      <x:c r="C812" s="12" t="inlineStr">
        <x:is>
          <x:t xml:space="preserve">Master's</x:t>
        </x:is>
      </x:c>
      <x:c r="D812" s="13" t="n">
        <x:v>7</x:v>
      </x:c>
      <x:c r="E812" s="14" t="n">
        <x:v>88831</x:v>
      </x:c>
      <x:c r="F812" s="12" t="inlineStr">
        <x:is>
          <x:t xml:space="preserve">2026-06-15</x:t>
        </x:is>
      </x:c>
      <x:c r="G812" s="7" t="n"/>
      <x:c r="H812" s="7" t="n"/>
      <x:c r="I812" s="7" t="n"/>
      <x:c r="J812" s="7" t="n"/>
      <x:c r="K812" s="7" t="n"/>
      <x:c r="L812" s="7" t="n"/>
      <x:c r="M812" s="7" t="n"/>
      <x:c r="N812" s="7" t="n"/>
      <x:c r="O812" s="7" t="n"/>
      <x:c r="P812" s="7" t="n"/>
      <x:c r="Q812" s="7" t="n"/>
      <x:c r="R812" s="7" t="n"/>
      <x:c r="S812" s="7" t="n"/>
      <x:c r="T812" s="7" t="n"/>
      <x:c r="U812" s="7" t="n"/>
      <x:c r="V812" s="7" t="n"/>
      <x:c r="W812" s="7" t="n"/>
      <x:c r="X812" s="7" t="n"/>
      <x:c r="Y812" s="7" t="n"/>
      <x:c r="Z812" s="7" t="n"/>
      <x:c r="AA812" s="7" t="n"/>
      <x:c r="AB812" s="7" t="n"/>
    </x:row>
    <x:row r="813" ht="20" customHeight="1">
      <x:c r="A813" s="12" t="inlineStr">
        <x:is>
          <x:t xml:space="preserve">Naperville CUSD 203</x:t>
        </x:is>
      </x:c>
      <x:c r="B813" s="12" t="inlineStr">
        <x:is>
          <x:t xml:space="preserve">IL</x:t>
        </x:is>
      </x:c>
      <x:c r="C813" s="12" t="inlineStr">
        <x:is>
          <x:t xml:space="preserve">Master's</x:t>
        </x:is>
      </x:c>
      <x:c r="D813" s="13" t="n">
        <x:v>8</x:v>
      </x:c>
      <x:c r="E813" s="14" t="n">
        <x:v>92185</x:v>
      </x:c>
      <x:c r="F813" s="12" t="inlineStr">
        <x:is>
          <x:t xml:space="preserve">2026-06-15</x:t>
        </x:is>
      </x:c>
      <x:c r="G813" s="7" t="n"/>
      <x:c r="H813" s="7" t="n"/>
      <x:c r="I813" s="7" t="n"/>
      <x:c r="J813" s="7" t="n"/>
      <x:c r="K813" s="7" t="n"/>
      <x:c r="L813" s="7" t="n"/>
      <x:c r="M813" s="7" t="n"/>
      <x:c r="N813" s="7" t="n"/>
      <x:c r="O813" s="7" t="n"/>
      <x:c r="P813" s="7" t="n"/>
      <x:c r="Q813" s="7" t="n"/>
      <x:c r="R813" s="7" t="n"/>
      <x:c r="S813" s="7" t="n"/>
      <x:c r="T813" s="7" t="n"/>
      <x:c r="U813" s="7" t="n"/>
      <x:c r="V813" s="7" t="n"/>
      <x:c r="W813" s="7" t="n"/>
      <x:c r="X813" s="7" t="n"/>
      <x:c r="Y813" s="7" t="n"/>
      <x:c r="Z813" s="7" t="n"/>
      <x:c r="AA813" s="7" t="n"/>
      <x:c r="AB813" s="7" t="n"/>
    </x:row>
    <x:row r="814" ht="20" customHeight="1">
      <x:c r="A814" s="12" t="inlineStr">
        <x:is>
          <x:t xml:space="preserve">Naperville CUSD 203</x:t>
        </x:is>
      </x:c>
      <x:c r="B814" s="12" t="inlineStr">
        <x:is>
          <x:t xml:space="preserve">IL</x:t>
        </x:is>
      </x:c>
      <x:c r="C814" s="12" t="inlineStr">
        <x:is>
          <x:t xml:space="preserve">Master's</x:t>
        </x:is>
      </x:c>
      <x:c r="D814" s="13" t="n">
        <x:v>9</x:v>
      </x:c>
      <x:c r="E814" s="14" t="n">
        <x:v>93548</x:v>
      </x:c>
      <x:c r="F814" s="12" t="inlineStr">
        <x:is>
          <x:t xml:space="preserve">2026-06-15</x:t>
        </x:is>
      </x:c>
      <x:c r="G814" s="7" t="n"/>
      <x:c r="H814" s="7" t="n"/>
      <x:c r="I814" s="7" t="n"/>
      <x:c r="J814" s="7" t="n"/>
      <x:c r="K814" s="7" t="n"/>
      <x:c r="L814" s="7" t="n"/>
      <x:c r="M814" s="7" t="n"/>
      <x:c r="N814" s="7" t="n"/>
      <x:c r="O814" s="7" t="n"/>
      <x:c r="P814" s="7" t="n"/>
      <x:c r="Q814" s="7" t="n"/>
      <x:c r="R814" s="7" t="n"/>
      <x:c r="S814" s="7" t="n"/>
      <x:c r="T814" s="7" t="n"/>
      <x:c r="U814" s="7" t="n"/>
      <x:c r="V814" s="7" t="n"/>
      <x:c r="W814" s="7" t="n"/>
      <x:c r="X814" s="7" t="n"/>
      <x:c r="Y814" s="7" t="n"/>
      <x:c r="Z814" s="7" t="n"/>
      <x:c r="AA814" s="7" t="n"/>
      <x:c r="AB814" s="7" t="n"/>
    </x:row>
    <x:row r="815" ht="20" customHeight="1">
      <x:c r="A815" s="12" t="inlineStr">
        <x:is>
          <x:t xml:space="preserve">Naperville CUSD 203</x:t>
        </x:is>
      </x:c>
      <x:c r="B815" s="12" t="inlineStr">
        <x:is>
          <x:t xml:space="preserve">IL</x:t>
        </x:is>
      </x:c>
      <x:c r="C815" s="12" t="inlineStr">
        <x:is>
          <x:t xml:space="preserve">Master's</x:t>
        </x:is>
      </x:c>
      <x:c r="D815" s="13" t="n">
        <x:v>10</x:v>
      </x:c>
      <x:c r="E815" s="14" t="n">
        <x:v>94911</x:v>
      </x:c>
      <x:c r="F815" s="12" t="inlineStr">
        <x:is>
          <x:t xml:space="preserve">2026-06-15</x:t>
        </x:is>
      </x:c>
      <x:c r="G815" s="7" t="n"/>
      <x:c r="H815" s="7" t="n"/>
      <x:c r="I815" s="7" t="n"/>
      <x:c r="J815" s="7" t="n"/>
      <x:c r="K815" s="7" t="n"/>
      <x:c r="L815" s="7" t="n"/>
      <x:c r="M815" s="7" t="n"/>
      <x:c r="N815" s="7" t="n"/>
      <x:c r="O815" s="7" t="n"/>
      <x:c r="P815" s="7" t="n"/>
      <x:c r="Q815" s="7" t="n"/>
      <x:c r="R815" s="7" t="n"/>
      <x:c r="S815" s="7" t="n"/>
      <x:c r="T815" s="7" t="n"/>
      <x:c r="U815" s="7" t="n"/>
      <x:c r="V815" s="7" t="n"/>
      <x:c r="W815" s="7" t="n"/>
      <x:c r="X815" s="7" t="n"/>
      <x:c r="Y815" s="7" t="n"/>
      <x:c r="Z815" s="7" t="n"/>
      <x:c r="AA815" s="7" t="n"/>
      <x:c r="AB815" s="7" t="n"/>
    </x:row>
    <x:row r="816" ht="20" customHeight="1">
      <x:c r="A816" s="12" t="inlineStr">
        <x:is>
          <x:t xml:space="preserve">Nassau County School District</x:t>
        </x:is>
      </x:c>
      <x:c r="B816" s="12" t="inlineStr">
        <x:is>
          <x:t xml:space="preserve">FL</x:t>
        </x:is>
      </x:c>
      <x:c r="C816" s="12" t="inlineStr">
        <x:is>
          <x:t xml:space="preserve">Bachelor's</x:t>
        </x:is>
      </x:c>
      <x:c r="D816" s="13" t="n">
        <x:v>0</x:v>
      </x:c>
      <x:c r="E816" s="14" t="n">
        <x:v>52407</x:v>
      </x:c>
      <x:c r="F816" s="83" t="inlineStr">
        <x:is>
          <x:t xml:space="preserve">2026-06-13</x:t>
        </x:is>
      </x:c>
      <x:c r="G816" s="7" t="n"/>
      <x:c r="H816" s="7" t="n"/>
      <x:c r="I816" s="7" t="n"/>
      <x:c r="J816" s="7" t="n"/>
      <x:c r="K816" s="7" t="n"/>
      <x:c r="L816" s="7" t="n"/>
      <x:c r="M816" s="7" t="n"/>
      <x:c r="N816" s="7" t="n"/>
      <x:c r="O816" s="7" t="n"/>
      <x:c r="P816" s="7" t="n"/>
      <x:c r="Q816" s="7" t="n"/>
      <x:c r="R816" s="7" t="n"/>
      <x:c r="S816" s="7" t="n"/>
      <x:c r="T816" s="7" t="n"/>
      <x:c r="U816" s="7" t="n"/>
      <x:c r="V816" s="7" t="n"/>
      <x:c r="W816" s="7" t="n"/>
      <x:c r="X816" s="7" t="n"/>
      <x:c r="Y816" s="7" t="n"/>
      <x:c r="Z816" s="7" t="n"/>
      <x:c r="AA816" s="7" t="n"/>
      <x:c r="AB816" s="7" t="n"/>
    </x:row>
    <x:row r="817" ht="20" customHeight="1">
      <x:c r="A817" s="12" t="inlineStr">
        <x:is>
          <x:t xml:space="preserve">Nassau County School District</x:t>
        </x:is>
      </x:c>
      <x:c r="B817" s="12" t="inlineStr">
        <x:is>
          <x:t xml:space="preserve">FL</x:t>
        </x:is>
      </x:c>
      <x:c r="C817" s="12" t="inlineStr">
        <x:is>
          <x:t xml:space="preserve">Bachelor's</x:t>
        </x:is>
      </x:c>
      <x:c r="D817" s="13" t="n">
        <x:v>1</x:v>
      </x:c>
      <x:c r="E817" s="14" t="n">
        <x:v>56631</x:v>
      </x:c>
      <x:c r="F817" s="83" t="inlineStr">
        <x:is>
          <x:t xml:space="preserve">2026-06-13</x:t>
        </x:is>
      </x:c>
      <x:c r="G817" s="7" t="n"/>
      <x:c r="H817" s="7" t="n"/>
      <x:c r="I817" s="7" t="n"/>
      <x:c r="J817" s="7" t="n"/>
      <x:c r="K817" s="7" t="n"/>
      <x:c r="L817" s="7" t="n"/>
      <x:c r="M817" s="7" t="n"/>
      <x:c r="N817" s="7" t="n"/>
      <x:c r="O817" s="7" t="n"/>
      <x:c r="P817" s="7" t="n"/>
      <x:c r="Q817" s="7" t="n"/>
      <x:c r="R817" s="7" t="n"/>
      <x:c r="S817" s="7" t="n"/>
      <x:c r="T817" s="7" t="n"/>
      <x:c r="U817" s="7" t="n"/>
      <x:c r="V817" s="7" t="n"/>
      <x:c r="W817" s="7" t="n"/>
      <x:c r="X817" s="7" t="n"/>
      <x:c r="Y817" s="7" t="n"/>
      <x:c r="Z817" s="7" t="n"/>
      <x:c r="AA817" s="7" t="n"/>
      <x:c r="AB817" s="7" t="n"/>
    </x:row>
    <x:row r="818" ht="20" customHeight="1">
      <x:c r="A818" s="12" t="inlineStr">
        <x:is>
          <x:t xml:space="preserve">Nassau County School District</x:t>
        </x:is>
      </x:c>
      <x:c r="B818" s="12" t="inlineStr">
        <x:is>
          <x:t xml:space="preserve">FL</x:t>
        </x:is>
      </x:c>
      <x:c r="C818" s="12" t="inlineStr">
        <x:is>
          <x:t xml:space="preserve">Bachelor's</x:t>
        </x:is>
      </x:c>
      <x:c r="D818" s="13" t="n">
        <x:v>2</x:v>
      </x:c>
      <x:c r="E818" s="14" t="n">
        <x:v>56680</x:v>
      </x:c>
      <x:c r="F818" s="83" t="inlineStr">
        <x:is>
          <x:t xml:space="preserve">2026-06-13</x:t>
        </x:is>
      </x:c>
      <x:c r="G818" s="7" t="n"/>
      <x:c r="H818" s="7" t="n"/>
      <x:c r="I818" s="7" t="n"/>
      <x:c r="J818" s="7" t="n"/>
      <x:c r="K818" s="7" t="n"/>
      <x:c r="L818" s="7" t="n"/>
      <x:c r="M818" s="7" t="n"/>
      <x:c r="N818" s="7" t="n"/>
      <x:c r="O818" s="7" t="n"/>
      <x:c r="P818" s="7" t="n"/>
      <x:c r="Q818" s="7" t="n"/>
      <x:c r="R818" s="7" t="n"/>
      <x:c r="S818" s="7" t="n"/>
      <x:c r="T818" s="7" t="n"/>
      <x:c r="U818" s="7" t="n"/>
      <x:c r="V818" s="7" t="n"/>
      <x:c r="W818" s="7" t="n"/>
      <x:c r="X818" s="7" t="n"/>
      <x:c r="Y818" s="7" t="n"/>
      <x:c r="Z818" s="7" t="n"/>
      <x:c r="AA818" s="7" t="n"/>
      <x:c r="AB818" s="7" t="n"/>
    </x:row>
    <x:row r="819" ht="20" customHeight="1">
      <x:c r="A819" s="12" t="inlineStr">
        <x:is>
          <x:t xml:space="preserve">Nassau County School District</x:t>
        </x:is>
      </x:c>
      <x:c r="B819" s="12" t="inlineStr">
        <x:is>
          <x:t xml:space="preserve">FL</x:t>
        </x:is>
      </x:c>
      <x:c r="C819" s="12" t="inlineStr">
        <x:is>
          <x:t xml:space="preserve">Bachelor's</x:t>
        </x:is>
      </x:c>
      <x:c r="D819" s="13" t="n">
        <x:v>3</x:v>
      </x:c>
      <x:c r="E819" s="14" t="n">
        <x:v>56729</x:v>
      </x:c>
      <x:c r="F819" s="83" t="inlineStr">
        <x:is>
          <x:t xml:space="preserve">2026-06-13</x:t>
        </x:is>
      </x:c>
      <x:c r="G819" s="7" t="n"/>
      <x:c r="H819" s="7" t="n"/>
      <x:c r="I819" s="7" t="n"/>
      <x:c r="J819" s="7" t="n"/>
      <x:c r="K819" s="7" t="n"/>
      <x:c r="L819" s="7" t="n"/>
      <x:c r="M819" s="7" t="n"/>
      <x:c r="N819" s="7" t="n"/>
      <x:c r="O819" s="7" t="n"/>
      <x:c r="P819" s="7" t="n"/>
      <x:c r="Q819" s="7" t="n"/>
      <x:c r="R819" s="7" t="n"/>
      <x:c r="S819" s="7" t="n"/>
      <x:c r="T819" s="7" t="n"/>
      <x:c r="U819" s="7" t="n"/>
      <x:c r="V819" s="7" t="n"/>
      <x:c r="W819" s="7" t="n"/>
      <x:c r="X819" s="7" t="n"/>
      <x:c r="Y819" s="7" t="n"/>
      <x:c r="Z819" s="7" t="n"/>
      <x:c r="AA819" s="7" t="n"/>
      <x:c r="AB819" s="7" t="n"/>
    </x:row>
    <x:row r="820" ht="20" customHeight="1">
      <x:c r="A820" s="12" t="inlineStr">
        <x:is>
          <x:t xml:space="preserve">Nassau County School District</x:t>
        </x:is>
      </x:c>
      <x:c r="B820" s="12" t="inlineStr">
        <x:is>
          <x:t xml:space="preserve">FL</x:t>
        </x:is>
      </x:c>
      <x:c r="C820" s="12" t="inlineStr">
        <x:is>
          <x:t xml:space="preserve">Bachelor's</x:t>
        </x:is>
      </x:c>
      <x:c r="D820" s="13" t="n">
        <x:v>4</x:v>
      </x:c>
      <x:c r="E820" s="14" t="n">
        <x:v>56778</x:v>
      </x:c>
      <x:c r="F820" s="83" t="inlineStr">
        <x:is>
          <x:t xml:space="preserve">2026-06-13</x:t>
        </x:is>
      </x:c>
      <x:c r="G820" s="7" t="n"/>
      <x:c r="H820" s="7" t="n"/>
      <x:c r="I820" s="7" t="n"/>
      <x:c r="J820" s="7" t="n"/>
      <x:c r="K820" s="7" t="n"/>
      <x:c r="L820" s="7" t="n"/>
      <x:c r="M820" s="7" t="n"/>
      <x:c r="N820" s="7" t="n"/>
      <x:c r="O820" s="7" t="n"/>
      <x:c r="P820" s="7" t="n"/>
      <x:c r="Q820" s="7" t="n"/>
      <x:c r="R820" s="7" t="n"/>
      <x:c r="S820" s="7" t="n"/>
      <x:c r="T820" s="7" t="n"/>
      <x:c r="U820" s="7" t="n"/>
      <x:c r="V820" s="7" t="n"/>
      <x:c r="W820" s="7" t="n"/>
      <x:c r="X820" s="7" t="n"/>
      <x:c r="Y820" s="7" t="n"/>
      <x:c r="Z820" s="7" t="n"/>
      <x:c r="AA820" s="7" t="n"/>
      <x:c r="AB820" s="7" t="n"/>
    </x:row>
    <x:row r="821" ht="20" customHeight="1">
      <x:c r="A821" s="12" t="inlineStr">
        <x:is>
          <x:t xml:space="preserve">Nassau County School District</x:t>
        </x:is>
      </x:c>
      <x:c r="B821" s="12" t="inlineStr">
        <x:is>
          <x:t xml:space="preserve">FL</x:t>
        </x:is>
      </x:c>
      <x:c r="C821" s="12" t="inlineStr">
        <x:is>
          <x:t xml:space="preserve">Bachelor's</x:t>
        </x:is>
      </x:c>
      <x:c r="D821" s="13" t="n">
        <x:v>5</x:v>
      </x:c>
      <x:c r="E821" s="14" t="n">
        <x:v>57173</x:v>
      </x:c>
      <x:c r="F821" s="83" t="inlineStr">
        <x:is>
          <x:t xml:space="preserve">2026-06-13</x:t>
        </x:is>
      </x:c>
      <x:c r="G821" s="7" t="n"/>
      <x:c r="H821" s="7" t="n"/>
      <x:c r="I821" s="7" t="n"/>
      <x:c r="J821" s="7" t="n"/>
      <x:c r="K821" s="7" t="n"/>
      <x:c r="L821" s="7" t="n"/>
      <x:c r="M821" s="7" t="n"/>
      <x:c r="N821" s="7" t="n"/>
      <x:c r="O821" s="7" t="n"/>
      <x:c r="P821" s="7" t="n"/>
      <x:c r="Q821" s="7" t="n"/>
      <x:c r="R821" s="7" t="n"/>
      <x:c r="S821" s="7" t="n"/>
      <x:c r="T821" s="7" t="n"/>
      <x:c r="U821" s="7" t="n"/>
      <x:c r="V821" s="7" t="n"/>
      <x:c r="W821" s="7" t="n"/>
      <x:c r="X821" s="7" t="n"/>
      <x:c r="Y821" s="7" t="n"/>
      <x:c r="Z821" s="7" t="n"/>
      <x:c r="AA821" s="7" t="n"/>
      <x:c r="AB821" s="7" t="n"/>
    </x:row>
    <x:row r="822" ht="20" customHeight="1">
      <x:c r="A822" s="12" t="inlineStr">
        <x:is>
          <x:t xml:space="preserve">Nassau County School District</x:t>
        </x:is>
      </x:c>
      <x:c r="B822" s="12" t="inlineStr">
        <x:is>
          <x:t xml:space="preserve">FL</x:t>
        </x:is>
      </x:c>
      <x:c r="C822" s="12" t="inlineStr">
        <x:is>
          <x:t xml:space="preserve">Bachelor's</x:t>
        </x:is>
      </x:c>
      <x:c r="D822" s="13" t="n">
        <x:v>6</x:v>
      </x:c>
      <x:c r="E822" s="14" t="n">
        <x:v>57221</x:v>
      </x:c>
      <x:c r="F822" s="83" t="inlineStr">
        <x:is>
          <x:t xml:space="preserve">2026-06-13</x:t>
        </x:is>
      </x:c>
      <x:c r="G822" s="7" t="n"/>
      <x:c r="H822" s="7" t="n"/>
      <x:c r="I822" s="7" t="n"/>
      <x:c r="J822" s="7" t="n"/>
      <x:c r="K822" s="7" t="n"/>
      <x:c r="L822" s="7" t="n"/>
      <x:c r="M822" s="7" t="n"/>
      <x:c r="N822" s="7" t="n"/>
      <x:c r="O822" s="7" t="n"/>
      <x:c r="P822" s="7" t="n"/>
      <x:c r="Q822" s="7" t="n"/>
      <x:c r="R822" s="7" t="n"/>
      <x:c r="S822" s="7" t="n"/>
      <x:c r="T822" s="7" t="n"/>
      <x:c r="U822" s="7" t="n"/>
      <x:c r="V822" s="7" t="n"/>
      <x:c r="W822" s="7" t="n"/>
      <x:c r="X822" s="7" t="n"/>
      <x:c r="Y822" s="7" t="n"/>
      <x:c r="Z822" s="7" t="n"/>
      <x:c r="AA822" s="7" t="n"/>
      <x:c r="AB822" s="7" t="n"/>
    </x:row>
    <x:row r="823" ht="20" customHeight="1">
      <x:c r="A823" s="12" t="inlineStr">
        <x:is>
          <x:t xml:space="preserve">Nassau County School District</x:t>
        </x:is>
      </x:c>
      <x:c r="B823" s="12" t="inlineStr">
        <x:is>
          <x:t xml:space="preserve">FL</x:t>
        </x:is>
      </x:c>
      <x:c r="C823" s="12" t="inlineStr">
        <x:is>
          <x:t xml:space="preserve">Bachelor's</x:t>
        </x:is>
      </x:c>
      <x:c r="D823" s="13" t="n">
        <x:v>7</x:v>
      </x:c>
      <x:c r="E823" s="14" t="n">
        <x:v>62250</x:v>
      </x:c>
      <x:c r="F823" s="83" t="inlineStr">
        <x:is>
          <x:t xml:space="preserve">2026-06-13</x:t>
        </x:is>
      </x:c>
      <x:c r="G823" s="7" t="n"/>
      <x:c r="H823" s="7" t="n"/>
      <x:c r="I823" s="7" t="n"/>
      <x:c r="J823" s="7" t="n"/>
      <x:c r="K823" s="7" t="n"/>
      <x:c r="L823" s="7" t="n"/>
      <x:c r="M823" s="7" t="n"/>
      <x:c r="N823" s="7" t="n"/>
      <x:c r="O823" s="7" t="n"/>
      <x:c r="P823" s="7" t="n"/>
      <x:c r="Q823" s="7" t="n"/>
      <x:c r="R823" s="7" t="n"/>
      <x:c r="S823" s="7" t="n"/>
      <x:c r="T823" s="7" t="n"/>
      <x:c r="U823" s="7" t="n"/>
      <x:c r="V823" s="7" t="n"/>
      <x:c r="W823" s="7" t="n"/>
      <x:c r="X823" s="7" t="n"/>
      <x:c r="Y823" s="7" t="n"/>
      <x:c r="Z823" s="7" t="n"/>
      <x:c r="AA823" s="7" t="n"/>
      <x:c r="AB823" s="7" t="n"/>
    </x:row>
    <x:row r="824" ht="20" customHeight="1">
      <x:c r="A824" s="12" t="inlineStr">
        <x:is>
          <x:t xml:space="preserve">Nassau County School District</x:t>
        </x:is>
      </x:c>
      <x:c r="B824" s="12" t="inlineStr">
        <x:is>
          <x:t xml:space="preserve">FL</x:t>
        </x:is>
      </x:c>
      <x:c r="C824" s="12" t="inlineStr">
        <x:is>
          <x:t xml:space="preserve">Bachelor's</x:t>
        </x:is>
      </x:c>
      <x:c r="D824" s="13" t="n">
        <x:v>8</x:v>
      </x:c>
      <x:c r="E824" s="14" t="n">
        <x:v>62330</x:v>
      </x:c>
      <x:c r="F824" s="83" t="inlineStr">
        <x:is>
          <x:t xml:space="preserve">2026-06-13</x:t>
        </x:is>
      </x:c>
      <x:c r="G824" s="7" t="n"/>
      <x:c r="H824" s="7" t="n"/>
      <x:c r="I824" s="7" t="n"/>
      <x:c r="J824" s="7" t="n"/>
      <x:c r="K824" s="7" t="n"/>
      <x:c r="L824" s="7" t="n"/>
      <x:c r="M824" s="7" t="n"/>
      <x:c r="N824" s="7" t="n"/>
      <x:c r="O824" s="7" t="n"/>
      <x:c r="P824" s="7" t="n"/>
      <x:c r="Q824" s="7" t="n"/>
      <x:c r="R824" s="7" t="n"/>
      <x:c r="S824" s="7" t="n"/>
      <x:c r="T824" s="7" t="n"/>
      <x:c r="U824" s="7" t="n"/>
      <x:c r="V824" s="7" t="n"/>
      <x:c r="W824" s="7" t="n"/>
      <x:c r="X824" s="7" t="n"/>
      <x:c r="Y824" s="7" t="n"/>
      <x:c r="Z824" s="7" t="n"/>
      <x:c r="AA824" s="7" t="n"/>
      <x:c r="AB824" s="7" t="n"/>
    </x:row>
    <x:row r="825" ht="20" customHeight="1">
      <x:c r="A825" s="12" t="inlineStr">
        <x:is>
          <x:t xml:space="preserve">Nassau County School District</x:t>
        </x:is>
      </x:c>
      <x:c r="B825" s="12" t="inlineStr">
        <x:is>
          <x:t xml:space="preserve">FL</x:t>
        </x:is>
      </x:c>
      <x:c r="C825" s="12" t="inlineStr">
        <x:is>
          <x:t xml:space="preserve">Bachelor's</x:t>
        </x:is>
      </x:c>
      <x:c r="D825" s="13" t="n">
        <x:v>9</x:v>
      </x:c>
      <x:c r="E825" s="14" t="n">
        <x:v>62410</x:v>
      </x:c>
      <x:c r="F825" s="83" t="inlineStr">
        <x:is>
          <x:t xml:space="preserve">2026-06-13</x:t>
        </x:is>
      </x:c>
      <x:c r="G825" s="7" t="n"/>
      <x:c r="H825" s="7" t="n"/>
      <x:c r="I825" s="7" t="n"/>
      <x:c r="J825" s="7" t="n"/>
      <x:c r="K825" s="7" t="n"/>
      <x:c r="L825" s="7" t="n"/>
      <x:c r="M825" s="7" t="n"/>
      <x:c r="N825" s="7" t="n"/>
      <x:c r="O825" s="7" t="n"/>
      <x:c r="P825" s="7" t="n"/>
      <x:c r="Q825" s="7" t="n"/>
      <x:c r="R825" s="7" t="n"/>
      <x:c r="S825" s="7" t="n"/>
      <x:c r="T825" s="7" t="n"/>
      <x:c r="U825" s="7" t="n"/>
      <x:c r="V825" s="7" t="n"/>
      <x:c r="W825" s="7" t="n"/>
      <x:c r="X825" s="7" t="n"/>
      <x:c r="Y825" s="7" t="n"/>
      <x:c r="Z825" s="7" t="n"/>
      <x:c r="AA825" s="7" t="n"/>
      <x:c r="AB825" s="7" t="n"/>
    </x:row>
    <x:row r="826" ht="20" customHeight="1">
      <x:c r="A826" s="12" t="inlineStr">
        <x:is>
          <x:t xml:space="preserve">Nassau County School District</x:t>
        </x:is>
      </x:c>
      <x:c r="B826" s="12" t="inlineStr">
        <x:is>
          <x:t xml:space="preserve">FL</x:t>
        </x:is>
      </x:c>
      <x:c r="C826" s="12" t="inlineStr">
        <x:is>
          <x:t xml:space="preserve">Bachelor's</x:t>
        </x:is>
      </x:c>
      <x:c r="D826" s="13" t="n">
        <x:v>10</x:v>
      </x:c>
      <x:c r="E826" s="14" t="n">
        <x:v>62490</x:v>
      </x:c>
      <x:c r="F826" s="83" t="inlineStr">
        <x:is>
          <x:t xml:space="preserve">2026-06-13</x:t>
        </x:is>
      </x:c>
      <x:c r="G826" s="7" t="n"/>
      <x:c r="H826" s="7" t="n"/>
      <x:c r="I826" s="7" t="n"/>
      <x:c r="J826" s="7" t="n"/>
      <x:c r="K826" s="7" t="n"/>
      <x:c r="L826" s="7" t="n"/>
      <x:c r="M826" s="7" t="n"/>
      <x:c r="N826" s="7" t="n"/>
      <x:c r="O826" s="7" t="n"/>
      <x:c r="P826" s="7" t="n"/>
      <x:c r="Q826" s="7" t="n"/>
      <x:c r="R826" s="7" t="n"/>
      <x:c r="S826" s="7" t="n"/>
      <x:c r="T826" s="7" t="n"/>
      <x:c r="U826" s="7" t="n"/>
      <x:c r="V826" s="7" t="n"/>
      <x:c r="W826" s="7" t="n"/>
      <x:c r="X826" s="7" t="n"/>
      <x:c r="Y826" s="7" t="n"/>
      <x:c r="Z826" s="7" t="n"/>
      <x:c r="AA826" s="7" t="n"/>
      <x:c r="AB826" s="7" t="n"/>
    </x:row>
    <x:row r="827" ht="20" customHeight="1">
      <x:c r="A827" s="12" t="inlineStr">
        <x:is>
          <x:t xml:space="preserve">Nassau County School District</x:t>
        </x:is>
      </x:c>
      <x:c r="B827" s="12" t="inlineStr">
        <x:is>
          <x:t xml:space="preserve">FL</x:t>
        </x:is>
      </x:c>
      <x:c r="C827" s="12" t="inlineStr">
        <x:is>
          <x:t xml:space="preserve">Master's</x:t>
        </x:is>
      </x:c>
      <x:c r="D827" s="13" t="n">
        <x:v>0</x:v>
      </x:c>
      <x:c r="E827" s="14" t="n">
        <x:v>56037</x:v>
      </x:c>
      <x:c r="F827" s="83" t="inlineStr">
        <x:is>
          <x:t xml:space="preserve">2026-06-13</x:t>
        </x:is>
      </x:c>
      <x:c r="G827" s="7" t="n"/>
      <x:c r="H827" s="7" t="n"/>
      <x:c r="I827" s="7" t="n"/>
      <x:c r="J827" s="7" t="n"/>
      <x:c r="K827" s="7" t="n"/>
      <x:c r="L827" s="7" t="n"/>
      <x:c r="M827" s="7" t="n"/>
      <x:c r="N827" s="7" t="n"/>
      <x:c r="O827" s="7" t="n"/>
      <x:c r="P827" s="7" t="n"/>
      <x:c r="Q827" s="7" t="n"/>
      <x:c r="R827" s="7" t="n"/>
      <x:c r="S827" s="7" t="n"/>
      <x:c r="T827" s="7" t="n"/>
      <x:c r="U827" s="7" t="n"/>
      <x:c r="V827" s="7" t="n"/>
      <x:c r="W827" s="7" t="n"/>
      <x:c r="X827" s="7" t="n"/>
      <x:c r="Y827" s="7" t="n"/>
      <x:c r="Z827" s="7" t="n"/>
      <x:c r="AA827" s="7" t="n"/>
      <x:c r="AB827" s="7" t="n"/>
    </x:row>
    <x:row r="828" ht="20" customHeight="1">
      <x:c r="A828" s="12" t="inlineStr">
        <x:is>
          <x:t xml:space="preserve">Nassau County School District</x:t>
        </x:is>
      </x:c>
      <x:c r="B828" s="12" t="inlineStr">
        <x:is>
          <x:t xml:space="preserve">FL</x:t>
        </x:is>
      </x:c>
      <x:c r="C828" s="12" t="inlineStr">
        <x:is>
          <x:t xml:space="preserve">Master's</x:t>
        </x:is>
      </x:c>
      <x:c r="D828" s="13" t="n">
        <x:v>1</x:v>
      </x:c>
      <x:c r="E828" s="14" t="n">
        <x:v>60261</x:v>
      </x:c>
      <x:c r="F828" s="83" t="inlineStr">
        <x:is>
          <x:t xml:space="preserve">2026-06-13</x:t>
        </x:is>
      </x:c>
      <x:c r="G828" s="7" t="n"/>
      <x:c r="H828" s="7" t="n"/>
      <x:c r="I828" s="7" t="n"/>
      <x:c r="J828" s="7" t="n"/>
      <x:c r="K828" s="7" t="n"/>
      <x:c r="L828" s="7" t="n"/>
      <x:c r="M828" s="7" t="n"/>
      <x:c r="N828" s="7" t="n"/>
      <x:c r="O828" s="7" t="n"/>
      <x:c r="P828" s="7" t="n"/>
      <x:c r="Q828" s="7" t="n"/>
      <x:c r="R828" s="7" t="n"/>
      <x:c r="S828" s="7" t="n"/>
      <x:c r="T828" s="7" t="n"/>
      <x:c r="U828" s="7" t="n"/>
      <x:c r="V828" s="7" t="n"/>
      <x:c r="W828" s="7" t="n"/>
      <x:c r="X828" s="7" t="n"/>
      <x:c r="Y828" s="7" t="n"/>
      <x:c r="Z828" s="7" t="n"/>
      <x:c r="AA828" s="7" t="n"/>
      <x:c r="AB828" s="7" t="n"/>
    </x:row>
    <x:row r="829" ht="20" customHeight="1">
      <x:c r="A829" s="12" t="inlineStr">
        <x:is>
          <x:t xml:space="preserve">Nassau County School District</x:t>
        </x:is>
      </x:c>
      <x:c r="B829" s="12" t="inlineStr">
        <x:is>
          <x:t xml:space="preserve">FL</x:t>
        </x:is>
      </x:c>
      <x:c r="C829" s="12" t="inlineStr">
        <x:is>
          <x:t xml:space="preserve">Master's</x:t>
        </x:is>
      </x:c>
      <x:c r="D829" s="13" t="n">
        <x:v>2</x:v>
      </x:c>
      <x:c r="E829" s="14" t="n">
        <x:v>60310</x:v>
      </x:c>
      <x:c r="F829" s="83" t="inlineStr">
        <x:is>
          <x:t xml:space="preserve">2026-06-13</x:t>
        </x:is>
      </x:c>
      <x:c r="G829" s="7" t="n"/>
      <x:c r="H829" s="7" t="n"/>
      <x:c r="I829" s="7" t="n"/>
      <x:c r="J829" s="7" t="n"/>
      <x:c r="K829" s="7" t="n"/>
      <x:c r="L829" s="7" t="n"/>
      <x:c r="M829" s="7" t="n"/>
      <x:c r="N829" s="7" t="n"/>
      <x:c r="O829" s="7" t="n"/>
      <x:c r="P829" s="7" t="n"/>
      <x:c r="Q829" s="7" t="n"/>
      <x:c r="R829" s="7" t="n"/>
      <x:c r="S829" s="7" t="n"/>
      <x:c r="T829" s="7" t="n"/>
      <x:c r="U829" s="7" t="n"/>
      <x:c r="V829" s="7" t="n"/>
      <x:c r="W829" s="7" t="n"/>
      <x:c r="X829" s="7" t="n"/>
      <x:c r="Y829" s="7" t="n"/>
      <x:c r="Z829" s="7" t="n"/>
      <x:c r="AA829" s="7" t="n"/>
      <x:c r="AB829" s="7" t="n"/>
    </x:row>
    <x:row r="830" ht="20" customHeight="1">
      <x:c r="A830" s="12" t="inlineStr">
        <x:is>
          <x:t xml:space="preserve">Nassau County School District</x:t>
        </x:is>
      </x:c>
      <x:c r="B830" s="12" t="inlineStr">
        <x:is>
          <x:t xml:space="preserve">FL</x:t>
        </x:is>
      </x:c>
      <x:c r="C830" s="12" t="inlineStr">
        <x:is>
          <x:t xml:space="preserve">Master's</x:t>
        </x:is>
      </x:c>
      <x:c r="D830" s="13" t="n">
        <x:v>3</x:v>
      </x:c>
      <x:c r="E830" s="14" t="n">
        <x:v>60359</x:v>
      </x:c>
      <x:c r="F830" s="83" t="inlineStr">
        <x:is>
          <x:t xml:space="preserve">2026-06-13</x:t>
        </x:is>
      </x:c>
      <x:c r="G830" s="7" t="n"/>
      <x:c r="H830" s="7" t="n"/>
      <x:c r="I830" s="7" t="n"/>
      <x:c r="J830" s="7" t="n"/>
      <x:c r="K830" s="7" t="n"/>
      <x:c r="L830" s="7" t="n"/>
      <x:c r="M830" s="7" t="n"/>
      <x:c r="N830" s="7" t="n"/>
      <x:c r="O830" s="7" t="n"/>
      <x:c r="P830" s="7" t="n"/>
      <x:c r="Q830" s="7" t="n"/>
      <x:c r="R830" s="7" t="n"/>
      <x:c r="S830" s="7" t="n"/>
      <x:c r="T830" s="7" t="n"/>
      <x:c r="U830" s="7" t="n"/>
      <x:c r="V830" s="7" t="n"/>
      <x:c r="W830" s="7" t="n"/>
      <x:c r="X830" s="7" t="n"/>
      <x:c r="Y830" s="7" t="n"/>
      <x:c r="Z830" s="7" t="n"/>
      <x:c r="AA830" s="7" t="n"/>
      <x:c r="AB830" s="7" t="n"/>
    </x:row>
    <x:row r="831" ht="20" customHeight="1">
      <x:c r="A831" s="12" t="inlineStr">
        <x:is>
          <x:t xml:space="preserve">Nassau County School District</x:t>
        </x:is>
      </x:c>
      <x:c r="B831" s="12" t="inlineStr">
        <x:is>
          <x:t xml:space="preserve">FL</x:t>
        </x:is>
      </x:c>
      <x:c r="C831" s="12" t="inlineStr">
        <x:is>
          <x:t xml:space="preserve">Master's</x:t>
        </x:is>
      </x:c>
      <x:c r="D831" s="13" t="n">
        <x:v>4</x:v>
      </x:c>
      <x:c r="E831" s="14" t="n">
        <x:v>60408</x:v>
      </x:c>
      <x:c r="F831" s="83" t="inlineStr">
        <x:is>
          <x:t xml:space="preserve">2026-06-13</x:t>
        </x:is>
      </x:c>
      <x:c r="G831" s="7" t="n"/>
      <x:c r="H831" s="7" t="n"/>
      <x:c r="I831" s="7" t="n"/>
      <x:c r="J831" s="7" t="n"/>
      <x:c r="K831" s="7" t="n"/>
      <x:c r="L831" s="7" t="n"/>
      <x:c r="M831" s="7" t="n"/>
      <x:c r="N831" s="7" t="n"/>
      <x:c r="O831" s="7" t="n"/>
      <x:c r="P831" s="7" t="n"/>
      <x:c r="Q831" s="7" t="n"/>
      <x:c r="R831" s="7" t="n"/>
      <x:c r="S831" s="7" t="n"/>
      <x:c r="T831" s="7" t="n"/>
      <x:c r="U831" s="7" t="n"/>
      <x:c r="V831" s="7" t="n"/>
      <x:c r="W831" s="7" t="n"/>
      <x:c r="X831" s="7" t="n"/>
      <x:c r="Y831" s="7" t="n"/>
      <x:c r="Z831" s="7" t="n"/>
      <x:c r="AA831" s="7" t="n"/>
      <x:c r="AB831" s="7" t="n"/>
    </x:row>
    <x:row r="832" ht="20" customHeight="1">
      <x:c r="A832" s="12" t="inlineStr">
        <x:is>
          <x:t xml:space="preserve">Nassau County School District</x:t>
        </x:is>
      </x:c>
      <x:c r="B832" s="12" t="inlineStr">
        <x:is>
          <x:t xml:space="preserve">FL</x:t>
        </x:is>
      </x:c>
      <x:c r="C832" s="12" t="inlineStr">
        <x:is>
          <x:t xml:space="preserve">Master's</x:t>
        </x:is>
      </x:c>
      <x:c r="D832" s="13" t="n">
        <x:v>5</x:v>
      </x:c>
      <x:c r="E832" s="14" t="n">
        <x:v>60803</x:v>
      </x:c>
      <x:c r="F832" s="83" t="inlineStr">
        <x:is>
          <x:t xml:space="preserve">2026-06-13</x:t>
        </x:is>
      </x:c>
      <x:c r="G832" s="7" t="n"/>
      <x:c r="H832" s="7" t="n"/>
      <x:c r="I832" s="7" t="n"/>
      <x:c r="J832" s="7" t="n"/>
      <x:c r="K832" s="7" t="n"/>
      <x:c r="L832" s="7" t="n"/>
      <x:c r="M832" s="7" t="n"/>
      <x:c r="N832" s="7" t="n"/>
      <x:c r="O832" s="7" t="n"/>
      <x:c r="P832" s="7" t="n"/>
      <x:c r="Q832" s="7" t="n"/>
      <x:c r="R832" s="7" t="n"/>
      <x:c r="S832" s="7" t="n"/>
      <x:c r="T832" s="7" t="n"/>
      <x:c r="U832" s="7" t="n"/>
      <x:c r="V832" s="7" t="n"/>
      <x:c r="W832" s="7" t="n"/>
      <x:c r="X832" s="7" t="n"/>
      <x:c r="Y832" s="7" t="n"/>
      <x:c r="Z832" s="7" t="n"/>
      <x:c r="AA832" s="7" t="n"/>
      <x:c r="AB832" s="7" t="n"/>
    </x:row>
    <x:row r="833" ht="20" customHeight="1">
      <x:c r="A833" s="12" t="inlineStr">
        <x:is>
          <x:t xml:space="preserve">Nassau County School District</x:t>
        </x:is>
      </x:c>
      <x:c r="B833" s="12" t="inlineStr">
        <x:is>
          <x:t xml:space="preserve">FL</x:t>
        </x:is>
      </x:c>
      <x:c r="C833" s="12" t="inlineStr">
        <x:is>
          <x:t xml:space="preserve">Master's</x:t>
        </x:is>
      </x:c>
      <x:c r="D833" s="13" t="n">
        <x:v>6</x:v>
      </x:c>
      <x:c r="E833" s="14" t="n">
        <x:v>60851</x:v>
      </x:c>
      <x:c r="F833" s="83" t="inlineStr">
        <x:is>
          <x:t xml:space="preserve">2026-06-13</x:t>
        </x:is>
      </x:c>
      <x:c r="G833" s="7" t="n"/>
      <x:c r="H833" s="7" t="n"/>
      <x:c r="I833" s="7" t="n"/>
      <x:c r="J833" s="7" t="n"/>
      <x:c r="K833" s="7" t="n"/>
      <x:c r="L833" s="7" t="n"/>
      <x:c r="M833" s="7" t="n"/>
      <x:c r="N833" s="7" t="n"/>
      <x:c r="O833" s="7" t="n"/>
      <x:c r="P833" s="7" t="n"/>
      <x:c r="Q833" s="7" t="n"/>
      <x:c r="R833" s="7" t="n"/>
      <x:c r="S833" s="7" t="n"/>
      <x:c r="T833" s="7" t="n"/>
      <x:c r="U833" s="7" t="n"/>
      <x:c r="V833" s="7" t="n"/>
      <x:c r="W833" s="7" t="n"/>
      <x:c r="X833" s="7" t="n"/>
      <x:c r="Y833" s="7" t="n"/>
      <x:c r="Z833" s="7" t="n"/>
      <x:c r="AA833" s="7" t="n"/>
      <x:c r="AB833" s="7" t="n"/>
    </x:row>
    <x:row r="834" ht="20" customHeight="1">
      <x:c r="A834" s="12" t="inlineStr">
        <x:is>
          <x:t xml:space="preserve">Nassau County School District</x:t>
        </x:is>
      </x:c>
      <x:c r="B834" s="12" t="inlineStr">
        <x:is>
          <x:t xml:space="preserve">FL</x:t>
        </x:is>
      </x:c>
      <x:c r="C834" s="12" t="inlineStr">
        <x:is>
          <x:t xml:space="preserve">Master's</x:t>
        </x:is>
      </x:c>
      <x:c r="D834" s="13" t="n">
        <x:v>7</x:v>
      </x:c>
      <x:c r="E834" s="14" t="n">
        <x:v>65880</x:v>
      </x:c>
      <x:c r="F834" s="83" t="inlineStr">
        <x:is>
          <x:t xml:space="preserve">2026-06-13</x:t>
        </x:is>
      </x:c>
      <x:c r="G834" s="7" t="n"/>
      <x:c r="H834" s="7" t="n"/>
      <x:c r="I834" s="7" t="n"/>
      <x:c r="J834" s="7" t="n"/>
      <x:c r="K834" s="7" t="n"/>
      <x:c r="L834" s="7" t="n"/>
      <x:c r="M834" s="7" t="n"/>
      <x:c r="N834" s="7" t="n"/>
      <x:c r="O834" s="7" t="n"/>
      <x:c r="P834" s="7" t="n"/>
      <x:c r="Q834" s="7" t="n"/>
      <x:c r="R834" s="7" t="n"/>
      <x:c r="S834" s="7" t="n"/>
      <x:c r="T834" s="7" t="n"/>
      <x:c r="U834" s="7" t="n"/>
      <x:c r="V834" s="7" t="n"/>
      <x:c r="W834" s="7" t="n"/>
      <x:c r="X834" s="7" t="n"/>
      <x:c r="Y834" s="7" t="n"/>
      <x:c r="Z834" s="7" t="n"/>
      <x:c r="AA834" s="7" t="n"/>
      <x:c r="AB834" s="7" t="n"/>
    </x:row>
    <x:row r="835" ht="20" customHeight="1">
      <x:c r="A835" s="12" t="inlineStr">
        <x:is>
          <x:t xml:space="preserve">Nassau County School District</x:t>
        </x:is>
      </x:c>
      <x:c r="B835" s="12" t="inlineStr">
        <x:is>
          <x:t xml:space="preserve">FL</x:t>
        </x:is>
      </x:c>
      <x:c r="C835" s="12" t="inlineStr">
        <x:is>
          <x:t xml:space="preserve">Master's</x:t>
        </x:is>
      </x:c>
      <x:c r="D835" s="13" t="n">
        <x:v>8</x:v>
      </x:c>
      <x:c r="E835" s="14" t="n">
        <x:v>65960</x:v>
      </x:c>
      <x:c r="F835" s="83" t="inlineStr">
        <x:is>
          <x:t xml:space="preserve">2026-06-13</x:t>
        </x:is>
      </x:c>
      <x:c r="G835" s="7" t="n"/>
      <x:c r="H835" s="7" t="n"/>
      <x:c r="I835" s="7" t="n"/>
      <x:c r="J835" s="7" t="n"/>
      <x:c r="K835" s="7" t="n"/>
      <x:c r="L835" s="7" t="n"/>
      <x:c r="M835" s="7" t="n"/>
      <x:c r="N835" s="7" t="n"/>
      <x:c r="O835" s="7" t="n"/>
      <x:c r="P835" s="7" t="n"/>
      <x:c r="Q835" s="7" t="n"/>
      <x:c r="R835" s="7" t="n"/>
      <x:c r="S835" s="7" t="n"/>
      <x:c r="T835" s="7" t="n"/>
      <x:c r="U835" s="7" t="n"/>
      <x:c r="V835" s="7" t="n"/>
      <x:c r="W835" s="7" t="n"/>
      <x:c r="X835" s="7" t="n"/>
      <x:c r="Y835" s="7" t="n"/>
      <x:c r="Z835" s="7" t="n"/>
      <x:c r="AA835" s="7" t="n"/>
      <x:c r="AB835" s="7" t="n"/>
    </x:row>
    <x:row r="836" ht="20" customHeight="1">
      <x:c r="A836" s="12" t="inlineStr">
        <x:is>
          <x:t xml:space="preserve">Nassau County School District</x:t>
        </x:is>
      </x:c>
      <x:c r="B836" s="12" t="inlineStr">
        <x:is>
          <x:t xml:space="preserve">FL</x:t>
        </x:is>
      </x:c>
      <x:c r="C836" s="12" t="inlineStr">
        <x:is>
          <x:t xml:space="preserve">Master's</x:t>
        </x:is>
      </x:c>
      <x:c r="D836" s="13" t="n">
        <x:v>9</x:v>
      </x:c>
      <x:c r="E836" s="14" t="n">
        <x:v>66040</x:v>
      </x:c>
      <x:c r="F836" s="83" t="inlineStr">
        <x:is>
          <x:t xml:space="preserve">2026-06-13</x:t>
        </x:is>
      </x:c>
      <x:c r="G836" s="7" t="n"/>
      <x:c r="H836" s="7" t="n"/>
      <x:c r="I836" s="7" t="n"/>
      <x:c r="J836" s="7" t="n"/>
      <x:c r="K836" s="7" t="n"/>
      <x:c r="L836" s="7" t="n"/>
      <x:c r="M836" s="7" t="n"/>
      <x:c r="N836" s="7" t="n"/>
      <x:c r="O836" s="7" t="n"/>
      <x:c r="P836" s="7" t="n"/>
      <x:c r="Q836" s="7" t="n"/>
      <x:c r="R836" s="7" t="n"/>
      <x:c r="S836" s="7" t="n"/>
      <x:c r="T836" s="7" t="n"/>
      <x:c r="U836" s="7" t="n"/>
      <x:c r="V836" s="7" t="n"/>
      <x:c r="W836" s="7" t="n"/>
      <x:c r="X836" s="7" t="n"/>
      <x:c r="Y836" s="7" t="n"/>
      <x:c r="Z836" s="7" t="n"/>
      <x:c r="AA836" s="7" t="n"/>
      <x:c r="AB836" s="7" t="n"/>
    </x:row>
    <x:row r="837" ht="20" customHeight="1">
      <x:c r="A837" s="12" t="inlineStr">
        <x:is>
          <x:t xml:space="preserve">Nassau County School District</x:t>
        </x:is>
      </x:c>
      <x:c r="B837" s="12" t="inlineStr">
        <x:is>
          <x:t xml:space="preserve">FL</x:t>
        </x:is>
      </x:c>
      <x:c r="C837" s="12" t="inlineStr">
        <x:is>
          <x:t xml:space="preserve">Master's</x:t>
        </x:is>
      </x:c>
      <x:c r="D837" s="13" t="n">
        <x:v>10</x:v>
      </x:c>
      <x:c r="E837" s="14" t="n">
        <x:v>66120</x:v>
      </x:c>
      <x:c r="F837" s="83" t="inlineStr">
        <x:is>
          <x:t xml:space="preserve">2026-06-13</x:t>
        </x:is>
      </x:c>
      <x:c r="G837" s="7" t="n"/>
      <x:c r="H837" s="7" t="n"/>
      <x:c r="I837" s="7" t="n"/>
      <x:c r="J837" s="7" t="n"/>
      <x:c r="K837" s="7" t="n"/>
      <x:c r="L837" s="7" t="n"/>
      <x:c r="M837" s="7" t="n"/>
      <x:c r="N837" s="7" t="n"/>
      <x:c r="O837" s="7" t="n"/>
      <x:c r="P837" s="7" t="n"/>
      <x:c r="Q837" s="7" t="n"/>
      <x:c r="R837" s="7" t="n"/>
      <x:c r="S837" s="7" t="n"/>
      <x:c r="T837" s="7" t="n"/>
      <x:c r="U837" s="7" t="n"/>
      <x:c r="V837" s="7" t="n"/>
      <x:c r="W837" s="7" t="n"/>
      <x:c r="X837" s="7" t="n"/>
      <x:c r="Y837" s="7" t="n"/>
      <x:c r="Z837" s="7" t="n"/>
      <x:c r="AA837" s="7" t="n"/>
      <x:c r="AB837" s="7" t="n"/>
    </x:row>
    <x:row r="838" ht="20" customHeight="1">
      <x:c r="A838" s="79" t="inlineStr">
        <x:is>
          <x:t xml:space="preserve">New Trier Township High School District 203</x:t>
        </x:is>
      </x:c>
      <x:c r="B838" s="79" t="inlineStr">
        <x:is>
          <x:t xml:space="preserve">IL</x:t>
        </x:is>
      </x:c>
      <x:c r="C838" s="79" t="inlineStr">
        <x:is>
          <x:t xml:space="preserve">Bachelor's</x:t>
        </x:is>
      </x:c>
      <x:c r="D838" s="79" t="n">
        <x:v>0</x:v>
      </x:c>
      <x:c r="E838" s="80" t="n">
        <x:v>75000</x:v>
      </x:c>
      <x:c r="F838" s="79" t="inlineStr">
        <x:is>
          <x:t xml:space="preserve">2026-06-16</x:t>
        </x:is>
      </x:c>
      <x:c r="G838" s="7" t="n"/>
      <x:c r="H838" s="7" t="n"/>
      <x:c r="I838" s="7" t="n"/>
      <x:c r="J838" s="7" t="n"/>
      <x:c r="K838" s="7" t="n"/>
      <x:c r="L838" s="7" t="n"/>
      <x:c r="M838" s="7" t="n"/>
      <x:c r="N838" s="7" t="n"/>
      <x:c r="O838" s="7" t="n"/>
      <x:c r="P838" s="7" t="n"/>
      <x:c r="Q838" s="7" t="n"/>
      <x:c r="R838" s="7" t="n"/>
      <x:c r="S838" s="7" t="n"/>
      <x:c r="T838" s="7" t="n"/>
      <x:c r="U838" s="7" t="n"/>
      <x:c r="V838" s="7" t="n"/>
      <x:c r="W838" s="7" t="n"/>
      <x:c r="X838" s="7" t="n"/>
      <x:c r="Y838" s="7" t="n"/>
      <x:c r="Z838" s="7" t="n"/>
      <x:c r="AA838" s="7" t="n"/>
      <x:c r="AB838" s="7" t="n"/>
    </x:row>
    <x:row r="839" ht="20" customHeight="1">
      <x:c r="A839" s="79" t="inlineStr">
        <x:is>
          <x:t xml:space="preserve">New Trier Township High School District 203</x:t>
        </x:is>
      </x:c>
      <x:c r="B839" s="79" t="inlineStr">
        <x:is>
          <x:t xml:space="preserve">IL</x:t>
        </x:is>
      </x:c>
      <x:c r="C839" s="79" t="inlineStr">
        <x:is>
          <x:t xml:space="preserve">Bachelor's</x:t>
        </x:is>
      </x:c>
      <x:c r="D839" s="79" t="n">
        <x:v>1</x:v>
      </x:c>
      <x:c r="E839" s="80" t="n">
        <x:v>77500</x:v>
      </x:c>
      <x:c r="F839" s="79" t="inlineStr">
        <x:is>
          <x:t xml:space="preserve">2026-06-16</x:t>
        </x:is>
      </x:c>
      <x:c r="G839" s="7" t="n"/>
      <x:c r="H839" s="7" t="n"/>
      <x:c r="I839" s="7" t="n"/>
      <x:c r="J839" s="7" t="n"/>
      <x:c r="K839" s="7" t="n"/>
      <x:c r="L839" s="7" t="n"/>
      <x:c r="M839" s="7" t="n"/>
      <x:c r="N839" s="7" t="n"/>
      <x:c r="O839" s="7" t="n"/>
      <x:c r="P839" s="7" t="n"/>
      <x:c r="Q839" s="7" t="n"/>
      <x:c r="R839" s="7" t="n"/>
      <x:c r="S839" s="7" t="n"/>
      <x:c r="T839" s="7" t="n"/>
      <x:c r="U839" s="7" t="n"/>
      <x:c r="V839" s="7" t="n"/>
      <x:c r="W839" s="7" t="n"/>
      <x:c r="X839" s="7" t="n"/>
      <x:c r="Y839" s="7" t="n"/>
      <x:c r="Z839" s="7" t="n"/>
      <x:c r="AA839" s="7" t="n"/>
      <x:c r="AB839" s="7" t="n"/>
    </x:row>
    <x:row r="840" ht="20" customHeight="1">
      <x:c r="A840" s="79" t="inlineStr">
        <x:is>
          <x:t xml:space="preserve">New Trier Township High School District 203</x:t>
        </x:is>
      </x:c>
      <x:c r="B840" s="79" t="inlineStr">
        <x:is>
          <x:t xml:space="preserve">IL</x:t>
        </x:is>
      </x:c>
      <x:c r="C840" s="79" t="inlineStr">
        <x:is>
          <x:t xml:space="preserve">Bachelor's</x:t>
        </x:is>
      </x:c>
      <x:c r="D840" s="79" t="n">
        <x:v>2</x:v>
      </x:c>
      <x:c r="E840" s="80" t="n">
        <x:v>80000</x:v>
      </x:c>
      <x:c r="F840" s="79" t="inlineStr">
        <x:is>
          <x:t xml:space="preserve">2026-06-16</x:t>
        </x:is>
      </x:c>
      <x:c r="G840" s="7" t="n"/>
      <x:c r="H840" s="7" t="n"/>
      <x:c r="I840" s="7" t="n"/>
      <x:c r="J840" s="7" t="n"/>
      <x:c r="K840" s="7" t="n"/>
      <x:c r="L840" s="7" t="n"/>
      <x:c r="M840" s="7" t="n"/>
      <x:c r="N840" s="7" t="n"/>
      <x:c r="O840" s="7" t="n"/>
      <x:c r="P840" s="7" t="n"/>
      <x:c r="Q840" s="7" t="n"/>
      <x:c r="R840" s="7" t="n"/>
      <x:c r="S840" s="7" t="n"/>
      <x:c r="T840" s="7" t="n"/>
      <x:c r="U840" s="7" t="n"/>
      <x:c r="V840" s="7" t="n"/>
      <x:c r="W840" s="7" t="n"/>
      <x:c r="X840" s="7" t="n"/>
      <x:c r="Y840" s="7" t="n"/>
      <x:c r="Z840" s="7" t="n"/>
      <x:c r="AA840" s="7" t="n"/>
      <x:c r="AB840" s="7" t="n"/>
    </x:row>
    <x:row r="841" ht="20" customHeight="1">
      <x:c r="A841" s="79" t="inlineStr">
        <x:is>
          <x:t xml:space="preserve">New Trier Township High School District 203</x:t>
        </x:is>
      </x:c>
      <x:c r="B841" s="79" t="inlineStr">
        <x:is>
          <x:t xml:space="preserve">IL</x:t>
        </x:is>
      </x:c>
      <x:c r="C841" s="79" t="inlineStr">
        <x:is>
          <x:t xml:space="preserve">Bachelor's</x:t>
        </x:is>
      </x:c>
      <x:c r="D841" s="79" t="n">
        <x:v>3</x:v>
      </x:c>
      <x:c r="E841" s="80" t="n">
        <x:v>82500</x:v>
      </x:c>
      <x:c r="F841" s="79" t="inlineStr">
        <x:is>
          <x:t xml:space="preserve">2026-06-16</x:t>
        </x:is>
      </x:c>
      <x:c r="G841" s="7" t="n"/>
      <x:c r="H841" s="7" t="n"/>
      <x:c r="I841" s="7" t="n"/>
      <x:c r="J841" s="7" t="n"/>
      <x:c r="K841" s="7" t="n"/>
      <x:c r="L841" s="7" t="n"/>
      <x:c r="M841" s="7" t="n"/>
      <x:c r="N841" s="7" t="n"/>
      <x:c r="O841" s="7" t="n"/>
      <x:c r="P841" s="7" t="n"/>
      <x:c r="Q841" s="7" t="n"/>
      <x:c r="R841" s="7" t="n"/>
      <x:c r="S841" s="7" t="n"/>
      <x:c r="T841" s="7" t="n"/>
      <x:c r="U841" s="7" t="n"/>
      <x:c r="V841" s="7" t="n"/>
      <x:c r="W841" s="7" t="n"/>
      <x:c r="X841" s="7" t="n"/>
      <x:c r="Y841" s="7" t="n"/>
      <x:c r="Z841" s="7" t="n"/>
      <x:c r="AA841" s="7" t="n"/>
      <x:c r="AB841" s="7" t="n"/>
    </x:row>
    <x:row r="842" ht="20" customHeight="1">
      <x:c r="A842" s="79" t="inlineStr">
        <x:is>
          <x:t xml:space="preserve">New Trier Township High School District 203</x:t>
        </x:is>
      </x:c>
      <x:c r="B842" s="79" t="inlineStr">
        <x:is>
          <x:t xml:space="preserve">IL</x:t>
        </x:is>
      </x:c>
      <x:c r="C842" s="79" t="inlineStr">
        <x:is>
          <x:t xml:space="preserve">Bachelor's</x:t>
        </x:is>
      </x:c>
      <x:c r="D842" s="79" t="n">
        <x:v>4</x:v>
      </x:c>
      <x:c r="E842" s="80" t="n">
        <x:v>85000</x:v>
      </x:c>
      <x:c r="F842" s="79" t="inlineStr">
        <x:is>
          <x:t xml:space="preserve">2026-06-16</x:t>
        </x:is>
      </x:c>
      <x:c r="G842" s="7" t="n"/>
      <x:c r="H842" s="7" t="n"/>
      <x:c r="I842" s="7" t="n"/>
      <x:c r="J842" s="7" t="n"/>
      <x:c r="K842" s="7" t="n"/>
      <x:c r="L842" s="7" t="n"/>
      <x:c r="M842" s="7" t="n"/>
      <x:c r="N842" s="7" t="n"/>
      <x:c r="O842" s="7" t="n"/>
      <x:c r="P842" s="7" t="n"/>
      <x:c r="Q842" s="7" t="n"/>
      <x:c r="R842" s="7" t="n"/>
      <x:c r="S842" s="7" t="n"/>
      <x:c r="T842" s="7" t="n"/>
      <x:c r="U842" s="7" t="n"/>
      <x:c r="V842" s="7" t="n"/>
      <x:c r="W842" s="7" t="n"/>
      <x:c r="X842" s="7" t="n"/>
      <x:c r="Y842" s="7" t="n"/>
      <x:c r="Z842" s="7" t="n"/>
      <x:c r="AA842" s="7" t="n"/>
      <x:c r="AB842" s="7" t="n"/>
    </x:row>
    <x:row r="843" ht="20" customHeight="1">
      <x:c r="A843" s="79" t="inlineStr">
        <x:is>
          <x:t xml:space="preserve">New Trier Township High School District 203</x:t>
        </x:is>
      </x:c>
      <x:c r="B843" s="79" t="inlineStr">
        <x:is>
          <x:t xml:space="preserve">IL</x:t>
        </x:is>
      </x:c>
      <x:c r="C843" s="79" t="inlineStr">
        <x:is>
          <x:t xml:space="preserve">Bachelor's</x:t>
        </x:is>
      </x:c>
      <x:c r="D843" s="79" t="n">
        <x:v>5</x:v>
      </x:c>
      <x:c r="E843" s="80" t="n">
        <x:v>90000</x:v>
      </x:c>
      <x:c r="F843" s="79" t="inlineStr">
        <x:is>
          <x:t xml:space="preserve">2026-06-16</x:t>
        </x:is>
      </x:c>
      <x:c r="G843" s="7" t="n"/>
      <x:c r="H843" s="7" t="n"/>
      <x:c r="I843" s="7" t="n"/>
      <x:c r="J843" s="7" t="n"/>
      <x:c r="K843" s="7" t="n"/>
      <x:c r="L843" s="7" t="n"/>
      <x:c r="M843" s="7" t="n"/>
      <x:c r="N843" s="7" t="n"/>
      <x:c r="O843" s="7" t="n"/>
      <x:c r="P843" s="7" t="n"/>
      <x:c r="Q843" s="7" t="n"/>
      <x:c r="R843" s="7" t="n"/>
      <x:c r="S843" s="7" t="n"/>
      <x:c r="T843" s="7" t="n"/>
      <x:c r="U843" s="7" t="n"/>
      <x:c r="V843" s="7" t="n"/>
      <x:c r="W843" s="7" t="n"/>
      <x:c r="X843" s="7" t="n"/>
      <x:c r="Y843" s="7" t="n"/>
      <x:c r="Z843" s="7" t="n"/>
      <x:c r="AA843" s="7" t="n"/>
      <x:c r="AB843" s="7" t="n"/>
    </x:row>
    <x:row r="844" ht="20" customHeight="1">
      <x:c r="A844" s="79" t="inlineStr">
        <x:is>
          <x:t xml:space="preserve">New Trier Township High School District 203</x:t>
        </x:is>
      </x:c>
      <x:c r="B844" s="79" t="inlineStr">
        <x:is>
          <x:t xml:space="preserve">IL</x:t>
        </x:is>
      </x:c>
      <x:c r="C844" s="79" t="inlineStr">
        <x:is>
          <x:t xml:space="preserve">Bachelor's</x:t>
        </x:is>
      </x:c>
      <x:c r="D844" s="79" t="n">
        <x:v>6</x:v>
      </x:c>
      <x:c r="E844" s="80" t="n">
        <x:v>95000</x:v>
      </x:c>
      <x:c r="F844" s="79" t="inlineStr">
        <x:is>
          <x:t xml:space="preserve">2026-06-16</x:t>
        </x:is>
      </x:c>
      <x:c r="G844" s="7" t="n"/>
      <x:c r="H844" s="7" t="n"/>
      <x:c r="I844" s="7" t="n"/>
      <x:c r="J844" s="7" t="n"/>
      <x:c r="K844" s="7" t="n"/>
      <x:c r="L844" s="7" t="n"/>
      <x:c r="M844" s="7" t="n"/>
      <x:c r="N844" s="7" t="n"/>
      <x:c r="O844" s="7" t="n"/>
      <x:c r="P844" s="7" t="n"/>
      <x:c r="Q844" s="7" t="n"/>
      <x:c r="R844" s="7" t="n"/>
      <x:c r="S844" s="7" t="n"/>
      <x:c r="T844" s="7" t="n"/>
      <x:c r="U844" s="7" t="n"/>
      <x:c r="V844" s="7" t="n"/>
      <x:c r="W844" s="7" t="n"/>
      <x:c r="X844" s="7" t="n"/>
      <x:c r="Y844" s="7" t="n"/>
      <x:c r="Z844" s="7" t="n"/>
      <x:c r="AA844" s="7" t="n"/>
      <x:c r="AB844" s="7" t="n"/>
    </x:row>
    <x:row r="845" ht="20" customHeight="1">
      <x:c r="A845" s="79" t="inlineStr">
        <x:is>
          <x:t xml:space="preserve">New Trier Township High School District 203</x:t>
        </x:is>
      </x:c>
      <x:c r="B845" s="79" t="inlineStr">
        <x:is>
          <x:t xml:space="preserve">IL</x:t>
        </x:is>
      </x:c>
      <x:c r="C845" s="79" t="inlineStr">
        <x:is>
          <x:t xml:space="preserve">Bachelor's</x:t>
        </x:is>
      </x:c>
      <x:c r="D845" s="79" t="n">
        <x:v>7</x:v>
      </x:c>
      <x:c r="E845" s="80" t="n">
        <x:v>100000</x:v>
      </x:c>
      <x:c r="F845" s="79" t="inlineStr">
        <x:is>
          <x:t xml:space="preserve">2026-06-16</x:t>
        </x:is>
      </x:c>
      <x:c r="G845" s="7" t="n"/>
      <x:c r="H845" s="7" t="n"/>
      <x:c r="I845" s="7" t="n"/>
      <x:c r="J845" s="7" t="n"/>
      <x:c r="K845" s="7" t="n"/>
      <x:c r="L845" s="7" t="n"/>
      <x:c r="M845" s="7" t="n"/>
      <x:c r="N845" s="7" t="n"/>
      <x:c r="O845" s="7" t="n"/>
      <x:c r="P845" s="7" t="n"/>
      <x:c r="Q845" s="7" t="n"/>
      <x:c r="R845" s="7" t="n"/>
      <x:c r="S845" s="7" t="n"/>
      <x:c r="T845" s="7" t="n"/>
      <x:c r="U845" s="7" t="n"/>
      <x:c r="V845" s="7" t="n"/>
      <x:c r="W845" s="7" t="n"/>
      <x:c r="X845" s="7" t="n"/>
      <x:c r="Y845" s="7" t="n"/>
      <x:c r="Z845" s="7" t="n"/>
      <x:c r="AA845" s="7" t="n"/>
      <x:c r="AB845" s="7" t="n"/>
    </x:row>
    <x:row r="846" ht="20" customHeight="1">
      <x:c r="A846" s="79" t="inlineStr">
        <x:is>
          <x:t xml:space="preserve">New Trier Township High School District 203</x:t>
        </x:is>
      </x:c>
      <x:c r="B846" s="79" t="inlineStr">
        <x:is>
          <x:t xml:space="preserve">IL</x:t>
        </x:is>
      </x:c>
      <x:c r="C846" s="79" t="inlineStr">
        <x:is>
          <x:t xml:space="preserve">Bachelor's</x:t>
        </x:is>
      </x:c>
      <x:c r="D846" s="79" t="n">
        <x:v>8</x:v>
      </x:c>
      <x:c r="E846" s="80" t="n">
        <x:v>105000</x:v>
      </x:c>
      <x:c r="F846" s="79" t="inlineStr">
        <x:is>
          <x:t xml:space="preserve">2026-06-16</x:t>
        </x:is>
      </x:c>
      <x:c r="G846" s="7" t="n"/>
      <x:c r="H846" s="7" t="n"/>
      <x:c r="I846" s="7" t="n"/>
      <x:c r="J846" s="7" t="n"/>
      <x:c r="K846" s="7" t="n"/>
      <x:c r="L846" s="7" t="n"/>
      <x:c r="M846" s="7" t="n"/>
      <x:c r="N846" s="7" t="n"/>
      <x:c r="O846" s="7" t="n"/>
      <x:c r="P846" s="7" t="n"/>
      <x:c r="Q846" s="7" t="n"/>
      <x:c r="R846" s="7" t="n"/>
      <x:c r="S846" s="7" t="n"/>
      <x:c r="T846" s="7" t="n"/>
      <x:c r="U846" s="7" t="n"/>
      <x:c r="V846" s="7" t="n"/>
      <x:c r="W846" s="7" t="n"/>
      <x:c r="X846" s="7" t="n"/>
      <x:c r="Y846" s="7" t="n"/>
      <x:c r="Z846" s="7" t="n"/>
      <x:c r="AA846" s="7" t="n"/>
      <x:c r="AB846" s="7" t="n"/>
    </x:row>
    <x:row r="847" ht="20" customHeight="1">
      <x:c r="A847" s="79" t="inlineStr">
        <x:is>
          <x:t xml:space="preserve">New Trier Township High School District 203</x:t>
        </x:is>
      </x:c>
      <x:c r="B847" s="79" t="inlineStr">
        <x:is>
          <x:t xml:space="preserve">IL</x:t>
        </x:is>
      </x:c>
      <x:c r="C847" s="79" t="inlineStr">
        <x:is>
          <x:t xml:space="preserve">Bachelor's</x:t>
        </x:is>
      </x:c>
      <x:c r="D847" s="79" t="n">
        <x:v>9</x:v>
      </x:c>
      <x:c r="E847" s="80" t="n">
        <x:v>110000</x:v>
      </x:c>
      <x:c r="F847" s="79" t="inlineStr">
        <x:is>
          <x:t xml:space="preserve">2026-06-16</x:t>
        </x:is>
      </x:c>
      <x:c r="G847" s="7" t="n"/>
      <x:c r="H847" s="7" t="n"/>
      <x:c r="I847" s="7" t="n"/>
      <x:c r="J847" s="7" t="n"/>
      <x:c r="K847" s="7" t="n"/>
      <x:c r="L847" s="7" t="n"/>
      <x:c r="M847" s="7" t="n"/>
      <x:c r="N847" s="7" t="n"/>
      <x:c r="O847" s="7" t="n"/>
      <x:c r="P847" s="7" t="n"/>
      <x:c r="Q847" s="7" t="n"/>
      <x:c r="R847" s="7" t="n"/>
      <x:c r="S847" s="7" t="n"/>
      <x:c r="T847" s="7" t="n"/>
      <x:c r="U847" s="7" t="n"/>
      <x:c r="V847" s="7" t="n"/>
      <x:c r="W847" s="7" t="n"/>
      <x:c r="X847" s="7" t="n"/>
      <x:c r="Y847" s="7" t="n"/>
      <x:c r="Z847" s="7" t="n"/>
      <x:c r="AA847" s="7" t="n"/>
      <x:c r="AB847" s="7" t="n"/>
    </x:row>
    <x:row r="848" ht="20" customHeight="1">
      <x:c r="A848" s="79" t="inlineStr">
        <x:is>
          <x:t xml:space="preserve">New Trier Township High School District 203</x:t>
        </x:is>
      </x:c>
      <x:c r="B848" s="79" t="inlineStr">
        <x:is>
          <x:t xml:space="preserve">IL</x:t>
        </x:is>
      </x:c>
      <x:c r="C848" s="79" t="inlineStr">
        <x:is>
          <x:t xml:space="preserve">Bachelor's</x:t>
        </x:is>
      </x:c>
      <x:c r="D848" s="79" t="n">
        <x:v>10</x:v>
      </x:c>
      <x:c r="E848" s="80" t="n">
        <x:v>115000</x:v>
      </x:c>
      <x:c r="F848" s="79" t="inlineStr">
        <x:is>
          <x:t xml:space="preserve">2026-06-16</x:t>
        </x:is>
      </x:c>
      <x:c r="G848" s="7" t="n"/>
      <x:c r="H848" s="7" t="n"/>
      <x:c r="I848" s="7" t="n"/>
      <x:c r="J848" s="7" t="n"/>
      <x:c r="K848" s="7" t="n"/>
      <x:c r="L848" s="7" t="n"/>
      <x:c r="M848" s="7" t="n"/>
      <x:c r="N848" s="7" t="n"/>
      <x:c r="O848" s="7" t="n"/>
      <x:c r="P848" s="7" t="n"/>
      <x:c r="Q848" s="7" t="n"/>
      <x:c r="R848" s="7" t="n"/>
      <x:c r="S848" s="7" t="n"/>
      <x:c r="T848" s="7" t="n"/>
      <x:c r="U848" s="7" t="n"/>
      <x:c r="V848" s="7" t="n"/>
      <x:c r="W848" s="7" t="n"/>
      <x:c r="X848" s="7" t="n"/>
      <x:c r="Y848" s="7" t="n"/>
      <x:c r="Z848" s="7" t="n"/>
      <x:c r="AA848" s="7" t="n"/>
      <x:c r="AB848" s="7" t="n"/>
    </x:row>
    <x:row r="849" ht="20" customHeight="1">
      <x:c r="A849" s="79" t="inlineStr">
        <x:is>
          <x:t xml:space="preserve">New Trier Township High School District 203</x:t>
        </x:is>
      </x:c>
      <x:c r="B849" s="79" t="inlineStr">
        <x:is>
          <x:t xml:space="preserve">IL</x:t>
        </x:is>
      </x:c>
      <x:c r="C849" s="79" t="inlineStr">
        <x:is>
          <x:t xml:space="preserve">Master's</x:t>
        </x:is>
      </x:c>
      <x:c r="D849" s="79" t="n">
        <x:v>0</x:v>
      </x:c>
      <x:c r="E849" s="80" t="n">
        <x:v>86000</x:v>
      </x:c>
      <x:c r="F849" s="79" t="inlineStr">
        <x:is>
          <x:t xml:space="preserve">2026-06-16</x:t>
        </x:is>
      </x:c>
      <x:c r="G849" s="7" t="n"/>
      <x:c r="H849" s="7" t="n"/>
      <x:c r="I849" s="7" t="n"/>
      <x:c r="J849" s="7" t="n"/>
      <x:c r="K849" s="7" t="n"/>
      <x:c r="L849" s="7" t="n"/>
      <x:c r="M849" s="7" t="n"/>
      <x:c r="N849" s="7" t="n"/>
      <x:c r="O849" s="7" t="n"/>
      <x:c r="P849" s="7" t="n"/>
      <x:c r="Q849" s="7" t="n"/>
      <x:c r="R849" s="7" t="n"/>
      <x:c r="S849" s="7" t="n"/>
      <x:c r="T849" s="7" t="n"/>
      <x:c r="U849" s="7" t="n"/>
      <x:c r="V849" s="7" t="n"/>
      <x:c r="W849" s="7" t="n"/>
      <x:c r="X849" s="7" t="n"/>
      <x:c r="Y849" s="7" t="n"/>
      <x:c r="Z849" s="7" t="n"/>
      <x:c r="AA849" s="7" t="n"/>
      <x:c r="AB849" s="7" t="n"/>
    </x:row>
    <x:row r="850" ht="20" customHeight="1">
      <x:c r="A850" s="79" t="inlineStr">
        <x:is>
          <x:t xml:space="preserve">New Trier Township High School District 203</x:t>
        </x:is>
      </x:c>
      <x:c r="B850" s="79" t="inlineStr">
        <x:is>
          <x:t xml:space="preserve">IL</x:t>
        </x:is>
      </x:c>
      <x:c r="C850" s="79" t="inlineStr">
        <x:is>
          <x:t xml:space="preserve">Master's</x:t>
        </x:is>
      </x:c>
      <x:c r="D850" s="79" t="n">
        <x:v>1</x:v>
      </x:c>
      <x:c r="E850" s="80" t="n">
        <x:v>89500</x:v>
      </x:c>
      <x:c r="F850" s="79" t="inlineStr">
        <x:is>
          <x:t xml:space="preserve">2026-06-16</x:t>
        </x:is>
      </x:c>
      <x:c r="G850" s="7" t="n"/>
      <x:c r="H850" s="7" t="n"/>
      <x:c r="I850" s="7" t="n"/>
      <x:c r="J850" s="7" t="n"/>
      <x:c r="K850" s="7" t="n"/>
      <x:c r="L850" s="7" t="n"/>
      <x:c r="M850" s="7" t="n"/>
      <x:c r="N850" s="7" t="n"/>
      <x:c r="O850" s="7" t="n"/>
      <x:c r="P850" s="7" t="n"/>
      <x:c r="Q850" s="7" t="n"/>
      <x:c r="R850" s="7" t="n"/>
      <x:c r="S850" s="7" t="n"/>
      <x:c r="T850" s="7" t="n"/>
      <x:c r="U850" s="7" t="n"/>
      <x:c r="V850" s="7" t="n"/>
      <x:c r="W850" s="7" t="n"/>
      <x:c r="X850" s="7" t="n"/>
      <x:c r="Y850" s="7" t="n"/>
      <x:c r="Z850" s="7" t="n"/>
      <x:c r="AA850" s="7" t="n"/>
      <x:c r="AB850" s="7" t="n"/>
    </x:row>
    <x:row r="851" ht="20" customHeight="1">
      <x:c r="A851" s="79" t="inlineStr">
        <x:is>
          <x:t xml:space="preserve">New Trier Township High School District 203</x:t>
        </x:is>
      </x:c>
      <x:c r="B851" s="79" t="inlineStr">
        <x:is>
          <x:t xml:space="preserve">IL</x:t>
        </x:is>
      </x:c>
      <x:c r="C851" s="79" t="inlineStr">
        <x:is>
          <x:t xml:space="preserve">Master's</x:t>
        </x:is>
      </x:c>
      <x:c r="D851" s="79" t="n">
        <x:v>2</x:v>
      </x:c>
      <x:c r="E851" s="80" t="n">
        <x:v>93000</x:v>
      </x:c>
      <x:c r="F851" s="79" t="inlineStr">
        <x:is>
          <x:t xml:space="preserve">2026-06-16</x:t>
        </x:is>
      </x:c>
      <x:c r="G851" s="7" t="n"/>
      <x:c r="H851" s="7" t="n"/>
      <x:c r="I851" s="7" t="n"/>
      <x:c r="J851" s="7" t="n"/>
      <x:c r="K851" s="7" t="n"/>
      <x:c r="L851" s="7" t="n"/>
      <x:c r="M851" s="7" t="n"/>
      <x:c r="N851" s="7" t="n"/>
      <x:c r="O851" s="7" t="n"/>
      <x:c r="P851" s="7" t="n"/>
      <x:c r="Q851" s="7" t="n"/>
      <x:c r="R851" s="7" t="n"/>
      <x:c r="S851" s="7" t="n"/>
      <x:c r="T851" s="7" t="n"/>
      <x:c r="U851" s="7" t="n"/>
      <x:c r="V851" s="7" t="n"/>
      <x:c r="W851" s="7" t="n"/>
      <x:c r="X851" s="7" t="n"/>
      <x:c r="Y851" s="7" t="n"/>
      <x:c r="Z851" s="7" t="n"/>
      <x:c r="AA851" s="7" t="n"/>
      <x:c r="AB851" s="7" t="n"/>
    </x:row>
    <x:row r="852" ht="20" customHeight="1">
      <x:c r="A852" s="79" t="inlineStr">
        <x:is>
          <x:t xml:space="preserve">New Trier Township High School District 203</x:t>
        </x:is>
      </x:c>
      <x:c r="B852" s="79" t="inlineStr">
        <x:is>
          <x:t xml:space="preserve">IL</x:t>
        </x:is>
      </x:c>
      <x:c r="C852" s="79" t="inlineStr">
        <x:is>
          <x:t xml:space="preserve">Master's</x:t>
        </x:is>
      </x:c>
      <x:c r="D852" s="79" t="n">
        <x:v>3</x:v>
      </x:c>
      <x:c r="E852" s="80" t="n">
        <x:v>96500</x:v>
      </x:c>
      <x:c r="F852" s="79" t="inlineStr">
        <x:is>
          <x:t xml:space="preserve">2026-06-16</x:t>
        </x:is>
      </x:c>
      <x:c r="G852" s="7" t="n"/>
      <x:c r="H852" s="7" t="n"/>
      <x:c r="I852" s="7" t="n"/>
      <x:c r="J852" s="7" t="n"/>
      <x:c r="K852" s="7" t="n"/>
      <x:c r="L852" s="7" t="n"/>
      <x:c r="M852" s="7" t="n"/>
      <x:c r="N852" s="7" t="n"/>
      <x:c r="O852" s="7" t="n"/>
      <x:c r="P852" s="7" t="n"/>
      <x:c r="Q852" s="7" t="n"/>
      <x:c r="R852" s="7" t="n"/>
      <x:c r="S852" s="7" t="n"/>
      <x:c r="T852" s="7" t="n"/>
      <x:c r="U852" s="7" t="n"/>
      <x:c r="V852" s="7" t="n"/>
      <x:c r="W852" s="7" t="n"/>
      <x:c r="X852" s="7" t="n"/>
      <x:c r="Y852" s="7" t="n"/>
      <x:c r="Z852" s="7" t="n"/>
      <x:c r="AA852" s="7" t="n"/>
      <x:c r="AB852" s="7" t="n"/>
    </x:row>
    <x:row r="853" ht="20" customHeight="1">
      <x:c r="A853" s="79" t="inlineStr">
        <x:is>
          <x:t xml:space="preserve">New Trier Township High School District 203</x:t>
        </x:is>
      </x:c>
      <x:c r="B853" s="79" t="inlineStr">
        <x:is>
          <x:t xml:space="preserve">IL</x:t>
        </x:is>
      </x:c>
      <x:c r="C853" s="79" t="inlineStr">
        <x:is>
          <x:t xml:space="preserve">Master's</x:t>
        </x:is>
      </x:c>
      <x:c r="D853" s="79" t="n">
        <x:v>4</x:v>
      </x:c>
      <x:c r="E853" s="80" t="n">
        <x:v>100000</x:v>
      </x:c>
      <x:c r="F853" s="79" t="inlineStr">
        <x:is>
          <x:t xml:space="preserve">2026-06-16</x:t>
        </x:is>
      </x:c>
      <x:c r="G853" s="7" t="n"/>
      <x:c r="H853" s="7" t="n"/>
      <x:c r="I853" s="7" t="n"/>
      <x:c r="J853" s="7" t="n"/>
      <x:c r="K853" s="7" t="n"/>
      <x:c r="L853" s="7" t="n"/>
      <x:c r="M853" s="7" t="n"/>
      <x:c r="N853" s="7" t="n"/>
      <x:c r="O853" s="7" t="n"/>
      <x:c r="P853" s="7" t="n"/>
      <x:c r="Q853" s="7" t="n"/>
      <x:c r="R853" s="7" t="n"/>
      <x:c r="S853" s="7" t="n"/>
      <x:c r="T853" s="7" t="n"/>
      <x:c r="U853" s="7" t="n"/>
      <x:c r="V853" s="7" t="n"/>
      <x:c r="W853" s="7" t="n"/>
      <x:c r="X853" s="7" t="n"/>
      <x:c r="Y853" s="7" t="n"/>
      <x:c r="Z853" s="7" t="n"/>
      <x:c r="AA853" s="7" t="n"/>
      <x:c r="AB853" s="7" t="n"/>
    </x:row>
    <x:row r="854" ht="20" customHeight="1">
      <x:c r="A854" s="79" t="inlineStr">
        <x:is>
          <x:t xml:space="preserve">New Trier Township High School District 203</x:t>
        </x:is>
      </x:c>
      <x:c r="B854" s="79" t="inlineStr">
        <x:is>
          <x:t xml:space="preserve">IL</x:t>
        </x:is>
      </x:c>
      <x:c r="C854" s="79" t="inlineStr">
        <x:is>
          <x:t xml:space="preserve">Master's</x:t>
        </x:is>
      </x:c>
      <x:c r="D854" s="79" t="n">
        <x:v>5</x:v>
      </x:c>
      <x:c r="E854" s="80" t="n">
        <x:v>105000</x:v>
      </x:c>
      <x:c r="F854" s="79" t="inlineStr">
        <x:is>
          <x:t xml:space="preserve">2026-06-16</x:t>
        </x:is>
      </x:c>
      <x:c r="G854" s="7" t="n"/>
      <x:c r="H854" s="7" t="n"/>
      <x:c r="I854" s="7" t="n"/>
      <x:c r="J854" s="7" t="n"/>
      <x:c r="K854" s="7" t="n"/>
      <x:c r="L854" s="7" t="n"/>
      <x:c r="M854" s="7" t="n"/>
      <x:c r="N854" s="7" t="n"/>
      <x:c r="O854" s="7" t="n"/>
      <x:c r="P854" s="7" t="n"/>
      <x:c r="Q854" s="7" t="n"/>
      <x:c r="R854" s="7" t="n"/>
      <x:c r="S854" s="7" t="n"/>
      <x:c r="T854" s="7" t="n"/>
      <x:c r="U854" s="7" t="n"/>
      <x:c r="V854" s="7" t="n"/>
      <x:c r="W854" s="7" t="n"/>
      <x:c r="X854" s="7" t="n"/>
      <x:c r="Y854" s="7" t="n"/>
      <x:c r="Z854" s="7" t="n"/>
      <x:c r="AA854" s="7" t="n"/>
      <x:c r="AB854" s="7" t="n"/>
    </x:row>
    <x:row r="855" ht="20" customHeight="1">
      <x:c r="A855" s="79" t="inlineStr">
        <x:is>
          <x:t xml:space="preserve">New Trier Township High School District 203</x:t>
        </x:is>
      </x:c>
      <x:c r="B855" s="79" t="inlineStr">
        <x:is>
          <x:t xml:space="preserve">IL</x:t>
        </x:is>
      </x:c>
      <x:c r="C855" s="79" t="inlineStr">
        <x:is>
          <x:t xml:space="preserve">Master's</x:t>
        </x:is>
      </x:c>
      <x:c r="D855" s="79" t="n">
        <x:v>6</x:v>
      </x:c>
      <x:c r="E855" s="80" t="n">
        <x:v>110000</x:v>
      </x:c>
      <x:c r="F855" s="79" t="inlineStr">
        <x:is>
          <x:t xml:space="preserve">2026-06-16</x:t>
        </x:is>
      </x:c>
      <x:c r="G855" s="7" t="n"/>
      <x:c r="H855" s="7" t="n"/>
      <x:c r="I855" s="7" t="n"/>
      <x:c r="J855" s="7" t="n"/>
      <x:c r="K855" s="7" t="n"/>
      <x:c r="L855" s="7" t="n"/>
      <x:c r="M855" s="7" t="n"/>
      <x:c r="N855" s="7" t="n"/>
      <x:c r="O855" s="7" t="n"/>
      <x:c r="P855" s="7" t="n"/>
      <x:c r="Q855" s="7" t="n"/>
      <x:c r="R855" s="7" t="n"/>
      <x:c r="S855" s="7" t="n"/>
      <x:c r="T855" s="7" t="n"/>
      <x:c r="U855" s="7" t="n"/>
      <x:c r="V855" s="7" t="n"/>
      <x:c r="W855" s="7" t="n"/>
      <x:c r="X855" s="7" t="n"/>
      <x:c r="Y855" s="7" t="n"/>
      <x:c r="Z855" s="7" t="n"/>
      <x:c r="AA855" s="7" t="n"/>
      <x:c r="AB855" s="7" t="n"/>
    </x:row>
    <x:row r="856" ht="20" customHeight="1">
      <x:c r="A856" s="79" t="inlineStr">
        <x:is>
          <x:t xml:space="preserve">New Trier Township High School District 203</x:t>
        </x:is>
      </x:c>
      <x:c r="B856" s="79" t="inlineStr">
        <x:is>
          <x:t xml:space="preserve">IL</x:t>
        </x:is>
      </x:c>
      <x:c r="C856" s="79" t="inlineStr">
        <x:is>
          <x:t xml:space="preserve">Master's</x:t>
        </x:is>
      </x:c>
      <x:c r="D856" s="79" t="n">
        <x:v>7</x:v>
      </x:c>
      <x:c r="E856" s="80" t="n">
        <x:v>115000</x:v>
      </x:c>
      <x:c r="F856" s="79" t="inlineStr">
        <x:is>
          <x:t xml:space="preserve">2026-06-16</x:t>
        </x:is>
      </x:c>
      <x:c r="G856" s="7" t="n"/>
      <x:c r="H856" s="7" t="n"/>
      <x:c r="I856" s="7" t="n"/>
      <x:c r="J856" s="7" t="n"/>
      <x:c r="K856" s="7" t="n"/>
      <x:c r="L856" s="7" t="n"/>
      <x:c r="M856" s="7" t="n"/>
      <x:c r="N856" s="7" t="n"/>
      <x:c r="O856" s="7" t="n"/>
      <x:c r="P856" s="7" t="n"/>
      <x:c r="Q856" s="7" t="n"/>
      <x:c r="R856" s="7" t="n"/>
      <x:c r="S856" s="7" t="n"/>
      <x:c r="T856" s="7" t="n"/>
      <x:c r="U856" s="7" t="n"/>
      <x:c r="V856" s="7" t="n"/>
      <x:c r="W856" s="7" t="n"/>
      <x:c r="X856" s="7" t="n"/>
      <x:c r="Y856" s="7" t="n"/>
      <x:c r="Z856" s="7" t="n"/>
      <x:c r="AA856" s="7" t="n"/>
      <x:c r="AB856" s="7" t="n"/>
    </x:row>
    <x:row r="857" ht="20" customHeight="1">
      <x:c r="A857" s="79" t="inlineStr">
        <x:is>
          <x:t xml:space="preserve">New Trier Township High School District 203</x:t>
        </x:is>
      </x:c>
      <x:c r="B857" s="79" t="inlineStr">
        <x:is>
          <x:t xml:space="preserve">IL</x:t>
        </x:is>
      </x:c>
      <x:c r="C857" s="79" t="inlineStr">
        <x:is>
          <x:t xml:space="preserve">Master's</x:t>
        </x:is>
      </x:c>
      <x:c r="D857" s="79" t="n">
        <x:v>8</x:v>
      </x:c>
      <x:c r="E857" s="80" t="n">
        <x:v>120000</x:v>
      </x:c>
      <x:c r="F857" s="79" t="inlineStr">
        <x:is>
          <x:t xml:space="preserve">2026-06-16</x:t>
        </x:is>
      </x:c>
      <x:c r="G857" s="7" t="n"/>
      <x:c r="H857" s="7" t="n"/>
      <x:c r="I857" s="7" t="n"/>
      <x:c r="J857" s="7" t="n"/>
      <x:c r="K857" s="7" t="n"/>
      <x:c r="L857" s="7" t="n"/>
      <x:c r="M857" s="7" t="n"/>
      <x:c r="N857" s="7" t="n"/>
      <x:c r="O857" s="7" t="n"/>
      <x:c r="P857" s="7" t="n"/>
      <x:c r="Q857" s="7" t="n"/>
      <x:c r="R857" s="7" t="n"/>
      <x:c r="S857" s="7" t="n"/>
      <x:c r="T857" s="7" t="n"/>
      <x:c r="U857" s="7" t="n"/>
      <x:c r="V857" s="7" t="n"/>
      <x:c r="W857" s="7" t="n"/>
      <x:c r="X857" s="7" t="n"/>
      <x:c r="Y857" s="7" t="n"/>
      <x:c r="Z857" s="7" t="n"/>
      <x:c r="AA857" s="7" t="n"/>
      <x:c r="AB857" s="7" t="n"/>
    </x:row>
    <x:row r="858" ht="20" customHeight="1">
      <x:c r="A858" s="79" t="inlineStr">
        <x:is>
          <x:t xml:space="preserve">New Trier Township High School District 203</x:t>
        </x:is>
      </x:c>
      <x:c r="B858" s="79" t="inlineStr">
        <x:is>
          <x:t xml:space="preserve">IL</x:t>
        </x:is>
      </x:c>
      <x:c r="C858" s="79" t="inlineStr">
        <x:is>
          <x:t xml:space="preserve">Master's</x:t>
        </x:is>
      </x:c>
      <x:c r="D858" s="79" t="n">
        <x:v>9</x:v>
      </x:c>
      <x:c r="E858" s="80" t="n">
        <x:v>125000</x:v>
      </x:c>
      <x:c r="F858" s="79" t="inlineStr">
        <x:is>
          <x:t xml:space="preserve">2026-06-16</x:t>
        </x:is>
      </x:c>
      <x:c r="G858" s="7" t="n"/>
      <x:c r="H858" s="7" t="n"/>
      <x:c r="I858" s="7" t="n"/>
      <x:c r="J858" s="7" t="n"/>
      <x:c r="K858" s="7" t="n"/>
      <x:c r="L858" s="7" t="n"/>
      <x:c r="M858" s="7" t="n"/>
      <x:c r="N858" s="7" t="n"/>
      <x:c r="O858" s="7" t="n"/>
      <x:c r="P858" s="7" t="n"/>
      <x:c r="Q858" s="7" t="n"/>
      <x:c r="R858" s="7" t="n"/>
      <x:c r="S858" s="7" t="n"/>
      <x:c r="T858" s="7" t="n"/>
      <x:c r="U858" s="7" t="n"/>
      <x:c r="V858" s="7" t="n"/>
      <x:c r="W858" s="7" t="n"/>
      <x:c r="X858" s="7" t="n"/>
      <x:c r="Y858" s="7" t="n"/>
      <x:c r="Z858" s="7" t="n"/>
      <x:c r="AA858" s="7" t="n"/>
      <x:c r="AB858" s="7" t="n"/>
    </x:row>
    <x:row r="859" ht="20" customHeight="1">
      <x:c r="A859" s="79" t="inlineStr">
        <x:is>
          <x:t xml:space="preserve">New Trier Township High School District 203</x:t>
        </x:is>
      </x:c>
      <x:c r="B859" s="79" t="inlineStr">
        <x:is>
          <x:t xml:space="preserve">IL</x:t>
        </x:is>
      </x:c>
      <x:c r="C859" s="79" t="inlineStr">
        <x:is>
          <x:t xml:space="preserve">Master's</x:t>
        </x:is>
      </x:c>
      <x:c r="D859" s="79" t="n">
        <x:v>10</x:v>
      </x:c>
      <x:c r="E859" s="80" t="n">
        <x:v>130000</x:v>
      </x:c>
      <x:c r="F859" s="79" t="inlineStr">
        <x:is>
          <x:t xml:space="preserve">2026-06-16</x:t>
        </x:is>
      </x:c>
      <x:c r="G859" s="7" t="n"/>
      <x:c r="H859" s="7" t="n"/>
      <x:c r="I859" s="7" t="n"/>
      <x:c r="J859" s="7" t="n"/>
      <x:c r="K859" s="7" t="n"/>
      <x:c r="L859" s="7" t="n"/>
      <x:c r="M859" s="7" t="n"/>
      <x:c r="N859" s="7" t="n"/>
      <x:c r="O859" s="7" t="n"/>
      <x:c r="P859" s="7" t="n"/>
      <x:c r="Q859" s="7" t="n"/>
      <x:c r="R859" s="7" t="n"/>
      <x:c r="S859" s="7" t="n"/>
      <x:c r="T859" s="7" t="n"/>
      <x:c r="U859" s="7" t="n"/>
      <x:c r="V859" s="7" t="n"/>
      <x:c r="W859" s="7" t="n"/>
      <x:c r="X859" s="7" t="n"/>
      <x:c r="Y859" s="7" t="n"/>
      <x:c r="Z859" s="7" t="n"/>
      <x:c r="AA859" s="7" t="n"/>
      <x:c r="AB859" s="7" t="n"/>
    </x:row>
    <x:row r="860" ht="20" customHeight="1">
      <x:c r="A860" s="12" t="inlineStr">
        <x:is>
          <x:t xml:space="preserve">North Clackamas School District</x:t>
        </x:is>
      </x:c>
      <x:c r="B860" s="12" t="inlineStr">
        <x:is>
          <x:t xml:space="preserve">OR</x:t>
        </x:is>
      </x:c>
      <x:c r="C860" s="12" t="inlineStr">
        <x:is>
          <x:t xml:space="preserve">Bachelor's</x:t>
        </x:is>
      </x:c>
      <x:c r="D860" s="13" t="n">
        <x:v>0</x:v>
      </x:c>
      <x:c r="E860" s="14" t="n">
        <x:v>58788</x:v>
      </x:c>
      <x:c r="F860" s="83" t="inlineStr">
        <x:is>
          <x:t xml:space="preserve">2026-06-11</x:t>
        </x:is>
      </x:c>
      <x:c r="G860" s="7" t="n"/>
      <x:c r="H860" s="7" t="n"/>
      <x:c r="I860" s="7" t="n"/>
      <x:c r="J860" s="7" t="n"/>
      <x:c r="K860" s="7" t="n"/>
      <x:c r="L860" s="7" t="n"/>
      <x:c r="M860" s="7" t="n"/>
      <x:c r="N860" s="7" t="n"/>
      <x:c r="O860" s="7" t="n"/>
      <x:c r="P860" s="7" t="n"/>
      <x:c r="Q860" s="7" t="n"/>
      <x:c r="R860" s="7" t="n"/>
      <x:c r="S860" s="7" t="n"/>
      <x:c r="T860" s="7" t="n"/>
      <x:c r="U860" s="7" t="n"/>
      <x:c r="V860" s="7" t="n"/>
      <x:c r="W860" s="7" t="n"/>
      <x:c r="X860" s="7" t="n"/>
      <x:c r="Y860" s="7" t="n"/>
      <x:c r="Z860" s="7" t="n"/>
      <x:c r="AA860" s="7" t="n"/>
      <x:c r="AB860" s="7" t="n"/>
    </x:row>
    <x:row r="861" ht="20" customHeight="1">
      <x:c r="A861" s="12" t="inlineStr">
        <x:is>
          <x:t xml:space="preserve">North Clackamas School District</x:t>
        </x:is>
      </x:c>
      <x:c r="B861" s="12" t="inlineStr">
        <x:is>
          <x:t xml:space="preserve">OR</x:t>
        </x:is>
      </x:c>
      <x:c r="C861" s="12" t="inlineStr">
        <x:is>
          <x:t xml:space="preserve">Bachelor's</x:t>
        </x:is>
      </x:c>
      <x:c r="D861" s="13" t="n">
        <x:v>1</x:v>
      </x:c>
      <x:c r="E861" s="14" t="n">
        <x:v>60842</x:v>
      </x:c>
      <x:c r="F861" s="83" t="inlineStr">
        <x:is>
          <x:t xml:space="preserve">2026-06-11</x:t>
        </x:is>
      </x:c>
      <x:c r="G861" s="7" t="n"/>
      <x:c r="H861" s="7" t="n"/>
      <x:c r="I861" s="7" t="n"/>
      <x:c r="J861" s="7" t="n"/>
      <x:c r="K861" s="7" t="n"/>
      <x:c r="L861" s="7" t="n"/>
      <x:c r="M861" s="7" t="n"/>
      <x:c r="N861" s="7" t="n"/>
      <x:c r="O861" s="7" t="n"/>
      <x:c r="P861" s="7" t="n"/>
      <x:c r="Q861" s="7" t="n"/>
      <x:c r="R861" s="7" t="n"/>
      <x:c r="S861" s="7" t="n"/>
      <x:c r="T861" s="7" t="n"/>
      <x:c r="U861" s="7" t="n"/>
      <x:c r="V861" s="7" t="n"/>
      <x:c r="W861" s="7" t="n"/>
      <x:c r="X861" s="7" t="n"/>
      <x:c r="Y861" s="7" t="n"/>
      <x:c r="Z861" s="7" t="n"/>
      <x:c r="AA861" s="7" t="n"/>
      <x:c r="AB861" s="7" t="n"/>
    </x:row>
    <x:row r="862" ht="20" customHeight="1">
      <x:c r="A862" s="12" t="inlineStr">
        <x:is>
          <x:t xml:space="preserve">North Clackamas School District</x:t>
        </x:is>
      </x:c>
      <x:c r="B862" s="12" t="inlineStr">
        <x:is>
          <x:t xml:space="preserve">OR</x:t>
        </x:is>
      </x:c>
      <x:c r="C862" s="12" t="inlineStr">
        <x:is>
          <x:t xml:space="preserve">Bachelor's</x:t>
        </x:is>
      </x:c>
      <x:c r="D862" s="13" t="n">
        <x:v>2</x:v>
      </x:c>
      <x:c r="E862" s="14" t="n">
        <x:v>62975</x:v>
      </x:c>
      <x:c r="F862" s="83" t="inlineStr">
        <x:is>
          <x:t xml:space="preserve">2026-06-11</x:t>
        </x:is>
      </x:c>
      <x:c r="G862" s="7" t="n"/>
      <x:c r="H862" s="7" t="n"/>
      <x:c r="I862" s="7" t="n"/>
      <x:c r="J862" s="7" t="n"/>
      <x:c r="K862" s="7" t="n"/>
      <x:c r="L862" s="7" t="n"/>
      <x:c r="M862" s="7" t="n"/>
      <x:c r="N862" s="7" t="n"/>
      <x:c r="O862" s="7" t="n"/>
      <x:c r="P862" s="7" t="n"/>
      <x:c r="Q862" s="7" t="n"/>
      <x:c r="R862" s="7" t="n"/>
      <x:c r="S862" s="7" t="n"/>
      <x:c r="T862" s="7" t="n"/>
      <x:c r="U862" s="7" t="n"/>
      <x:c r="V862" s="7" t="n"/>
      <x:c r="W862" s="7" t="n"/>
      <x:c r="X862" s="7" t="n"/>
      <x:c r="Y862" s="7" t="n"/>
      <x:c r="Z862" s="7" t="n"/>
      <x:c r="AA862" s="7" t="n"/>
      <x:c r="AB862" s="7" t="n"/>
    </x:row>
    <x:row r="863" ht="20" customHeight="1">
      <x:c r="A863" s="12" t="inlineStr">
        <x:is>
          <x:t xml:space="preserve">North Clackamas School District</x:t>
        </x:is>
      </x:c>
      <x:c r="B863" s="12" t="inlineStr">
        <x:is>
          <x:t xml:space="preserve">OR</x:t>
        </x:is>
      </x:c>
      <x:c r="C863" s="12" t="inlineStr">
        <x:is>
          <x:t xml:space="preserve">Bachelor's</x:t>
        </x:is>
      </x:c>
      <x:c r="D863" s="13" t="n">
        <x:v>3</x:v>
      </x:c>
      <x:c r="E863" s="14" t="n">
        <x:v>65181</x:v>
      </x:c>
      <x:c r="F863" s="83" t="inlineStr">
        <x:is>
          <x:t xml:space="preserve">2026-06-11</x:t>
        </x:is>
      </x:c>
      <x:c r="G863" s="7" t="n"/>
      <x:c r="H863" s="7" t="n"/>
      <x:c r="I863" s="7" t="n"/>
      <x:c r="J863" s="7" t="n"/>
      <x:c r="K863" s="7" t="n"/>
      <x:c r="L863" s="7" t="n"/>
      <x:c r="M863" s="7" t="n"/>
      <x:c r="N863" s="7" t="n"/>
      <x:c r="O863" s="7" t="n"/>
      <x:c r="P863" s="7" t="n"/>
      <x:c r="Q863" s="7" t="n"/>
      <x:c r="R863" s="7" t="n"/>
      <x:c r="S863" s="7" t="n"/>
      <x:c r="T863" s="7" t="n"/>
      <x:c r="U863" s="7" t="n"/>
      <x:c r="V863" s="7" t="n"/>
      <x:c r="W863" s="7" t="n"/>
      <x:c r="X863" s="7" t="n"/>
      <x:c r="Y863" s="7" t="n"/>
      <x:c r="Z863" s="7" t="n"/>
      <x:c r="AA863" s="7" t="n"/>
      <x:c r="AB863" s="7" t="n"/>
    </x:row>
    <x:row r="864" ht="20" customHeight="1">
      <x:c r="A864" s="12" t="inlineStr">
        <x:is>
          <x:t xml:space="preserve">North Clackamas School District</x:t>
        </x:is>
      </x:c>
      <x:c r="B864" s="12" t="inlineStr">
        <x:is>
          <x:t xml:space="preserve">OR</x:t>
        </x:is>
      </x:c>
      <x:c r="C864" s="12" t="inlineStr">
        <x:is>
          <x:t xml:space="preserve">Bachelor's</x:t>
        </x:is>
      </x:c>
      <x:c r="D864" s="13" t="n">
        <x:v>4</x:v>
      </x:c>
      <x:c r="E864" s="14" t="n">
        <x:v>65181</x:v>
      </x:c>
      <x:c r="F864" s="83" t="inlineStr">
        <x:is>
          <x:t xml:space="preserve">2026-06-11</x:t>
        </x:is>
      </x:c>
      <x:c r="G864" s="7" t="n"/>
      <x:c r="H864" s="7" t="n"/>
      <x:c r="I864" s="7" t="n"/>
      <x:c r="J864" s="7" t="n"/>
      <x:c r="K864" s="7" t="n"/>
      <x:c r="L864" s="7" t="n"/>
      <x:c r="M864" s="7" t="n"/>
      <x:c r="N864" s="7" t="n"/>
      <x:c r="O864" s="7" t="n"/>
      <x:c r="P864" s="7" t="n"/>
      <x:c r="Q864" s="7" t="n"/>
      <x:c r="R864" s="7" t="n"/>
      <x:c r="S864" s="7" t="n"/>
      <x:c r="T864" s="7" t="n"/>
      <x:c r="U864" s="7" t="n"/>
      <x:c r="V864" s="7" t="n"/>
      <x:c r="W864" s="7" t="n"/>
      <x:c r="X864" s="7" t="n"/>
      <x:c r="Y864" s="7" t="n"/>
      <x:c r="Z864" s="7" t="n"/>
      <x:c r="AA864" s="7" t="n"/>
      <x:c r="AB864" s="7" t="n"/>
    </x:row>
    <x:row r="865" ht="20" customHeight="1">
      <x:c r="A865" s="12" t="inlineStr">
        <x:is>
          <x:t xml:space="preserve">North Clackamas School District</x:t>
        </x:is>
      </x:c>
      <x:c r="B865" s="12" t="inlineStr">
        <x:is>
          <x:t xml:space="preserve">OR</x:t>
        </x:is>
      </x:c>
      <x:c r="C865" s="12" t="inlineStr">
        <x:is>
          <x:t xml:space="preserve">Bachelor's</x:t>
        </x:is>
      </x:c>
      <x:c r="D865" s="13" t="n">
        <x:v>5</x:v>
      </x:c>
      <x:c r="E865" s="14" t="n">
        <x:v>67459</x:v>
      </x:c>
      <x:c r="F865" s="83" t="inlineStr">
        <x:is>
          <x:t xml:space="preserve">2026-06-11</x:t>
        </x:is>
      </x:c>
      <x:c r="G865" s="7" t="n"/>
      <x:c r="H865" s="7" t="n"/>
      <x:c r="I865" s="7" t="n"/>
      <x:c r="J865" s="7" t="n"/>
      <x:c r="K865" s="7" t="n"/>
      <x:c r="L865" s="7" t="n"/>
      <x:c r="M865" s="7" t="n"/>
      <x:c r="N865" s="7" t="n"/>
      <x:c r="O865" s="7" t="n"/>
      <x:c r="P865" s="7" t="n"/>
      <x:c r="Q865" s="7" t="n"/>
      <x:c r="R865" s="7" t="n"/>
      <x:c r="S865" s="7" t="n"/>
      <x:c r="T865" s="7" t="n"/>
      <x:c r="U865" s="7" t="n"/>
      <x:c r="V865" s="7" t="n"/>
      <x:c r="W865" s="7" t="n"/>
      <x:c r="X865" s="7" t="n"/>
      <x:c r="Y865" s="7" t="n"/>
      <x:c r="Z865" s="7" t="n"/>
      <x:c r="AA865" s="7" t="n"/>
      <x:c r="AB865" s="7" t="n"/>
    </x:row>
    <x:row r="866" ht="20" customHeight="1">
      <x:c r="A866" s="12" t="inlineStr">
        <x:is>
          <x:t xml:space="preserve">North Clackamas School District</x:t>
        </x:is>
      </x:c>
      <x:c r="B866" s="12" t="inlineStr">
        <x:is>
          <x:t xml:space="preserve">OR</x:t>
        </x:is>
      </x:c>
      <x:c r="C866" s="12" t="inlineStr">
        <x:is>
          <x:t xml:space="preserve">Bachelor's</x:t>
        </x:is>
      </x:c>
      <x:c r="D866" s="13" t="n">
        <x:v>6</x:v>
      </x:c>
      <x:c r="E866" s="14" t="n">
        <x:v>67459</x:v>
      </x:c>
      <x:c r="F866" s="83" t="inlineStr">
        <x:is>
          <x:t xml:space="preserve">2026-06-11</x:t>
        </x:is>
      </x:c>
      <x:c r="G866" s="7" t="n"/>
      <x:c r="H866" s="7" t="n"/>
      <x:c r="I866" s="7" t="n"/>
      <x:c r="J866" s="7" t="n"/>
      <x:c r="K866" s="7" t="n"/>
      <x:c r="L866" s="7" t="n"/>
      <x:c r="M866" s="7" t="n"/>
      <x:c r="N866" s="7" t="n"/>
      <x:c r="O866" s="7" t="n"/>
      <x:c r="P866" s="7" t="n"/>
      <x:c r="Q866" s="7" t="n"/>
      <x:c r="R866" s="7" t="n"/>
      <x:c r="S866" s="7" t="n"/>
      <x:c r="T866" s="7" t="n"/>
      <x:c r="U866" s="7" t="n"/>
      <x:c r="V866" s="7" t="n"/>
      <x:c r="W866" s="7" t="n"/>
      <x:c r="X866" s="7" t="n"/>
      <x:c r="Y866" s="7" t="n"/>
      <x:c r="Z866" s="7" t="n"/>
      <x:c r="AA866" s="7" t="n"/>
      <x:c r="AB866" s="7" t="n"/>
    </x:row>
    <x:row r="867" ht="20" customHeight="1">
      <x:c r="A867" s="12" t="inlineStr">
        <x:is>
          <x:t xml:space="preserve">North Clackamas School District</x:t>
        </x:is>
      </x:c>
      <x:c r="B867" s="12" t="inlineStr">
        <x:is>
          <x:t xml:space="preserve">OR</x:t>
        </x:is>
      </x:c>
      <x:c r="C867" s="12" t="inlineStr">
        <x:is>
          <x:t xml:space="preserve">Bachelor's</x:t>
        </x:is>
      </x:c>
      <x:c r="D867" s="13" t="n">
        <x:v>7</x:v>
      </x:c>
      <x:c r="E867" s="14" t="n">
        <x:v>69822</x:v>
      </x:c>
      <x:c r="F867" s="83" t="inlineStr">
        <x:is>
          <x:t xml:space="preserve">2026-06-11</x:t>
        </x:is>
      </x:c>
      <x:c r="G867" s="7" t="n"/>
      <x:c r="H867" s="7" t="n"/>
      <x:c r="I867" s="7" t="n"/>
      <x:c r="J867" s="7" t="n"/>
      <x:c r="K867" s="7" t="n"/>
      <x:c r="L867" s="7" t="n"/>
      <x:c r="M867" s="7" t="n"/>
      <x:c r="N867" s="7" t="n"/>
      <x:c r="O867" s="7" t="n"/>
      <x:c r="P867" s="7" t="n"/>
      <x:c r="Q867" s="7" t="n"/>
      <x:c r="R867" s="7" t="n"/>
      <x:c r="S867" s="7" t="n"/>
      <x:c r="T867" s="7" t="n"/>
      <x:c r="U867" s="7" t="n"/>
      <x:c r="V867" s="7" t="n"/>
      <x:c r="W867" s="7" t="n"/>
      <x:c r="X867" s="7" t="n"/>
      <x:c r="Y867" s="7" t="n"/>
      <x:c r="Z867" s="7" t="n"/>
      <x:c r="AA867" s="7" t="n"/>
      <x:c r="AB867" s="7" t="n"/>
    </x:row>
    <x:row r="868" ht="20" customHeight="1">
      <x:c r="A868" s="12" t="inlineStr">
        <x:is>
          <x:t xml:space="preserve">North Clackamas School District</x:t>
        </x:is>
      </x:c>
      <x:c r="B868" s="12" t="inlineStr">
        <x:is>
          <x:t xml:space="preserve">OR</x:t>
        </x:is>
      </x:c>
      <x:c r="C868" s="12" t="inlineStr">
        <x:is>
          <x:t xml:space="preserve">Bachelor's</x:t>
        </x:is>
      </x:c>
      <x:c r="D868" s="13" t="n">
        <x:v>8</x:v>
      </x:c>
      <x:c r="E868" s="14" t="n">
        <x:v>72264</x:v>
      </x:c>
      <x:c r="F868" s="83" t="inlineStr">
        <x:is>
          <x:t xml:space="preserve">2026-06-11</x:t>
        </x:is>
      </x:c>
      <x:c r="G868" s="7" t="n"/>
      <x:c r="H868" s="7" t="n"/>
      <x:c r="I868" s="7" t="n"/>
      <x:c r="J868" s="7" t="n"/>
      <x:c r="K868" s="7" t="n"/>
      <x:c r="L868" s="7" t="n"/>
      <x:c r="M868" s="7" t="n"/>
      <x:c r="N868" s="7" t="n"/>
      <x:c r="O868" s="7" t="n"/>
      <x:c r="P868" s="7" t="n"/>
      <x:c r="Q868" s="7" t="n"/>
      <x:c r="R868" s="7" t="n"/>
      <x:c r="S868" s="7" t="n"/>
      <x:c r="T868" s="7" t="n"/>
      <x:c r="U868" s="7" t="n"/>
      <x:c r="V868" s="7" t="n"/>
      <x:c r="W868" s="7" t="n"/>
      <x:c r="X868" s="7" t="n"/>
      <x:c r="Y868" s="7" t="n"/>
      <x:c r="Z868" s="7" t="n"/>
      <x:c r="AA868" s="7" t="n"/>
      <x:c r="AB868" s="7" t="n"/>
    </x:row>
    <x:row r="869" ht="20" customHeight="1">
      <x:c r="A869" s="12" t="inlineStr">
        <x:is>
          <x:t xml:space="preserve">North Clackamas School District</x:t>
        </x:is>
      </x:c>
      <x:c r="B869" s="12" t="inlineStr">
        <x:is>
          <x:t xml:space="preserve">OR</x:t>
        </x:is>
      </x:c>
      <x:c r="C869" s="12" t="inlineStr">
        <x:is>
          <x:t xml:space="preserve">Bachelor's</x:t>
        </x:is>
      </x:c>
      <x:c r="D869" s="13" t="n">
        <x:v>9</x:v>
      </x:c>
      <x:c r="E869" s="14" t="n">
        <x:v>74799</x:v>
      </x:c>
      <x:c r="F869" s="83" t="inlineStr">
        <x:is>
          <x:t xml:space="preserve">2026-06-11</x:t>
        </x:is>
      </x:c>
      <x:c r="G869" s="7" t="n"/>
      <x:c r="H869" s="7" t="n"/>
      <x:c r="I869" s="7" t="n"/>
      <x:c r="J869" s="7" t="n"/>
      <x:c r="K869" s="7" t="n"/>
      <x:c r="L869" s="7" t="n"/>
      <x:c r="M869" s="7" t="n"/>
      <x:c r="N869" s="7" t="n"/>
      <x:c r="O869" s="7" t="n"/>
      <x:c r="P869" s="7" t="n"/>
      <x:c r="Q869" s="7" t="n"/>
      <x:c r="R869" s="7" t="n"/>
      <x:c r="S869" s="7" t="n"/>
      <x:c r="T869" s="7" t="n"/>
      <x:c r="U869" s="7" t="n"/>
      <x:c r="V869" s="7" t="n"/>
      <x:c r="W869" s="7" t="n"/>
      <x:c r="X869" s="7" t="n"/>
      <x:c r="Y869" s="7" t="n"/>
      <x:c r="Z869" s="7" t="n"/>
      <x:c r="AA869" s="7" t="n"/>
      <x:c r="AB869" s="7" t="n"/>
    </x:row>
    <x:row r="870" ht="20" customHeight="1">
      <x:c r="A870" s="12" t="inlineStr">
        <x:is>
          <x:t xml:space="preserve">North Clackamas School District</x:t>
        </x:is>
      </x:c>
      <x:c r="B870" s="12" t="inlineStr">
        <x:is>
          <x:t xml:space="preserve">OR</x:t>
        </x:is>
      </x:c>
      <x:c r="C870" s="12" t="inlineStr">
        <x:is>
          <x:t xml:space="preserve">Bachelor's</x:t>
        </x:is>
      </x:c>
      <x:c r="D870" s="13" t="n">
        <x:v>10</x:v>
      </x:c>
      <x:c r="E870" s="14" t="n">
        <x:v>77396</x:v>
      </x:c>
      <x:c r="F870" s="83" t="inlineStr">
        <x:is>
          <x:t xml:space="preserve">2026-06-11</x:t>
        </x:is>
      </x:c>
      <x:c r="G870" s="7" t="n"/>
      <x:c r="H870" s="7" t="n"/>
      <x:c r="I870" s="7" t="n"/>
      <x:c r="J870" s="7" t="n"/>
      <x:c r="K870" s="7" t="n"/>
      <x:c r="L870" s="7" t="n"/>
      <x:c r="M870" s="7" t="n"/>
      <x:c r="N870" s="7" t="n"/>
      <x:c r="O870" s="7" t="n"/>
      <x:c r="P870" s="7" t="n"/>
      <x:c r="Q870" s="7" t="n"/>
      <x:c r="R870" s="7" t="n"/>
      <x:c r="S870" s="7" t="n"/>
      <x:c r="T870" s="7" t="n"/>
      <x:c r="U870" s="7" t="n"/>
      <x:c r="V870" s="7" t="n"/>
      <x:c r="W870" s="7" t="n"/>
      <x:c r="X870" s="7" t="n"/>
      <x:c r="Y870" s="7" t="n"/>
      <x:c r="Z870" s="7" t="n"/>
      <x:c r="AA870" s="7" t="n"/>
      <x:c r="AB870" s="7" t="n"/>
    </x:row>
    <x:row r="871" ht="20" customHeight="1">
      <x:c r="A871" s="12" t="inlineStr">
        <x:is>
          <x:t xml:space="preserve">North Clackamas School District</x:t>
        </x:is>
      </x:c>
      <x:c r="B871" s="12" t="inlineStr">
        <x:is>
          <x:t xml:space="preserve">OR</x:t>
        </x:is>
      </x:c>
      <x:c r="C871" s="12" t="inlineStr">
        <x:is>
          <x:t xml:space="preserve">Master's</x:t>
        </x:is>
      </x:c>
      <x:c r="D871" s="13" t="n">
        <x:v>0</x:v>
      </x:c>
      <x:c r="E871" s="14" t="n">
        <x:v>62507</x:v>
      </x:c>
      <x:c r="F871" s="83" t="inlineStr">
        <x:is>
          <x:t xml:space="preserve">2026-06-11</x:t>
        </x:is>
      </x:c>
      <x:c r="G871" s="7" t="n"/>
      <x:c r="H871" s="7" t="n"/>
      <x:c r="I871" s="7" t="n"/>
      <x:c r="J871" s="7" t="n"/>
      <x:c r="K871" s="7" t="n"/>
      <x:c r="L871" s="7" t="n"/>
      <x:c r="M871" s="7" t="n"/>
      <x:c r="N871" s="7" t="n"/>
      <x:c r="O871" s="7" t="n"/>
      <x:c r="P871" s="7" t="n"/>
      <x:c r="Q871" s="7" t="n"/>
      <x:c r="R871" s="7" t="n"/>
      <x:c r="S871" s="7" t="n"/>
      <x:c r="T871" s="7" t="n"/>
      <x:c r="U871" s="7" t="n"/>
      <x:c r="V871" s="7" t="n"/>
      <x:c r="W871" s="7" t="n"/>
      <x:c r="X871" s="7" t="n"/>
      <x:c r="Y871" s="7" t="n"/>
      <x:c r="Z871" s="7" t="n"/>
      <x:c r="AA871" s="7" t="n"/>
      <x:c r="AB871" s="7" t="n"/>
    </x:row>
    <x:row r="872" ht="20" customHeight="1">
      <x:c r="A872" s="12" t="inlineStr">
        <x:is>
          <x:t xml:space="preserve">North Clackamas School District</x:t>
        </x:is>
      </x:c>
      <x:c r="B872" s="12" t="inlineStr">
        <x:is>
          <x:t xml:space="preserve">OR</x:t>
        </x:is>
      </x:c>
      <x:c r="C872" s="12" t="inlineStr">
        <x:is>
          <x:t xml:space="preserve">Master's</x:t>
        </x:is>
      </x:c>
      <x:c r="D872" s="13" t="n">
        <x:v>1</x:v>
      </x:c>
      <x:c r="E872" s="14" t="n">
        <x:v>64884</x:v>
      </x:c>
      <x:c r="F872" s="83" t="inlineStr">
        <x:is>
          <x:t xml:space="preserve">2026-06-11</x:t>
        </x:is>
      </x:c>
      <x:c r="G872" s="7" t="n"/>
      <x:c r="H872" s="7" t="n"/>
      <x:c r="I872" s="7" t="n"/>
      <x:c r="J872" s="7" t="n"/>
      <x:c r="K872" s="7" t="n"/>
      <x:c r="L872" s="7" t="n"/>
      <x:c r="M872" s="7" t="n"/>
      <x:c r="N872" s="7" t="n"/>
      <x:c r="O872" s="7" t="n"/>
      <x:c r="P872" s="7" t="n"/>
      <x:c r="Q872" s="7" t="n"/>
      <x:c r="R872" s="7" t="n"/>
      <x:c r="S872" s="7" t="n"/>
      <x:c r="T872" s="7" t="n"/>
      <x:c r="U872" s="7" t="n"/>
      <x:c r="V872" s="7" t="n"/>
      <x:c r="W872" s="7" t="n"/>
      <x:c r="X872" s="7" t="n"/>
      <x:c r="Y872" s="7" t="n"/>
      <x:c r="Z872" s="7" t="n"/>
      <x:c r="AA872" s="7" t="n"/>
      <x:c r="AB872" s="7" t="n"/>
    </x:row>
    <x:row r="873" ht="20" customHeight="1">
      <x:c r="A873" s="12" t="inlineStr">
        <x:is>
          <x:t xml:space="preserve">North Clackamas School District</x:t>
        </x:is>
      </x:c>
      <x:c r="B873" s="12" t="inlineStr">
        <x:is>
          <x:t xml:space="preserve">OR</x:t>
        </x:is>
      </x:c>
      <x:c r="C873" s="12" t="inlineStr">
        <x:is>
          <x:t xml:space="preserve">Master's</x:t>
        </x:is>
      </x:c>
      <x:c r="D873" s="13" t="n">
        <x:v>2</x:v>
      </x:c>
      <x:c r="E873" s="14" t="n">
        <x:v>67347</x:v>
      </x:c>
      <x:c r="F873" s="83" t="inlineStr">
        <x:is>
          <x:t xml:space="preserve">2026-06-11</x:t>
        </x:is>
      </x:c>
      <x:c r="G873" s="7" t="n"/>
      <x:c r="H873" s="7" t="n"/>
      <x:c r="I873" s="7" t="n"/>
      <x:c r="J873" s="7" t="n"/>
      <x:c r="K873" s="7" t="n"/>
      <x:c r="L873" s="7" t="n"/>
      <x:c r="M873" s="7" t="n"/>
      <x:c r="N873" s="7" t="n"/>
      <x:c r="O873" s="7" t="n"/>
      <x:c r="P873" s="7" t="n"/>
      <x:c r="Q873" s="7" t="n"/>
      <x:c r="R873" s="7" t="n"/>
      <x:c r="S873" s="7" t="n"/>
      <x:c r="T873" s="7" t="n"/>
      <x:c r="U873" s="7" t="n"/>
      <x:c r="V873" s="7" t="n"/>
      <x:c r="W873" s="7" t="n"/>
      <x:c r="X873" s="7" t="n"/>
      <x:c r="Y873" s="7" t="n"/>
      <x:c r="Z873" s="7" t="n"/>
      <x:c r="AA873" s="7" t="n"/>
      <x:c r="AB873" s="7" t="n"/>
    </x:row>
    <x:row r="874" ht="20" customHeight="1">
      <x:c r="A874" s="12" t="inlineStr">
        <x:is>
          <x:t xml:space="preserve">North Clackamas School District</x:t>
        </x:is>
      </x:c>
      <x:c r="B874" s="12" t="inlineStr">
        <x:is>
          <x:t xml:space="preserve">OR</x:t>
        </x:is>
      </x:c>
      <x:c r="C874" s="12" t="inlineStr">
        <x:is>
          <x:t xml:space="preserve">Master's</x:t>
        </x:is>
      </x:c>
      <x:c r="D874" s="13" t="n">
        <x:v>3</x:v>
      </x:c>
      <x:c r="E874" s="14" t="n">
        <x:v>69909</x:v>
      </x:c>
      <x:c r="F874" s="83" t="inlineStr">
        <x:is>
          <x:t xml:space="preserve">2026-06-11</x:t>
        </x:is>
      </x:c>
      <x:c r="G874" s="7" t="n"/>
      <x:c r="H874" s="7" t="n"/>
      <x:c r="I874" s="7" t="n"/>
      <x:c r="J874" s="7" t="n"/>
      <x:c r="K874" s="7" t="n"/>
      <x:c r="L874" s="7" t="n"/>
      <x:c r="M874" s="7" t="n"/>
      <x:c r="N874" s="7" t="n"/>
      <x:c r="O874" s="7" t="n"/>
      <x:c r="P874" s="7" t="n"/>
      <x:c r="Q874" s="7" t="n"/>
      <x:c r="R874" s="7" t="n"/>
      <x:c r="S874" s="7" t="n"/>
      <x:c r="T874" s="7" t="n"/>
      <x:c r="U874" s="7" t="n"/>
      <x:c r="V874" s="7" t="n"/>
      <x:c r="W874" s="7" t="n"/>
      <x:c r="X874" s="7" t="n"/>
      <x:c r="Y874" s="7" t="n"/>
      <x:c r="Z874" s="7" t="n"/>
      <x:c r="AA874" s="7" t="n"/>
      <x:c r="AB874" s="7" t="n"/>
    </x:row>
    <x:row r="875" ht="20" customHeight="1">
      <x:c r="A875" s="12" t="inlineStr">
        <x:is>
          <x:t xml:space="preserve">North Clackamas School District</x:t>
        </x:is>
      </x:c>
      <x:c r="B875" s="12" t="inlineStr">
        <x:is>
          <x:t xml:space="preserve">OR</x:t>
        </x:is>
      </x:c>
      <x:c r="C875" s="12" t="inlineStr">
        <x:is>
          <x:t xml:space="preserve">Master's</x:t>
        </x:is>
      </x:c>
      <x:c r="D875" s="13" t="n">
        <x:v>4</x:v>
      </x:c>
      <x:c r="E875" s="14" t="n">
        <x:v>69909</x:v>
      </x:c>
      <x:c r="F875" s="83" t="inlineStr">
        <x:is>
          <x:t xml:space="preserve">2026-06-11</x:t>
        </x:is>
      </x:c>
      <x:c r="G875" s="7" t="n"/>
      <x:c r="H875" s="7" t="n"/>
      <x:c r="I875" s="7" t="n"/>
      <x:c r="J875" s="7" t="n"/>
      <x:c r="K875" s="7" t="n"/>
      <x:c r="L875" s="7" t="n"/>
      <x:c r="M875" s="7" t="n"/>
      <x:c r="N875" s="7" t="n"/>
      <x:c r="O875" s="7" t="n"/>
      <x:c r="P875" s="7" t="n"/>
      <x:c r="Q875" s="7" t="n"/>
      <x:c r="R875" s="7" t="n"/>
      <x:c r="S875" s="7" t="n"/>
      <x:c r="T875" s="7" t="n"/>
      <x:c r="U875" s="7" t="n"/>
      <x:c r="V875" s="7" t="n"/>
      <x:c r="W875" s="7" t="n"/>
      <x:c r="X875" s="7" t="n"/>
      <x:c r="Y875" s="7" t="n"/>
      <x:c r="Z875" s="7" t="n"/>
      <x:c r="AA875" s="7" t="n"/>
      <x:c r="AB875" s="7" t="n"/>
    </x:row>
    <x:row r="876" ht="20" customHeight="1">
      <x:c r="A876" s="12" t="inlineStr">
        <x:is>
          <x:t xml:space="preserve">North Clackamas School District</x:t>
        </x:is>
      </x:c>
      <x:c r="B876" s="12" t="inlineStr">
        <x:is>
          <x:t xml:space="preserve">OR</x:t>
        </x:is>
      </x:c>
      <x:c r="C876" s="12" t="inlineStr">
        <x:is>
          <x:t xml:space="preserve">Master's</x:t>
        </x:is>
      </x:c>
      <x:c r="D876" s="13" t="n">
        <x:v>5</x:v>
      </x:c>
      <x:c r="E876" s="14" t="n">
        <x:v>72563</x:v>
      </x:c>
      <x:c r="F876" s="83" t="inlineStr">
        <x:is>
          <x:t xml:space="preserve">2026-06-11</x:t>
        </x:is>
      </x:c>
      <x:c r="G876" s="7" t="n"/>
      <x:c r="H876" s="7" t="n"/>
      <x:c r="I876" s="7" t="n"/>
      <x:c r="J876" s="7" t="n"/>
      <x:c r="K876" s="7" t="n"/>
      <x:c r="L876" s="7" t="n"/>
      <x:c r="M876" s="7" t="n"/>
      <x:c r="N876" s="7" t="n"/>
      <x:c r="O876" s="7" t="n"/>
      <x:c r="P876" s="7" t="n"/>
      <x:c r="Q876" s="7" t="n"/>
      <x:c r="R876" s="7" t="n"/>
      <x:c r="S876" s="7" t="n"/>
      <x:c r="T876" s="7" t="n"/>
      <x:c r="U876" s="7" t="n"/>
      <x:c r="V876" s="7" t="n"/>
      <x:c r="W876" s="7" t="n"/>
      <x:c r="X876" s="7" t="n"/>
      <x:c r="Y876" s="7" t="n"/>
      <x:c r="Z876" s="7" t="n"/>
      <x:c r="AA876" s="7" t="n"/>
      <x:c r="AB876" s="7" t="n"/>
    </x:row>
    <x:row r="877" ht="20" customHeight="1">
      <x:c r="A877" s="12" t="inlineStr">
        <x:is>
          <x:t xml:space="preserve">North Clackamas School District</x:t>
        </x:is>
      </x:c>
      <x:c r="B877" s="12" t="inlineStr">
        <x:is>
          <x:t xml:space="preserve">OR</x:t>
        </x:is>
      </x:c>
      <x:c r="C877" s="12" t="inlineStr">
        <x:is>
          <x:t xml:space="preserve">Master's</x:t>
        </x:is>
      </x:c>
      <x:c r="D877" s="13" t="n">
        <x:v>6</x:v>
      </x:c>
      <x:c r="E877" s="14" t="n">
        <x:v>72563</x:v>
      </x:c>
      <x:c r="F877" s="83" t="inlineStr">
        <x:is>
          <x:t xml:space="preserve">2026-06-11</x:t>
        </x:is>
      </x:c>
      <x:c r="G877" s="7" t="n"/>
      <x:c r="H877" s="7" t="n"/>
      <x:c r="I877" s="7" t="n"/>
      <x:c r="J877" s="7" t="n"/>
      <x:c r="K877" s="7" t="n"/>
      <x:c r="L877" s="7" t="n"/>
      <x:c r="M877" s="7" t="n"/>
      <x:c r="N877" s="7" t="n"/>
      <x:c r="O877" s="7" t="n"/>
      <x:c r="P877" s="7" t="n"/>
      <x:c r="Q877" s="7" t="n"/>
      <x:c r="R877" s="7" t="n"/>
      <x:c r="S877" s="7" t="n"/>
      <x:c r="T877" s="7" t="n"/>
      <x:c r="U877" s="7" t="n"/>
      <x:c r="V877" s="7" t="n"/>
      <x:c r="W877" s="7" t="n"/>
      <x:c r="X877" s="7" t="n"/>
      <x:c r="Y877" s="7" t="n"/>
      <x:c r="Z877" s="7" t="n"/>
      <x:c r="AA877" s="7" t="n"/>
      <x:c r="AB877" s="7" t="n"/>
    </x:row>
    <x:row r="878" ht="20" customHeight="1">
      <x:c r="A878" s="12" t="inlineStr">
        <x:is>
          <x:t xml:space="preserve">North Clackamas School District</x:t>
        </x:is>
      </x:c>
      <x:c r="B878" s="12" t="inlineStr">
        <x:is>
          <x:t xml:space="preserve">OR</x:t>
        </x:is>
      </x:c>
      <x:c r="C878" s="12" t="inlineStr">
        <x:is>
          <x:t xml:space="preserve">Master's</x:t>
        </x:is>
      </x:c>
      <x:c r="D878" s="13" t="n">
        <x:v>7</x:v>
      </x:c>
      <x:c r="E878" s="14" t="n">
        <x:v>75321</x:v>
      </x:c>
      <x:c r="F878" s="83" t="inlineStr">
        <x:is>
          <x:t xml:space="preserve">2026-06-11</x:t>
        </x:is>
      </x:c>
      <x:c r="G878" s="7" t="n"/>
      <x:c r="H878" s="7" t="n"/>
      <x:c r="I878" s="7" t="n"/>
      <x:c r="J878" s="7" t="n"/>
      <x:c r="K878" s="7" t="n"/>
      <x:c r="L878" s="7" t="n"/>
      <x:c r="M878" s="7" t="n"/>
      <x:c r="N878" s="7" t="n"/>
      <x:c r="O878" s="7" t="n"/>
      <x:c r="P878" s="7" t="n"/>
      <x:c r="Q878" s="7" t="n"/>
      <x:c r="R878" s="7" t="n"/>
      <x:c r="S878" s="7" t="n"/>
      <x:c r="T878" s="7" t="n"/>
      <x:c r="U878" s="7" t="n"/>
      <x:c r="V878" s="7" t="n"/>
      <x:c r="W878" s="7" t="n"/>
      <x:c r="X878" s="7" t="n"/>
      <x:c r="Y878" s="7" t="n"/>
      <x:c r="Z878" s="7" t="n"/>
      <x:c r="AA878" s="7" t="n"/>
      <x:c r="AB878" s="7" t="n"/>
    </x:row>
    <x:row r="879" ht="20" customHeight="1">
      <x:c r="A879" s="12" t="inlineStr">
        <x:is>
          <x:t xml:space="preserve">North Clackamas School District</x:t>
        </x:is>
      </x:c>
      <x:c r="B879" s="12" t="inlineStr">
        <x:is>
          <x:t xml:space="preserve">OR</x:t>
        </x:is>
      </x:c>
      <x:c r="C879" s="12" t="inlineStr">
        <x:is>
          <x:t xml:space="preserve">Master's</x:t>
        </x:is>
      </x:c>
      <x:c r="D879" s="13" t="n">
        <x:v>8</x:v>
      </x:c>
      <x:c r="E879" s="14" t="n">
        <x:v>78184</x:v>
      </x:c>
      <x:c r="F879" s="83" t="inlineStr">
        <x:is>
          <x:t xml:space="preserve">2026-06-11</x:t>
        </x:is>
      </x:c>
      <x:c r="G879" s="7" t="n"/>
      <x:c r="H879" s="7" t="n"/>
      <x:c r="I879" s="7" t="n"/>
      <x:c r="J879" s="7" t="n"/>
      <x:c r="K879" s="7" t="n"/>
      <x:c r="L879" s="7" t="n"/>
      <x:c r="M879" s="7" t="n"/>
      <x:c r="N879" s="7" t="n"/>
      <x:c r="O879" s="7" t="n"/>
      <x:c r="P879" s="7" t="n"/>
      <x:c r="Q879" s="7" t="n"/>
      <x:c r="R879" s="7" t="n"/>
      <x:c r="S879" s="7" t="n"/>
      <x:c r="T879" s="7" t="n"/>
      <x:c r="U879" s="7" t="n"/>
      <x:c r="V879" s="7" t="n"/>
      <x:c r="W879" s="7" t="n"/>
      <x:c r="X879" s="7" t="n"/>
      <x:c r="Y879" s="7" t="n"/>
      <x:c r="Z879" s="7" t="n"/>
      <x:c r="AA879" s="7" t="n"/>
      <x:c r="AB879" s="7" t="n"/>
    </x:row>
    <x:row r="880" ht="20" customHeight="1">
      <x:c r="A880" s="12" t="inlineStr">
        <x:is>
          <x:t xml:space="preserve">North Clackamas School District</x:t>
        </x:is>
      </x:c>
      <x:c r="B880" s="12" t="inlineStr">
        <x:is>
          <x:t xml:space="preserve">OR</x:t>
        </x:is>
      </x:c>
      <x:c r="C880" s="12" t="inlineStr">
        <x:is>
          <x:t xml:space="preserve">Master's</x:t>
        </x:is>
      </x:c>
      <x:c r="D880" s="13" t="n">
        <x:v>9</x:v>
      </x:c>
      <x:c r="E880" s="14" t="n">
        <x:v>81154</x:v>
      </x:c>
      <x:c r="F880" s="83" t="inlineStr">
        <x:is>
          <x:t xml:space="preserve">2026-06-11</x:t>
        </x:is>
      </x:c>
      <x:c r="G880" s="7" t="n"/>
      <x:c r="H880" s="7" t="n"/>
      <x:c r="I880" s="7" t="n"/>
      <x:c r="J880" s="7" t="n"/>
      <x:c r="K880" s="7" t="n"/>
      <x:c r="L880" s="7" t="n"/>
      <x:c r="M880" s="7" t="n"/>
      <x:c r="N880" s="7" t="n"/>
      <x:c r="O880" s="7" t="n"/>
      <x:c r="P880" s="7" t="n"/>
      <x:c r="Q880" s="7" t="n"/>
      <x:c r="R880" s="7" t="n"/>
      <x:c r="S880" s="7" t="n"/>
      <x:c r="T880" s="7" t="n"/>
      <x:c r="U880" s="7" t="n"/>
      <x:c r="V880" s="7" t="n"/>
      <x:c r="W880" s="7" t="n"/>
      <x:c r="X880" s="7" t="n"/>
      <x:c r="Y880" s="7" t="n"/>
      <x:c r="Z880" s="7" t="n"/>
      <x:c r="AA880" s="7" t="n"/>
      <x:c r="AB880" s="7" t="n"/>
    </x:row>
    <x:row r="881" ht="20" customHeight="1">
      <x:c r="A881" s="12" t="inlineStr">
        <x:is>
          <x:t xml:space="preserve">North Clackamas School District</x:t>
        </x:is>
      </x:c>
      <x:c r="B881" s="12" t="inlineStr">
        <x:is>
          <x:t xml:space="preserve">OR</x:t>
        </x:is>
      </x:c>
      <x:c r="C881" s="12" t="inlineStr">
        <x:is>
          <x:t xml:space="preserve">Master's</x:t>
        </x:is>
      </x:c>
      <x:c r="D881" s="13" t="n">
        <x:v>10</x:v>
      </x:c>
      <x:c r="E881" s="14" t="n">
        <x:v>84238</x:v>
      </x:c>
      <x:c r="F881" s="83" t="inlineStr">
        <x:is>
          <x:t xml:space="preserve">2026-06-11</x:t>
        </x:is>
      </x:c>
      <x:c r="G881" s="7" t="n"/>
      <x:c r="H881" s="7" t="n"/>
      <x:c r="I881" s="7" t="n"/>
      <x:c r="J881" s="7" t="n"/>
      <x:c r="K881" s="7" t="n"/>
      <x:c r="L881" s="7" t="n"/>
      <x:c r="M881" s="7" t="n"/>
      <x:c r="N881" s="7" t="n"/>
      <x:c r="O881" s="7" t="n"/>
      <x:c r="P881" s="7" t="n"/>
      <x:c r="Q881" s="7" t="n"/>
      <x:c r="R881" s="7" t="n"/>
      <x:c r="S881" s="7" t="n"/>
      <x:c r="T881" s="7" t="n"/>
      <x:c r="U881" s="7" t="n"/>
      <x:c r="V881" s="7" t="n"/>
      <x:c r="W881" s="7" t="n"/>
      <x:c r="X881" s="7" t="n"/>
      <x:c r="Y881" s="7" t="n"/>
      <x:c r="Z881" s="7" t="n"/>
      <x:c r="AA881" s="7" t="n"/>
      <x:c r="AB881" s="7" t="n"/>
    </x:row>
    <x:row r="882" ht="20" customHeight="1">
      <x:c r="A882" s="12" t="inlineStr">
        <x:is>
          <x:t xml:space="preserve">Oakland Unified School District</x:t>
        </x:is>
      </x:c>
      <x:c r="B882" s="12" t="inlineStr">
        <x:is>
          <x:t xml:space="preserve">CA</x:t>
        </x:is>
      </x:c>
      <x:c r="C882" s="12" t="inlineStr">
        <x:is>
          <x:t xml:space="preserve">Bachelor's</x:t>
        </x:is>
      </x:c>
      <x:c r="D882" s="13" t="n">
        <x:v>0</x:v>
      </x:c>
      <x:c r="E882" s="14" t="n">
        <x:v>62696</x:v>
      </x:c>
      <x:c r="F882" s="83" t="inlineStr">
        <x:is>
          <x:t xml:space="preserve">2026-06-10</x:t>
        </x:is>
      </x:c>
      <x:c r="G882" s="7" t="n"/>
      <x:c r="H882" s="7" t="n"/>
      <x:c r="I882" s="7" t="n"/>
      <x:c r="J882" s="7" t="n"/>
      <x:c r="K882" s="7" t="n"/>
      <x:c r="L882" s="7" t="n"/>
      <x:c r="M882" s="7" t="n"/>
      <x:c r="N882" s="7" t="n"/>
      <x:c r="O882" s="7" t="n"/>
      <x:c r="P882" s="7" t="n"/>
      <x:c r="Q882" s="7" t="n"/>
      <x:c r="R882" s="7" t="n"/>
      <x:c r="S882" s="7" t="n"/>
      <x:c r="T882" s="7" t="n"/>
      <x:c r="U882" s="7" t="n"/>
      <x:c r="V882" s="7" t="n"/>
      <x:c r="W882" s="7" t="n"/>
      <x:c r="X882" s="7" t="n"/>
      <x:c r="Y882" s="7" t="n"/>
      <x:c r="Z882" s="7" t="n"/>
      <x:c r="AA882" s="7" t="n"/>
      <x:c r="AB882" s="7" t="n"/>
    </x:row>
    <x:row r="883" ht="20" customHeight="1">
      <x:c r="A883" s="12" t="inlineStr">
        <x:is>
          <x:t xml:space="preserve">Oakland Unified School District</x:t>
        </x:is>
      </x:c>
      <x:c r="B883" s="12" t="inlineStr">
        <x:is>
          <x:t xml:space="preserve">CA</x:t>
        </x:is>
      </x:c>
      <x:c r="C883" s="12" t="inlineStr">
        <x:is>
          <x:t xml:space="preserve">Bachelor's</x:t>
        </x:is>
      </x:c>
      <x:c r="D883" s="13" t="n">
        <x:v>1</x:v>
      </x:c>
      <x:c r="E883" s="14" t="n">
        <x:v>62696</x:v>
      </x:c>
      <x:c r="F883" s="83" t="inlineStr">
        <x:is>
          <x:t xml:space="preserve">2026-06-10</x:t>
        </x:is>
      </x:c>
      <x:c r="G883" s="7" t="n"/>
      <x:c r="H883" s="7" t="n"/>
      <x:c r="I883" s="7" t="n"/>
      <x:c r="J883" s="7" t="n"/>
      <x:c r="K883" s="7" t="n"/>
      <x:c r="L883" s="7" t="n"/>
      <x:c r="M883" s="7" t="n"/>
      <x:c r="N883" s="7" t="n"/>
      <x:c r="O883" s="7" t="n"/>
      <x:c r="P883" s="7" t="n"/>
      <x:c r="Q883" s="7" t="n"/>
      <x:c r="R883" s="7" t="n"/>
      <x:c r="S883" s="7" t="n"/>
      <x:c r="T883" s="7" t="n"/>
      <x:c r="U883" s="7" t="n"/>
      <x:c r="V883" s="7" t="n"/>
      <x:c r="W883" s="7" t="n"/>
      <x:c r="X883" s="7" t="n"/>
      <x:c r="Y883" s="7" t="n"/>
      <x:c r="Z883" s="7" t="n"/>
      <x:c r="AA883" s="7" t="n"/>
      <x:c r="AB883" s="7" t="n"/>
    </x:row>
    <x:row r="884" ht="20" customHeight="1">
      <x:c r="A884" s="12" t="inlineStr">
        <x:is>
          <x:t xml:space="preserve">Oakland Unified School District</x:t>
        </x:is>
      </x:c>
      <x:c r="B884" s="12" t="inlineStr">
        <x:is>
          <x:t xml:space="preserve">CA</x:t>
        </x:is>
      </x:c>
      <x:c r="C884" s="12" t="inlineStr">
        <x:is>
          <x:t xml:space="preserve">Bachelor's</x:t>
        </x:is>
      </x:c>
      <x:c r="D884" s="13" t="n">
        <x:v>2</x:v>
      </x:c>
      <x:c r="E884" s="14" t="n">
        <x:v>63604</x:v>
      </x:c>
      <x:c r="F884" s="83" t="inlineStr">
        <x:is>
          <x:t xml:space="preserve">2026-06-10</x:t>
        </x:is>
      </x:c>
      <x:c r="G884" s="7" t="n"/>
      <x:c r="H884" s="7" t="n"/>
      <x:c r="I884" s="7" t="n"/>
      <x:c r="J884" s="7" t="n"/>
      <x:c r="K884" s="7" t="n"/>
      <x:c r="L884" s="7" t="n"/>
      <x:c r="M884" s="7" t="n"/>
      <x:c r="N884" s="7" t="n"/>
      <x:c r="O884" s="7" t="n"/>
      <x:c r="P884" s="7" t="n"/>
      <x:c r="Q884" s="7" t="n"/>
      <x:c r="R884" s="7" t="n"/>
      <x:c r="S884" s="7" t="n"/>
      <x:c r="T884" s="7" t="n"/>
      <x:c r="U884" s="7" t="n"/>
      <x:c r="V884" s="7" t="n"/>
      <x:c r="W884" s="7" t="n"/>
      <x:c r="X884" s="7" t="n"/>
      <x:c r="Y884" s="7" t="n"/>
      <x:c r="Z884" s="7" t="n"/>
      <x:c r="AA884" s="7" t="n"/>
      <x:c r="AB884" s="7" t="n"/>
    </x:row>
    <x:row r="885" ht="20" customHeight="1">
      <x:c r="A885" s="12" t="inlineStr">
        <x:is>
          <x:t xml:space="preserve">Oakland Unified School District</x:t>
        </x:is>
      </x:c>
      <x:c r="B885" s="12" t="inlineStr">
        <x:is>
          <x:t xml:space="preserve">CA</x:t>
        </x:is>
      </x:c>
      <x:c r="C885" s="12" t="inlineStr">
        <x:is>
          <x:t xml:space="preserve">Bachelor's</x:t>
        </x:is>
      </x:c>
      <x:c r="D885" s="13" t="n">
        <x:v>3</x:v>
      </x:c>
      <x:c r="E885" s="14" t="n">
        <x:v>64543</x:v>
      </x:c>
      <x:c r="F885" s="83" t="inlineStr">
        <x:is>
          <x:t xml:space="preserve">2026-06-10</x:t>
        </x:is>
      </x:c>
      <x:c r="G885" s="7" t="n"/>
      <x:c r="H885" s="7" t="n"/>
      <x:c r="I885" s="7" t="n"/>
      <x:c r="J885" s="7" t="n"/>
      <x:c r="K885" s="7" t="n"/>
      <x:c r="L885" s="7" t="n"/>
      <x:c r="M885" s="7" t="n"/>
      <x:c r="N885" s="7" t="n"/>
      <x:c r="O885" s="7" t="n"/>
      <x:c r="P885" s="7" t="n"/>
      <x:c r="Q885" s="7" t="n"/>
      <x:c r="R885" s="7" t="n"/>
      <x:c r="S885" s="7" t="n"/>
      <x:c r="T885" s="7" t="n"/>
      <x:c r="U885" s="7" t="n"/>
      <x:c r="V885" s="7" t="n"/>
      <x:c r="W885" s="7" t="n"/>
      <x:c r="X885" s="7" t="n"/>
      <x:c r="Y885" s="7" t="n"/>
      <x:c r="Z885" s="7" t="n"/>
      <x:c r="AA885" s="7" t="n"/>
      <x:c r="AB885" s="7" t="n"/>
    </x:row>
    <x:row r="886" ht="20" customHeight="1">
      <x:c r="A886" s="12" t="inlineStr">
        <x:is>
          <x:t xml:space="preserve">Oakland Unified School District</x:t>
        </x:is>
      </x:c>
      <x:c r="B886" s="12" t="inlineStr">
        <x:is>
          <x:t xml:space="preserve">CA</x:t>
        </x:is>
      </x:c>
      <x:c r="C886" s="12" t="inlineStr">
        <x:is>
          <x:t xml:space="preserve">Bachelor's</x:t>
        </x:is>
      </x:c>
      <x:c r="D886" s="13" t="n">
        <x:v>4</x:v>
      </x:c>
      <x:c r="E886" s="14" t="n">
        <x:v>65244</x:v>
      </x:c>
      <x:c r="F886" s="83" t="inlineStr">
        <x:is>
          <x:t xml:space="preserve">2026-06-10</x:t>
        </x:is>
      </x:c>
      <x:c r="G886" s="7" t="n"/>
      <x:c r="H886" s="7" t="n"/>
      <x:c r="I886" s="7" t="n"/>
      <x:c r="J886" s="7" t="n"/>
      <x:c r="K886" s="7" t="n"/>
      <x:c r="L886" s="7" t="n"/>
      <x:c r="M886" s="7" t="n"/>
      <x:c r="N886" s="7" t="n"/>
      <x:c r="O886" s="7" t="n"/>
      <x:c r="P886" s="7" t="n"/>
      <x:c r="Q886" s="7" t="n"/>
      <x:c r="R886" s="7" t="n"/>
      <x:c r="S886" s="7" t="n"/>
      <x:c r="T886" s="7" t="n"/>
      <x:c r="U886" s="7" t="n"/>
      <x:c r="V886" s="7" t="n"/>
      <x:c r="W886" s="7" t="n"/>
      <x:c r="X886" s="7" t="n"/>
      <x:c r="Y886" s="7" t="n"/>
      <x:c r="Z886" s="7" t="n"/>
      <x:c r="AA886" s="7" t="n"/>
      <x:c r="AB886" s="7" t="n"/>
    </x:row>
    <x:row r="887" ht="20" customHeight="1">
      <x:c r="A887" s="12" t="inlineStr">
        <x:is>
          <x:t xml:space="preserve">Oakland Unified School District</x:t>
        </x:is>
      </x:c>
      <x:c r="B887" s="12" t="inlineStr">
        <x:is>
          <x:t xml:space="preserve">CA</x:t>
        </x:is>
      </x:c>
      <x:c r="C887" s="12" t="inlineStr">
        <x:is>
          <x:t xml:space="preserve">Bachelor's</x:t>
        </x:is>
      </x:c>
      <x:c r="D887" s="13" t="n">
        <x:v>5</x:v>
      </x:c>
      <x:c r="E887" s="14" t="n">
        <x:v>67430</x:v>
      </x:c>
      <x:c r="F887" s="83" t="inlineStr">
        <x:is>
          <x:t xml:space="preserve">2026-06-10</x:t>
        </x:is>
      </x:c>
      <x:c r="G887" s="7" t="n"/>
      <x:c r="H887" s="7" t="n"/>
      <x:c r="I887" s="7" t="n"/>
      <x:c r="J887" s="7" t="n"/>
      <x:c r="K887" s="7" t="n"/>
      <x:c r="L887" s="7" t="n"/>
      <x:c r="M887" s="7" t="n"/>
      <x:c r="N887" s="7" t="n"/>
      <x:c r="O887" s="7" t="n"/>
      <x:c r="P887" s="7" t="n"/>
      <x:c r="Q887" s="7" t="n"/>
      <x:c r="R887" s="7" t="n"/>
      <x:c r="S887" s="7" t="n"/>
      <x:c r="T887" s="7" t="n"/>
      <x:c r="U887" s="7" t="n"/>
      <x:c r="V887" s="7" t="n"/>
      <x:c r="W887" s="7" t="n"/>
      <x:c r="X887" s="7" t="n"/>
      <x:c r="Y887" s="7" t="n"/>
      <x:c r="Z887" s="7" t="n"/>
      <x:c r="AA887" s="7" t="n"/>
      <x:c r="AB887" s="7" t="n"/>
    </x:row>
    <x:row r="888" ht="20" customHeight="1">
      <x:c r="A888" s="12" t="inlineStr">
        <x:is>
          <x:t xml:space="preserve">Oakland Unified School District</x:t>
        </x:is>
      </x:c>
      <x:c r="B888" s="12" t="inlineStr">
        <x:is>
          <x:t xml:space="preserve">CA</x:t>
        </x:is>
      </x:c>
      <x:c r="C888" s="12" t="inlineStr">
        <x:is>
          <x:t xml:space="preserve">Bachelor's</x:t>
        </x:is>
      </x:c>
      <x:c r="D888" s="13" t="n">
        <x:v>6</x:v>
      </x:c>
      <x:c r="E888" s="14" t="n">
        <x:v>69616</x:v>
      </x:c>
      <x:c r="F888" s="83" t="inlineStr">
        <x:is>
          <x:t xml:space="preserve">2026-06-10</x:t>
        </x:is>
      </x:c>
      <x:c r="G888" s="7" t="n"/>
      <x:c r="H888" s="7" t="n"/>
      <x:c r="I888" s="7" t="n"/>
      <x:c r="J888" s="7" t="n"/>
      <x:c r="K888" s="7" t="n"/>
      <x:c r="L888" s="7" t="n"/>
      <x:c r="M888" s="7" t="n"/>
      <x:c r="N888" s="7" t="n"/>
      <x:c r="O888" s="7" t="n"/>
      <x:c r="P888" s="7" t="n"/>
      <x:c r="Q888" s="7" t="n"/>
      <x:c r="R888" s="7" t="n"/>
      <x:c r="S888" s="7" t="n"/>
      <x:c r="T888" s="7" t="n"/>
      <x:c r="U888" s="7" t="n"/>
      <x:c r="V888" s="7" t="n"/>
      <x:c r="W888" s="7" t="n"/>
      <x:c r="X888" s="7" t="n"/>
      <x:c r="Y888" s="7" t="n"/>
      <x:c r="Z888" s="7" t="n"/>
      <x:c r="AA888" s="7" t="n"/>
      <x:c r="AB888" s="7" t="n"/>
    </x:row>
    <x:row r="889" ht="20" customHeight="1">
      <x:c r="A889" s="12" t="inlineStr">
        <x:is>
          <x:t xml:space="preserve">Oakland Unified School District</x:t>
        </x:is>
      </x:c>
      <x:c r="B889" s="12" t="inlineStr">
        <x:is>
          <x:t xml:space="preserve">CA</x:t>
        </x:is>
      </x:c>
      <x:c r="C889" s="12" t="inlineStr">
        <x:is>
          <x:t xml:space="preserve">Bachelor's</x:t>
        </x:is>
      </x:c>
      <x:c r="D889" s="13" t="n">
        <x:v>7</x:v>
      </x:c>
      <x:c r="E889" s="14" t="n">
        <x:v>71802</x:v>
      </x:c>
      <x:c r="F889" s="83" t="inlineStr">
        <x:is>
          <x:t xml:space="preserve">2026-06-10</x:t>
        </x:is>
      </x:c>
      <x:c r="G889" s="7" t="n"/>
      <x:c r="H889" s="7" t="n"/>
      <x:c r="I889" s="7" t="n"/>
      <x:c r="J889" s="7" t="n"/>
      <x:c r="K889" s="7" t="n"/>
      <x:c r="L889" s="7" t="n"/>
      <x:c r="M889" s="7" t="n"/>
      <x:c r="N889" s="7" t="n"/>
      <x:c r="O889" s="7" t="n"/>
      <x:c r="P889" s="7" t="n"/>
      <x:c r="Q889" s="7" t="n"/>
      <x:c r="R889" s="7" t="n"/>
      <x:c r="S889" s="7" t="n"/>
      <x:c r="T889" s="7" t="n"/>
      <x:c r="U889" s="7" t="n"/>
      <x:c r="V889" s="7" t="n"/>
      <x:c r="W889" s="7" t="n"/>
      <x:c r="X889" s="7" t="n"/>
      <x:c r="Y889" s="7" t="n"/>
      <x:c r="Z889" s="7" t="n"/>
      <x:c r="AA889" s="7" t="n"/>
      <x:c r="AB889" s="7" t="n"/>
    </x:row>
    <x:row r="890" ht="20" customHeight="1">
      <x:c r="A890" s="12" t="inlineStr">
        <x:is>
          <x:t xml:space="preserve">Oakland Unified School District</x:t>
        </x:is>
      </x:c>
      <x:c r="B890" s="12" t="inlineStr">
        <x:is>
          <x:t xml:space="preserve">CA</x:t>
        </x:is>
      </x:c>
      <x:c r="C890" s="12" t="inlineStr">
        <x:is>
          <x:t xml:space="preserve">Bachelor's</x:t>
        </x:is>
      </x:c>
      <x:c r="D890" s="13" t="n">
        <x:v>8</x:v>
      </x:c>
      <x:c r="E890" s="14" t="n">
        <x:v>74049</x:v>
      </x:c>
      <x:c r="F890" s="83" t="inlineStr">
        <x:is>
          <x:t xml:space="preserve">2026-06-10</x:t>
        </x:is>
      </x:c>
      <x:c r="G890" s="7" t="n"/>
      <x:c r="H890" s="7" t="n"/>
      <x:c r="I890" s="7" t="n"/>
      <x:c r="J890" s="7" t="n"/>
      <x:c r="K890" s="7" t="n"/>
      <x:c r="L890" s="7" t="n"/>
      <x:c r="M890" s="7" t="n"/>
      <x:c r="N890" s="7" t="n"/>
      <x:c r="O890" s="7" t="n"/>
      <x:c r="P890" s="7" t="n"/>
      <x:c r="Q890" s="7" t="n"/>
      <x:c r="R890" s="7" t="n"/>
      <x:c r="S890" s="7" t="n"/>
      <x:c r="T890" s="7" t="n"/>
      <x:c r="U890" s="7" t="n"/>
      <x:c r="V890" s="7" t="n"/>
      <x:c r="W890" s="7" t="n"/>
      <x:c r="X890" s="7" t="n"/>
      <x:c r="Y890" s="7" t="n"/>
      <x:c r="Z890" s="7" t="n"/>
      <x:c r="AA890" s="7" t="n"/>
      <x:c r="AB890" s="7" t="n"/>
    </x:row>
    <x:row r="891" ht="20" customHeight="1">
      <x:c r="A891" s="12" t="inlineStr">
        <x:is>
          <x:t xml:space="preserve">Oakland Unified School District</x:t>
        </x:is>
      </x:c>
      <x:c r="B891" s="12" t="inlineStr">
        <x:is>
          <x:t xml:space="preserve">CA</x:t>
        </x:is>
      </x:c>
      <x:c r="C891" s="12" t="inlineStr">
        <x:is>
          <x:t xml:space="preserve">Bachelor's</x:t>
        </x:is>
      </x:c>
      <x:c r="D891" s="13" t="n">
        <x:v>9</x:v>
      </x:c>
      <x:c r="E891" s="14" t="n">
        <x:v>76158</x:v>
      </x:c>
      <x:c r="F891" s="83" t="inlineStr">
        <x:is>
          <x:t xml:space="preserve">2026-06-10</x:t>
        </x:is>
      </x:c>
      <x:c r="G891" s="7" t="n"/>
      <x:c r="H891" s="7" t="n"/>
      <x:c r="I891" s="7" t="n"/>
      <x:c r="J891" s="7" t="n"/>
      <x:c r="K891" s="7" t="n"/>
      <x:c r="L891" s="7" t="n"/>
      <x:c r="M891" s="7" t="n"/>
      <x:c r="N891" s="7" t="n"/>
      <x:c r="O891" s="7" t="n"/>
      <x:c r="P891" s="7" t="n"/>
      <x:c r="Q891" s="7" t="n"/>
      <x:c r="R891" s="7" t="n"/>
      <x:c r="S891" s="7" t="n"/>
      <x:c r="T891" s="7" t="n"/>
      <x:c r="U891" s="7" t="n"/>
      <x:c r="V891" s="7" t="n"/>
      <x:c r="W891" s="7" t="n"/>
      <x:c r="X891" s="7" t="n"/>
      <x:c r="Y891" s="7" t="n"/>
      <x:c r="Z891" s="7" t="n"/>
      <x:c r="AA891" s="7" t="n"/>
      <x:c r="AB891" s="7" t="n"/>
    </x:row>
    <x:row r="892" ht="20" customHeight="1">
      <x:c r="A892" s="12" t="inlineStr">
        <x:is>
          <x:t xml:space="preserve">Oakland Unified School District</x:t>
        </x:is>
      </x:c>
      <x:c r="B892" s="12" t="inlineStr">
        <x:is>
          <x:t xml:space="preserve">CA</x:t>
        </x:is>
      </x:c>
      <x:c r="C892" s="12" t="inlineStr">
        <x:is>
          <x:t xml:space="preserve">Bachelor's</x:t>
        </x:is>
      </x:c>
      <x:c r="D892" s="13" t="n">
        <x:v>10</x:v>
      </x:c>
      <x:c r="E892" s="14" t="n">
        <x:v>78360</x:v>
      </x:c>
      <x:c r="F892" s="83" t="inlineStr">
        <x:is>
          <x:t xml:space="preserve">2026-06-10</x:t>
        </x:is>
      </x:c>
      <x:c r="G892" s="7" t="n"/>
      <x:c r="H892" s="7" t="n"/>
      <x:c r="I892" s="7" t="n"/>
      <x:c r="J892" s="7" t="n"/>
      <x:c r="K892" s="7" t="n"/>
      <x:c r="L892" s="7" t="n"/>
      <x:c r="M892" s="7" t="n"/>
      <x:c r="N892" s="7" t="n"/>
      <x:c r="O892" s="7" t="n"/>
      <x:c r="P892" s="7" t="n"/>
      <x:c r="Q892" s="7" t="n"/>
      <x:c r="R892" s="7" t="n"/>
      <x:c r="S892" s="7" t="n"/>
      <x:c r="T892" s="7" t="n"/>
      <x:c r="U892" s="7" t="n"/>
      <x:c r="V892" s="7" t="n"/>
      <x:c r="W892" s="7" t="n"/>
      <x:c r="X892" s="7" t="n"/>
      <x:c r="Y892" s="7" t="n"/>
      <x:c r="Z892" s="7" t="n"/>
      <x:c r="AA892" s="7" t="n"/>
      <x:c r="AB892" s="7" t="n"/>
    </x:row>
    <x:row r="893" ht="20" customHeight="1">
      <x:c r="A893" s="12" t="inlineStr">
        <x:is>
          <x:t xml:space="preserve">Oakland Unified School District</x:t>
        </x:is>
      </x:c>
      <x:c r="B893" s="12" t="inlineStr">
        <x:is>
          <x:t xml:space="preserve">CA</x:t>
        </x:is>
      </x:c>
      <x:c r="C893" s="12" t="inlineStr">
        <x:is>
          <x:t xml:space="preserve">Master's</x:t>
        </x:is>
      </x:c>
      <x:c r="D893" s="13" t="n">
        <x:v>0</x:v>
      </x:c>
      <x:c r="E893" s="14" t="n">
        <x:v>63157</x:v>
      </x:c>
      <x:c r="F893" s="83" t="inlineStr">
        <x:is>
          <x:t xml:space="preserve">2026-06-10</x:t>
        </x:is>
      </x:c>
      <x:c r="G893" s="7" t="n"/>
      <x:c r="H893" s="7" t="n"/>
      <x:c r="I893" s="7" t="n"/>
      <x:c r="J893" s="7" t="n"/>
      <x:c r="K893" s="7" t="n"/>
      <x:c r="L893" s="7" t="n"/>
      <x:c r="M893" s="7" t="n"/>
      <x:c r="N893" s="7" t="n"/>
      <x:c r="O893" s="7" t="n"/>
      <x:c r="P893" s="7" t="n"/>
      <x:c r="Q893" s="7" t="n"/>
      <x:c r="R893" s="7" t="n"/>
      <x:c r="S893" s="7" t="n"/>
      <x:c r="T893" s="7" t="n"/>
      <x:c r="U893" s="7" t="n"/>
      <x:c r="V893" s="7" t="n"/>
      <x:c r="W893" s="7" t="n"/>
      <x:c r="X893" s="7" t="n"/>
      <x:c r="Y893" s="7" t="n"/>
      <x:c r="Z893" s="7" t="n"/>
      <x:c r="AA893" s="7" t="n"/>
      <x:c r="AB893" s="7" t="n"/>
    </x:row>
    <x:row r="894" ht="20" customHeight="1">
      <x:c r="A894" s="12" t="inlineStr">
        <x:is>
          <x:t xml:space="preserve">Oakland Unified School District</x:t>
        </x:is>
      </x:c>
      <x:c r="B894" s="12" t="inlineStr">
        <x:is>
          <x:t xml:space="preserve">CA</x:t>
        </x:is>
      </x:c>
      <x:c r="C894" s="12" t="inlineStr">
        <x:is>
          <x:t xml:space="preserve">Master's</x:t>
        </x:is>
      </x:c>
      <x:c r="D894" s="13" t="n">
        <x:v>1</x:v>
      </x:c>
      <x:c r="E894" s="14" t="n">
        <x:v>63157</x:v>
      </x:c>
      <x:c r="F894" s="83" t="inlineStr">
        <x:is>
          <x:t xml:space="preserve">2026-06-10</x:t>
        </x:is>
      </x:c>
      <x:c r="G894" s="7" t="n"/>
      <x:c r="H894" s="7" t="n"/>
      <x:c r="I894" s="7" t="n"/>
      <x:c r="J894" s="7" t="n"/>
      <x:c r="K894" s="7" t="n"/>
      <x:c r="L894" s="7" t="n"/>
      <x:c r="M894" s="7" t="n"/>
      <x:c r="N894" s="7" t="n"/>
      <x:c r="O894" s="7" t="n"/>
      <x:c r="P894" s="7" t="n"/>
      <x:c r="Q894" s="7" t="n"/>
      <x:c r="R894" s="7" t="n"/>
      <x:c r="S894" s="7" t="n"/>
      <x:c r="T894" s="7" t="n"/>
      <x:c r="U894" s="7" t="n"/>
      <x:c r="V894" s="7" t="n"/>
      <x:c r="W894" s="7" t="n"/>
      <x:c r="X894" s="7" t="n"/>
      <x:c r="Y894" s="7" t="n"/>
      <x:c r="Z894" s="7" t="n"/>
      <x:c r="AA894" s="7" t="n"/>
      <x:c r="AB894" s="7" t="n"/>
    </x:row>
    <x:row r="895" ht="20" customHeight="1">
      <x:c r="A895" s="12" t="inlineStr">
        <x:is>
          <x:t xml:space="preserve">Oakland Unified School District</x:t>
        </x:is>
      </x:c>
      <x:c r="B895" s="12" t="inlineStr">
        <x:is>
          <x:t xml:space="preserve">CA</x:t>
        </x:is>
      </x:c>
      <x:c r="C895" s="12" t="inlineStr">
        <x:is>
          <x:t xml:space="preserve">Master's</x:t>
        </x:is>
      </x:c>
      <x:c r="D895" s="13" t="n">
        <x:v>2</x:v>
      </x:c>
      <x:c r="E895" s="14" t="n">
        <x:v>64081</x:v>
      </x:c>
      <x:c r="F895" s="83" t="inlineStr">
        <x:is>
          <x:t xml:space="preserve">2026-06-10</x:t>
        </x:is>
      </x:c>
      <x:c r="G895" s="7" t="n"/>
      <x:c r="H895" s="7" t="n"/>
      <x:c r="I895" s="7" t="n"/>
      <x:c r="J895" s="7" t="n"/>
      <x:c r="K895" s="7" t="n"/>
      <x:c r="L895" s="7" t="n"/>
      <x:c r="M895" s="7" t="n"/>
      <x:c r="N895" s="7" t="n"/>
      <x:c r="O895" s="7" t="n"/>
      <x:c r="P895" s="7" t="n"/>
      <x:c r="Q895" s="7" t="n"/>
      <x:c r="R895" s="7" t="n"/>
      <x:c r="S895" s="7" t="n"/>
      <x:c r="T895" s="7" t="n"/>
      <x:c r="U895" s="7" t="n"/>
      <x:c r="V895" s="7" t="n"/>
      <x:c r="W895" s="7" t="n"/>
      <x:c r="X895" s="7" t="n"/>
      <x:c r="Y895" s="7" t="n"/>
      <x:c r="Z895" s="7" t="n"/>
      <x:c r="AA895" s="7" t="n"/>
      <x:c r="AB895" s="7" t="n"/>
    </x:row>
    <x:row r="896" ht="20" customHeight="1">
      <x:c r="A896" s="12" t="inlineStr">
        <x:is>
          <x:t xml:space="preserve">Oakland Unified School District</x:t>
        </x:is>
      </x:c>
      <x:c r="B896" s="12" t="inlineStr">
        <x:is>
          <x:t xml:space="preserve">CA</x:t>
        </x:is>
      </x:c>
      <x:c r="C896" s="12" t="inlineStr">
        <x:is>
          <x:t xml:space="preserve">Master's</x:t>
        </x:is>
      </x:c>
      <x:c r="D896" s="13" t="n">
        <x:v>3</x:v>
      </x:c>
      <x:c r="E896" s="14" t="n">
        <x:v>65651</x:v>
      </x:c>
      <x:c r="F896" s="83" t="inlineStr">
        <x:is>
          <x:t xml:space="preserve">2026-06-10</x:t>
        </x:is>
      </x:c>
      <x:c r="G896" s="7" t="n"/>
      <x:c r="H896" s="7" t="n"/>
      <x:c r="I896" s="7" t="n"/>
      <x:c r="J896" s="7" t="n"/>
      <x:c r="K896" s="7" t="n"/>
      <x:c r="L896" s="7" t="n"/>
      <x:c r="M896" s="7" t="n"/>
      <x:c r="N896" s="7" t="n"/>
      <x:c r="O896" s="7" t="n"/>
      <x:c r="P896" s="7" t="n"/>
      <x:c r="Q896" s="7" t="n"/>
      <x:c r="R896" s="7" t="n"/>
      <x:c r="S896" s="7" t="n"/>
      <x:c r="T896" s="7" t="n"/>
      <x:c r="U896" s="7" t="n"/>
      <x:c r="V896" s="7" t="n"/>
      <x:c r="W896" s="7" t="n"/>
      <x:c r="X896" s="7" t="n"/>
      <x:c r="Y896" s="7" t="n"/>
      <x:c r="Z896" s="7" t="n"/>
      <x:c r="AA896" s="7" t="n"/>
      <x:c r="AB896" s="7" t="n"/>
    </x:row>
    <x:row r="897" ht="20" customHeight="1">
      <x:c r="A897" s="12" t="inlineStr">
        <x:is>
          <x:t xml:space="preserve">Oakland Unified School District</x:t>
        </x:is>
      </x:c>
      <x:c r="B897" s="12" t="inlineStr">
        <x:is>
          <x:t xml:space="preserve">CA</x:t>
        </x:is>
      </x:c>
      <x:c r="C897" s="12" t="inlineStr">
        <x:is>
          <x:t xml:space="preserve">Master's</x:t>
        </x:is>
      </x:c>
      <x:c r="D897" s="13" t="n">
        <x:v>4</x:v>
      </x:c>
      <x:c r="E897" s="14" t="n">
        <x:v>66353</x:v>
      </x:c>
      <x:c r="F897" s="83" t="inlineStr">
        <x:is>
          <x:t xml:space="preserve">2026-06-10</x:t>
        </x:is>
      </x:c>
      <x:c r="G897" s="7" t="n"/>
      <x:c r="H897" s="7" t="n"/>
      <x:c r="I897" s="7" t="n"/>
      <x:c r="J897" s="7" t="n"/>
      <x:c r="K897" s="7" t="n"/>
      <x:c r="L897" s="7" t="n"/>
      <x:c r="M897" s="7" t="n"/>
      <x:c r="N897" s="7" t="n"/>
      <x:c r="O897" s="7" t="n"/>
      <x:c r="P897" s="7" t="n"/>
      <x:c r="Q897" s="7" t="n"/>
      <x:c r="R897" s="7" t="n"/>
      <x:c r="S897" s="7" t="n"/>
      <x:c r="T897" s="7" t="n"/>
      <x:c r="U897" s="7" t="n"/>
      <x:c r="V897" s="7" t="n"/>
      <x:c r="W897" s="7" t="n"/>
      <x:c r="X897" s="7" t="n"/>
      <x:c r="Y897" s="7" t="n"/>
      <x:c r="Z897" s="7" t="n"/>
      <x:c r="AA897" s="7" t="n"/>
      <x:c r="AB897" s="7" t="n"/>
    </x:row>
    <x:row r="898" ht="20" customHeight="1">
      <x:c r="A898" s="12" t="inlineStr">
        <x:is>
          <x:t xml:space="preserve">Oakland Unified School District</x:t>
        </x:is>
      </x:c>
      <x:c r="B898" s="12" t="inlineStr">
        <x:is>
          <x:t xml:space="preserve">CA</x:t>
        </x:is>
      </x:c>
      <x:c r="C898" s="12" t="inlineStr">
        <x:is>
          <x:t xml:space="preserve">Master's</x:t>
        </x:is>
      </x:c>
      <x:c r="D898" s="13" t="n">
        <x:v>5</x:v>
      </x:c>
      <x:c r="E898" s="14" t="n">
        <x:v>68523</x:v>
      </x:c>
      <x:c r="F898" s="83" t="inlineStr">
        <x:is>
          <x:t xml:space="preserve">2026-06-10</x:t>
        </x:is>
      </x:c>
      <x:c r="G898" s="7" t="n"/>
      <x:c r="H898" s="7" t="n"/>
      <x:c r="I898" s="7" t="n"/>
      <x:c r="J898" s="7" t="n"/>
      <x:c r="K898" s="7" t="n"/>
      <x:c r="L898" s="7" t="n"/>
      <x:c r="M898" s="7" t="n"/>
      <x:c r="N898" s="7" t="n"/>
      <x:c r="O898" s="7" t="n"/>
      <x:c r="P898" s="7" t="n"/>
      <x:c r="Q898" s="7" t="n"/>
      <x:c r="R898" s="7" t="n"/>
      <x:c r="S898" s="7" t="n"/>
      <x:c r="T898" s="7" t="n"/>
      <x:c r="U898" s="7" t="n"/>
      <x:c r="V898" s="7" t="n"/>
      <x:c r="W898" s="7" t="n"/>
      <x:c r="X898" s="7" t="n"/>
      <x:c r="Y898" s="7" t="n"/>
      <x:c r="Z898" s="7" t="n"/>
      <x:c r="AA898" s="7" t="n"/>
      <x:c r="AB898" s="7" t="n"/>
    </x:row>
    <x:row r="899" ht="20" customHeight="1">
      <x:c r="A899" s="12" t="inlineStr">
        <x:is>
          <x:t xml:space="preserve">Oakland Unified School District</x:t>
        </x:is>
      </x:c>
      <x:c r="B899" s="12" t="inlineStr">
        <x:is>
          <x:t xml:space="preserve">CA</x:t>
        </x:is>
      </x:c>
      <x:c r="C899" s="12" t="inlineStr">
        <x:is>
          <x:t xml:space="preserve">Master's</x:t>
        </x:is>
      </x:c>
      <x:c r="D899" s="13" t="n">
        <x:v>6</x:v>
      </x:c>
      <x:c r="E899" s="14" t="n">
        <x:v>70709</x:v>
      </x:c>
      <x:c r="F899" s="83" t="inlineStr">
        <x:is>
          <x:t xml:space="preserve">2026-06-10</x:t>
        </x:is>
      </x:c>
      <x:c r="G899" s="7" t="n"/>
      <x:c r="H899" s="7" t="n"/>
      <x:c r="I899" s="7" t="n"/>
      <x:c r="J899" s="7" t="n"/>
      <x:c r="K899" s="7" t="n"/>
      <x:c r="L899" s="7" t="n"/>
      <x:c r="M899" s="7" t="n"/>
      <x:c r="N899" s="7" t="n"/>
      <x:c r="O899" s="7" t="n"/>
      <x:c r="P899" s="7" t="n"/>
      <x:c r="Q899" s="7" t="n"/>
      <x:c r="R899" s="7" t="n"/>
      <x:c r="S899" s="7" t="n"/>
      <x:c r="T899" s="7" t="n"/>
      <x:c r="U899" s="7" t="n"/>
      <x:c r="V899" s="7" t="n"/>
      <x:c r="W899" s="7" t="n"/>
      <x:c r="X899" s="7" t="n"/>
      <x:c r="Y899" s="7" t="n"/>
      <x:c r="Z899" s="7" t="n"/>
      <x:c r="AA899" s="7" t="n"/>
      <x:c r="AB899" s="7" t="n"/>
    </x:row>
    <x:row r="900" ht="20" customHeight="1">
      <x:c r="A900" s="12" t="inlineStr">
        <x:is>
          <x:t xml:space="preserve">Oakland Unified School District</x:t>
        </x:is>
      </x:c>
      <x:c r="B900" s="12" t="inlineStr">
        <x:is>
          <x:t xml:space="preserve">CA</x:t>
        </x:is>
      </x:c>
      <x:c r="C900" s="12" t="inlineStr">
        <x:is>
          <x:t xml:space="preserve">Master's</x:t>
        </x:is>
      </x:c>
      <x:c r="D900" s="13" t="n">
        <x:v>7</x:v>
      </x:c>
      <x:c r="E900" s="14" t="n">
        <x:v>72895</x:v>
      </x:c>
      <x:c r="F900" s="83" t="inlineStr">
        <x:is>
          <x:t xml:space="preserve">2026-06-10</x:t>
        </x:is>
      </x:c>
      <x:c r="G900" s="7" t="n"/>
      <x:c r="H900" s="7" t="n"/>
      <x:c r="I900" s="7" t="n"/>
      <x:c r="J900" s="7" t="n"/>
      <x:c r="K900" s="7" t="n"/>
      <x:c r="L900" s="7" t="n"/>
      <x:c r="M900" s="7" t="n"/>
      <x:c r="N900" s="7" t="n"/>
      <x:c r="O900" s="7" t="n"/>
      <x:c r="P900" s="7" t="n"/>
      <x:c r="Q900" s="7" t="n"/>
      <x:c r="R900" s="7" t="n"/>
      <x:c r="S900" s="7" t="n"/>
      <x:c r="T900" s="7" t="n"/>
      <x:c r="U900" s="7" t="n"/>
      <x:c r="V900" s="7" t="n"/>
      <x:c r="W900" s="7" t="n"/>
      <x:c r="X900" s="7" t="n"/>
      <x:c r="Y900" s="7" t="n"/>
      <x:c r="Z900" s="7" t="n"/>
      <x:c r="AA900" s="7" t="n"/>
      <x:c r="AB900" s="7" t="n"/>
    </x:row>
    <x:row r="901" ht="20" customHeight="1">
      <x:c r="A901" s="12" t="inlineStr">
        <x:is>
          <x:t xml:space="preserve">Oakland Unified School District</x:t>
        </x:is>
      </x:c>
      <x:c r="B901" s="12" t="inlineStr">
        <x:is>
          <x:t xml:space="preserve">CA</x:t>
        </x:is>
      </x:c>
      <x:c r="C901" s="12" t="inlineStr">
        <x:is>
          <x:t xml:space="preserve">Master's</x:t>
        </x:is>
      </x:c>
      <x:c r="D901" s="13" t="n">
        <x:v>8</x:v>
      </x:c>
      <x:c r="E901" s="14" t="n">
        <x:v>75081</x:v>
      </x:c>
      <x:c r="F901" s="83" t="inlineStr">
        <x:is>
          <x:t xml:space="preserve">2026-06-10</x:t>
        </x:is>
      </x:c>
      <x:c r="G901" s="7" t="n"/>
      <x:c r="H901" s="7" t="n"/>
      <x:c r="I901" s="7" t="n"/>
      <x:c r="J901" s="7" t="n"/>
      <x:c r="K901" s="7" t="n"/>
      <x:c r="L901" s="7" t="n"/>
      <x:c r="M901" s="7" t="n"/>
      <x:c r="N901" s="7" t="n"/>
      <x:c r="O901" s="7" t="n"/>
      <x:c r="P901" s="7" t="n"/>
      <x:c r="Q901" s="7" t="n"/>
      <x:c r="R901" s="7" t="n"/>
      <x:c r="S901" s="7" t="n"/>
      <x:c r="T901" s="7" t="n"/>
      <x:c r="U901" s="7" t="n"/>
      <x:c r="V901" s="7" t="n"/>
      <x:c r="W901" s="7" t="n"/>
      <x:c r="X901" s="7" t="n"/>
      <x:c r="Y901" s="7" t="n"/>
      <x:c r="Z901" s="7" t="n"/>
      <x:c r="AA901" s="7" t="n"/>
      <x:c r="AB901" s="7" t="n"/>
    </x:row>
    <x:row r="902" ht="20" customHeight="1">
      <x:c r="A902" s="12" t="inlineStr">
        <x:is>
          <x:t xml:space="preserve">Oakland Unified School District</x:t>
        </x:is>
      </x:c>
      <x:c r="B902" s="12" t="inlineStr">
        <x:is>
          <x:t xml:space="preserve">CA</x:t>
        </x:is>
      </x:c>
      <x:c r="C902" s="12" t="inlineStr">
        <x:is>
          <x:t xml:space="preserve">Master's</x:t>
        </x:is>
      </x:c>
      <x:c r="D902" s="13" t="n">
        <x:v>9</x:v>
      </x:c>
      <x:c r="E902" s="14" t="n">
        <x:v>77251</x:v>
      </x:c>
      <x:c r="F902" s="83" t="inlineStr">
        <x:is>
          <x:t xml:space="preserve">2026-06-10</x:t>
        </x:is>
      </x:c>
      <x:c r="G902" s="7" t="n"/>
      <x:c r="H902" s="7" t="n"/>
      <x:c r="I902" s="7" t="n"/>
      <x:c r="J902" s="7" t="n"/>
      <x:c r="K902" s="7" t="n"/>
      <x:c r="L902" s="7" t="n"/>
      <x:c r="M902" s="7" t="n"/>
      <x:c r="N902" s="7" t="n"/>
      <x:c r="O902" s="7" t="n"/>
      <x:c r="P902" s="7" t="n"/>
      <x:c r="Q902" s="7" t="n"/>
      <x:c r="R902" s="7" t="n"/>
      <x:c r="S902" s="7" t="n"/>
      <x:c r="T902" s="7" t="n"/>
      <x:c r="U902" s="7" t="n"/>
      <x:c r="V902" s="7" t="n"/>
      <x:c r="W902" s="7" t="n"/>
      <x:c r="X902" s="7" t="n"/>
      <x:c r="Y902" s="7" t="n"/>
      <x:c r="Z902" s="7" t="n"/>
      <x:c r="AA902" s="7" t="n"/>
      <x:c r="AB902" s="7" t="n"/>
    </x:row>
    <x:row r="903" ht="20" customHeight="1">
      <x:c r="A903" s="12" t="inlineStr">
        <x:is>
          <x:t xml:space="preserve">Oakland Unified School District</x:t>
        </x:is>
      </x:c>
      <x:c r="B903" s="12" t="inlineStr">
        <x:is>
          <x:t xml:space="preserve">CA</x:t>
        </x:is>
      </x:c>
      <x:c r="C903" s="12" t="inlineStr">
        <x:is>
          <x:t xml:space="preserve">Master's</x:t>
        </x:is>
      </x:c>
      <x:c r="D903" s="13" t="n">
        <x:v>10</x:v>
      </x:c>
      <x:c r="E903" s="14" t="n">
        <x:v>79437</x:v>
      </x:c>
      <x:c r="F903" s="83" t="inlineStr">
        <x:is>
          <x:t xml:space="preserve">2026-06-10</x:t>
        </x:is>
      </x:c>
      <x:c r="G903" s="7" t="n"/>
      <x:c r="H903" s="7" t="n"/>
      <x:c r="I903" s="7" t="n"/>
      <x:c r="J903" s="7" t="n"/>
      <x:c r="K903" s="7" t="n"/>
      <x:c r="L903" s="7" t="n"/>
      <x:c r="M903" s="7" t="n"/>
      <x:c r="N903" s="7" t="n"/>
      <x:c r="O903" s="7" t="n"/>
      <x:c r="P903" s="7" t="n"/>
      <x:c r="Q903" s="7" t="n"/>
      <x:c r="R903" s="7" t="n"/>
      <x:c r="S903" s="7" t="n"/>
      <x:c r="T903" s="7" t="n"/>
      <x:c r="U903" s="7" t="n"/>
      <x:c r="V903" s="7" t="n"/>
      <x:c r="W903" s="7" t="n"/>
      <x:c r="X903" s="7" t="n"/>
      <x:c r="Y903" s="7" t="n"/>
      <x:c r="Z903" s="7" t="n"/>
      <x:c r="AA903" s="7" t="n"/>
      <x:c r="AB903" s="7" t="n"/>
    </x:row>
    <x:row r="904" ht="20" customHeight="1">
      <x:c r="A904" s="17" t="inlineStr">
        <x:is>
          <x:t xml:space="preserve">Ocean Springs School District</x:t>
        </x:is>
      </x:c>
      <x:c r="B904" s="17" t="inlineStr">
        <x:is>
          <x:t xml:space="preserve">MS</x:t>
        </x:is>
      </x:c>
      <x:c r="C904" s="17" t="inlineStr">
        <x:is>
          <x:t xml:space="preserve">Bachelor's</x:t>
        </x:is>
      </x:c>
      <x:c r="D904" s="40" t="n">
        <x:v>0</x:v>
      </x:c>
      <x:c r="E904" s="38" t="n">
        <x:v>48200</x:v>
      </x:c>
      <x:c r="F904" s="84" t="inlineStr">
        <x:is>
          <x:t xml:space="preserve">2026-06-13</x:t>
        </x:is>
      </x:c>
    </x:row>
    <x:row r="905" ht="20" customHeight="1">
      <x:c r="A905" s="17" t="inlineStr">
        <x:is>
          <x:t xml:space="preserve">Ocean Springs School District</x:t>
        </x:is>
      </x:c>
      <x:c r="B905" s="17" t="inlineStr">
        <x:is>
          <x:t xml:space="preserve">MS</x:t>
        </x:is>
      </x:c>
      <x:c r="C905" s="17" t="inlineStr">
        <x:is>
          <x:t xml:space="preserve">Bachelor's</x:t>
        </x:is>
      </x:c>
      <x:c r="D905" s="40" t="n">
        <x:v>1</x:v>
      </x:c>
      <x:c r="E905" s="38" t="n">
        <x:v>48620</x:v>
      </x:c>
      <x:c r="F905" s="84" t="inlineStr">
        <x:is>
          <x:t xml:space="preserve">2026-06-13</x:t>
        </x:is>
      </x:c>
    </x:row>
    <x:row r="906" ht="20" customHeight="1">
      <x:c r="A906" s="17" t="inlineStr">
        <x:is>
          <x:t xml:space="preserve">Ocean Springs School District</x:t>
        </x:is>
      </x:c>
      <x:c r="B906" s="17" t="inlineStr">
        <x:is>
          <x:t xml:space="preserve">MS</x:t>
        </x:is>
      </x:c>
      <x:c r="C906" s="17" t="inlineStr">
        <x:is>
          <x:t xml:space="preserve">Bachelor's</x:t>
        </x:is>
      </x:c>
      <x:c r="D906" s="40" t="n">
        <x:v>2</x:v>
      </x:c>
      <x:c r="E906" s="38" t="n">
        <x:v>49040</x:v>
      </x:c>
      <x:c r="F906" s="84" t="inlineStr">
        <x:is>
          <x:t xml:space="preserve">2026-06-13</x:t>
        </x:is>
      </x:c>
    </x:row>
    <x:row r="907" ht="20" customHeight="1">
      <x:c r="A907" s="17" t="inlineStr">
        <x:is>
          <x:t xml:space="preserve">Ocean Springs School District</x:t>
        </x:is>
      </x:c>
      <x:c r="B907" s="17" t="inlineStr">
        <x:is>
          <x:t xml:space="preserve">MS</x:t>
        </x:is>
      </x:c>
      <x:c r="C907" s="17" t="inlineStr">
        <x:is>
          <x:t xml:space="preserve">Bachelor's</x:t>
        </x:is>
      </x:c>
      <x:c r="D907" s="40" t="n">
        <x:v>3</x:v>
      </x:c>
      <x:c r="E907" s="38" t="n">
        <x:v>49460</x:v>
      </x:c>
      <x:c r="F907" s="84" t="inlineStr">
        <x:is>
          <x:t xml:space="preserve">2026-06-13</x:t>
        </x:is>
      </x:c>
    </x:row>
    <x:row r="908" ht="20" customHeight="1">
      <x:c r="A908" s="17" t="inlineStr">
        <x:is>
          <x:t xml:space="preserve">Ocean Springs School District</x:t>
        </x:is>
      </x:c>
      <x:c r="B908" s="17" t="inlineStr">
        <x:is>
          <x:t xml:space="preserve">MS</x:t>
        </x:is>
      </x:c>
      <x:c r="C908" s="17" t="inlineStr">
        <x:is>
          <x:t xml:space="preserve">Bachelor's</x:t>
        </x:is>
      </x:c>
      <x:c r="D908" s="40" t="n">
        <x:v>4</x:v>
      </x:c>
      <x:c r="E908" s="38" t="n">
        <x:v>49880</x:v>
      </x:c>
      <x:c r="F908" s="84" t="inlineStr">
        <x:is>
          <x:t xml:space="preserve">2026-06-13</x:t>
        </x:is>
      </x:c>
    </x:row>
    <x:row r="909" ht="20" customHeight="1">
      <x:c r="A909" s="17" t="inlineStr">
        <x:is>
          <x:t xml:space="preserve">Ocean Springs School District</x:t>
        </x:is>
      </x:c>
      <x:c r="B909" s="17" t="inlineStr">
        <x:is>
          <x:t xml:space="preserve">MS</x:t>
        </x:is>
      </x:c>
      <x:c r="C909" s="17" t="inlineStr">
        <x:is>
          <x:t xml:space="preserve">Bachelor's</x:t>
        </x:is>
      </x:c>
      <x:c r="D909" s="40" t="n">
        <x:v>5</x:v>
      </x:c>
      <x:c r="E909" s="38" t="n">
        <x:v>51100</x:v>
      </x:c>
      <x:c r="F909" s="84" t="inlineStr">
        <x:is>
          <x:t xml:space="preserve">2026-06-13</x:t>
        </x:is>
      </x:c>
    </x:row>
    <x:row r="910" ht="20" customHeight="1">
      <x:c r="A910" s="17" t="inlineStr">
        <x:is>
          <x:t xml:space="preserve">Ocean Springs School District</x:t>
        </x:is>
      </x:c>
      <x:c r="B910" s="17" t="inlineStr">
        <x:is>
          <x:t xml:space="preserve">MS</x:t>
        </x:is>
      </x:c>
      <x:c r="C910" s="17" t="inlineStr">
        <x:is>
          <x:t xml:space="preserve">Bachelor's</x:t>
        </x:is>
      </x:c>
      <x:c r="D910" s="40" t="n">
        <x:v>6</x:v>
      </x:c>
      <x:c r="E910" s="38" t="n">
        <x:v>51520</x:v>
      </x:c>
      <x:c r="F910" s="84" t="inlineStr">
        <x:is>
          <x:t xml:space="preserve">2026-06-13</x:t>
        </x:is>
      </x:c>
    </x:row>
    <x:row r="911" ht="20" customHeight="1">
      <x:c r="A911" s="17" t="inlineStr">
        <x:is>
          <x:t xml:space="preserve">Ocean Springs School District</x:t>
        </x:is>
      </x:c>
      <x:c r="B911" s="17" t="inlineStr">
        <x:is>
          <x:t xml:space="preserve">MS</x:t>
        </x:is>
      </x:c>
      <x:c r="C911" s="17" t="inlineStr">
        <x:is>
          <x:t xml:space="preserve">Bachelor's</x:t>
        </x:is>
      </x:c>
      <x:c r="D911" s="40" t="n">
        <x:v>7</x:v>
      </x:c>
      <x:c r="E911" s="38" t="n">
        <x:v>51940</x:v>
      </x:c>
      <x:c r="F911" s="84" t="inlineStr">
        <x:is>
          <x:t xml:space="preserve">2026-06-13</x:t>
        </x:is>
      </x:c>
    </x:row>
    <x:row r="912" ht="20" customHeight="1">
      <x:c r="A912" s="17" t="inlineStr">
        <x:is>
          <x:t xml:space="preserve">Ocean Springs School District</x:t>
        </x:is>
      </x:c>
      <x:c r="B912" s="17" t="inlineStr">
        <x:is>
          <x:t xml:space="preserve">MS</x:t>
        </x:is>
      </x:c>
      <x:c r="C912" s="17" t="inlineStr">
        <x:is>
          <x:t xml:space="preserve">Bachelor's</x:t>
        </x:is>
      </x:c>
      <x:c r="D912" s="40" t="n">
        <x:v>8</x:v>
      </x:c>
      <x:c r="E912" s="38" t="n">
        <x:v>52360</x:v>
      </x:c>
      <x:c r="F912" s="84" t="inlineStr">
        <x:is>
          <x:t xml:space="preserve">2026-06-13</x:t>
        </x:is>
      </x:c>
    </x:row>
    <x:row r="913" ht="20" customHeight="1">
      <x:c r="A913" s="17" t="inlineStr">
        <x:is>
          <x:t xml:space="preserve">Ocean Springs School District</x:t>
        </x:is>
      </x:c>
      <x:c r="B913" s="17" t="inlineStr">
        <x:is>
          <x:t xml:space="preserve">MS</x:t>
        </x:is>
      </x:c>
      <x:c r="C913" s="17" t="inlineStr">
        <x:is>
          <x:t xml:space="preserve">Bachelor's</x:t>
        </x:is>
      </x:c>
      <x:c r="D913" s="40" t="n">
        <x:v>9</x:v>
      </x:c>
      <x:c r="E913" s="38" t="n">
        <x:v>52780</x:v>
      </x:c>
      <x:c r="F913" s="84" t="inlineStr">
        <x:is>
          <x:t xml:space="preserve">2026-06-13</x:t>
        </x:is>
      </x:c>
    </x:row>
    <x:row r="914" ht="20" customHeight="1">
      <x:c r="A914" s="17" t="inlineStr">
        <x:is>
          <x:t xml:space="preserve">Ocean Springs School District</x:t>
        </x:is>
      </x:c>
      <x:c r="B914" s="17" t="inlineStr">
        <x:is>
          <x:t xml:space="preserve">MS</x:t>
        </x:is>
      </x:c>
      <x:c r="C914" s="17" t="inlineStr">
        <x:is>
          <x:t xml:space="preserve">Bachelor's</x:t>
        </x:is>
      </x:c>
      <x:c r="D914" s="40" t="n">
        <x:v>10</x:v>
      </x:c>
      <x:c r="E914" s="38" t="n">
        <x:v>54000</x:v>
      </x:c>
      <x:c r="F914" s="84" t="inlineStr">
        <x:is>
          <x:t xml:space="preserve">2026-06-13</x:t>
        </x:is>
      </x:c>
    </x:row>
    <x:row r="915" ht="20" customHeight="1">
      <x:c r="A915" s="17" t="inlineStr">
        <x:is>
          <x:t xml:space="preserve">Ocean Springs School District</x:t>
        </x:is>
      </x:c>
      <x:c r="B915" s="17" t="inlineStr">
        <x:is>
          <x:t xml:space="preserve">MS</x:t>
        </x:is>
      </x:c>
      <x:c r="C915" s="17" t="inlineStr">
        <x:is>
          <x:t xml:space="preserve">Master's</x:t>
        </x:is>
      </x:c>
      <x:c r="D915" s="40" t="n">
        <x:v>0</x:v>
      </x:c>
      <x:c r="E915" s="38" t="n">
        <x:v>49900</x:v>
      </x:c>
      <x:c r="F915" s="84" t="inlineStr">
        <x:is>
          <x:t xml:space="preserve">2026-06-13</x:t>
        </x:is>
      </x:c>
    </x:row>
    <x:row r="916" ht="20" customHeight="1">
      <x:c r="A916" s="17" t="inlineStr">
        <x:is>
          <x:t xml:space="preserve">Ocean Springs School District</x:t>
        </x:is>
      </x:c>
      <x:c r="B916" s="17" t="inlineStr">
        <x:is>
          <x:t xml:space="preserve">MS</x:t>
        </x:is>
      </x:c>
      <x:c r="C916" s="17" t="inlineStr">
        <x:is>
          <x:t xml:space="preserve">Master's</x:t>
        </x:is>
      </x:c>
      <x:c r="D916" s="40" t="n">
        <x:v>1</x:v>
      </x:c>
      <x:c r="E916" s="38" t="n">
        <x:v>50450</x:v>
      </x:c>
      <x:c r="F916" s="84" t="inlineStr">
        <x:is>
          <x:t xml:space="preserve">2026-06-13</x:t>
        </x:is>
      </x:c>
    </x:row>
    <x:row r="917" ht="20" customHeight="1">
      <x:c r="A917" s="17" t="inlineStr">
        <x:is>
          <x:t xml:space="preserve">Ocean Springs School District</x:t>
        </x:is>
      </x:c>
      <x:c r="B917" s="17" t="inlineStr">
        <x:is>
          <x:t xml:space="preserve">MS</x:t>
        </x:is>
      </x:c>
      <x:c r="C917" s="17" t="inlineStr">
        <x:is>
          <x:t xml:space="preserve">Master's</x:t>
        </x:is>
      </x:c>
      <x:c r="D917" s="40" t="n">
        <x:v>2</x:v>
      </x:c>
      <x:c r="E917" s="38" t="n">
        <x:v>51000</x:v>
      </x:c>
      <x:c r="F917" s="84" t="inlineStr">
        <x:is>
          <x:t xml:space="preserve">2026-06-13</x:t>
        </x:is>
      </x:c>
    </x:row>
    <x:row r="918" ht="20" customHeight="1">
      <x:c r="A918" s="17" t="inlineStr">
        <x:is>
          <x:t xml:space="preserve">Ocean Springs School District</x:t>
        </x:is>
      </x:c>
      <x:c r="B918" s="17" t="inlineStr">
        <x:is>
          <x:t xml:space="preserve">MS</x:t>
        </x:is>
      </x:c>
      <x:c r="C918" s="17" t="inlineStr">
        <x:is>
          <x:t xml:space="preserve">Master's</x:t>
        </x:is>
      </x:c>
      <x:c r="D918" s="40" t="n">
        <x:v>3</x:v>
      </x:c>
      <x:c r="E918" s="38" t="n">
        <x:v>51550</x:v>
      </x:c>
      <x:c r="F918" s="84" t="inlineStr">
        <x:is>
          <x:t xml:space="preserve">2026-06-13</x:t>
        </x:is>
      </x:c>
    </x:row>
    <x:row r="919" ht="20" customHeight="1">
      <x:c r="A919" s="17" t="inlineStr">
        <x:is>
          <x:t xml:space="preserve">Ocean Springs School District</x:t>
        </x:is>
      </x:c>
      <x:c r="B919" s="17" t="inlineStr">
        <x:is>
          <x:t xml:space="preserve">MS</x:t>
        </x:is>
      </x:c>
      <x:c r="C919" s="17" t="inlineStr">
        <x:is>
          <x:t xml:space="preserve">Master's</x:t>
        </x:is>
      </x:c>
      <x:c r="D919" s="40" t="n">
        <x:v>4</x:v>
      </x:c>
      <x:c r="E919" s="38" t="n">
        <x:v>52100</x:v>
      </x:c>
      <x:c r="F919" s="84" t="inlineStr">
        <x:is>
          <x:t xml:space="preserve">2026-06-13</x:t>
        </x:is>
      </x:c>
    </x:row>
    <x:row r="920" ht="20" customHeight="1">
      <x:c r="A920" s="17" t="inlineStr">
        <x:is>
          <x:t xml:space="preserve">Ocean Springs School District</x:t>
        </x:is>
      </x:c>
      <x:c r="B920" s="17" t="inlineStr">
        <x:is>
          <x:t xml:space="preserve">MS</x:t>
        </x:is>
      </x:c>
      <x:c r="C920" s="17" t="inlineStr">
        <x:is>
          <x:t xml:space="preserve">Master's</x:t>
        </x:is>
      </x:c>
      <x:c r="D920" s="40" t="n">
        <x:v>5</x:v>
      </x:c>
      <x:c r="E920" s="38" t="n">
        <x:v>53375</x:v>
      </x:c>
      <x:c r="F920" s="84" t="inlineStr">
        <x:is>
          <x:t xml:space="preserve">2026-06-13</x:t>
        </x:is>
      </x:c>
    </x:row>
    <x:row r="921" ht="20" customHeight="1">
      <x:c r="A921" s="17" t="inlineStr">
        <x:is>
          <x:t xml:space="preserve">Ocean Springs School District</x:t>
        </x:is>
      </x:c>
      <x:c r="B921" s="17" t="inlineStr">
        <x:is>
          <x:t xml:space="preserve">MS</x:t>
        </x:is>
      </x:c>
      <x:c r="C921" s="17" t="inlineStr">
        <x:is>
          <x:t xml:space="preserve">Master's</x:t>
        </x:is>
      </x:c>
      <x:c r="D921" s="40" t="n">
        <x:v>6</x:v>
      </x:c>
      <x:c r="E921" s="38" t="n">
        <x:v>53925</x:v>
      </x:c>
      <x:c r="F921" s="84" t="inlineStr">
        <x:is>
          <x:t xml:space="preserve">2026-06-13</x:t>
        </x:is>
      </x:c>
    </x:row>
    <x:row r="922" ht="20" customHeight="1">
      <x:c r="A922" s="17" t="inlineStr">
        <x:is>
          <x:t xml:space="preserve">Ocean Springs School District</x:t>
        </x:is>
      </x:c>
      <x:c r="B922" s="17" t="inlineStr">
        <x:is>
          <x:t xml:space="preserve">MS</x:t>
        </x:is>
      </x:c>
      <x:c r="C922" s="17" t="inlineStr">
        <x:is>
          <x:t xml:space="preserve">Master's</x:t>
        </x:is>
      </x:c>
      <x:c r="D922" s="40" t="n">
        <x:v>7</x:v>
      </x:c>
      <x:c r="E922" s="38" t="n">
        <x:v>54475</x:v>
      </x:c>
      <x:c r="F922" s="84" t="inlineStr">
        <x:is>
          <x:t xml:space="preserve">2026-06-13</x:t>
        </x:is>
      </x:c>
    </x:row>
    <x:row r="923" ht="20" customHeight="1">
      <x:c r="A923" s="17" t="inlineStr">
        <x:is>
          <x:t xml:space="preserve">Ocean Springs School District</x:t>
        </x:is>
      </x:c>
      <x:c r="B923" s="17" t="inlineStr">
        <x:is>
          <x:t xml:space="preserve">MS</x:t>
        </x:is>
      </x:c>
      <x:c r="C923" s="17" t="inlineStr">
        <x:is>
          <x:t xml:space="preserve">Master's</x:t>
        </x:is>
      </x:c>
      <x:c r="D923" s="40" t="n">
        <x:v>8</x:v>
      </x:c>
      <x:c r="E923" s="38" t="n">
        <x:v>55025</x:v>
      </x:c>
      <x:c r="F923" s="84" t="inlineStr">
        <x:is>
          <x:t xml:space="preserve">2026-06-13</x:t>
        </x:is>
      </x:c>
    </x:row>
    <x:row r="924" ht="20" customHeight="1">
      <x:c r="A924" s="17" t="inlineStr">
        <x:is>
          <x:t xml:space="preserve">Ocean Springs School District</x:t>
        </x:is>
      </x:c>
      <x:c r="B924" s="17" t="inlineStr">
        <x:is>
          <x:t xml:space="preserve">MS</x:t>
        </x:is>
      </x:c>
      <x:c r="C924" s="17" t="inlineStr">
        <x:is>
          <x:t xml:space="preserve">Master's</x:t>
        </x:is>
      </x:c>
      <x:c r="D924" s="40" t="n">
        <x:v>9</x:v>
      </x:c>
      <x:c r="E924" s="38" t="n">
        <x:v>55575</x:v>
      </x:c>
      <x:c r="F924" s="84" t="inlineStr">
        <x:is>
          <x:t xml:space="preserve">2026-06-13</x:t>
        </x:is>
      </x:c>
    </x:row>
    <x:row r="925" ht="20" customHeight="1">
      <x:c r="A925" s="17" t="inlineStr">
        <x:is>
          <x:t xml:space="preserve">Ocean Springs School District</x:t>
        </x:is>
      </x:c>
      <x:c r="B925" s="17" t="inlineStr">
        <x:is>
          <x:t xml:space="preserve">MS</x:t>
        </x:is>
      </x:c>
      <x:c r="C925" s="17" t="inlineStr">
        <x:is>
          <x:t xml:space="preserve">Master's</x:t>
        </x:is>
      </x:c>
      <x:c r="D925" s="40" t="n">
        <x:v>10</x:v>
      </x:c>
      <x:c r="E925" s="38" t="n">
        <x:v>56850</x:v>
      </x:c>
      <x:c r="F925" s="84" t="inlineStr">
        <x:is>
          <x:t xml:space="preserve">2026-06-13</x:t>
        </x:is>
      </x:c>
    </x:row>
    <x:row r="926" ht="20" customHeight="1">
      <x:c r="A926" s="17" t="inlineStr">
        <x:is>
          <x:t xml:space="preserve">Oxnard Union High School District</x:t>
        </x:is>
      </x:c>
      <x:c r="B926" s="17" t="inlineStr">
        <x:is>
          <x:t xml:space="preserve">CA</x:t>
        </x:is>
      </x:c>
      <x:c r="C926" s="17" t="inlineStr">
        <x:is>
          <x:t xml:space="preserve">Bachelor's</x:t>
        </x:is>
      </x:c>
      <x:c r="D926" s="40" t="n">
        <x:v>0</x:v>
      </x:c>
      <x:c r="E926" s="38" t="n">
        <x:v>70895</x:v>
      </x:c>
      <x:c r="F926" s="84" t="inlineStr">
        <x:is>
          <x:t xml:space="preserve">2026-06-10</x:t>
        </x:is>
      </x:c>
    </x:row>
    <x:row r="927" ht="20" customHeight="1">
      <x:c r="A927" s="17" t="inlineStr">
        <x:is>
          <x:t xml:space="preserve">Oxnard Union High School District</x:t>
        </x:is>
      </x:c>
      <x:c r="B927" s="17" t="inlineStr">
        <x:is>
          <x:t xml:space="preserve">CA</x:t>
        </x:is>
      </x:c>
      <x:c r="C927" s="17" t="inlineStr">
        <x:is>
          <x:t xml:space="preserve">Bachelor's</x:t>
        </x:is>
      </x:c>
      <x:c r="D927" s="40" t="n">
        <x:v>1</x:v>
      </x:c>
      <x:c r="E927" s="38" t="n">
        <x:v>70895</x:v>
      </x:c>
      <x:c r="F927" s="84" t="inlineStr">
        <x:is>
          <x:t xml:space="preserve">2026-06-10</x:t>
        </x:is>
      </x:c>
    </x:row>
    <x:row r="928" ht="20" customHeight="1">
      <x:c r="A928" s="17" t="inlineStr">
        <x:is>
          <x:t xml:space="preserve">Oxnard Union High School District</x:t>
        </x:is>
      </x:c>
      <x:c r="B928" s="17" t="inlineStr">
        <x:is>
          <x:t xml:space="preserve">CA</x:t>
        </x:is>
      </x:c>
      <x:c r="C928" s="17" t="inlineStr">
        <x:is>
          <x:t xml:space="preserve">Bachelor's</x:t>
        </x:is>
      </x:c>
      <x:c r="D928" s="40" t="n">
        <x:v>2</x:v>
      </x:c>
      <x:c r="E928" s="38" t="n">
        <x:v>70895</x:v>
      </x:c>
      <x:c r="F928" s="84" t="inlineStr">
        <x:is>
          <x:t xml:space="preserve">2026-06-10</x:t>
        </x:is>
      </x:c>
    </x:row>
    <x:row r="929" ht="20" customHeight="1">
      <x:c r="A929" s="17" t="inlineStr">
        <x:is>
          <x:t xml:space="preserve">Oxnard Union High School District</x:t>
        </x:is>
      </x:c>
      <x:c r="B929" s="17" t="inlineStr">
        <x:is>
          <x:t xml:space="preserve">CA</x:t>
        </x:is>
      </x:c>
      <x:c r="C929" s="17" t="inlineStr">
        <x:is>
          <x:t xml:space="preserve">Bachelor's</x:t>
        </x:is>
      </x:c>
      <x:c r="D929" s="40" t="n">
        <x:v>3</x:v>
      </x:c>
      <x:c r="E929" s="38" t="n">
        <x:v>74858</x:v>
      </x:c>
      <x:c r="F929" s="84" t="inlineStr">
        <x:is>
          <x:t xml:space="preserve">2026-06-10</x:t>
        </x:is>
      </x:c>
    </x:row>
    <x:row r="930" ht="20" customHeight="1">
      <x:c r="A930" s="17" t="inlineStr">
        <x:is>
          <x:t xml:space="preserve">Oxnard Union High School District</x:t>
        </x:is>
      </x:c>
      <x:c r="B930" s="17" t="inlineStr">
        <x:is>
          <x:t xml:space="preserve">CA</x:t>
        </x:is>
      </x:c>
      <x:c r="C930" s="17" t="inlineStr">
        <x:is>
          <x:t xml:space="preserve">Bachelor's</x:t>
        </x:is>
      </x:c>
      <x:c r="D930" s="40" t="n">
        <x:v>4</x:v>
      </x:c>
      <x:c r="E930" s="38" t="n">
        <x:v>79593</x:v>
      </x:c>
      <x:c r="F930" s="84" t="inlineStr">
        <x:is>
          <x:t xml:space="preserve">2026-06-10</x:t>
        </x:is>
      </x:c>
    </x:row>
    <x:row r="931" ht="20" customHeight="1">
      <x:c r="A931" s="17" t="inlineStr">
        <x:is>
          <x:t xml:space="preserve">Oxnard Union High School District</x:t>
        </x:is>
      </x:c>
      <x:c r="B931" s="17" t="inlineStr">
        <x:is>
          <x:t xml:space="preserve">CA</x:t>
        </x:is>
      </x:c>
      <x:c r="C931" s="17" t="inlineStr">
        <x:is>
          <x:t xml:space="preserve">Bachelor's</x:t>
        </x:is>
      </x:c>
      <x:c r="D931" s="40" t="n">
        <x:v>5</x:v>
      </x:c>
      <x:c r="E931" s="38" t="n">
        <x:v>84354</x:v>
      </x:c>
      <x:c r="F931" s="84" t="inlineStr">
        <x:is>
          <x:t xml:space="preserve">2026-06-10</x:t>
        </x:is>
      </x:c>
    </x:row>
    <x:row r="932" ht="20" customHeight="1">
      <x:c r="A932" s="17" t="inlineStr">
        <x:is>
          <x:t xml:space="preserve">Oxnard Union High School District</x:t>
        </x:is>
      </x:c>
      <x:c r="B932" s="17" t="inlineStr">
        <x:is>
          <x:t xml:space="preserve">CA</x:t>
        </x:is>
      </x:c>
      <x:c r="C932" s="17" t="inlineStr">
        <x:is>
          <x:t xml:space="preserve">Bachelor's</x:t>
        </x:is>
      </x:c>
      <x:c r="D932" s="40" t="n">
        <x:v>6</x:v>
      </x:c>
      <x:c r="E932" s="38" t="n">
        <x:v>89096</x:v>
      </x:c>
      <x:c r="F932" s="84" t="inlineStr">
        <x:is>
          <x:t xml:space="preserve">2026-06-10</x:t>
        </x:is>
      </x:c>
    </x:row>
    <x:row r="933" ht="20" customHeight="1">
      <x:c r="A933" s="17" t="inlineStr">
        <x:is>
          <x:t xml:space="preserve">Oxnard Union High School District</x:t>
        </x:is>
      </x:c>
      <x:c r="B933" s="17" t="inlineStr">
        <x:is>
          <x:t xml:space="preserve">CA</x:t>
        </x:is>
      </x:c>
      <x:c r="C933" s="17" t="inlineStr">
        <x:is>
          <x:t xml:space="preserve">Bachelor's</x:t>
        </x:is>
      </x:c>
      <x:c r="D933" s="40" t="n">
        <x:v>7</x:v>
      </x:c>
      <x:c r="E933" s="38" t="n">
        <x:v>93674</x:v>
      </x:c>
      <x:c r="F933" s="84" t="inlineStr">
        <x:is>
          <x:t xml:space="preserve">2026-06-10</x:t>
        </x:is>
      </x:c>
    </x:row>
    <x:row r="934" ht="20" customHeight="1">
      <x:c r="A934" s="17" t="inlineStr">
        <x:is>
          <x:t xml:space="preserve">Oxnard Union High School District</x:t>
        </x:is>
      </x:c>
      <x:c r="B934" s="17" t="inlineStr">
        <x:is>
          <x:t xml:space="preserve">CA</x:t>
        </x:is>
      </x:c>
      <x:c r="C934" s="17" t="inlineStr">
        <x:is>
          <x:t xml:space="preserve">Bachelor's</x:t>
        </x:is>
      </x:c>
      <x:c r="D934" s="40" t="n">
        <x:v>8</x:v>
      </x:c>
      <x:c r="E934" s="38" t="n">
        <x:v>93674</x:v>
      </x:c>
      <x:c r="F934" s="84" t="inlineStr">
        <x:is>
          <x:t xml:space="preserve">2026-06-10</x:t>
        </x:is>
      </x:c>
    </x:row>
    <x:row r="935" ht="20" customHeight="1">
      <x:c r="A935" s="17" t="inlineStr">
        <x:is>
          <x:t xml:space="preserve">Oxnard Union High School District</x:t>
        </x:is>
      </x:c>
      <x:c r="B935" s="17" t="inlineStr">
        <x:is>
          <x:t xml:space="preserve">CA</x:t>
        </x:is>
      </x:c>
      <x:c r="C935" s="17" t="inlineStr">
        <x:is>
          <x:t xml:space="preserve">Bachelor's</x:t>
        </x:is>
      </x:c>
      <x:c r="D935" s="40" t="n">
        <x:v>9</x:v>
      </x:c>
      <x:c r="E935" s="38" t="n">
        <x:v>93674</x:v>
      </x:c>
      <x:c r="F935" s="84" t="inlineStr">
        <x:is>
          <x:t xml:space="preserve">2026-06-10</x:t>
        </x:is>
      </x:c>
    </x:row>
    <x:row r="936" ht="20" customHeight="1">
      <x:c r="A936" s="17" t="inlineStr">
        <x:is>
          <x:t xml:space="preserve">Oxnard Union High School District</x:t>
        </x:is>
      </x:c>
      <x:c r="B936" s="17" t="inlineStr">
        <x:is>
          <x:t xml:space="preserve">CA</x:t>
        </x:is>
      </x:c>
      <x:c r="C936" s="17" t="inlineStr">
        <x:is>
          <x:t xml:space="preserve">Bachelor's</x:t>
        </x:is>
      </x:c>
      <x:c r="D936" s="40" t="n">
        <x:v>10</x:v>
      </x:c>
      <x:c r="E936" s="38" t="n">
        <x:v>93674</x:v>
      </x:c>
      <x:c r="F936" s="84" t="inlineStr">
        <x:is>
          <x:t xml:space="preserve">2026-06-10</x:t>
        </x:is>
      </x:c>
    </x:row>
    <x:row r="937" ht="20" customHeight="1">
      <x:c r="A937" s="17" t="inlineStr">
        <x:is>
          <x:t xml:space="preserve">Oxnard Union High School District</x:t>
        </x:is>
      </x:c>
      <x:c r="B937" s="17" t="inlineStr">
        <x:is>
          <x:t xml:space="preserve">CA</x:t>
        </x:is>
      </x:c>
      <x:c r="C937" s="17" t="inlineStr">
        <x:is>
          <x:t xml:space="preserve">Master's</x:t>
        </x:is>
      </x:c>
      <x:c r="D937" s="40" t="n">
        <x:v>0</x:v>
      </x:c>
      <x:c r="E937" s="38" t="n">
        <x:v>71739</x:v>
      </x:c>
      <x:c r="F937" s="84" t="inlineStr">
        <x:is>
          <x:t xml:space="preserve">2026-06-10</x:t>
        </x:is>
      </x:c>
    </x:row>
    <x:row r="938" ht="20" customHeight="1">
      <x:c r="A938" s="17" t="inlineStr">
        <x:is>
          <x:t xml:space="preserve">Oxnard Union High School District</x:t>
        </x:is>
      </x:c>
      <x:c r="B938" s="17" t="inlineStr">
        <x:is>
          <x:t xml:space="preserve">CA</x:t>
        </x:is>
      </x:c>
      <x:c r="C938" s="17" t="inlineStr">
        <x:is>
          <x:t xml:space="preserve">Master's</x:t>
        </x:is>
      </x:c>
      <x:c r="D938" s="40" t="n">
        <x:v>1</x:v>
      </x:c>
      <x:c r="E938" s="38" t="n">
        <x:v>71739</x:v>
      </x:c>
      <x:c r="F938" s="84" t="inlineStr">
        <x:is>
          <x:t xml:space="preserve">2026-06-10</x:t>
        </x:is>
      </x:c>
    </x:row>
    <x:row r="939" ht="20" customHeight="1">
      <x:c r="A939" s="17" t="inlineStr">
        <x:is>
          <x:t xml:space="preserve">Oxnard Union High School District</x:t>
        </x:is>
      </x:c>
      <x:c r="B939" s="17" t="inlineStr">
        <x:is>
          <x:t xml:space="preserve">CA</x:t>
        </x:is>
      </x:c>
      <x:c r="C939" s="17" t="inlineStr">
        <x:is>
          <x:t xml:space="preserve">Master's</x:t>
        </x:is>
      </x:c>
      <x:c r="D939" s="40" t="n">
        <x:v>2</x:v>
      </x:c>
      <x:c r="E939" s="38" t="n">
        <x:v>76492</x:v>
      </x:c>
      <x:c r="F939" s="84" t="inlineStr">
        <x:is>
          <x:t xml:space="preserve">2026-06-10</x:t>
        </x:is>
      </x:c>
    </x:row>
    <x:row r="940" ht="20" customHeight="1">
      <x:c r="A940" s="17" t="inlineStr">
        <x:is>
          <x:t xml:space="preserve">Oxnard Union High School District</x:t>
        </x:is>
      </x:c>
      <x:c r="B940" s="17" t="inlineStr">
        <x:is>
          <x:t xml:space="preserve">CA</x:t>
        </x:is>
      </x:c>
      <x:c r="C940" s="17" t="inlineStr">
        <x:is>
          <x:t xml:space="preserve">Master's</x:t>
        </x:is>
      </x:c>
      <x:c r="D940" s="40" t="n">
        <x:v>3</x:v>
      </x:c>
      <x:c r="E940" s="38" t="n">
        <x:v>81242</x:v>
      </x:c>
      <x:c r="F940" s="84" t="inlineStr">
        <x:is>
          <x:t xml:space="preserve">2026-06-10</x:t>
        </x:is>
      </x:c>
    </x:row>
    <x:row r="941" ht="20" customHeight="1">
      <x:c r="A941" s="17" t="inlineStr">
        <x:is>
          <x:t xml:space="preserve">Oxnard Union High School District</x:t>
        </x:is>
      </x:c>
      <x:c r="B941" s="17" t="inlineStr">
        <x:is>
          <x:t xml:space="preserve">CA</x:t>
        </x:is>
      </x:c>
      <x:c r="C941" s="17" t="inlineStr">
        <x:is>
          <x:t xml:space="preserve">Master's</x:t>
        </x:is>
      </x:c>
      <x:c r="D941" s="40" t="n">
        <x:v>4</x:v>
      </x:c>
      <x:c r="E941" s="38" t="n">
        <x:v>85990</x:v>
      </x:c>
      <x:c r="F941" s="84" t="inlineStr">
        <x:is>
          <x:t xml:space="preserve">2026-06-10</x:t>
        </x:is>
      </x:c>
    </x:row>
    <x:row r="942" ht="20" customHeight="1">
      <x:c r="A942" s="17" t="inlineStr">
        <x:is>
          <x:t xml:space="preserve">Oxnard Union High School District</x:t>
        </x:is>
      </x:c>
      <x:c r="B942" s="17" t="inlineStr">
        <x:is>
          <x:t xml:space="preserve">CA</x:t>
        </x:is>
      </x:c>
      <x:c r="C942" s="17" t="inlineStr">
        <x:is>
          <x:t xml:space="preserve">Master's</x:t>
        </x:is>
      </x:c>
      <x:c r="D942" s="40" t="n">
        <x:v>5</x:v>
      </x:c>
      <x:c r="E942" s="38" t="n">
        <x:v>90740</x:v>
      </x:c>
      <x:c r="F942" s="84" t="inlineStr">
        <x:is>
          <x:t xml:space="preserve">2026-06-10</x:t>
        </x:is>
      </x:c>
    </x:row>
    <x:row r="943" ht="20" customHeight="1">
      <x:c r="A943" s="17" t="inlineStr">
        <x:is>
          <x:t xml:space="preserve">Oxnard Union High School District</x:t>
        </x:is>
      </x:c>
      <x:c r="B943" s="17" t="inlineStr">
        <x:is>
          <x:t xml:space="preserve">CA</x:t>
        </x:is>
      </x:c>
      <x:c r="C943" s="17" t="inlineStr">
        <x:is>
          <x:t xml:space="preserve">Master's</x:t>
        </x:is>
      </x:c>
      <x:c r="D943" s="40" t="n">
        <x:v>6</x:v>
      </x:c>
      <x:c r="E943" s="38" t="n">
        <x:v>95487</x:v>
      </x:c>
      <x:c r="F943" s="84" t="inlineStr">
        <x:is>
          <x:t xml:space="preserve">2026-06-10</x:t>
        </x:is>
      </x:c>
    </x:row>
    <x:row r="944" ht="20" customHeight="1">
      <x:c r="A944" s="17" t="inlineStr">
        <x:is>
          <x:t xml:space="preserve">Oxnard Union High School District</x:t>
        </x:is>
      </x:c>
      <x:c r="B944" s="17" t="inlineStr">
        <x:is>
          <x:t xml:space="preserve">CA</x:t>
        </x:is>
      </x:c>
      <x:c r="C944" s="17" t="inlineStr">
        <x:is>
          <x:t xml:space="preserve">Master's</x:t>
        </x:is>
      </x:c>
      <x:c r="D944" s="40" t="n">
        <x:v>7</x:v>
      </x:c>
      <x:c r="E944" s="38" t="n">
        <x:v>100231</x:v>
      </x:c>
      <x:c r="F944" s="84" t="inlineStr">
        <x:is>
          <x:t xml:space="preserve">2026-06-10</x:t>
        </x:is>
      </x:c>
    </x:row>
    <x:row r="945" ht="20" customHeight="1">
      <x:c r="A945" s="17" t="inlineStr">
        <x:is>
          <x:t xml:space="preserve">Oxnard Union High School District</x:t>
        </x:is>
      </x:c>
      <x:c r="B945" s="17" t="inlineStr">
        <x:is>
          <x:t xml:space="preserve">CA</x:t>
        </x:is>
      </x:c>
      <x:c r="C945" s="17" t="inlineStr">
        <x:is>
          <x:t xml:space="preserve">Master's</x:t>
        </x:is>
      </x:c>
      <x:c r="D945" s="40" t="n">
        <x:v>8</x:v>
      </x:c>
      <x:c r="E945" s="38" t="n">
        <x:v>104981</x:v>
      </x:c>
      <x:c r="F945" s="84" t="inlineStr">
        <x:is>
          <x:t xml:space="preserve">2026-06-10</x:t>
        </x:is>
      </x:c>
    </x:row>
    <x:row r="946" ht="20" customHeight="1">
      <x:c r="A946" s="17" t="inlineStr">
        <x:is>
          <x:t xml:space="preserve">Oxnard Union High School District</x:t>
        </x:is>
      </x:c>
      <x:c r="B946" s="17" t="inlineStr">
        <x:is>
          <x:t xml:space="preserve">CA</x:t>
        </x:is>
      </x:c>
      <x:c r="C946" s="17" t="inlineStr">
        <x:is>
          <x:t xml:space="preserve">Master's</x:t>
        </x:is>
      </x:c>
      <x:c r="D946" s="40" t="n">
        <x:v>9</x:v>
      </x:c>
      <x:c r="E946" s="38" t="n">
        <x:v>109731</x:v>
      </x:c>
      <x:c r="F946" s="84" t="inlineStr">
        <x:is>
          <x:t xml:space="preserve">2026-06-10</x:t>
        </x:is>
      </x:c>
    </x:row>
    <x:row r="947" ht="20" customHeight="1">
      <x:c r="A947" s="17" t="inlineStr">
        <x:is>
          <x:t xml:space="preserve">Oxnard Union High School District</x:t>
        </x:is>
      </x:c>
      <x:c r="B947" s="17" t="inlineStr">
        <x:is>
          <x:t xml:space="preserve">CA</x:t>
        </x:is>
      </x:c>
      <x:c r="C947" s="17" t="inlineStr">
        <x:is>
          <x:t xml:space="preserve">Master's</x:t>
        </x:is>
      </x:c>
      <x:c r="D947" s="40" t="n">
        <x:v>10</x:v>
      </x:c>
      <x:c r="E947" s="38" t="n">
        <x:v>114489</x:v>
      </x:c>
      <x:c r="F947" s="84" t="inlineStr">
        <x:is>
          <x:t xml:space="preserve">2026-06-10</x:t>
        </x:is>
      </x:c>
    </x:row>
    <x:row r="948" ht="20" customHeight="1">
      <x:c r="A948" t="inlineStr">
        <x:is>
          <x:t xml:space="preserve">Plano ISD</x:t>
        </x:is>
      </x:c>
      <x:c r="B948" t="inlineStr">
        <x:is>
          <x:t xml:space="preserve">TX</x:t>
        </x:is>
      </x:c>
      <x:c r="C948" t="inlineStr">
        <x:is>
          <x:t xml:space="preserve">Bachelor's</x:t>
        </x:is>
      </x:c>
      <x:c r="D948" t="n">
        <x:v>0</x:v>
      </x:c>
      <x:c r="E948" t="n">
        <x:v>64000</x:v>
      </x:c>
      <x:c r="F948" t="inlineStr">
        <x:is>
          <x:t xml:space="preserve">2026-06-16</x:t>
        </x:is>
      </x:c>
    </x:row>
    <x:row r="949" ht="20" customHeight="1">
      <x:c r="A949" t="inlineStr">
        <x:is>
          <x:t xml:space="preserve">Plano ISD</x:t>
        </x:is>
      </x:c>
      <x:c r="B949" t="inlineStr">
        <x:is>
          <x:t xml:space="preserve">TX</x:t>
        </x:is>
      </x:c>
      <x:c r="C949" t="inlineStr">
        <x:is>
          <x:t xml:space="preserve">Bachelor's</x:t>
        </x:is>
      </x:c>
      <x:c r="D949" t="n">
        <x:v>1</x:v>
      </x:c>
      <x:c r="E949" t="n">
        <x:v>64720</x:v>
      </x:c>
      <x:c r="F949" t="inlineStr">
        <x:is>
          <x:t xml:space="preserve">2026-06-16</x:t>
        </x:is>
      </x:c>
    </x:row>
    <x:row r="950" ht="20" customHeight="1">
      <x:c r="A950" t="inlineStr">
        <x:is>
          <x:t xml:space="preserve">Plano ISD</x:t>
        </x:is>
      </x:c>
      <x:c r="B950" t="inlineStr">
        <x:is>
          <x:t xml:space="preserve">TX</x:t>
        </x:is>
      </x:c>
      <x:c r="C950" t="inlineStr">
        <x:is>
          <x:t xml:space="preserve">Bachelor's</x:t>
        </x:is>
      </x:c>
      <x:c r="D950" t="n">
        <x:v>2</x:v>
      </x:c>
      <x:c r="E950" t="n">
        <x:v>65440</x:v>
      </x:c>
      <x:c r="F950" t="inlineStr">
        <x:is>
          <x:t xml:space="preserve">2026-06-16</x:t>
        </x:is>
      </x:c>
    </x:row>
    <x:row r="951" ht="20" customHeight="1">
      <x:c r="A951" t="inlineStr">
        <x:is>
          <x:t xml:space="preserve">Plano ISD</x:t>
        </x:is>
      </x:c>
      <x:c r="B951" t="inlineStr">
        <x:is>
          <x:t xml:space="preserve">TX</x:t>
        </x:is>
      </x:c>
      <x:c r="C951" t="inlineStr">
        <x:is>
          <x:t xml:space="preserve">Bachelor's</x:t>
        </x:is>
      </x:c>
      <x:c r="D951" t="n">
        <x:v>3</x:v>
      </x:c>
      <x:c r="E951" t="n">
        <x:v>66160</x:v>
      </x:c>
      <x:c r="F951" t="inlineStr">
        <x:is>
          <x:t xml:space="preserve">2026-06-16</x:t>
        </x:is>
      </x:c>
    </x:row>
    <x:row r="952" ht="20" customHeight="1">
      <x:c r="A952" t="inlineStr">
        <x:is>
          <x:t xml:space="preserve">Plano ISD</x:t>
        </x:is>
      </x:c>
      <x:c r="B952" t="inlineStr">
        <x:is>
          <x:t xml:space="preserve">TX</x:t>
        </x:is>
      </x:c>
      <x:c r="C952" t="inlineStr">
        <x:is>
          <x:t xml:space="preserve">Bachelor's</x:t>
        </x:is>
      </x:c>
      <x:c r="D952" t="n">
        <x:v>4</x:v>
      </x:c>
      <x:c r="E952" t="n">
        <x:v>66880</x:v>
      </x:c>
      <x:c r="F952" t="inlineStr">
        <x:is>
          <x:t xml:space="preserve">2026-06-16</x:t>
        </x:is>
      </x:c>
    </x:row>
    <x:row r="953" ht="20" customHeight="1">
      <x:c r="A953" t="inlineStr">
        <x:is>
          <x:t xml:space="preserve">Plano ISD</x:t>
        </x:is>
      </x:c>
      <x:c r="B953" t="inlineStr">
        <x:is>
          <x:t xml:space="preserve">TX</x:t>
        </x:is>
      </x:c>
      <x:c r="C953" t="inlineStr">
        <x:is>
          <x:t xml:space="preserve">Bachelor's</x:t>
        </x:is>
      </x:c>
      <x:c r="D953" t="n">
        <x:v>5</x:v>
      </x:c>
      <x:c r="E953" t="n">
        <x:v>67600</x:v>
      </x:c>
      <x:c r="F953" t="inlineStr">
        <x:is>
          <x:t xml:space="preserve">2026-06-16</x:t>
        </x:is>
      </x:c>
    </x:row>
    <x:row r="954" ht="20" customHeight="1">
      <x:c r="A954" t="inlineStr">
        <x:is>
          <x:t xml:space="preserve">Plano ISD</x:t>
        </x:is>
      </x:c>
      <x:c r="B954" t="inlineStr">
        <x:is>
          <x:t xml:space="preserve">TX</x:t>
        </x:is>
      </x:c>
      <x:c r="C954" t="inlineStr">
        <x:is>
          <x:t xml:space="preserve">Bachelor's</x:t>
        </x:is>
      </x:c>
      <x:c r="D954" t="n">
        <x:v>6</x:v>
      </x:c>
      <x:c r="E954" t="n">
        <x:v>68000</x:v>
      </x:c>
      <x:c r="F954" t="inlineStr">
        <x:is>
          <x:t xml:space="preserve">2026-06-16</x:t>
        </x:is>
      </x:c>
    </x:row>
    <x:row r="955" ht="20" customHeight="1">
      <x:c r="A955" t="inlineStr">
        <x:is>
          <x:t xml:space="preserve">Plano ISD</x:t>
        </x:is>
      </x:c>
      <x:c r="B955" t="inlineStr">
        <x:is>
          <x:t xml:space="preserve">TX</x:t>
        </x:is>
      </x:c>
      <x:c r="C955" t="inlineStr">
        <x:is>
          <x:t xml:space="preserve">Bachelor's</x:t>
        </x:is>
      </x:c>
      <x:c r="D955" t="n">
        <x:v>7</x:v>
      </x:c>
      <x:c r="E955" t="n">
        <x:v>68400</x:v>
      </x:c>
      <x:c r="F955" t="inlineStr">
        <x:is>
          <x:t xml:space="preserve">2026-06-16</x:t>
        </x:is>
      </x:c>
    </x:row>
    <x:row r="956" ht="20" customHeight="1">
      <x:c r="A956" t="inlineStr">
        <x:is>
          <x:t xml:space="preserve">Plano ISD</x:t>
        </x:is>
      </x:c>
      <x:c r="B956" t="inlineStr">
        <x:is>
          <x:t xml:space="preserve">TX</x:t>
        </x:is>
      </x:c>
      <x:c r="C956" t="inlineStr">
        <x:is>
          <x:t xml:space="preserve">Bachelor's</x:t>
        </x:is>
      </x:c>
      <x:c r="D956" t="n">
        <x:v>8</x:v>
      </x:c>
      <x:c r="E956" t="n">
        <x:v>68800</x:v>
      </x:c>
      <x:c r="F956" t="inlineStr">
        <x:is>
          <x:t xml:space="preserve">2026-06-16</x:t>
        </x:is>
      </x:c>
    </x:row>
    <x:row r="957" ht="20" customHeight="1">
      <x:c r="A957" t="inlineStr">
        <x:is>
          <x:t xml:space="preserve">Plano ISD</x:t>
        </x:is>
      </x:c>
      <x:c r="B957" t="inlineStr">
        <x:is>
          <x:t xml:space="preserve">TX</x:t>
        </x:is>
      </x:c>
      <x:c r="C957" t="inlineStr">
        <x:is>
          <x:t xml:space="preserve">Bachelor's</x:t>
        </x:is>
      </x:c>
      <x:c r="D957" t="n">
        <x:v>9</x:v>
      </x:c>
      <x:c r="E957" t="n">
        <x:v>69200</x:v>
      </x:c>
      <x:c r="F957" t="inlineStr">
        <x:is>
          <x:t xml:space="preserve">2026-06-16</x:t>
        </x:is>
      </x:c>
    </x:row>
    <x:row r="958" ht="20" customHeight="1">
      <x:c r="A958" t="inlineStr">
        <x:is>
          <x:t xml:space="preserve">Plano ISD</x:t>
        </x:is>
      </x:c>
      <x:c r="B958" t="inlineStr">
        <x:is>
          <x:t xml:space="preserve">TX</x:t>
        </x:is>
      </x:c>
      <x:c r="C958" t="inlineStr">
        <x:is>
          <x:t xml:space="preserve">Bachelor's</x:t>
        </x:is>
      </x:c>
      <x:c r="D958" t="n">
        <x:v>10</x:v>
      </x:c>
      <x:c r="E958" t="n">
        <x:v>69600</x:v>
      </x:c>
      <x:c r="F958" t="inlineStr">
        <x:is>
          <x:t xml:space="preserve">2026-06-16</x:t>
        </x:is>
      </x:c>
    </x:row>
    <x:row r="959" ht="20" customHeight="1">
      <x:c r="A959" t="inlineStr">
        <x:is>
          <x:t xml:space="preserve">Plano ISD</x:t>
        </x:is>
      </x:c>
      <x:c r="B959" t="inlineStr">
        <x:is>
          <x:t xml:space="preserve">TX</x:t>
        </x:is>
      </x:c>
      <x:c r="C959" t="inlineStr">
        <x:is>
          <x:t xml:space="preserve">Master's</x:t>
        </x:is>
      </x:c>
      <x:c r="D959" t="n">
        <x:v>0</x:v>
      </x:c>
      <x:c r="E959" t="n">
        <x:v>66000</x:v>
      </x:c>
      <x:c r="F959" t="inlineStr">
        <x:is>
          <x:t xml:space="preserve">2026-06-16</x:t>
        </x:is>
      </x:c>
    </x:row>
    <x:row r="960" ht="20" customHeight="1">
      <x:c r="A960" t="inlineStr">
        <x:is>
          <x:t xml:space="preserve">Plano ISD</x:t>
        </x:is>
      </x:c>
      <x:c r="B960" t="inlineStr">
        <x:is>
          <x:t xml:space="preserve">TX</x:t>
        </x:is>
      </x:c>
      <x:c r="C960" t="inlineStr">
        <x:is>
          <x:t xml:space="preserve">Master's</x:t>
        </x:is>
      </x:c>
      <x:c r="D960" t="n">
        <x:v>1</x:v>
      </x:c>
      <x:c r="E960" t="n">
        <x:v>66720</x:v>
      </x:c>
      <x:c r="F960" t="inlineStr">
        <x:is>
          <x:t xml:space="preserve">2026-06-16</x:t>
        </x:is>
      </x:c>
    </x:row>
    <x:row r="961" ht="20" customHeight="1">
      <x:c r="A961" t="inlineStr">
        <x:is>
          <x:t xml:space="preserve">Plano ISD</x:t>
        </x:is>
      </x:c>
      <x:c r="B961" t="inlineStr">
        <x:is>
          <x:t xml:space="preserve">TX</x:t>
        </x:is>
      </x:c>
      <x:c r="C961" t="inlineStr">
        <x:is>
          <x:t xml:space="preserve">Master's</x:t>
        </x:is>
      </x:c>
      <x:c r="D961" t="n">
        <x:v>2</x:v>
      </x:c>
      <x:c r="E961" t="n">
        <x:v>67440</x:v>
      </x:c>
      <x:c r="F961" t="inlineStr">
        <x:is>
          <x:t xml:space="preserve">2026-06-16</x:t>
        </x:is>
      </x:c>
    </x:row>
    <x:row r="962" ht="20" customHeight="1">
      <x:c r="A962" t="inlineStr">
        <x:is>
          <x:t xml:space="preserve">Plano ISD</x:t>
        </x:is>
      </x:c>
      <x:c r="B962" t="inlineStr">
        <x:is>
          <x:t xml:space="preserve">TX</x:t>
        </x:is>
      </x:c>
      <x:c r="C962" t="inlineStr">
        <x:is>
          <x:t xml:space="preserve">Master's</x:t>
        </x:is>
      </x:c>
      <x:c r="D962" t="n">
        <x:v>3</x:v>
      </x:c>
      <x:c r="E962" t="n">
        <x:v>68160</x:v>
      </x:c>
      <x:c r="F962" t="inlineStr">
        <x:is>
          <x:t xml:space="preserve">2026-06-16</x:t>
        </x:is>
      </x:c>
    </x:row>
    <x:row r="963" ht="20" customHeight="1">
      <x:c r="A963" t="inlineStr">
        <x:is>
          <x:t xml:space="preserve">Plano ISD</x:t>
        </x:is>
      </x:c>
      <x:c r="B963" t="inlineStr">
        <x:is>
          <x:t xml:space="preserve">TX</x:t>
        </x:is>
      </x:c>
      <x:c r="C963" t="inlineStr">
        <x:is>
          <x:t xml:space="preserve">Master's</x:t>
        </x:is>
      </x:c>
      <x:c r="D963" t="n">
        <x:v>4</x:v>
      </x:c>
      <x:c r="E963" t="n">
        <x:v>68880</x:v>
      </x:c>
      <x:c r="F963" t="inlineStr">
        <x:is>
          <x:t xml:space="preserve">2026-06-16</x:t>
        </x:is>
      </x:c>
    </x:row>
    <x:row r="964" ht="20" customHeight="1">
      <x:c r="A964" t="inlineStr">
        <x:is>
          <x:t xml:space="preserve">Plano ISD</x:t>
        </x:is>
      </x:c>
      <x:c r="B964" t="inlineStr">
        <x:is>
          <x:t xml:space="preserve">TX</x:t>
        </x:is>
      </x:c>
      <x:c r="C964" t="inlineStr">
        <x:is>
          <x:t xml:space="preserve">Master's</x:t>
        </x:is>
      </x:c>
      <x:c r="D964" t="n">
        <x:v>5</x:v>
      </x:c>
      <x:c r="E964" t="n">
        <x:v>69600</x:v>
      </x:c>
      <x:c r="F964" t="inlineStr">
        <x:is>
          <x:t xml:space="preserve">2026-06-16</x:t>
        </x:is>
      </x:c>
    </x:row>
    <x:row r="965" ht="20" customHeight="1">
      <x:c r="A965" t="inlineStr">
        <x:is>
          <x:t xml:space="preserve">Plano ISD</x:t>
        </x:is>
      </x:c>
      <x:c r="B965" t="inlineStr">
        <x:is>
          <x:t xml:space="preserve">TX</x:t>
        </x:is>
      </x:c>
      <x:c r="C965" t="inlineStr">
        <x:is>
          <x:t xml:space="preserve">Master's</x:t>
        </x:is>
      </x:c>
      <x:c r="D965" t="n">
        <x:v>6</x:v>
      </x:c>
      <x:c r="E965" t="n">
        <x:v>70000</x:v>
      </x:c>
      <x:c r="F965" t="inlineStr">
        <x:is>
          <x:t xml:space="preserve">2026-06-16</x:t>
        </x:is>
      </x:c>
    </x:row>
    <x:row r="966" ht="20" customHeight="1">
      <x:c r="A966" t="inlineStr">
        <x:is>
          <x:t xml:space="preserve">Plano ISD</x:t>
        </x:is>
      </x:c>
      <x:c r="B966" t="inlineStr">
        <x:is>
          <x:t xml:space="preserve">TX</x:t>
        </x:is>
      </x:c>
      <x:c r="C966" t="inlineStr">
        <x:is>
          <x:t xml:space="preserve">Master's</x:t>
        </x:is>
      </x:c>
      <x:c r="D966" t="n">
        <x:v>7</x:v>
      </x:c>
      <x:c r="E966" t="n">
        <x:v>70400</x:v>
      </x:c>
      <x:c r="F966" t="inlineStr">
        <x:is>
          <x:t xml:space="preserve">2026-06-16</x:t>
        </x:is>
      </x:c>
    </x:row>
    <x:row r="967" ht="20" customHeight="1">
      <x:c r="A967" t="inlineStr">
        <x:is>
          <x:t xml:space="preserve">Plano ISD</x:t>
        </x:is>
      </x:c>
      <x:c r="B967" t="inlineStr">
        <x:is>
          <x:t xml:space="preserve">TX</x:t>
        </x:is>
      </x:c>
      <x:c r="C967" t="inlineStr">
        <x:is>
          <x:t xml:space="preserve">Master's</x:t>
        </x:is>
      </x:c>
      <x:c r="D967" t="n">
        <x:v>8</x:v>
      </x:c>
      <x:c r="E967" t="n">
        <x:v>70800</x:v>
      </x:c>
      <x:c r="F967" t="inlineStr">
        <x:is>
          <x:t xml:space="preserve">2026-06-16</x:t>
        </x:is>
      </x:c>
    </x:row>
    <x:row r="968" ht="20" customHeight="1">
      <x:c r="A968" t="inlineStr">
        <x:is>
          <x:t xml:space="preserve">Plano ISD</x:t>
        </x:is>
      </x:c>
      <x:c r="B968" t="inlineStr">
        <x:is>
          <x:t xml:space="preserve">TX</x:t>
        </x:is>
      </x:c>
      <x:c r="C968" t="inlineStr">
        <x:is>
          <x:t xml:space="preserve">Master's</x:t>
        </x:is>
      </x:c>
      <x:c r="D968" t="n">
        <x:v>9</x:v>
      </x:c>
      <x:c r="E968" t="n">
        <x:v>71200</x:v>
      </x:c>
      <x:c r="F968" t="inlineStr">
        <x:is>
          <x:t xml:space="preserve">2026-06-16</x:t>
        </x:is>
      </x:c>
    </x:row>
    <x:row r="969" ht="20" customHeight="1">
      <x:c r="A969" t="inlineStr">
        <x:is>
          <x:t xml:space="preserve">Plano ISD</x:t>
        </x:is>
      </x:c>
      <x:c r="B969" t="inlineStr">
        <x:is>
          <x:t xml:space="preserve">TX</x:t>
        </x:is>
      </x:c>
      <x:c r="C969" t="inlineStr">
        <x:is>
          <x:t xml:space="preserve">Master's</x:t>
        </x:is>
      </x:c>
      <x:c r="D969" t="n">
        <x:v>10</x:v>
      </x:c>
      <x:c r="E969" t="n">
        <x:v>71600</x:v>
      </x:c>
      <x:c r="F969" t="inlineStr">
        <x:is>
          <x:t xml:space="preserve">2026-06-16</x:t>
        </x:is>
      </x:c>
    </x:row>
    <x:row r="970" ht="20" customHeight="1">
      <x:c r="A970" t="inlineStr">
        <x:is>
          <x:t xml:space="preserve">Port Arthur ISD</x:t>
        </x:is>
      </x:c>
      <x:c r="B970" t="inlineStr">
        <x:is>
          <x:t xml:space="preserve">TX</x:t>
        </x:is>
      </x:c>
      <x:c r="C970" t="inlineStr">
        <x:is>
          <x:t xml:space="preserve">Bachelor's</x:t>
        </x:is>
      </x:c>
      <x:c r="D970" t="n">
        <x:v>0</x:v>
      </x:c>
      <x:c r="E970" t="n">
        <x:v>55500</x:v>
      </x:c>
      <x:c r="F970" t="inlineStr">
        <x:is>
          <x:t xml:space="preserve">2026-06-16</x:t>
        </x:is>
      </x:c>
    </x:row>
    <x:row r="971" ht="20" customHeight="1">
      <x:c r="A971" t="inlineStr">
        <x:is>
          <x:t xml:space="preserve">Port Arthur ISD</x:t>
        </x:is>
      </x:c>
      <x:c r="B971" t="inlineStr">
        <x:is>
          <x:t xml:space="preserve">TX</x:t>
        </x:is>
      </x:c>
      <x:c r="C971" t="inlineStr">
        <x:is>
          <x:t xml:space="preserve">Bachelor's</x:t>
        </x:is>
      </x:c>
      <x:c r="D971" t="n">
        <x:v>1</x:v>
      </x:c>
      <x:c r="E971" t="n">
        <x:v>56500</x:v>
      </x:c>
      <x:c r="F971" t="inlineStr">
        <x:is>
          <x:t xml:space="preserve">2026-06-16</x:t>
        </x:is>
      </x:c>
    </x:row>
    <x:row r="972" ht="20" customHeight="1">
      <x:c r="A972" t="inlineStr">
        <x:is>
          <x:t xml:space="preserve">Port Arthur ISD</x:t>
        </x:is>
      </x:c>
      <x:c r="B972" t="inlineStr">
        <x:is>
          <x:t xml:space="preserve">TX</x:t>
        </x:is>
      </x:c>
      <x:c r="C972" t="inlineStr">
        <x:is>
          <x:t xml:space="preserve">Bachelor's</x:t>
        </x:is>
      </x:c>
      <x:c r="D972" t="n">
        <x:v>2</x:v>
      </x:c>
      <x:c r="E972" t="n">
        <x:v>57500</x:v>
      </x:c>
      <x:c r="F972" t="inlineStr">
        <x:is>
          <x:t xml:space="preserve">2026-06-16</x:t>
        </x:is>
      </x:c>
    </x:row>
    <x:row r="973" ht="20" customHeight="1">
      <x:c r="A973" t="inlineStr">
        <x:is>
          <x:t xml:space="preserve">Port Arthur ISD</x:t>
        </x:is>
      </x:c>
      <x:c r="B973" t="inlineStr">
        <x:is>
          <x:t xml:space="preserve">TX</x:t>
        </x:is>
      </x:c>
      <x:c r="C973" t="inlineStr">
        <x:is>
          <x:t xml:space="preserve">Bachelor's</x:t>
        </x:is>
      </x:c>
      <x:c r="D973" t="n">
        <x:v>3</x:v>
      </x:c>
      <x:c r="E973" t="n">
        <x:v>58500</x:v>
      </x:c>
      <x:c r="F973" t="inlineStr">
        <x:is>
          <x:t xml:space="preserve">2026-06-16</x:t>
        </x:is>
      </x:c>
    </x:row>
    <x:row r="974" ht="20" customHeight="1">
      <x:c r="A974" t="inlineStr">
        <x:is>
          <x:t xml:space="preserve">Port Arthur ISD</x:t>
        </x:is>
      </x:c>
      <x:c r="B974" t="inlineStr">
        <x:is>
          <x:t xml:space="preserve">TX</x:t>
        </x:is>
      </x:c>
      <x:c r="C974" t="inlineStr">
        <x:is>
          <x:t xml:space="preserve">Bachelor's</x:t>
        </x:is>
      </x:c>
      <x:c r="D974" t="n">
        <x:v>4</x:v>
      </x:c>
      <x:c r="E974" t="n">
        <x:v>59500</x:v>
      </x:c>
      <x:c r="F974" t="inlineStr">
        <x:is>
          <x:t xml:space="preserve">2026-06-16</x:t>
        </x:is>
      </x:c>
    </x:row>
    <x:row r="975" ht="20" customHeight="1">
      <x:c r="A975" t="inlineStr">
        <x:is>
          <x:t xml:space="preserve">Port Arthur ISD</x:t>
        </x:is>
      </x:c>
      <x:c r="B975" t="inlineStr">
        <x:is>
          <x:t xml:space="preserve">TX</x:t>
        </x:is>
      </x:c>
      <x:c r="C975" t="inlineStr">
        <x:is>
          <x:t xml:space="preserve">Bachelor's</x:t>
        </x:is>
      </x:c>
      <x:c r="D975" t="n">
        <x:v>5</x:v>
      </x:c>
      <x:c r="E975" t="n">
        <x:v>60500</x:v>
      </x:c>
      <x:c r="F975" t="inlineStr">
        <x:is>
          <x:t xml:space="preserve">2026-06-16</x:t>
        </x:is>
      </x:c>
    </x:row>
    <x:row r="976" ht="20" customHeight="1">
      <x:c r="A976" t="inlineStr">
        <x:is>
          <x:t xml:space="preserve">Port Arthur ISD</x:t>
        </x:is>
      </x:c>
      <x:c r="B976" t="inlineStr">
        <x:is>
          <x:t xml:space="preserve">TX</x:t>
        </x:is>
      </x:c>
      <x:c r="C976" t="inlineStr">
        <x:is>
          <x:t xml:space="preserve">Bachelor's</x:t>
        </x:is>
      </x:c>
      <x:c r="D976" t="n">
        <x:v>6</x:v>
      </x:c>
      <x:c r="E976" t="n">
        <x:v>60500</x:v>
      </x:c>
      <x:c r="F976" t="inlineStr">
        <x:is>
          <x:t xml:space="preserve">2026-06-16</x:t>
        </x:is>
      </x:c>
    </x:row>
    <x:row r="977" ht="20" customHeight="1">
      <x:c r="A977" t="inlineStr">
        <x:is>
          <x:t xml:space="preserve">Port Arthur ISD</x:t>
        </x:is>
      </x:c>
      <x:c r="B977" t="inlineStr">
        <x:is>
          <x:t xml:space="preserve">TX</x:t>
        </x:is>
      </x:c>
      <x:c r="C977" t="inlineStr">
        <x:is>
          <x:t xml:space="preserve">Bachelor's</x:t>
        </x:is>
      </x:c>
      <x:c r="D977" t="n">
        <x:v>7</x:v>
      </x:c>
      <x:c r="E977" t="n">
        <x:v>60500</x:v>
      </x:c>
      <x:c r="F977" t="inlineStr">
        <x:is>
          <x:t xml:space="preserve">2026-06-16</x:t>
        </x:is>
      </x:c>
    </x:row>
    <x:row r="978" ht="20" customHeight="1">
      <x:c r="A978" t="inlineStr">
        <x:is>
          <x:t xml:space="preserve">Port Arthur ISD</x:t>
        </x:is>
      </x:c>
      <x:c r="B978" t="inlineStr">
        <x:is>
          <x:t xml:space="preserve">TX</x:t>
        </x:is>
      </x:c>
      <x:c r="C978" t="inlineStr">
        <x:is>
          <x:t xml:space="preserve">Bachelor's</x:t>
        </x:is>
      </x:c>
      <x:c r="D978" t="n">
        <x:v>8</x:v>
      </x:c>
      <x:c r="E978" t="n">
        <x:v>60500</x:v>
      </x:c>
      <x:c r="F978" t="inlineStr">
        <x:is>
          <x:t xml:space="preserve">2026-06-16</x:t>
        </x:is>
      </x:c>
    </x:row>
    <x:row r="979" ht="20" customHeight="1">
      <x:c r="A979" t="inlineStr">
        <x:is>
          <x:t xml:space="preserve">Port Arthur ISD</x:t>
        </x:is>
      </x:c>
      <x:c r="B979" t="inlineStr">
        <x:is>
          <x:t xml:space="preserve">TX</x:t>
        </x:is>
      </x:c>
      <x:c r="C979" t="inlineStr">
        <x:is>
          <x:t xml:space="preserve">Bachelor's</x:t>
        </x:is>
      </x:c>
      <x:c r="D979" t="n">
        <x:v>9</x:v>
      </x:c>
      <x:c r="E979" t="n">
        <x:v>60500</x:v>
      </x:c>
      <x:c r="F979" t="inlineStr">
        <x:is>
          <x:t xml:space="preserve">2026-06-16</x:t>
        </x:is>
      </x:c>
    </x:row>
    <x:row r="980" ht="20" customHeight="1">
      <x:c r="A980" t="inlineStr">
        <x:is>
          <x:t xml:space="preserve">Port Arthur ISD</x:t>
        </x:is>
      </x:c>
      <x:c r="B980" t="inlineStr">
        <x:is>
          <x:t xml:space="preserve">TX</x:t>
        </x:is>
      </x:c>
      <x:c r="C980" t="inlineStr">
        <x:is>
          <x:t xml:space="preserve">Bachelor's</x:t>
        </x:is>
      </x:c>
      <x:c r="D980" t="n">
        <x:v>10</x:v>
      </x:c>
      <x:c r="E980" t="n">
        <x:v>60500</x:v>
      </x:c>
      <x:c r="F980" t="inlineStr">
        <x:is>
          <x:t xml:space="preserve">2026-06-16</x:t>
        </x:is>
      </x:c>
    </x:row>
    <x:row r="981" ht="20" customHeight="1">
      <x:c r="A981" t="inlineStr">
        <x:is>
          <x:t xml:space="preserve">Port Arthur ISD</x:t>
        </x:is>
      </x:c>
      <x:c r="B981" t="inlineStr">
        <x:is>
          <x:t xml:space="preserve">TX</x:t>
        </x:is>
      </x:c>
      <x:c r="C981" t="inlineStr">
        <x:is>
          <x:t xml:space="preserve">Master's</x:t>
        </x:is>
      </x:c>
      <x:c r="D981" t="n">
        <x:v>0</x:v>
      </x:c>
      <x:c r="E981" t="n">
        <x:v>56980</x:v>
      </x:c>
      <x:c r="F981" t="inlineStr">
        <x:is>
          <x:t xml:space="preserve">2026-06-16</x:t>
        </x:is>
      </x:c>
    </x:row>
    <x:row r="982" ht="20" customHeight="1">
      <x:c r="A982" t="inlineStr">
        <x:is>
          <x:t xml:space="preserve">Port Arthur ISD</x:t>
        </x:is>
      </x:c>
      <x:c r="B982" t="inlineStr">
        <x:is>
          <x:t xml:space="preserve">TX</x:t>
        </x:is>
      </x:c>
      <x:c r="C982" t="inlineStr">
        <x:is>
          <x:t xml:space="preserve">Master's</x:t>
        </x:is>
      </x:c>
      <x:c r="D982" t="n">
        <x:v>1</x:v>
      </x:c>
      <x:c r="E982" t="n">
        <x:v>57980</x:v>
      </x:c>
      <x:c r="F982" t="inlineStr">
        <x:is>
          <x:t xml:space="preserve">2026-06-16</x:t>
        </x:is>
      </x:c>
    </x:row>
    <x:row r="983" ht="20" customHeight="1">
      <x:c r="A983" t="inlineStr">
        <x:is>
          <x:t xml:space="preserve">Port Arthur ISD</x:t>
        </x:is>
      </x:c>
      <x:c r="B983" t="inlineStr">
        <x:is>
          <x:t xml:space="preserve">TX</x:t>
        </x:is>
      </x:c>
      <x:c r="C983" t="inlineStr">
        <x:is>
          <x:t xml:space="preserve">Master's</x:t>
        </x:is>
      </x:c>
      <x:c r="D983" t="n">
        <x:v>2</x:v>
      </x:c>
      <x:c r="E983" t="n">
        <x:v>58980</x:v>
      </x:c>
      <x:c r="F983" t="inlineStr">
        <x:is>
          <x:t xml:space="preserve">2026-06-16</x:t>
        </x:is>
      </x:c>
    </x:row>
    <x:row r="984" ht="20" customHeight="1">
      <x:c r="A984" t="inlineStr">
        <x:is>
          <x:t xml:space="preserve">Port Arthur ISD</x:t>
        </x:is>
      </x:c>
      <x:c r="B984" t="inlineStr">
        <x:is>
          <x:t xml:space="preserve">TX</x:t>
        </x:is>
      </x:c>
      <x:c r="C984" t="inlineStr">
        <x:is>
          <x:t xml:space="preserve">Master's</x:t>
        </x:is>
      </x:c>
      <x:c r="D984" t="n">
        <x:v>3</x:v>
      </x:c>
      <x:c r="E984" t="n">
        <x:v>59980</x:v>
      </x:c>
      <x:c r="F984" t="inlineStr">
        <x:is>
          <x:t xml:space="preserve">2026-06-16</x:t>
        </x:is>
      </x:c>
    </x:row>
    <x:row r="985" ht="20" customHeight="1">
      <x:c r="A985" t="inlineStr">
        <x:is>
          <x:t xml:space="preserve">Port Arthur ISD</x:t>
        </x:is>
      </x:c>
      <x:c r="B985" t="inlineStr">
        <x:is>
          <x:t xml:space="preserve">TX</x:t>
        </x:is>
      </x:c>
      <x:c r="C985" t="inlineStr">
        <x:is>
          <x:t xml:space="preserve">Master's</x:t>
        </x:is>
      </x:c>
      <x:c r="D985" t="n">
        <x:v>4</x:v>
      </x:c>
      <x:c r="E985" t="n">
        <x:v>60980</x:v>
      </x:c>
      <x:c r="F985" t="inlineStr">
        <x:is>
          <x:t xml:space="preserve">2026-06-16</x:t>
        </x:is>
      </x:c>
    </x:row>
    <x:row r="986" ht="20" customHeight="1">
      <x:c r="A986" t="inlineStr">
        <x:is>
          <x:t xml:space="preserve">Port Arthur ISD</x:t>
        </x:is>
      </x:c>
      <x:c r="B986" t="inlineStr">
        <x:is>
          <x:t xml:space="preserve">TX</x:t>
        </x:is>
      </x:c>
      <x:c r="C986" t="inlineStr">
        <x:is>
          <x:t xml:space="preserve">Master's</x:t>
        </x:is>
      </x:c>
      <x:c r="D986" t="n">
        <x:v>5</x:v>
      </x:c>
      <x:c r="E986" t="n">
        <x:v>61980</x:v>
      </x:c>
      <x:c r="F986" t="inlineStr">
        <x:is>
          <x:t xml:space="preserve">2026-06-16</x:t>
        </x:is>
      </x:c>
    </x:row>
    <x:row r="987" ht="20" customHeight="1">
      <x:c r="A987" t="inlineStr">
        <x:is>
          <x:t xml:space="preserve">Port Arthur ISD</x:t>
        </x:is>
      </x:c>
      <x:c r="B987" t="inlineStr">
        <x:is>
          <x:t xml:space="preserve">TX</x:t>
        </x:is>
      </x:c>
      <x:c r="C987" t="inlineStr">
        <x:is>
          <x:t xml:space="preserve">Master's</x:t>
        </x:is>
      </x:c>
      <x:c r="D987" t="n">
        <x:v>6</x:v>
      </x:c>
      <x:c r="E987" t="n">
        <x:v>61980</x:v>
      </x:c>
      <x:c r="F987" t="inlineStr">
        <x:is>
          <x:t xml:space="preserve">2026-06-16</x:t>
        </x:is>
      </x:c>
    </x:row>
    <x:row r="988" ht="20" customHeight="1">
      <x:c r="A988" t="inlineStr">
        <x:is>
          <x:t xml:space="preserve">Port Arthur ISD</x:t>
        </x:is>
      </x:c>
      <x:c r="B988" t="inlineStr">
        <x:is>
          <x:t xml:space="preserve">TX</x:t>
        </x:is>
      </x:c>
      <x:c r="C988" t="inlineStr">
        <x:is>
          <x:t xml:space="preserve">Master's</x:t>
        </x:is>
      </x:c>
      <x:c r="D988" t="n">
        <x:v>7</x:v>
      </x:c>
      <x:c r="E988" t="n">
        <x:v>61980</x:v>
      </x:c>
      <x:c r="F988" t="inlineStr">
        <x:is>
          <x:t xml:space="preserve">2026-06-16</x:t>
        </x:is>
      </x:c>
    </x:row>
    <x:row r="989" ht="20" customHeight="1">
      <x:c r="A989" t="inlineStr">
        <x:is>
          <x:t xml:space="preserve">Port Arthur ISD</x:t>
        </x:is>
      </x:c>
      <x:c r="B989" t="inlineStr">
        <x:is>
          <x:t xml:space="preserve">TX</x:t>
        </x:is>
      </x:c>
      <x:c r="C989" t="inlineStr">
        <x:is>
          <x:t xml:space="preserve">Master's</x:t>
        </x:is>
      </x:c>
      <x:c r="D989" t="n">
        <x:v>8</x:v>
      </x:c>
      <x:c r="E989" t="n">
        <x:v>61980</x:v>
      </x:c>
      <x:c r="F989" t="inlineStr">
        <x:is>
          <x:t xml:space="preserve">2026-06-16</x:t>
        </x:is>
      </x:c>
    </x:row>
    <x:row r="990" ht="20" customHeight="1">
      <x:c r="A990" t="inlineStr">
        <x:is>
          <x:t xml:space="preserve">Port Arthur ISD</x:t>
        </x:is>
      </x:c>
      <x:c r="B990" t="inlineStr">
        <x:is>
          <x:t xml:space="preserve">TX</x:t>
        </x:is>
      </x:c>
      <x:c r="C990" t="inlineStr">
        <x:is>
          <x:t xml:space="preserve">Master's</x:t>
        </x:is>
      </x:c>
      <x:c r="D990" t="n">
        <x:v>9</x:v>
      </x:c>
      <x:c r="E990" t="n">
        <x:v>61980</x:v>
      </x:c>
      <x:c r="F990" t="inlineStr">
        <x:is>
          <x:t xml:space="preserve">2026-06-16</x:t>
        </x:is>
      </x:c>
    </x:row>
    <x:row r="991" ht="20" customHeight="1">
      <x:c r="A991" t="inlineStr">
        <x:is>
          <x:t xml:space="preserve">Port Arthur ISD</x:t>
        </x:is>
      </x:c>
      <x:c r="B991" t="inlineStr">
        <x:is>
          <x:t xml:space="preserve">TX</x:t>
        </x:is>
      </x:c>
      <x:c r="C991" t="inlineStr">
        <x:is>
          <x:t xml:space="preserve">Master's</x:t>
        </x:is>
      </x:c>
      <x:c r="D991" t="n">
        <x:v>10</x:v>
      </x:c>
      <x:c r="E991" t="n">
        <x:v>61980</x:v>
      </x:c>
      <x:c r="F991" t="inlineStr">
        <x:is>
          <x:t xml:space="preserve">2026-06-16</x:t>
        </x:is>
      </x:c>
    </x:row>
    <x:row r="992" ht="20" customHeight="1">
      <x:c r="A992" s="17" t="inlineStr">
        <x:is>
          <x:t xml:space="preserve">Portland Public Schools</x:t>
        </x:is>
      </x:c>
      <x:c r="B992" s="17" t="inlineStr">
        <x:is>
          <x:t xml:space="preserve">OR</x:t>
        </x:is>
      </x:c>
      <x:c r="C992" s="17" t="inlineStr">
        <x:is>
          <x:t xml:space="preserve">Bachelor's</x:t>
        </x:is>
      </x:c>
      <x:c r="D992" s="40" t="n">
        <x:v>0</x:v>
      </x:c>
      <x:c r="E992" s="38" t="n">
        <x:v>57206</x:v>
      </x:c>
      <x:c r="F992" s="84" t="inlineStr">
        <x:is>
          <x:t xml:space="preserve">2026-06-10</x:t>
        </x:is>
      </x:c>
    </x:row>
    <x:row r="993" ht="20" customHeight="1">
      <x:c r="A993" s="17" t="inlineStr">
        <x:is>
          <x:t xml:space="preserve">Portland Public Schools</x:t>
        </x:is>
      </x:c>
      <x:c r="B993" s="17" t="inlineStr">
        <x:is>
          <x:t xml:space="preserve">OR</x:t>
        </x:is>
      </x:c>
      <x:c r="C993" s="17" t="inlineStr">
        <x:is>
          <x:t xml:space="preserve">Bachelor's</x:t>
        </x:is>
      </x:c>
      <x:c r="D993" s="40" t="n">
        <x:v>1</x:v>
      </x:c>
      <x:c r="E993" s="38" t="n">
        <x:v>59150</x:v>
      </x:c>
      <x:c r="F993" s="84" t="inlineStr">
        <x:is>
          <x:t xml:space="preserve">2026-06-10</x:t>
        </x:is>
      </x:c>
    </x:row>
    <x:row r="994" ht="20" customHeight="1">
      <x:c r="A994" s="17" t="inlineStr">
        <x:is>
          <x:t xml:space="preserve">Portland Public Schools</x:t>
        </x:is>
      </x:c>
      <x:c r="B994" s="17" t="inlineStr">
        <x:is>
          <x:t xml:space="preserve">OR</x:t>
        </x:is>
      </x:c>
      <x:c r="C994" s="17" t="inlineStr">
        <x:is>
          <x:t xml:space="preserve">Bachelor's</x:t>
        </x:is>
      </x:c>
      <x:c r="D994" s="40" t="n">
        <x:v>2</x:v>
      </x:c>
      <x:c r="E994" s="38" t="n">
        <x:v>61163</x:v>
      </x:c>
      <x:c r="F994" s="84" t="inlineStr">
        <x:is>
          <x:t xml:space="preserve">2026-06-10</x:t>
        </x:is>
      </x:c>
    </x:row>
    <x:row r="995" ht="20" customHeight="1">
      <x:c r="A995" s="17" t="inlineStr">
        <x:is>
          <x:t xml:space="preserve">Portland Public Schools</x:t>
        </x:is>
      </x:c>
      <x:c r="B995" s="17" t="inlineStr">
        <x:is>
          <x:t xml:space="preserve">OR</x:t>
        </x:is>
      </x:c>
      <x:c r="C995" s="17" t="inlineStr">
        <x:is>
          <x:t xml:space="preserve">Bachelor's</x:t>
        </x:is>
      </x:c>
      <x:c r="D995" s="40" t="n">
        <x:v>3</x:v>
      </x:c>
      <x:c r="E995" s="38" t="n">
        <x:v>63244</x:v>
      </x:c>
      <x:c r="F995" s="84" t="inlineStr">
        <x:is>
          <x:t xml:space="preserve">2026-06-10</x:t>
        </x:is>
      </x:c>
    </x:row>
    <x:row r="996" ht="20" customHeight="1">
      <x:c r="A996" s="17" t="inlineStr">
        <x:is>
          <x:t xml:space="preserve">Portland Public Schools</x:t>
        </x:is>
      </x:c>
      <x:c r="B996" s="17" t="inlineStr">
        <x:is>
          <x:t xml:space="preserve">OR</x:t>
        </x:is>
      </x:c>
      <x:c r="C996" s="17" t="inlineStr">
        <x:is>
          <x:t xml:space="preserve">Bachelor's</x:t>
        </x:is>
      </x:c>
      <x:c r="D996" s="40" t="n">
        <x:v>4</x:v>
      </x:c>
      <x:c r="E996" s="38" t="n">
        <x:v>65390</x:v>
      </x:c>
      <x:c r="F996" s="84" t="inlineStr">
        <x:is>
          <x:t xml:space="preserve">2026-06-10</x:t>
        </x:is>
      </x:c>
    </x:row>
    <x:row r="997" ht="20" customHeight="1">
      <x:c r="A997" s="17" t="inlineStr">
        <x:is>
          <x:t xml:space="preserve">Portland Public Schools</x:t>
        </x:is>
      </x:c>
      <x:c r="B997" s="17" t="inlineStr">
        <x:is>
          <x:t xml:space="preserve">OR</x:t>
        </x:is>
      </x:c>
      <x:c r="C997" s="17" t="inlineStr">
        <x:is>
          <x:t xml:space="preserve">Bachelor's</x:t>
        </x:is>
      </x:c>
      <x:c r="D997" s="40" t="n">
        <x:v>5</x:v>
      </x:c>
      <x:c r="E997" s="38" t="n">
        <x:v>67611</x:v>
      </x:c>
      <x:c r="F997" s="84" t="inlineStr">
        <x:is>
          <x:t xml:space="preserve">2026-06-10</x:t>
        </x:is>
      </x:c>
    </x:row>
    <x:row r="998" ht="20" customHeight="1">
      <x:c r="A998" s="17" t="inlineStr">
        <x:is>
          <x:t xml:space="preserve">Portland Public Schools</x:t>
        </x:is>
      </x:c>
      <x:c r="B998" s="17" t="inlineStr">
        <x:is>
          <x:t xml:space="preserve">OR</x:t>
        </x:is>
      </x:c>
      <x:c r="C998" s="17" t="inlineStr">
        <x:is>
          <x:t xml:space="preserve">Bachelor's</x:t>
        </x:is>
      </x:c>
      <x:c r="D998" s="40" t="n">
        <x:v>6</x:v>
      </x:c>
      <x:c r="E998" s="38" t="n">
        <x:v>69913</x:v>
      </x:c>
      <x:c r="F998" s="84" t="inlineStr">
        <x:is>
          <x:t xml:space="preserve">2026-06-10</x:t>
        </x:is>
      </x:c>
    </x:row>
    <x:row r="999" ht="20" customHeight="1">
      <x:c r="A999" s="17" t="inlineStr">
        <x:is>
          <x:t xml:space="preserve">Portland Public Schools</x:t>
        </x:is>
      </x:c>
      <x:c r="B999" s="17" t="inlineStr">
        <x:is>
          <x:t xml:space="preserve">OR</x:t>
        </x:is>
      </x:c>
      <x:c r="C999" s="17" t="inlineStr">
        <x:is>
          <x:t xml:space="preserve">Bachelor's</x:t>
        </x:is>
      </x:c>
      <x:c r="D999" s="40" t="n">
        <x:v>7</x:v>
      </x:c>
      <x:c r="E999" s="38" t="n">
        <x:v>72292</x:v>
      </x:c>
      <x:c r="F999" s="84" t="inlineStr">
        <x:is>
          <x:t xml:space="preserve">2026-06-10</x:t>
        </x:is>
      </x:c>
    </x:row>
    <x:row r="1000" ht="20" customHeight="1">
      <x:c r="A1000" s="17" t="inlineStr">
        <x:is>
          <x:t xml:space="preserve">Portland Public Schools</x:t>
        </x:is>
      </x:c>
      <x:c r="B1000" s="17" t="inlineStr">
        <x:is>
          <x:t xml:space="preserve">OR</x:t>
        </x:is>
      </x:c>
      <x:c r="C1000" s="17" t="inlineStr">
        <x:is>
          <x:t xml:space="preserve">Bachelor's</x:t>
        </x:is>
      </x:c>
      <x:c r="D1000" s="40" t="n">
        <x:v>8</x:v>
      </x:c>
      <x:c r="E1000" s="38" t="n">
        <x:v>74751</x:v>
      </x:c>
      <x:c r="F1000" s="84" t="inlineStr">
        <x:is>
          <x:t xml:space="preserve">2026-06-10</x:t>
        </x:is>
      </x:c>
    </x:row>
    <x:row r="1001" ht="20" customHeight="1">
      <x:c r="A1001" s="17" t="inlineStr">
        <x:is>
          <x:t xml:space="preserve">Portland Public Schools</x:t>
        </x:is>
      </x:c>
      <x:c r="B1001" s="17" t="inlineStr">
        <x:is>
          <x:t xml:space="preserve">OR</x:t>
        </x:is>
      </x:c>
      <x:c r="C1001" s="17" t="inlineStr">
        <x:is>
          <x:t xml:space="preserve">Bachelor's</x:t>
        </x:is>
      </x:c>
      <x:c r="D1001" s="40" t="n">
        <x:v>9</x:v>
      </x:c>
      <x:c r="E1001" s="38" t="n">
        <x:v>77289</x:v>
      </x:c>
      <x:c r="F1001" s="84" t="inlineStr">
        <x:is>
          <x:t xml:space="preserve">2026-06-10</x:t>
        </x:is>
      </x:c>
    </x:row>
    <x:row r="1002" ht="20" customHeight="1">
      <x:c r="A1002" s="17" t="inlineStr">
        <x:is>
          <x:t xml:space="preserve">Portland Public Schools</x:t>
        </x:is>
      </x:c>
      <x:c r="B1002" s="17" t="inlineStr">
        <x:is>
          <x:t xml:space="preserve">OR</x:t>
        </x:is>
      </x:c>
      <x:c r="C1002" s="17" t="inlineStr">
        <x:is>
          <x:t xml:space="preserve">Bachelor's</x:t>
        </x:is>
      </x:c>
      <x:c r="D1002" s="40" t="n">
        <x:v>10</x:v>
      </x:c>
      <x:c r="E1002" s="38" t="n">
        <x:v>79916</x:v>
      </x:c>
      <x:c r="F1002" s="84" t="inlineStr">
        <x:is>
          <x:t xml:space="preserve">2026-06-10</x:t>
        </x:is>
      </x:c>
    </x:row>
    <x:row r="1003" ht="20" customHeight="1">
      <x:c r="A1003" s="17" t="inlineStr">
        <x:is>
          <x:t xml:space="preserve">Portland Public Schools</x:t>
        </x:is>
      </x:c>
      <x:c r="B1003" s="17" t="inlineStr">
        <x:is>
          <x:t xml:space="preserve">OR</x:t>
        </x:is>
      </x:c>
      <x:c r="C1003" s="17" t="inlineStr">
        <x:is>
          <x:t xml:space="preserve">Master's</x:t>
        </x:is>
      </x:c>
      <x:c r="D1003" s="40" t="n">
        <x:v>0</x:v>
      </x:c>
      <x:c r="E1003" s="38" t="n">
        <x:v>65280</x:v>
      </x:c>
      <x:c r="F1003" s="84" t="inlineStr">
        <x:is>
          <x:t xml:space="preserve">2026-06-10</x:t>
        </x:is>
      </x:c>
    </x:row>
    <x:row r="1004" ht="20" customHeight="1">
      <x:c r="A1004" s="17" t="inlineStr">
        <x:is>
          <x:t xml:space="preserve">Portland Public Schools</x:t>
        </x:is>
      </x:c>
      <x:c r="B1004" s="17" t="inlineStr">
        <x:is>
          <x:t xml:space="preserve">OR</x:t>
        </x:is>
      </x:c>
      <x:c r="C1004" s="17" t="inlineStr">
        <x:is>
          <x:t xml:space="preserve">Master's</x:t>
        </x:is>
      </x:c>
      <x:c r="D1004" s="40" t="n">
        <x:v>1</x:v>
      </x:c>
      <x:c r="E1004" s="38" t="n">
        <x:v>67503</x:v>
      </x:c>
      <x:c r="F1004" s="84" t="inlineStr">
        <x:is>
          <x:t xml:space="preserve">2026-06-10</x:t>
        </x:is>
      </x:c>
    </x:row>
    <x:row r="1005" ht="20" customHeight="1">
      <x:c r="A1005" s="17" t="inlineStr">
        <x:is>
          <x:t xml:space="preserve">Portland Public Schools</x:t>
        </x:is>
      </x:c>
      <x:c r="B1005" s="17" t="inlineStr">
        <x:is>
          <x:t xml:space="preserve">OR</x:t>
        </x:is>
      </x:c>
      <x:c r="C1005" s="17" t="inlineStr">
        <x:is>
          <x:t xml:space="preserve">Master's</x:t>
        </x:is>
      </x:c>
      <x:c r="D1005" s="40" t="n">
        <x:v>2</x:v>
      </x:c>
      <x:c r="E1005" s="38" t="n">
        <x:v>69798</x:v>
      </x:c>
      <x:c r="F1005" s="84" t="inlineStr">
        <x:is>
          <x:t xml:space="preserve">2026-06-10</x:t>
        </x:is>
      </x:c>
    </x:row>
    <x:row r="1006" ht="20" customHeight="1">
      <x:c r="A1006" s="17" t="inlineStr">
        <x:is>
          <x:t xml:space="preserve">Portland Public Schools</x:t>
        </x:is>
      </x:c>
      <x:c r="B1006" s="17" t="inlineStr">
        <x:is>
          <x:t xml:space="preserve">OR</x:t>
        </x:is>
      </x:c>
      <x:c r="C1006" s="17" t="inlineStr">
        <x:is>
          <x:t xml:space="preserve">Master's</x:t>
        </x:is>
      </x:c>
      <x:c r="D1006" s="40" t="n">
        <x:v>3</x:v>
      </x:c>
      <x:c r="E1006" s="38" t="n">
        <x:v>72166</x:v>
      </x:c>
      <x:c r="F1006" s="84" t="inlineStr">
        <x:is>
          <x:t xml:space="preserve">2026-06-10</x:t>
        </x:is>
      </x:c>
    </x:row>
    <x:row r="1007" ht="20" customHeight="1">
      <x:c r="A1007" s="17" t="inlineStr">
        <x:is>
          <x:t xml:space="preserve">Portland Public Schools</x:t>
        </x:is>
      </x:c>
      <x:c r="B1007" s="17" t="inlineStr">
        <x:is>
          <x:t xml:space="preserve">OR</x:t>
        </x:is>
      </x:c>
      <x:c r="C1007" s="17" t="inlineStr">
        <x:is>
          <x:t xml:space="preserve">Master's</x:t>
        </x:is>
      </x:c>
      <x:c r="D1007" s="40" t="n">
        <x:v>4</x:v>
      </x:c>
      <x:c r="E1007" s="38" t="n">
        <x:v>74625</x:v>
      </x:c>
      <x:c r="F1007" s="84" t="inlineStr">
        <x:is>
          <x:t xml:space="preserve">2026-06-10</x:t>
        </x:is>
      </x:c>
    </x:row>
    <x:row r="1008" ht="20" customHeight="1">
      <x:c r="A1008" s="17" t="inlineStr">
        <x:is>
          <x:t xml:space="preserve">Portland Public Schools</x:t>
        </x:is>
      </x:c>
      <x:c r="B1008" s="17" t="inlineStr">
        <x:is>
          <x:t xml:space="preserve">OR</x:t>
        </x:is>
      </x:c>
      <x:c r="C1008" s="17" t="inlineStr">
        <x:is>
          <x:t xml:space="preserve">Master's</x:t>
        </x:is>
      </x:c>
      <x:c r="D1008" s="40" t="n">
        <x:v>5</x:v>
      </x:c>
      <x:c r="E1008" s="38" t="n">
        <x:v>77157</x:v>
      </x:c>
      <x:c r="F1008" s="84" t="inlineStr">
        <x:is>
          <x:t xml:space="preserve">2026-06-10</x:t>
        </x:is>
      </x:c>
    </x:row>
    <x:row r="1009" ht="20" customHeight="1">
      <x:c r="A1009" s="17" t="inlineStr">
        <x:is>
          <x:t xml:space="preserve">Portland Public Schools</x:t>
        </x:is>
      </x:c>
      <x:c r="B1009" s="17" t="inlineStr">
        <x:is>
          <x:t xml:space="preserve">OR</x:t>
        </x:is>
      </x:c>
      <x:c r="C1009" s="17" t="inlineStr">
        <x:is>
          <x:t xml:space="preserve">Master's</x:t>
        </x:is>
      </x:c>
      <x:c r="D1009" s="40" t="n">
        <x:v>6</x:v>
      </x:c>
      <x:c r="E1009" s="38" t="n">
        <x:v>79780</x:v>
      </x:c>
      <x:c r="F1009" s="84" t="inlineStr">
        <x:is>
          <x:t xml:space="preserve">2026-06-10</x:t>
        </x:is>
      </x:c>
    </x:row>
    <x:row r="1010" ht="20" customHeight="1">
      <x:c r="A1010" s="17" t="inlineStr">
        <x:is>
          <x:t xml:space="preserve">Portland Public Schools</x:t>
        </x:is>
      </x:c>
      <x:c r="B1010" s="17" t="inlineStr">
        <x:is>
          <x:t xml:space="preserve">OR</x:t>
        </x:is>
      </x:c>
      <x:c r="C1010" s="17" t="inlineStr">
        <x:is>
          <x:t xml:space="preserve">Master's</x:t>
        </x:is>
      </x:c>
      <x:c r="D1010" s="40" t="n">
        <x:v>7</x:v>
      </x:c>
      <x:c r="E1010" s="38" t="n">
        <x:v>82496</x:v>
      </x:c>
      <x:c r="F1010" s="84" t="inlineStr">
        <x:is>
          <x:t xml:space="preserve">2026-06-10</x:t>
        </x:is>
      </x:c>
    </x:row>
    <x:row r="1011" ht="20" customHeight="1">
      <x:c r="A1011" s="17" t="inlineStr">
        <x:is>
          <x:t xml:space="preserve">Portland Public Schools</x:t>
        </x:is>
      </x:c>
      <x:c r="B1011" s="17" t="inlineStr">
        <x:is>
          <x:t xml:space="preserve">OR</x:t>
        </x:is>
      </x:c>
      <x:c r="C1011" s="17" t="inlineStr">
        <x:is>
          <x:t xml:space="preserve">Master's</x:t>
        </x:is>
      </x:c>
      <x:c r="D1011" s="40" t="n">
        <x:v>8</x:v>
      </x:c>
      <x:c r="E1011" s="38" t="n">
        <x:v>85298</x:v>
      </x:c>
      <x:c r="F1011" s="84" t="inlineStr">
        <x:is>
          <x:t xml:space="preserve">2026-06-10</x:t>
        </x:is>
      </x:c>
    </x:row>
    <x:row r="1012" ht="20" customHeight="1">
      <x:c r="A1012" s="17" t="inlineStr">
        <x:is>
          <x:t xml:space="preserve">Portland Public Schools</x:t>
        </x:is>
      </x:c>
      <x:c r="B1012" s="17" t="inlineStr">
        <x:is>
          <x:t xml:space="preserve">OR</x:t>
        </x:is>
      </x:c>
      <x:c r="C1012" s="17" t="inlineStr">
        <x:is>
          <x:t xml:space="preserve">Master's</x:t>
        </x:is>
      </x:c>
      <x:c r="D1012" s="40" t="n">
        <x:v>9</x:v>
      </x:c>
      <x:c r="E1012" s="38" t="n">
        <x:v>88199</x:v>
      </x:c>
      <x:c r="F1012" s="84" t="inlineStr">
        <x:is>
          <x:t xml:space="preserve">2026-06-10</x:t>
        </x:is>
      </x:c>
    </x:row>
    <x:row r="1013" ht="20" customHeight="1">
      <x:c r="A1013" s="17" t="inlineStr">
        <x:is>
          <x:t xml:space="preserve">Portland Public Schools</x:t>
        </x:is>
      </x:c>
      <x:c r="B1013" s="17" t="inlineStr">
        <x:is>
          <x:t xml:space="preserve">OR</x:t>
        </x:is>
      </x:c>
      <x:c r="C1013" s="17" t="inlineStr">
        <x:is>
          <x:t xml:space="preserve">Master's</x:t>
        </x:is>
      </x:c>
      <x:c r="D1013" s="40" t="n">
        <x:v>10</x:v>
      </x:c>
      <x:c r="E1013" s="38" t="n">
        <x:v>91200</x:v>
      </x:c>
      <x:c r="F1013" s="84" t="inlineStr">
        <x:is>
          <x:t xml:space="preserve">2026-06-10</x:t>
        </x:is>
      </x:c>
    </x:row>
    <x:row r="1014" ht="20" customHeight="1">
      <x:c r="A1014" s="17" t="inlineStr">
        <x:is>
          <x:t xml:space="preserve">Provo City School District</x:t>
        </x:is>
      </x:c>
      <x:c r="B1014" s="17" t="inlineStr">
        <x:is>
          <x:t xml:space="preserve">UT</x:t>
        </x:is>
      </x:c>
      <x:c r="C1014" s="17" t="inlineStr">
        <x:is>
          <x:t xml:space="preserve">Bachelor's</x:t>
        </x:is>
      </x:c>
      <x:c r="D1014" s="40" t="n">
        <x:v>0</x:v>
      </x:c>
      <x:c r="E1014" s="38" t="n">
        <x:v>60672</x:v>
      </x:c>
      <x:c r="F1014" s="84" t="inlineStr">
        <x:is>
          <x:t xml:space="preserve">2026-06-10</x:t>
        </x:is>
      </x:c>
    </x:row>
    <x:row r="1015" ht="20" customHeight="1">
      <x:c r="A1015" s="17" t="inlineStr">
        <x:is>
          <x:t xml:space="preserve">Provo City School District</x:t>
        </x:is>
      </x:c>
      <x:c r="B1015" s="17" t="inlineStr">
        <x:is>
          <x:t xml:space="preserve">UT</x:t>
        </x:is>
      </x:c>
      <x:c r="C1015" s="17" t="inlineStr">
        <x:is>
          <x:t xml:space="preserve">Bachelor's</x:t>
        </x:is>
      </x:c>
      <x:c r="D1015" s="40" t="n">
        <x:v>1</x:v>
      </x:c>
      <x:c r="E1015" s="38" t="n">
        <x:v>60672</x:v>
      </x:c>
      <x:c r="F1015" s="84" t="inlineStr">
        <x:is>
          <x:t xml:space="preserve">2026-06-10</x:t>
        </x:is>
      </x:c>
    </x:row>
    <x:row r="1016" ht="20" customHeight="1">
      <x:c r="A1016" s="17" t="inlineStr">
        <x:is>
          <x:t xml:space="preserve">Provo City School District</x:t>
        </x:is>
      </x:c>
      <x:c r="B1016" s="17" t="inlineStr">
        <x:is>
          <x:t xml:space="preserve">UT</x:t>
        </x:is>
      </x:c>
      <x:c r="C1016" s="17" t="inlineStr">
        <x:is>
          <x:t xml:space="preserve">Bachelor's</x:t>
        </x:is>
      </x:c>
      <x:c r="D1016" s="40" t="n">
        <x:v>2</x:v>
      </x:c>
      <x:c r="E1016" s="38" t="n">
        <x:v>60672</x:v>
      </x:c>
      <x:c r="F1016" s="84" t="inlineStr">
        <x:is>
          <x:t xml:space="preserve">2026-06-10</x:t>
        </x:is>
      </x:c>
    </x:row>
    <x:row r="1017" ht="20" customHeight="1">
      <x:c r="A1017" s="17" t="inlineStr">
        <x:is>
          <x:t xml:space="preserve">Provo City School District</x:t>
        </x:is>
      </x:c>
      <x:c r="B1017" s="17" t="inlineStr">
        <x:is>
          <x:t xml:space="preserve">UT</x:t>
        </x:is>
      </x:c>
      <x:c r="C1017" s="17" t="inlineStr">
        <x:is>
          <x:t xml:space="preserve">Bachelor's</x:t>
        </x:is>
      </x:c>
      <x:c r="D1017" s="40" t="n">
        <x:v>3</x:v>
      </x:c>
      <x:c r="E1017" s="38" t="n">
        <x:v>61597</x:v>
      </x:c>
      <x:c r="F1017" s="84" t="inlineStr">
        <x:is>
          <x:t xml:space="preserve">2026-06-10</x:t>
        </x:is>
      </x:c>
    </x:row>
    <x:row r="1018" ht="20" customHeight="1">
      <x:c r="A1018" s="17" t="inlineStr">
        <x:is>
          <x:t xml:space="preserve">Provo City School District</x:t>
        </x:is>
      </x:c>
      <x:c r="B1018" s="17" t="inlineStr">
        <x:is>
          <x:t xml:space="preserve">UT</x:t>
        </x:is>
      </x:c>
      <x:c r="C1018" s="17" t="inlineStr">
        <x:is>
          <x:t xml:space="preserve">Bachelor's</x:t>
        </x:is>
      </x:c>
      <x:c r="D1018" s="40" t="n">
        <x:v>4</x:v>
      </x:c>
      <x:c r="E1018" s="38" t="n">
        <x:v>62522</x:v>
      </x:c>
      <x:c r="F1018" s="84" t="inlineStr">
        <x:is>
          <x:t xml:space="preserve">2026-06-10</x:t>
        </x:is>
      </x:c>
    </x:row>
    <x:row r="1019" ht="20" customHeight="1">
      <x:c r="A1019" s="17" t="inlineStr">
        <x:is>
          <x:t xml:space="preserve">Provo City School District</x:t>
        </x:is>
      </x:c>
      <x:c r="B1019" s="17" t="inlineStr">
        <x:is>
          <x:t xml:space="preserve">UT</x:t>
        </x:is>
      </x:c>
      <x:c r="C1019" s="17" t="inlineStr">
        <x:is>
          <x:t xml:space="preserve">Bachelor's</x:t>
        </x:is>
      </x:c>
      <x:c r="D1019" s="40" t="n">
        <x:v>5</x:v>
      </x:c>
      <x:c r="E1019" s="38" t="n">
        <x:v>63447</x:v>
      </x:c>
      <x:c r="F1019" s="84" t="inlineStr">
        <x:is>
          <x:t xml:space="preserve">2026-06-10</x:t>
        </x:is>
      </x:c>
    </x:row>
    <x:row r="1020" ht="20" customHeight="1">
      <x:c r="A1020" s="17" t="inlineStr">
        <x:is>
          <x:t xml:space="preserve">Provo City School District</x:t>
        </x:is>
      </x:c>
      <x:c r="B1020" s="17" t="inlineStr">
        <x:is>
          <x:t xml:space="preserve">UT</x:t>
        </x:is>
      </x:c>
      <x:c r="C1020" s="17" t="inlineStr">
        <x:is>
          <x:t xml:space="preserve">Bachelor's</x:t>
        </x:is>
      </x:c>
      <x:c r="D1020" s="40" t="n">
        <x:v>6</x:v>
      </x:c>
      <x:c r="E1020" s="38" t="n">
        <x:v>64372</x:v>
      </x:c>
      <x:c r="F1020" s="84" t="inlineStr">
        <x:is>
          <x:t xml:space="preserve">2026-06-10</x:t>
        </x:is>
      </x:c>
    </x:row>
    <x:row r="1021" ht="20" customHeight="1">
      <x:c r="A1021" s="17" t="inlineStr">
        <x:is>
          <x:t xml:space="preserve">Provo City School District</x:t>
        </x:is>
      </x:c>
      <x:c r="B1021" s="17" t="inlineStr">
        <x:is>
          <x:t xml:space="preserve">UT</x:t>
        </x:is>
      </x:c>
      <x:c r="C1021" s="17" t="inlineStr">
        <x:is>
          <x:t xml:space="preserve">Bachelor's</x:t>
        </x:is>
      </x:c>
      <x:c r="D1021" s="40" t="n">
        <x:v>7</x:v>
      </x:c>
      <x:c r="E1021" s="38" t="n">
        <x:v>65297</x:v>
      </x:c>
      <x:c r="F1021" s="84" t="inlineStr">
        <x:is>
          <x:t xml:space="preserve">2026-06-10</x:t>
        </x:is>
      </x:c>
    </x:row>
    <x:row r="1022" ht="20" customHeight="1">
      <x:c r="A1022" s="17" t="inlineStr">
        <x:is>
          <x:t xml:space="preserve">Provo City School District</x:t>
        </x:is>
      </x:c>
      <x:c r="B1022" s="17" t="inlineStr">
        <x:is>
          <x:t xml:space="preserve">UT</x:t>
        </x:is>
      </x:c>
      <x:c r="C1022" s="17" t="inlineStr">
        <x:is>
          <x:t xml:space="preserve">Bachelor's</x:t>
        </x:is>
      </x:c>
      <x:c r="D1022" s="40" t="n">
        <x:v>8</x:v>
      </x:c>
      <x:c r="E1022" s="38" t="n">
        <x:v>66222</x:v>
      </x:c>
      <x:c r="F1022" s="84" t="inlineStr">
        <x:is>
          <x:t xml:space="preserve">2026-06-10</x:t>
        </x:is>
      </x:c>
    </x:row>
    <x:row r="1023" ht="20" customHeight="1">
      <x:c r="A1023" s="17" t="inlineStr">
        <x:is>
          <x:t xml:space="preserve">Provo City School District</x:t>
        </x:is>
      </x:c>
      <x:c r="B1023" s="17" t="inlineStr">
        <x:is>
          <x:t xml:space="preserve">UT</x:t>
        </x:is>
      </x:c>
      <x:c r="C1023" s="17" t="inlineStr">
        <x:is>
          <x:t xml:space="preserve">Bachelor's</x:t>
        </x:is>
      </x:c>
      <x:c r="D1023" s="40" t="n">
        <x:v>9</x:v>
      </x:c>
      <x:c r="E1023" s="38" t="n">
        <x:v>67147</x:v>
      </x:c>
      <x:c r="F1023" s="84" t="inlineStr">
        <x:is>
          <x:t xml:space="preserve">2026-06-10</x:t>
        </x:is>
      </x:c>
    </x:row>
    <x:row r="1024" ht="20" customHeight="1">
      <x:c r="A1024" s="17" t="inlineStr">
        <x:is>
          <x:t xml:space="preserve">Provo City School District</x:t>
        </x:is>
      </x:c>
      <x:c r="B1024" s="17" t="inlineStr">
        <x:is>
          <x:t xml:space="preserve">UT</x:t>
        </x:is>
      </x:c>
      <x:c r="C1024" s="17" t="inlineStr">
        <x:is>
          <x:t xml:space="preserve">Bachelor's</x:t>
        </x:is>
      </x:c>
      <x:c r="D1024" s="40" t="n">
        <x:v>10</x:v>
      </x:c>
      <x:c r="E1024" s="38" t="n">
        <x:v>68072</x:v>
      </x:c>
      <x:c r="F1024" s="84" t="inlineStr">
        <x:is>
          <x:t xml:space="preserve">2026-06-10</x:t>
        </x:is>
      </x:c>
    </x:row>
    <x:row r="1025" ht="20" customHeight="1">
      <x:c r="A1025" s="17" t="inlineStr">
        <x:is>
          <x:t xml:space="preserve">Provo City School District</x:t>
        </x:is>
      </x:c>
      <x:c r="B1025" s="17" t="inlineStr">
        <x:is>
          <x:t xml:space="preserve">UT</x:t>
        </x:is>
      </x:c>
      <x:c r="C1025" s="17" t="inlineStr">
        <x:is>
          <x:t xml:space="preserve">Master's</x:t>
        </x:is>
      </x:c>
      <x:c r="D1025" s="40" t="n">
        <x:v>0</x:v>
      </x:c>
      <x:c r="E1025" s="38" t="n">
        <x:v>65297</x:v>
      </x:c>
      <x:c r="F1025" s="84" t="inlineStr">
        <x:is>
          <x:t xml:space="preserve">2026-06-10</x:t>
        </x:is>
      </x:c>
    </x:row>
    <x:row r="1026" ht="20" customHeight="1">
      <x:c r="A1026" s="17" t="inlineStr">
        <x:is>
          <x:t xml:space="preserve">Provo City School District</x:t>
        </x:is>
      </x:c>
      <x:c r="B1026" s="17" t="inlineStr">
        <x:is>
          <x:t xml:space="preserve">UT</x:t>
        </x:is>
      </x:c>
      <x:c r="C1026" s="17" t="inlineStr">
        <x:is>
          <x:t xml:space="preserve">Master's</x:t>
        </x:is>
      </x:c>
      <x:c r="D1026" s="40" t="n">
        <x:v>1</x:v>
      </x:c>
      <x:c r="E1026" s="38" t="n">
        <x:v>65297</x:v>
      </x:c>
      <x:c r="F1026" s="84" t="inlineStr">
        <x:is>
          <x:t xml:space="preserve">2026-06-10</x:t>
        </x:is>
      </x:c>
    </x:row>
    <x:row r="1027" ht="20" customHeight="1">
      <x:c r="A1027" s="17" t="inlineStr">
        <x:is>
          <x:t xml:space="preserve">Provo City School District</x:t>
        </x:is>
      </x:c>
      <x:c r="B1027" s="17" t="inlineStr">
        <x:is>
          <x:t xml:space="preserve">UT</x:t>
        </x:is>
      </x:c>
      <x:c r="C1027" s="17" t="inlineStr">
        <x:is>
          <x:t xml:space="preserve">Master's</x:t>
        </x:is>
      </x:c>
      <x:c r="D1027" s="40" t="n">
        <x:v>2</x:v>
      </x:c>
      <x:c r="E1027" s="38" t="n">
        <x:v>65297</x:v>
      </x:c>
      <x:c r="F1027" s="84" t="inlineStr">
        <x:is>
          <x:t xml:space="preserve">2026-06-10</x:t>
        </x:is>
      </x:c>
    </x:row>
    <x:row r="1028" ht="20" customHeight="1">
      <x:c r="A1028" s="17" t="inlineStr">
        <x:is>
          <x:t xml:space="preserve">Provo City School District</x:t>
        </x:is>
      </x:c>
      <x:c r="B1028" s="17" t="inlineStr">
        <x:is>
          <x:t xml:space="preserve">UT</x:t>
        </x:is>
      </x:c>
      <x:c r="C1028" s="17" t="inlineStr">
        <x:is>
          <x:t xml:space="preserve">Master's</x:t>
        </x:is>
      </x:c>
      <x:c r="D1028" s="40" t="n">
        <x:v>3</x:v>
      </x:c>
      <x:c r="E1028" s="38" t="n">
        <x:v>66222</x:v>
      </x:c>
      <x:c r="F1028" s="84" t="inlineStr">
        <x:is>
          <x:t xml:space="preserve">2026-06-10</x:t>
        </x:is>
      </x:c>
    </x:row>
    <x:row r="1029" ht="20" customHeight="1">
      <x:c r="A1029" s="17" t="inlineStr">
        <x:is>
          <x:t xml:space="preserve">Provo City School District</x:t>
        </x:is>
      </x:c>
      <x:c r="B1029" s="17" t="inlineStr">
        <x:is>
          <x:t xml:space="preserve">UT</x:t>
        </x:is>
      </x:c>
      <x:c r="C1029" s="17" t="inlineStr">
        <x:is>
          <x:t xml:space="preserve">Master's</x:t>
        </x:is>
      </x:c>
      <x:c r="D1029" s="40" t="n">
        <x:v>4</x:v>
      </x:c>
      <x:c r="E1029" s="38" t="n">
        <x:v>67147</x:v>
      </x:c>
      <x:c r="F1029" s="84" t="inlineStr">
        <x:is>
          <x:t xml:space="preserve">2026-06-10</x:t>
        </x:is>
      </x:c>
    </x:row>
    <x:row r="1030" ht="20" customHeight="1">
      <x:c r="A1030" s="17" t="inlineStr">
        <x:is>
          <x:t xml:space="preserve">Provo City School District</x:t>
        </x:is>
      </x:c>
      <x:c r="B1030" s="17" t="inlineStr">
        <x:is>
          <x:t xml:space="preserve">UT</x:t>
        </x:is>
      </x:c>
      <x:c r="C1030" s="17" t="inlineStr">
        <x:is>
          <x:t xml:space="preserve">Master's</x:t>
        </x:is>
      </x:c>
      <x:c r="D1030" s="40" t="n">
        <x:v>5</x:v>
      </x:c>
      <x:c r="E1030" s="38" t="n">
        <x:v>68072</x:v>
      </x:c>
      <x:c r="F1030" s="84" t="inlineStr">
        <x:is>
          <x:t xml:space="preserve">2026-06-10</x:t>
        </x:is>
      </x:c>
    </x:row>
    <x:row r="1031" ht="20" customHeight="1">
      <x:c r="A1031" s="17" t="inlineStr">
        <x:is>
          <x:t xml:space="preserve">Provo City School District</x:t>
        </x:is>
      </x:c>
      <x:c r="B1031" s="17" t="inlineStr">
        <x:is>
          <x:t xml:space="preserve">UT</x:t>
        </x:is>
      </x:c>
      <x:c r="C1031" s="17" t="inlineStr">
        <x:is>
          <x:t xml:space="preserve">Master's</x:t>
        </x:is>
      </x:c>
      <x:c r="D1031" s="40" t="n">
        <x:v>6</x:v>
      </x:c>
      <x:c r="E1031" s="38" t="n">
        <x:v>68997</x:v>
      </x:c>
      <x:c r="F1031" s="84" t="inlineStr">
        <x:is>
          <x:t xml:space="preserve">2026-06-10</x:t>
        </x:is>
      </x:c>
    </x:row>
    <x:row r="1032" ht="20" customHeight="1">
      <x:c r="A1032" s="17" t="inlineStr">
        <x:is>
          <x:t xml:space="preserve">Provo City School District</x:t>
        </x:is>
      </x:c>
      <x:c r="B1032" s="17" t="inlineStr">
        <x:is>
          <x:t xml:space="preserve">UT</x:t>
        </x:is>
      </x:c>
      <x:c r="C1032" s="17" t="inlineStr">
        <x:is>
          <x:t xml:space="preserve">Master's</x:t>
        </x:is>
      </x:c>
      <x:c r="D1032" s="40" t="n">
        <x:v>7</x:v>
      </x:c>
      <x:c r="E1032" s="38" t="n">
        <x:v>69922</x:v>
      </x:c>
      <x:c r="F1032" s="84" t="inlineStr">
        <x:is>
          <x:t xml:space="preserve">2026-06-10</x:t>
        </x:is>
      </x:c>
    </x:row>
    <x:row r="1033" ht="20" customHeight="1">
      <x:c r="A1033" s="17" t="inlineStr">
        <x:is>
          <x:t xml:space="preserve">Provo City School District</x:t>
        </x:is>
      </x:c>
      <x:c r="B1033" s="17" t="inlineStr">
        <x:is>
          <x:t xml:space="preserve">UT</x:t>
        </x:is>
      </x:c>
      <x:c r="C1033" s="17" t="inlineStr">
        <x:is>
          <x:t xml:space="preserve">Master's</x:t>
        </x:is>
      </x:c>
      <x:c r="D1033" s="40" t="n">
        <x:v>8</x:v>
      </x:c>
      <x:c r="E1033" s="38" t="n">
        <x:v>70847</x:v>
      </x:c>
      <x:c r="F1033" s="84" t="inlineStr">
        <x:is>
          <x:t xml:space="preserve">2026-06-10</x:t>
        </x:is>
      </x:c>
    </x:row>
    <x:row r="1034" ht="20" customHeight="1">
      <x:c r="A1034" s="17" t="inlineStr">
        <x:is>
          <x:t xml:space="preserve">Provo City School District</x:t>
        </x:is>
      </x:c>
      <x:c r="B1034" s="17" t="inlineStr">
        <x:is>
          <x:t xml:space="preserve">UT</x:t>
        </x:is>
      </x:c>
      <x:c r="C1034" s="17" t="inlineStr">
        <x:is>
          <x:t xml:space="preserve">Master's</x:t>
        </x:is>
      </x:c>
      <x:c r="D1034" s="40" t="n">
        <x:v>9</x:v>
      </x:c>
      <x:c r="E1034" s="38" t="n">
        <x:v>71772</x:v>
      </x:c>
      <x:c r="F1034" s="84" t="inlineStr">
        <x:is>
          <x:t xml:space="preserve">2026-06-10</x:t>
        </x:is>
      </x:c>
    </x:row>
    <x:row r="1035" ht="20" customHeight="1">
      <x:c r="A1035" s="17" t="inlineStr">
        <x:is>
          <x:t xml:space="preserve">Provo City School District</x:t>
        </x:is>
      </x:c>
      <x:c r="B1035" s="17" t="inlineStr">
        <x:is>
          <x:t xml:space="preserve">UT</x:t>
        </x:is>
      </x:c>
      <x:c r="C1035" s="17" t="inlineStr">
        <x:is>
          <x:t xml:space="preserve">Master's</x:t>
        </x:is>
      </x:c>
      <x:c r="D1035" s="40" t="n">
        <x:v>10</x:v>
      </x:c>
      <x:c r="E1035" s="38" t="n">
        <x:v>72697</x:v>
      </x:c>
      <x:c r="F1035" s="84" t="inlineStr">
        <x:is>
          <x:t xml:space="preserve">2026-06-10</x:t>
        </x:is>
      </x:c>
    </x:row>
    <x:row r="1036" ht="20" customHeight="1">
      <x:c r="A1036" t="inlineStr">
        <x:is>
          <x:t xml:space="preserve">Rosemount-Apple Valley-Eagan ISD 196</x:t>
        </x:is>
      </x:c>
      <x:c r="B1036" t="inlineStr">
        <x:is>
          <x:t xml:space="preserve">MN</x:t>
        </x:is>
      </x:c>
      <x:c r="C1036" t="inlineStr">
        <x:is>
          <x:t xml:space="preserve">Bachelor's</x:t>
        </x:is>
      </x:c>
      <x:c r="D1036" t="n">
        <x:v>0</x:v>
      </x:c>
      <x:c r="E1036" s="1" t="n">
        <x:v>51322</x:v>
      </x:c>
      <x:c r="F1036" t="inlineStr">
        <x:is>
          <x:t xml:space="preserve">2026-06-16</x:t>
        </x:is>
      </x:c>
    </x:row>
    <x:row r="1037" ht="20" customHeight="1">
      <x:c r="A1037" t="inlineStr">
        <x:is>
          <x:t xml:space="preserve">Rosemount-Apple Valley-Eagan ISD 196</x:t>
        </x:is>
      </x:c>
      <x:c r="B1037" t="inlineStr">
        <x:is>
          <x:t xml:space="preserve">MN</x:t>
        </x:is>
      </x:c>
      <x:c r="C1037" t="inlineStr">
        <x:is>
          <x:t xml:space="preserve">Bachelor's</x:t>
        </x:is>
      </x:c>
      <x:c r="D1037" t="n">
        <x:v>1</x:v>
      </x:c>
      <x:c r="E1037" s="1" t="n">
        <x:v>53368</x:v>
      </x:c>
      <x:c r="F1037" t="inlineStr">
        <x:is>
          <x:t xml:space="preserve">2026-06-16</x:t>
        </x:is>
      </x:c>
    </x:row>
    <x:row r="1038" ht="20" customHeight="1">
      <x:c r="A1038" t="inlineStr">
        <x:is>
          <x:t xml:space="preserve">Rosemount-Apple Valley-Eagan ISD 196</x:t>
        </x:is>
      </x:c>
      <x:c r="B1038" t="inlineStr">
        <x:is>
          <x:t xml:space="preserve">MN</x:t>
        </x:is>
      </x:c>
      <x:c r="C1038" t="inlineStr">
        <x:is>
          <x:t xml:space="preserve">Bachelor's</x:t>
        </x:is>
      </x:c>
      <x:c r="D1038" t="n">
        <x:v>2</x:v>
      </x:c>
      <x:c r="E1038" s="1" t="n">
        <x:v>54157</x:v>
      </x:c>
      <x:c r="F1038" t="inlineStr">
        <x:is>
          <x:t xml:space="preserve">2026-06-16</x:t>
        </x:is>
      </x:c>
    </x:row>
    <x:row r="1039" ht="20" customHeight="1">
      <x:c r="A1039" t="inlineStr">
        <x:is>
          <x:t xml:space="preserve">Rosemount-Apple Valley-Eagan ISD 196</x:t>
        </x:is>
      </x:c>
      <x:c r="B1039" t="inlineStr">
        <x:is>
          <x:t xml:space="preserve">MN</x:t>
        </x:is>
      </x:c>
      <x:c r="C1039" t="inlineStr">
        <x:is>
          <x:t xml:space="preserve">Bachelor's</x:t>
        </x:is>
      </x:c>
      <x:c r="D1039" t="n">
        <x:v>3</x:v>
      </x:c>
      <x:c r="E1039" s="1" t="n">
        <x:v>57334</x:v>
      </x:c>
      <x:c r="F1039" t="inlineStr">
        <x:is>
          <x:t xml:space="preserve">2026-06-16</x:t>
        </x:is>
      </x:c>
    </x:row>
    <x:row r="1040" ht="20" customHeight="1">
      <x:c r="A1040" t="inlineStr">
        <x:is>
          <x:t xml:space="preserve">Rosemount-Apple Valley-Eagan ISD 196</x:t>
        </x:is>
      </x:c>
      <x:c r="B1040" t="inlineStr">
        <x:is>
          <x:t xml:space="preserve">MN</x:t>
        </x:is>
      </x:c>
      <x:c r="C1040" t="inlineStr">
        <x:is>
          <x:t xml:space="preserve">Bachelor's</x:t>
        </x:is>
      </x:c>
      <x:c r="D1040" t="n">
        <x:v>4</x:v>
      </x:c>
      <x:c r="E1040" s="1" t="n">
        <x:v>60505</x:v>
      </x:c>
      <x:c r="F1040" t="inlineStr">
        <x:is>
          <x:t xml:space="preserve">2026-06-16</x:t>
        </x:is>
      </x:c>
    </x:row>
    <x:row r="1041" ht="20" customHeight="1">
      <x:c r="A1041" t="inlineStr">
        <x:is>
          <x:t xml:space="preserve">Rosemount-Apple Valley-Eagan ISD 196</x:t>
        </x:is>
      </x:c>
      <x:c r="B1041" t="inlineStr">
        <x:is>
          <x:t xml:space="preserve">MN</x:t>
        </x:is>
      </x:c>
      <x:c r="C1041" t="inlineStr">
        <x:is>
          <x:t xml:space="preserve">Bachelor's</x:t>
        </x:is>
      </x:c>
      <x:c r="D1041" t="n">
        <x:v>5</x:v>
      </x:c>
      <x:c r="E1041" s="1" t="n">
        <x:v>63680</x:v>
      </x:c>
      <x:c r="F1041" t="inlineStr">
        <x:is>
          <x:t xml:space="preserve">2026-06-16</x:t>
        </x:is>
      </x:c>
    </x:row>
    <x:row r="1042" ht="20" customHeight="1">
      <x:c r="A1042" t="inlineStr">
        <x:is>
          <x:t xml:space="preserve">Rosemount-Apple Valley-Eagan ISD 196</x:t>
        </x:is>
      </x:c>
      <x:c r="B1042" t="inlineStr">
        <x:is>
          <x:t xml:space="preserve">MN</x:t>
        </x:is>
      </x:c>
      <x:c r="C1042" t="inlineStr">
        <x:is>
          <x:t xml:space="preserve">Bachelor's</x:t>
        </x:is>
      </x:c>
      <x:c r="D1042" t="n">
        <x:v>6</x:v>
      </x:c>
      <x:c r="E1042" s="1" t="n">
        <x:v>67013</x:v>
      </x:c>
      <x:c r="F1042" t="inlineStr">
        <x:is>
          <x:t xml:space="preserve">2026-06-16</x:t>
        </x:is>
      </x:c>
    </x:row>
    <x:row r="1043" ht="20" customHeight="1">
      <x:c r="A1043" t="inlineStr">
        <x:is>
          <x:t xml:space="preserve">Rosemount-Apple Valley-Eagan ISD 196</x:t>
        </x:is>
      </x:c>
      <x:c r="B1043" t="inlineStr">
        <x:is>
          <x:t xml:space="preserve">MN</x:t>
        </x:is>
      </x:c>
      <x:c r="C1043" t="inlineStr">
        <x:is>
          <x:t xml:space="preserve">Bachelor's</x:t>
        </x:is>
      </x:c>
      <x:c r="D1043" t="n">
        <x:v>7</x:v>
      </x:c>
      <x:c r="E1043" s="1" t="n">
        <x:v>70622</x:v>
      </x:c>
      <x:c r="F1043" t="inlineStr">
        <x:is>
          <x:t xml:space="preserve">2026-06-16</x:t>
        </x:is>
      </x:c>
    </x:row>
    <x:row r="1044" ht="20" customHeight="1">
      <x:c r="A1044" t="inlineStr">
        <x:is>
          <x:t xml:space="preserve">Rosemount-Apple Valley-Eagan ISD 196</x:t>
        </x:is>
      </x:c>
      <x:c r="B1044" t="inlineStr">
        <x:is>
          <x:t xml:space="preserve">MN</x:t>
        </x:is>
      </x:c>
      <x:c r="C1044" t="inlineStr">
        <x:is>
          <x:t xml:space="preserve">Bachelor's</x:t>
        </x:is>
      </x:c>
      <x:c r="D1044" t="n">
        <x:v>8</x:v>
      </x:c>
      <x:c r="E1044" s="1" t="n">
        <x:v>73995</x:v>
      </x:c>
      <x:c r="F1044" t="inlineStr">
        <x:is>
          <x:t xml:space="preserve">2026-06-16</x:t>
        </x:is>
      </x:c>
    </x:row>
    <x:row r="1045" ht="20" customHeight="1">
      <x:c r="A1045" t="inlineStr">
        <x:is>
          <x:t xml:space="preserve">Rosemount-Apple Valley-Eagan ISD 196</x:t>
        </x:is>
      </x:c>
      <x:c r="B1045" t="inlineStr">
        <x:is>
          <x:t xml:space="preserve">MN</x:t>
        </x:is>
      </x:c>
      <x:c r="C1045" t="inlineStr">
        <x:is>
          <x:t xml:space="preserve">Bachelor's</x:t>
        </x:is>
      </x:c>
      <x:c r="D1045" t="n">
        <x:v>9</x:v>
      </x:c>
      <x:c r="E1045" s="1" t="n">
        <x:v>83773</x:v>
      </x:c>
      <x:c r="F1045" t="inlineStr">
        <x:is>
          <x:t xml:space="preserve">2026-06-16</x:t>
        </x:is>
      </x:c>
    </x:row>
    <x:row r="1046" ht="20" customHeight="1">
      <x:c r="A1046" t="inlineStr">
        <x:is>
          <x:t xml:space="preserve">Rosemount-Apple Valley-Eagan ISD 196</x:t>
        </x:is>
      </x:c>
      <x:c r="B1046" t="inlineStr">
        <x:is>
          <x:t xml:space="preserve">MN</x:t>
        </x:is>
      </x:c>
      <x:c r="C1046" t="inlineStr">
        <x:is>
          <x:t xml:space="preserve">Bachelor's</x:t>
        </x:is>
      </x:c>
      <x:c r="D1046" t="n">
        <x:v>10</x:v>
      </x:c>
      <x:c r="E1046" s="1" t="n">
        <x:v>87104</x:v>
      </x:c>
      <x:c r="F1046" t="inlineStr">
        <x:is>
          <x:t xml:space="preserve">2026-06-16</x:t>
        </x:is>
      </x:c>
    </x:row>
    <x:row r="1047" ht="20" customHeight="1">
      <x:c r="A1047" t="inlineStr">
        <x:is>
          <x:t xml:space="preserve">Rosemount-Apple Valley-Eagan ISD 196</x:t>
        </x:is>
      </x:c>
      <x:c r="B1047" t="inlineStr">
        <x:is>
          <x:t xml:space="preserve">MN</x:t>
        </x:is>
      </x:c>
      <x:c r="C1047" t="inlineStr">
        <x:is>
          <x:t xml:space="preserve">Master's</x:t>
        </x:is>
      </x:c>
      <x:c r="D1047" t="n">
        <x:v>0</x:v>
      </x:c>
      <x:c r="E1047" s="1" t="n">
        <x:v>54157</x:v>
      </x:c>
      <x:c r="F1047" t="inlineStr">
        <x:is>
          <x:t xml:space="preserve">2026-06-16</x:t>
        </x:is>
      </x:c>
    </x:row>
    <x:row r="1048" ht="20" customHeight="1">
      <x:c r="A1048" t="inlineStr">
        <x:is>
          <x:t xml:space="preserve">Rosemount-Apple Valley-Eagan ISD 196</x:t>
        </x:is>
      </x:c>
      <x:c r="B1048" t="inlineStr">
        <x:is>
          <x:t xml:space="preserve">MN</x:t>
        </x:is>
      </x:c>
      <x:c r="C1048" t="inlineStr">
        <x:is>
          <x:t xml:space="preserve">Master's</x:t>
        </x:is>
      </x:c>
      <x:c r="D1048" t="n">
        <x:v>1</x:v>
      </x:c>
      <x:c r="E1048" s="1" t="n">
        <x:v>57190</x:v>
      </x:c>
      <x:c r="F1048" t="inlineStr">
        <x:is>
          <x:t xml:space="preserve">2026-06-16</x:t>
        </x:is>
      </x:c>
    </x:row>
    <x:row r="1049" ht="20" customHeight="1">
      <x:c r="A1049" t="inlineStr">
        <x:is>
          <x:t xml:space="preserve">Rosemount-Apple Valley-Eagan ISD 196</x:t>
        </x:is>
      </x:c>
      <x:c r="B1049" t="inlineStr">
        <x:is>
          <x:t xml:space="preserve">MN</x:t>
        </x:is>
      </x:c>
      <x:c r="C1049" t="inlineStr">
        <x:is>
          <x:t xml:space="preserve">Master's</x:t>
        </x:is>
      </x:c>
      <x:c r="D1049" t="n">
        <x:v>2</x:v>
      </x:c>
      <x:c r="E1049" s="1" t="n">
        <x:v>60505</x:v>
      </x:c>
      <x:c r="F1049" t="inlineStr">
        <x:is>
          <x:t xml:space="preserve">2026-06-16</x:t>
        </x:is>
      </x:c>
    </x:row>
    <x:row r="1050" ht="20" customHeight="1">
      <x:c r="A1050" t="inlineStr">
        <x:is>
          <x:t xml:space="preserve">Rosemount-Apple Valley-Eagan ISD 196</x:t>
        </x:is>
      </x:c>
      <x:c r="B1050" t="inlineStr">
        <x:is>
          <x:t xml:space="preserve">MN</x:t>
        </x:is>
      </x:c>
      <x:c r="C1050" t="inlineStr">
        <x:is>
          <x:t xml:space="preserve">Master's</x:t>
        </x:is>
      </x:c>
      <x:c r="D1050" t="n">
        <x:v>3</x:v>
      </x:c>
      <x:c r="E1050" s="1" t="n">
        <x:v>62094</x:v>
      </x:c>
      <x:c r="F1050" t="inlineStr">
        <x:is>
          <x:t xml:space="preserve">2026-06-16</x:t>
        </x:is>
      </x:c>
    </x:row>
    <x:row r="1051" ht="20" customHeight="1">
      <x:c r="A1051" t="inlineStr">
        <x:is>
          <x:t xml:space="preserve">Rosemount-Apple Valley-Eagan ISD 196</x:t>
        </x:is>
      </x:c>
      <x:c r="B1051" t="inlineStr">
        <x:is>
          <x:t xml:space="preserve">MN</x:t>
        </x:is>
      </x:c>
      <x:c r="C1051" t="inlineStr">
        <x:is>
          <x:t xml:space="preserve">Master's</x:t>
        </x:is>
      </x:c>
      <x:c r="D1051" t="n">
        <x:v>4</x:v>
      </x:c>
      <x:c r="E1051" s="1" t="n">
        <x:v>65314</x:v>
      </x:c>
      <x:c r="F1051" t="inlineStr">
        <x:is>
          <x:t xml:space="preserve">2026-06-16</x:t>
        </x:is>
      </x:c>
    </x:row>
    <x:row r="1052" ht="20" customHeight="1">
      <x:c r="A1052" t="inlineStr">
        <x:is>
          <x:t xml:space="preserve">Rosemount-Apple Valley-Eagan ISD 196</x:t>
        </x:is>
      </x:c>
      <x:c r="B1052" t="inlineStr">
        <x:is>
          <x:t xml:space="preserve">MN</x:t>
        </x:is>
      </x:c>
      <x:c r="C1052" t="inlineStr">
        <x:is>
          <x:t xml:space="preserve">Master's</x:t>
        </x:is>
      </x:c>
      <x:c r="D1052" t="n">
        <x:v>5</x:v>
      </x:c>
      <x:c r="E1052" s="1" t="n">
        <x:v>72068</x:v>
      </x:c>
      <x:c r="F1052" t="inlineStr">
        <x:is>
          <x:t xml:space="preserve">2026-06-16</x:t>
        </x:is>
      </x:c>
    </x:row>
    <x:row r="1053" ht="20" customHeight="1">
      <x:c r="A1053" t="inlineStr">
        <x:is>
          <x:t xml:space="preserve">Rosemount-Apple Valley-Eagan ISD 196</x:t>
        </x:is>
      </x:c>
      <x:c r="B1053" t="inlineStr">
        <x:is>
          <x:t xml:space="preserve">MN</x:t>
        </x:is>
      </x:c>
      <x:c r="C1053" t="inlineStr">
        <x:is>
          <x:t xml:space="preserve">Master's</x:t>
        </x:is>
      </x:c>
      <x:c r="D1053" t="n">
        <x:v>6</x:v>
      </x:c>
      <x:c r="E1053" s="1" t="n">
        <x:v>77423</x:v>
      </x:c>
      <x:c r="F1053" t="inlineStr">
        <x:is>
          <x:t xml:space="preserve">2026-06-16</x:t>
        </x:is>
      </x:c>
    </x:row>
    <x:row r="1054" ht="20" customHeight="1">
      <x:c r="A1054" t="inlineStr">
        <x:is>
          <x:t xml:space="preserve">Rosemount-Apple Valley-Eagan ISD 196</x:t>
        </x:is>
      </x:c>
      <x:c r="B1054" t="inlineStr">
        <x:is>
          <x:t xml:space="preserve">MN</x:t>
        </x:is>
      </x:c>
      <x:c r="C1054" t="inlineStr">
        <x:is>
          <x:t xml:space="preserve">Master's</x:t>
        </x:is>
      </x:c>
      <x:c r="D1054" t="n">
        <x:v>7</x:v>
      </x:c>
      <x:c r="E1054" s="1" t="n">
        <x:v>80600</x:v>
      </x:c>
      <x:c r="F1054" t="inlineStr">
        <x:is>
          <x:t xml:space="preserve">2026-06-16</x:t>
        </x:is>
      </x:c>
    </x:row>
    <x:row r="1055" ht="20" customHeight="1">
      <x:c r="A1055" t="inlineStr">
        <x:is>
          <x:t xml:space="preserve">Rosemount-Apple Valley-Eagan ISD 196</x:t>
        </x:is>
      </x:c>
      <x:c r="B1055" t="inlineStr">
        <x:is>
          <x:t xml:space="preserve">MN</x:t>
        </x:is>
      </x:c>
      <x:c r="C1055" t="inlineStr">
        <x:is>
          <x:t xml:space="preserve">Master's</x:t>
        </x:is>
      </x:c>
      <x:c r="D1055" t="n">
        <x:v>8</x:v>
      </x:c>
      <x:c r="E1055" s="1" t="n">
        <x:v>83773</x:v>
      </x:c>
      <x:c r="F1055" t="inlineStr">
        <x:is>
          <x:t xml:space="preserve">2026-06-16</x:t>
        </x:is>
      </x:c>
    </x:row>
    <x:row r="1056" ht="20" customHeight="1">
      <x:c r="A1056" t="inlineStr">
        <x:is>
          <x:t xml:space="preserve">Rosemount-Apple Valley-Eagan ISD 196</x:t>
        </x:is>
      </x:c>
      <x:c r="B1056" t="inlineStr">
        <x:is>
          <x:t xml:space="preserve">MN</x:t>
        </x:is>
      </x:c>
      <x:c r="C1056" t="inlineStr">
        <x:is>
          <x:t xml:space="preserve">Master's</x:t>
        </x:is>
      </x:c>
      <x:c r="D1056" t="n">
        <x:v>9</x:v>
      </x:c>
      <x:c r="E1056" s="1" t="n">
        <x:v>89328</x:v>
      </x:c>
      <x:c r="F1056" t="inlineStr">
        <x:is>
          <x:t xml:space="preserve">2026-06-16</x:t>
        </x:is>
      </x:c>
    </x:row>
    <x:row r="1057" ht="20" customHeight="1">
      <x:c r="A1057" t="inlineStr">
        <x:is>
          <x:t xml:space="preserve">Rosemount-Apple Valley-Eagan ISD 196</x:t>
        </x:is>
      </x:c>
      <x:c r="B1057" t="inlineStr">
        <x:is>
          <x:t xml:space="preserve">MN</x:t>
        </x:is>
      </x:c>
      <x:c r="C1057" t="inlineStr">
        <x:is>
          <x:t xml:space="preserve">Master's</x:t>
        </x:is>
      </x:c>
      <x:c r="D1057" t="n">
        <x:v>10</x:v>
      </x:c>
      <x:c r="E1057" s="1" t="n">
        <x:v>92502</x:v>
      </x:c>
      <x:c r="F1057" t="inlineStr">
        <x:is>
          <x:t xml:space="preserve">2026-06-16</x:t>
        </x:is>
      </x:c>
    </x:row>
    <x:row r="1058" ht="20" customHeight="1">
      <x:c r="A1058" s="17" t="inlineStr">
        <x:is>
          <x:t xml:space="preserve">Royal ISD</x:t>
        </x:is>
      </x:c>
      <x:c r="B1058" s="17" t="inlineStr">
        <x:is>
          <x:t xml:space="preserve">TX</x:t>
        </x:is>
      </x:c>
      <x:c r="C1058" s="17" t="inlineStr">
        <x:is>
          <x:t xml:space="preserve">Bachelor's</x:t>
        </x:is>
      </x:c>
      <x:c r="D1058" s="40" t="n">
        <x:v>0</x:v>
      </x:c>
      <x:c r="E1058" s="38" t="n">
        <x:v>61000</x:v>
      </x:c>
      <x:c r="F1058" s="84" t="inlineStr">
        <x:is>
          <x:t xml:space="preserve">2026-06-10</x:t>
        </x:is>
      </x:c>
    </x:row>
    <x:row r="1059" ht="20" customHeight="1">
      <x:c r="A1059" s="17" t="inlineStr">
        <x:is>
          <x:t xml:space="preserve">Royal ISD</x:t>
        </x:is>
      </x:c>
      <x:c r="B1059" s="17" t="inlineStr">
        <x:is>
          <x:t xml:space="preserve">TX</x:t>
        </x:is>
      </x:c>
      <x:c r="C1059" s="17" t="inlineStr">
        <x:is>
          <x:t xml:space="preserve">Bachelor's</x:t>
        </x:is>
      </x:c>
      <x:c r="D1059" s="40" t="n">
        <x:v>1</x:v>
      </x:c>
      <x:c r="E1059" s="38" t="n">
        <x:v>61820</x:v>
      </x:c>
      <x:c r="F1059" s="84" t="inlineStr">
        <x:is>
          <x:t xml:space="preserve">2026-06-10</x:t>
        </x:is>
      </x:c>
    </x:row>
    <x:row r="1060" ht="20" customHeight="1">
      <x:c r="A1060" s="17" t="inlineStr">
        <x:is>
          <x:t xml:space="preserve">Royal ISD</x:t>
        </x:is>
      </x:c>
      <x:c r="B1060" s="17" t="inlineStr">
        <x:is>
          <x:t xml:space="preserve">TX</x:t>
        </x:is>
      </x:c>
      <x:c r="C1060" s="17" t="inlineStr">
        <x:is>
          <x:t xml:space="preserve">Bachelor's</x:t>
        </x:is>
      </x:c>
      <x:c r="D1060" s="40" t="n">
        <x:v>2</x:v>
      </x:c>
      <x:c r="E1060" s="38" t="n">
        <x:v>62120</x:v>
      </x:c>
      <x:c r="F1060" s="84" t="inlineStr">
        <x:is>
          <x:t xml:space="preserve">2026-06-10</x:t>
        </x:is>
      </x:c>
    </x:row>
    <x:row r="1061" ht="20" customHeight="1">
      <x:c r="A1061" s="17" t="inlineStr">
        <x:is>
          <x:t xml:space="preserve">Royal ISD</x:t>
        </x:is>
      </x:c>
      <x:c r="B1061" s="17" t="inlineStr">
        <x:is>
          <x:t xml:space="preserve">TX</x:t>
        </x:is>
      </x:c>
      <x:c r="C1061" s="17" t="inlineStr">
        <x:is>
          <x:t xml:space="preserve">Bachelor's</x:t>
        </x:is>
      </x:c>
      <x:c r="D1061" s="40" t="n">
        <x:v>3</x:v>
      </x:c>
      <x:c r="E1061" s="38" t="n">
        <x:v>65420</x:v>
      </x:c>
      <x:c r="F1061" s="84" t="inlineStr">
        <x:is>
          <x:t xml:space="preserve">2026-06-10</x:t>
        </x:is>
      </x:c>
    </x:row>
    <x:row r="1062" ht="20" customHeight="1">
      <x:c r="A1062" s="17" t="inlineStr">
        <x:is>
          <x:t xml:space="preserve">Royal ISD</x:t>
        </x:is>
      </x:c>
      <x:c r="B1062" s="17" t="inlineStr">
        <x:is>
          <x:t xml:space="preserve">TX</x:t>
        </x:is>
      </x:c>
      <x:c r="C1062" s="17" t="inlineStr">
        <x:is>
          <x:t xml:space="preserve">Bachelor's</x:t>
        </x:is>
      </x:c>
      <x:c r="D1062" s="40" t="n">
        <x:v>4</x:v>
      </x:c>
      <x:c r="E1062" s="38" t="n">
        <x:v>65720</x:v>
      </x:c>
      <x:c r="F1062" s="84" t="inlineStr">
        <x:is>
          <x:t xml:space="preserve">2026-06-10</x:t>
        </x:is>
      </x:c>
    </x:row>
    <x:row r="1063" ht="20" customHeight="1">
      <x:c r="A1063" s="17" t="inlineStr">
        <x:is>
          <x:t xml:space="preserve">Royal ISD</x:t>
        </x:is>
      </x:c>
      <x:c r="B1063" s="17" t="inlineStr">
        <x:is>
          <x:t xml:space="preserve">TX</x:t>
        </x:is>
      </x:c>
      <x:c r="C1063" s="17" t="inlineStr">
        <x:is>
          <x:t xml:space="preserve">Bachelor's</x:t>
        </x:is>
      </x:c>
      <x:c r="D1063" s="40" t="n">
        <x:v>5</x:v>
      </x:c>
      <x:c r="E1063" s="38" t="n">
        <x:v>70020</x:v>
      </x:c>
      <x:c r="F1063" s="84" t="inlineStr">
        <x:is>
          <x:t xml:space="preserve">2026-06-10</x:t>
        </x:is>
      </x:c>
    </x:row>
    <x:row r="1064" ht="20" customHeight="1">
      <x:c r="A1064" s="17" t="inlineStr">
        <x:is>
          <x:t xml:space="preserve">Royal ISD</x:t>
        </x:is>
      </x:c>
      <x:c r="B1064" s="17" t="inlineStr">
        <x:is>
          <x:t xml:space="preserve">TX</x:t>
        </x:is>
      </x:c>
      <x:c r="C1064" s="17" t="inlineStr">
        <x:is>
          <x:t xml:space="preserve">Bachelor's</x:t>
        </x:is>
      </x:c>
      <x:c r="D1064" s="40" t="n">
        <x:v>6</x:v>
      </x:c>
      <x:c r="E1064" s="38" t="n">
        <x:v>70320</x:v>
      </x:c>
      <x:c r="F1064" s="84" t="inlineStr">
        <x:is>
          <x:t xml:space="preserve">2026-06-10</x:t>
        </x:is>
      </x:c>
    </x:row>
    <x:row r="1065" ht="20" customHeight="1">
      <x:c r="A1065" s="17" t="inlineStr">
        <x:is>
          <x:t xml:space="preserve">Royal ISD</x:t>
        </x:is>
      </x:c>
      <x:c r="B1065" s="17" t="inlineStr">
        <x:is>
          <x:t xml:space="preserve">TX</x:t>
        </x:is>
      </x:c>
      <x:c r="C1065" s="17" t="inlineStr">
        <x:is>
          <x:t xml:space="preserve">Bachelor's</x:t>
        </x:is>
      </x:c>
      <x:c r="D1065" s="40" t="n">
        <x:v>7</x:v>
      </x:c>
      <x:c r="E1065" s="38" t="n">
        <x:v>70620</x:v>
      </x:c>
      <x:c r="F1065" s="84" t="inlineStr">
        <x:is>
          <x:t xml:space="preserve">2026-06-10</x:t>
        </x:is>
      </x:c>
    </x:row>
    <x:row r="1066" ht="20" customHeight="1">
      <x:c r="A1066" s="17" t="inlineStr">
        <x:is>
          <x:t xml:space="preserve">Royal ISD</x:t>
        </x:is>
      </x:c>
      <x:c r="B1066" s="17" t="inlineStr">
        <x:is>
          <x:t xml:space="preserve">TX</x:t>
        </x:is>
      </x:c>
      <x:c r="C1066" s="17" t="inlineStr">
        <x:is>
          <x:t xml:space="preserve">Bachelor's</x:t>
        </x:is>
      </x:c>
      <x:c r="D1066" s="40" t="n">
        <x:v>8</x:v>
      </x:c>
      <x:c r="E1066" s="38" t="n">
        <x:v>71020</x:v>
      </x:c>
      <x:c r="F1066" s="84" t="inlineStr">
        <x:is>
          <x:t xml:space="preserve">2026-06-10</x:t>
        </x:is>
      </x:c>
    </x:row>
    <x:row r="1067" ht="20" customHeight="1">
      <x:c r="A1067" s="17" t="inlineStr">
        <x:is>
          <x:t xml:space="preserve">Royal ISD</x:t>
        </x:is>
      </x:c>
      <x:c r="B1067" s="17" t="inlineStr">
        <x:is>
          <x:t xml:space="preserve">TX</x:t>
        </x:is>
      </x:c>
      <x:c r="C1067" s="17" t="inlineStr">
        <x:is>
          <x:t xml:space="preserve">Bachelor's</x:t>
        </x:is>
      </x:c>
      <x:c r="D1067" s="40" t="n">
        <x:v>9</x:v>
      </x:c>
      <x:c r="E1067" s="38" t="n">
        <x:v>71420</x:v>
      </x:c>
      <x:c r="F1067" s="84" t="inlineStr">
        <x:is>
          <x:t xml:space="preserve">2026-06-10</x:t>
        </x:is>
      </x:c>
    </x:row>
    <x:row r="1068" ht="20" customHeight="1">
      <x:c r="A1068" s="17" t="inlineStr">
        <x:is>
          <x:t xml:space="preserve">Royal ISD</x:t>
        </x:is>
      </x:c>
      <x:c r="B1068" s="17" t="inlineStr">
        <x:is>
          <x:t xml:space="preserve">TX</x:t>
        </x:is>
      </x:c>
      <x:c r="C1068" s="17" t="inlineStr">
        <x:is>
          <x:t xml:space="preserve">Bachelor's</x:t>
        </x:is>
      </x:c>
      <x:c r="D1068" s="40" t="n">
        <x:v>10</x:v>
      </x:c>
      <x:c r="E1068" s="38" t="n">
        <x:v>71820</x:v>
      </x:c>
      <x:c r="F1068" s="84" t="inlineStr">
        <x:is>
          <x:t xml:space="preserve">2026-06-10</x:t>
        </x:is>
      </x:c>
    </x:row>
    <x:row r="1069" ht="20" customHeight="1">
      <x:c r="A1069" s="17" t="inlineStr">
        <x:is>
          <x:t xml:space="preserve">Royal ISD</x:t>
        </x:is>
      </x:c>
      <x:c r="B1069" s="17" t="inlineStr">
        <x:is>
          <x:t xml:space="preserve">TX</x:t>
        </x:is>
      </x:c>
      <x:c r="C1069" s="17" t="inlineStr">
        <x:is>
          <x:t xml:space="preserve">Master's</x:t>
        </x:is>
      </x:c>
      <x:c r="D1069" s="40" t="n">
        <x:v>0</x:v>
      </x:c>
      <x:c r="E1069" s="38" t="n">
        <x:v>62000</x:v>
      </x:c>
      <x:c r="F1069" s="84" t="inlineStr">
        <x:is>
          <x:t xml:space="preserve">2026-06-10</x:t>
        </x:is>
      </x:c>
    </x:row>
    <x:row r="1070" ht="20" customHeight="1">
      <x:c r="A1070" s="17" t="inlineStr">
        <x:is>
          <x:t xml:space="preserve">Royal ISD</x:t>
        </x:is>
      </x:c>
      <x:c r="B1070" s="17" t="inlineStr">
        <x:is>
          <x:t xml:space="preserve">TX</x:t>
        </x:is>
      </x:c>
      <x:c r="C1070" s="17" t="inlineStr">
        <x:is>
          <x:t xml:space="preserve">Master's</x:t>
        </x:is>
      </x:c>
      <x:c r="D1070" s="40" t="n">
        <x:v>1</x:v>
      </x:c>
      <x:c r="E1070" s="38" t="n">
        <x:v>62820</x:v>
      </x:c>
      <x:c r="F1070" s="84" t="inlineStr">
        <x:is>
          <x:t xml:space="preserve">2026-06-10</x:t>
        </x:is>
      </x:c>
    </x:row>
    <x:row r="1071" ht="20" customHeight="1">
      <x:c r="A1071" s="17" t="inlineStr">
        <x:is>
          <x:t xml:space="preserve">Royal ISD</x:t>
        </x:is>
      </x:c>
      <x:c r="B1071" s="17" t="inlineStr">
        <x:is>
          <x:t xml:space="preserve">TX</x:t>
        </x:is>
      </x:c>
      <x:c r="C1071" s="17" t="inlineStr">
        <x:is>
          <x:t xml:space="preserve">Master's</x:t>
        </x:is>
      </x:c>
      <x:c r="D1071" s="40" t="n">
        <x:v>2</x:v>
      </x:c>
      <x:c r="E1071" s="38" t="n">
        <x:v>63120</x:v>
      </x:c>
      <x:c r="F1071" s="84" t="inlineStr">
        <x:is>
          <x:t xml:space="preserve">2026-06-10</x:t>
        </x:is>
      </x:c>
    </x:row>
    <x:row r="1072" ht="20" customHeight="1">
      <x:c r="A1072" s="17" t="inlineStr">
        <x:is>
          <x:t xml:space="preserve">Royal ISD</x:t>
        </x:is>
      </x:c>
      <x:c r="B1072" s="17" t="inlineStr">
        <x:is>
          <x:t xml:space="preserve">TX</x:t>
        </x:is>
      </x:c>
      <x:c r="C1072" s="17" t="inlineStr">
        <x:is>
          <x:t xml:space="preserve">Master's</x:t>
        </x:is>
      </x:c>
      <x:c r="D1072" s="40" t="n">
        <x:v>3</x:v>
      </x:c>
      <x:c r="E1072" s="38" t="n">
        <x:v>66420</x:v>
      </x:c>
      <x:c r="F1072" s="84" t="inlineStr">
        <x:is>
          <x:t xml:space="preserve">2026-06-10</x:t>
        </x:is>
      </x:c>
    </x:row>
    <x:row r="1073" ht="20" customHeight="1">
      <x:c r="A1073" s="17" t="inlineStr">
        <x:is>
          <x:t xml:space="preserve">Royal ISD</x:t>
        </x:is>
      </x:c>
      <x:c r="B1073" s="17" t="inlineStr">
        <x:is>
          <x:t xml:space="preserve">TX</x:t>
        </x:is>
      </x:c>
      <x:c r="C1073" s="17" t="inlineStr">
        <x:is>
          <x:t xml:space="preserve">Master's</x:t>
        </x:is>
      </x:c>
      <x:c r="D1073" s="40" t="n">
        <x:v>4</x:v>
      </x:c>
      <x:c r="E1073" s="38" t="n">
        <x:v>66720</x:v>
      </x:c>
      <x:c r="F1073" s="84" t="inlineStr">
        <x:is>
          <x:t xml:space="preserve">2026-06-10</x:t>
        </x:is>
      </x:c>
    </x:row>
    <x:row r="1074" ht="20" customHeight="1">
      <x:c r="A1074" s="17" t="inlineStr">
        <x:is>
          <x:t xml:space="preserve">Royal ISD</x:t>
        </x:is>
      </x:c>
      <x:c r="B1074" s="17" t="inlineStr">
        <x:is>
          <x:t xml:space="preserve">TX</x:t>
        </x:is>
      </x:c>
      <x:c r="C1074" s="17" t="inlineStr">
        <x:is>
          <x:t xml:space="preserve">Master's</x:t>
        </x:is>
      </x:c>
      <x:c r="D1074" s="40" t="n">
        <x:v>5</x:v>
      </x:c>
      <x:c r="E1074" s="38" t="n">
        <x:v>71020</x:v>
      </x:c>
      <x:c r="F1074" s="84" t="inlineStr">
        <x:is>
          <x:t xml:space="preserve">2026-06-10</x:t>
        </x:is>
      </x:c>
    </x:row>
    <x:row r="1075" ht="20" customHeight="1">
      <x:c r="A1075" s="17" t="inlineStr">
        <x:is>
          <x:t xml:space="preserve">Royal ISD</x:t>
        </x:is>
      </x:c>
      <x:c r="B1075" s="17" t="inlineStr">
        <x:is>
          <x:t xml:space="preserve">TX</x:t>
        </x:is>
      </x:c>
      <x:c r="C1075" s="17" t="inlineStr">
        <x:is>
          <x:t xml:space="preserve">Master's</x:t>
        </x:is>
      </x:c>
      <x:c r="D1075" s="40" t="n">
        <x:v>6</x:v>
      </x:c>
      <x:c r="E1075" s="38" t="n">
        <x:v>71320</x:v>
      </x:c>
      <x:c r="F1075" s="84" t="inlineStr">
        <x:is>
          <x:t xml:space="preserve">2026-06-10</x:t>
        </x:is>
      </x:c>
    </x:row>
    <x:row r="1076" ht="20" customHeight="1">
      <x:c r="A1076" s="17" t="inlineStr">
        <x:is>
          <x:t xml:space="preserve">Royal ISD</x:t>
        </x:is>
      </x:c>
      <x:c r="B1076" s="17" t="inlineStr">
        <x:is>
          <x:t xml:space="preserve">TX</x:t>
        </x:is>
      </x:c>
      <x:c r="C1076" s="17" t="inlineStr">
        <x:is>
          <x:t xml:space="preserve">Master's</x:t>
        </x:is>
      </x:c>
      <x:c r="D1076" s="40" t="n">
        <x:v>7</x:v>
      </x:c>
      <x:c r="E1076" s="38" t="n">
        <x:v>71620</x:v>
      </x:c>
      <x:c r="F1076" s="84" t="inlineStr">
        <x:is>
          <x:t xml:space="preserve">2026-06-10</x:t>
        </x:is>
      </x:c>
    </x:row>
    <x:row r="1077" ht="20" customHeight="1">
      <x:c r="A1077" s="17" t="inlineStr">
        <x:is>
          <x:t xml:space="preserve">Royal ISD</x:t>
        </x:is>
      </x:c>
      <x:c r="B1077" s="17" t="inlineStr">
        <x:is>
          <x:t xml:space="preserve">TX</x:t>
        </x:is>
      </x:c>
      <x:c r="C1077" s="17" t="inlineStr">
        <x:is>
          <x:t xml:space="preserve">Master's</x:t>
        </x:is>
      </x:c>
      <x:c r="D1077" s="40" t="n">
        <x:v>8</x:v>
      </x:c>
      <x:c r="E1077" s="38" t="n">
        <x:v>72020</x:v>
      </x:c>
      <x:c r="F1077" s="84" t="inlineStr">
        <x:is>
          <x:t xml:space="preserve">2026-06-10</x:t>
        </x:is>
      </x:c>
    </x:row>
    <x:row r="1078" ht="20" customHeight="1">
      <x:c r="A1078" s="17" t="inlineStr">
        <x:is>
          <x:t xml:space="preserve">Royal ISD</x:t>
        </x:is>
      </x:c>
      <x:c r="B1078" s="17" t="inlineStr">
        <x:is>
          <x:t xml:space="preserve">TX</x:t>
        </x:is>
      </x:c>
      <x:c r="C1078" s="17" t="inlineStr">
        <x:is>
          <x:t xml:space="preserve">Master's</x:t>
        </x:is>
      </x:c>
      <x:c r="D1078" s="40" t="n">
        <x:v>9</x:v>
      </x:c>
      <x:c r="E1078" s="38" t="n">
        <x:v>72420</x:v>
      </x:c>
      <x:c r="F1078" s="84" t="inlineStr">
        <x:is>
          <x:t xml:space="preserve">2026-06-10</x:t>
        </x:is>
      </x:c>
    </x:row>
    <x:row r="1079" ht="20" customHeight="1">
      <x:c r="A1079" s="17" t="inlineStr">
        <x:is>
          <x:t xml:space="preserve">Royal ISD</x:t>
        </x:is>
      </x:c>
      <x:c r="B1079" s="17" t="inlineStr">
        <x:is>
          <x:t xml:space="preserve">TX</x:t>
        </x:is>
      </x:c>
      <x:c r="C1079" s="17" t="inlineStr">
        <x:is>
          <x:t xml:space="preserve">Master's</x:t>
        </x:is>
      </x:c>
      <x:c r="D1079" s="40" t="n">
        <x:v>10</x:v>
      </x:c>
      <x:c r="E1079" s="38" t="n">
        <x:v>72820</x:v>
      </x:c>
      <x:c r="F1079" s="84" t="inlineStr">
        <x:is>
          <x:t xml:space="preserve">2026-06-10</x:t>
        </x:is>
      </x:c>
    </x:row>
    <x:row r="1080" ht="20" customHeight="1">
      <x:c r="A1080" s="17" t="inlineStr">
        <x:is>
          <x:t xml:space="preserve">Saint Helena Unified School District</x:t>
        </x:is>
      </x:c>
      <x:c r="B1080" s="17" t="inlineStr">
        <x:is>
          <x:t xml:space="preserve">CA</x:t>
        </x:is>
      </x:c>
      <x:c r="C1080" s="17" t="inlineStr">
        <x:is>
          <x:t xml:space="preserve">Bachelor's</x:t>
        </x:is>
      </x:c>
      <x:c r="D1080" s="40" t="n">
        <x:v>0</x:v>
      </x:c>
      <x:c r="E1080" s="38" t="n">
        <x:v>93432</x:v>
      </x:c>
      <x:c r="F1080" s="17" t="inlineStr">
        <x:is>
          <x:t xml:space="preserve">2026-06-11</x:t>
        </x:is>
      </x:c>
    </x:row>
    <x:row r="1081" ht="20" customHeight="1">
      <x:c r="A1081" s="17" t="inlineStr">
        <x:is>
          <x:t xml:space="preserve">Saint Helena Unified School District</x:t>
        </x:is>
      </x:c>
      <x:c r="B1081" s="17" t="inlineStr">
        <x:is>
          <x:t xml:space="preserve">CA</x:t>
        </x:is>
      </x:c>
      <x:c r="C1081" s="17" t="inlineStr">
        <x:is>
          <x:t xml:space="preserve">Bachelor's</x:t>
        </x:is>
      </x:c>
      <x:c r="D1081" s="40" t="n">
        <x:v>1</x:v>
      </x:c>
      <x:c r="E1081" s="38" t="n">
        <x:v>100556</x:v>
      </x:c>
      <x:c r="F1081" s="17" t="inlineStr">
        <x:is>
          <x:t xml:space="preserve">2026-06-11</x:t>
        </x:is>
      </x:c>
    </x:row>
    <x:row r="1082" ht="20" customHeight="1">
      <x:c r="A1082" s="17" t="inlineStr">
        <x:is>
          <x:t xml:space="preserve">Saint Helena Unified School District</x:t>
        </x:is>
      </x:c>
      <x:c r="B1082" s="17" t="inlineStr">
        <x:is>
          <x:t xml:space="preserve">CA</x:t>
        </x:is>
      </x:c>
      <x:c r="C1082" s="17" t="inlineStr">
        <x:is>
          <x:t xml:space="preserve">Bachelor's</x:t>
        </x:is>
      </x:c>
      <x:c r="D1082" s="40" t="n">
        <x:v>2</x:v>
      </x:c>
      <x:c r="E1082" s="38" t="n">
        <x:v>103070</x:v>
      </x:c>
      <x:c r="F1082" s="17" t="inlineStr">
        <x:is>
          <x:t xml:space="preserve">2026-06-11</x:t>
        </x:is>
      </x:c>
    </x:row>
    <x:row r="1083" ht="20" customHeight="1">
      <x:c r="A1083" s="17" t="inlineStr">
        <x:is>
          <x:t xml:space="preserve">Saint Helena Unified School District</x:t>
        </x:is>
      </x:c>
      <x:c r="B1083" s="17" t="inlineStr">
        <x:is>
          <x:t xml:space="preserve">CA</x:t>
        </x:is>
      </x:c>
      <x:c r="C1083" s="17" t="inlineStr">
        <x:is>
          <x:t xml:space="preserve">Bachelor's</x:t>
        </x:is>
      </x:c>
      <x:c r="D1083" s="40" t="n">
        <x:v>3</x:v>
      </x:c>
      <x:c r="E1083" s="38" t="n">
        <x:v>105646</x:v>
      </x:c>
      <x:c r="F1083" s="17" t="inlineStr">
        <x:is>
          <x:t xml:space="preserve">2026-06-11</x:t>
        </x:is>
      </x:c>
    </x:row>
    <x:row r="1084" ht="20" customHeight="1">
      <x:c r="A1084" s="17" t="inlineStr">
        <x:is>
          <x:t xml:space="preserve">Saint Helena Unified School District</x:t>
        </x:is>
      </x:c>
      <x:c r="B1084" s="17" t="inlineStr">
        <x:is>
          <x:t xml:space="preserve">CA</x:t>
        </x:is>
      </x:c>
      <x:c r="C1084" s="17" t="inlineStr">
        <x:is>
          <x:t xml:space="preserve">Bachelor's</x:t>
        </x:is>
      </x:c>
      <x:c r="D1084" s="40" t="n">
        <x:v>4</x:v>
      </x:c>
      <x:c r="E1084" s="38" t="n">
        <x:v>108287</x:v>
      </x:c>
      <x:c r="F1084" s="17" t="inlineStr">
        <x:is>
          <x:t xml:space="preserve">2026-06-11</x:t>
        </x:is>
      </x:c>
    </x:row>
    <x:row r="1085" ht="20" customHeight="1">
      <x:c r="A1085" s="17" t="inlineStr">
        <x:is>
          <x:t xml:space="preserve">Saint Helena Unified School District</x:t>
        </x:is>
      </x:c>
      <x:c r="B1085" s="17" t="inlineStr">
        <x:is>
          <x:t xml:space="preserve">CA</x:t>
        </x:is>
      </x:c>
      <x:c r="C1085" s="17" t="inlineStr">
        <x:is>
          <x:t xml:space="preserve">Bachelor's</x:t>
        </x:is>
      </x:c>
      <x:c r="D1085" s="40" t="n">
        <x:v>5</x:v>
      </x:c>
      <x:c r="E1085" s="38" t="n">
        <x:v>110995</x:v>
      </x:c>
      <x:c r="F1085" s="17" t="inlineStr">
        <x:is>
          <x:t xml:space="preserve">2026-06-11</x:t>
        </x:is>
      </x:c>
    </x:row>
    <x:row r="1086" ht="20" customHeight="1">
      <x:c r="A1086" s="17" t="inlineStr">
        <x:is>
          <x:t xml:space="preserve">Saint Helena Unified School District</x:t>
        </x:is>
      </x:c>
      <x:c r="B1086" s="17" t="inlineStr">
        <x:is>
          <x:t xml:space="preserve">CA</x:t>
        </x:is>
      </x:c>
      <x:c r="C1086" s="17" t="inlineStr">
        <x:is>
          <x:t xml:space="preserve">Bachelor's</x:t>
        </x:is>
      </x:c>
      <x:c r="D1086" s="40" t="n">
        <x:v>6</x:v>
      </x:c>
      <x:c r="E1086" s="38" t="n">
        <x:v>113770</x:v>
      </x:c>
      <x:c r="F1086" s="17" t="inlineStr">
        <x:is>
          <x:t xml:space="preserve">2026-06-11</x:t>
        </x:is>
      </x:c>
    </x:row>
    <x:row r="1087" ht="20" customHeight="1">
      <x:c r="A1087" s="17" t="inlineStr">
        <x:is>
          <x:t xml:space="preserve">Saint Helena Unified School District</x:t>
        </x:is>
      </x:c>
      <x:c r="B1087" s="17" t="inlineStr">
        <x:is>
          <x:t xml:space="preserve">CA</x:t>
        </x:is>
      </x:c>
      <x:c r="C1087" s="17" t="inlineStr">
        <x:is>
          <x:t xml:space="preserve">Bachelor's</x:t>
        </x:is>
      </x:c>
      <x:c r="D1087" s="40" t="n">
        <x:v>7</x:v>
      </x:c>
      <x:c r="E1087" s="38" t="n">
        <x:v>116614</x:v>
      </x:c>
      <x:c r="F1087" s="17" t="inlineStr">
        <x:is>
          <x:t xml:space="preserve">2026-06-11</x:t>
        </x:is>
      </x:c>
    </x:row>
    <x:row r="1088" ht="20" customHeight="1">
      <x:c r="A1088" s="17" t="inlineStr">
        <x:is>
          <x:t xml:space="preserve">Saint Helena Unified School District</x:t>
        </x:is>
      </x:c>
      <x:c r="B1088" s="17" t="inlineStr">
        <x:is>
          <x:t xml:space="preserve">CA</x:t>
        </x:is>
      </x:c>
      <x:c r="C1088" s="17" t="inlineStr">
        <x:is>
          <x:t xml:space="preserve">Bachelor's</x:t>
        </x:is>
      </x:c>
      <x:c r="D1088" s="40" t="n">
        <x:v>8</x:v>
      </x:c>
      <x:c r="E1088" s="38" t="n">
        <x:v>119529</x:v>
      </x:c>
      <x:c r="F1088" s="17" t="inlineStr">
        <x:is>
          <x:t xml:space="preserve">2026-06-11</x:t>
        </x:is>
      </x:c>
    </x:row>
    <x:row r="1089" ht="20" customHeight="1">
      <x:c r="A1089" s="17" t="inlineStr">
        <x:is>
          <x:t xml:space="preserve">Saint Helena Unified School District</x:t>
        </x:is>
      </x:c>
      <x:c r="B1089" s="17" t="inlineStr">
        <x:is>
          <x:t xml:space="preserve">CA</x:t>
        </x:is>
      </x:c>
      <x:c r="C1089" s="17" t="inlineStr">
        <x:is>
          <x:t xml:space="preserve">Bachelor's</x:t>
        </x:is>
      </x:c>
      <x:c r="D1089" s="40" t="n">
        <x:v>9</x:v>
      </x:c>
      <x:c r="E1089" s="38" t="n">
        <x:v>122517</x:v>
      </x:c>
      <x:c r="F1089" s="17" t="inlineStr">
        <x:is>
          <x:t xml:space="preserve">2026-06-11</x:t>
        </x:is>
      </x:c>
    </x:row>
    <x:row r="1090" ht="20" customHeight="1">
      <x:c r="A1090" s="17" t="inlineStr">
        <x:is>
          <x:t xml:space="preserve">Saint Helena Unified School District</x:t>
        </x:is>
      </x:c>
      <x:c r="B1090" s="17" t="inlineStr">
        <x:is>
          <x:t xml:space="preserve">CA</x:t>
        </x:is>
      </x:c>
      <x:c r="C1090" s="17" t="inlineStr">
        <x:is>
          <x:t xml:space="preserve">Bachelor's</x:t>
        </x:is>
      </x:c>
      <x:c r="D1090" s="40" t="n">
        <x:v>10</x:v>
      </x:c>
      <x:c r="E1090" s="38" t="n">
        <x:v>125580</x:v>
      </x:c>
      <x:c r="F1090" s="17" t="inlineStr">
        <x:is>
          <x:t xml:space="preserve">2026-06-11</x:t>
        </x:is>
      </x:c>
    </x:row>
    <x:row r="1091" ht="20" customHeight="1">
      <x:c r="A1091" s="17" t="inlineStr">
        <x:is>
          <x:t xml:space="preserve">Saint Helena Unified School District</x:t>
        </x:is>
      </x:c>
      <x:c r="B1091" s="17" t="inlineStr">
        <x:is>
          <x:t xml:space="preserve">CA</x:t>
        </x:is>
      </x:c>
      <x:c r="C1091" s="17" t="inlineStr">
        <x:is>
          <x:t xml:space="preserve">Master's</x:t>
        </x:is>
      </x:c>
      <x:c r="D1091" s="40" t="n">
        <x:v>0</x:v>
      </x:c>
      <x:c r="E1091" s="38" t="n">
        <x:v>95786</x:v>
      </x:c>
      <x:c r="F1091" s="17" t="inlineStr">
        <x:is>
          <x:t xml:space="preserve">2026-06-11</x:t>
        </x:is>
      </x:c>
    </x:row>
    <x:row r="1092" ht="20" customHeight="1">
      <x:c r="A1092" s="17" t="inlineStr">
        <x:is>
          <x:t xml:space="preserve">Saint Helena Unified School District</x:t>
        </x:is>
      </x:c>
      <x:c r="B1092" s="17" t="inlineStr">
        <x:is>
          <x:t xml:space="preserve">CA</x:t>
        </x:is>
      </x:c>
      <x:c r="C1092" s="17" t="inlineStr">
        <x:is>
          <x:t xml:space="preserve">Master's</x:t>
        </x:is>
      </x:c>
      <x:c r="D1092" s="40" t="n">
        <x:v>1</x:v>
      </x:c>
      <x:c r="E1092" s="38" t="n">
        <x:v>102910</x:v>
      </x:c>
      <x:c r="F1092" s="17" t="inlineStr">
        <x:is>
          <x:t xml:space="preserve">2026-06-11</x:t>
        </x:is>
      </x:c>
    </x:row>
    <x:row r="1093" ht="20" customHeight="1">
      <x:c r="A1093" s="17" t="inlineStr">
        <x:is>
          <x:t xml:space="preserve">Saint Helena Unified School District</x:t>
        </x:is>
      </x:c>
      <x:c r="B1093" s="17" t="inlineStr">
        <x:is>
          <x:t xml:space="preserve">CA</x:t>
        </x:is>
      </x:c>
      <x:c r="C1093" s="17" t="inlineStr">
        <x:is>
          <x:t xml:space="preserve">Master's</x:t>
        </x:is>
      </x:c>
      <x:c r="D1093" s="40" t="n">
        <x:v>2</x:v>
      </x:c>
      <x:c r="E1093" s="38" t="n">
        <x:v>105424</x:v>
      </x:c>
      <x:c r="F1093" s="17" t="inlineStr">
        <x:is>
          <x:t xml:space="preserve">2026-06-11</x:t>
        </x:is>
      </x:c>
    </x:row>
    <x:row r="1094" ht="20" customHeight="1">
      <x:c r="A1094" s="17" t="inlineStr">
        <x:is>
          <x:t xml:space="preserve">Saint Helena Unified School District</x:t>
        </x:is>
      </x:c>
      <x:c r="B1094" s="17" t="inlineStr">
        <x:is>
          <x:t xml:space="preserve">CA</x:t>
        </x:is>
      </x:c>
      <x:c r="C1094" s="17" t="inlineStr">
        <x:is>
          <x:t xml:space="preserve">Master's</x:t>
        </x:is>
      </x:c>
      <x:c r="D1094" s="40" t="n">
        <x:v>3</x:v>
      </x:c>
      <x:c r="E1094" s="38" t="n">
        <x:v>108000</x:v>
      </x:c>
      <x:c r="F1094" s="17" t="inlineStr">
        <x:is>
          <x:t xml:space="preserve">2026-06-11</x:t>
        </x:is>
      </x:c>
    </x:row>
    <x:row r="1095" ht="20" customHeight="1">
      <x:c r="A1095" s="17" t="inlineStr">
        <x:is>
          <x:t xml:space="preserve">Saint Helena Unified School District</x:t>
        </x:is>
      </x:c>
      <x:c r="B1095" s="17" t="inlineStr">
        <x:is>
          <x:t xml:space="preserve">CA</x:t>
        </x:is>
      </x:c>
      <x:c r="C1095" s="17" t="inlineStr">
        <x:is>
          <x:t xml:space="preserve">Master's</x:t>
        </x:is>
      </x:c>
      <x:c r="D1095" s="40" t="n">
        <x:v>4</x:v>
      </x:c>
      <x:c r="E1095" s="38" t="n">
        <x:v>110641</x:v>
      </x:c>
      <x:c r="F1095" s="17" t="inlineStr">
        <x:is>
          <x:t xml:space="preserve">2026-06-11</x:t>
        </x:is>
      </x:c>
    </x:row>
    <x:row r="1096" ht="20" customHeight="1">
      <x:c r="A1096" s="17" t="inlineStr">
        <x:is>
          <x:t xml:space="preserve">Saint Helena Unified School District</x:t>
        </x:is>
      </x:c>
      <x:c r="B1096" s="17" t="inlineStr">
        <x:is>
          <x:t xml:space="preserve">CA</x:t>
        </x:is>
      </x:c>
      <x:c r="C1096" s="17" t="inlineStr">
        <x:is>
          <x:t xml:space="preserve">Master's</x:t>
        </x:is>
      </x:c>
      <x:c r="D1096" s="40" t="n">
        <x:v>5</x:v>
      </x:c>
      <x:c r="E1096" s="38" t="n">
        <x:v>113349</x:v>
      </x:c>
      <x:c r="F1096" s="17" t="inlineStr">
        <x:is>
          <x:t xml:space="preserve">2026-06-11</x:t>
        </x:is>
      </x:c>
    </x:row>
    <x:row r="1097" ht="20" customHeight="1">
      <x:c r="A1097" s="17" t="inlineStr">
        <x:is>
          <x:t xml:space="preserve">Saint Helena Unified School District</x:t>
        </x:is>
      </x:c>
      <x:c r="B1097" s="17" t="inlineStr">
        <x:is>
          <x:t xml:space="preserve">CA</x:t>
        </x:is>
      </x:c>
      <x:c r="C1097" s="17" t="inlineStr">
        <x:is>
          <x:t xml:space="preserve">Master's</x:t>
        </x:is>
      </x:c>
      <x:c r="D1097" s="40" t="n">
        <x:v>6</x:v>
      </x:c>
      <x:c r="E1097" s="38" t="n">
        <x:v>116124</x:v>
      </x:c>
      <x:c r="F1097" s="17" t="inlineStr">
        <x:is>
          <x:t xml:space="preserve">2026-06-11</x:t>
        </x:is>
      </x:c>
    </x:row>
    <x:row r="1098" ht="20" customHeight="1">
      <x:c r="A1098" s="17" t="inlineStr">
        <x:is>
          <x:t xml:space="preserve">Saint Helena Unified School District</x:t>
        </x:is>
      </x:c>
      <x:c r="B1098" s="17" t="inlineStr">
        <x:is>
          <x:t xml:space="preserve">CA</x:t>
        </x:is>
      </x:c>
      <x:c r="C1098" s="17" t="inlineStr">
        <x:is>
          <x:t xml:space="preserve">Master's</x:t>
        </x:is>
      </x:c>
      <x:c r="D1098" s="40" t="n">
        <x:v>7</x:v>
      </x:c>
      <x:c r="E1098" s="38" t="n">
        <x:v>118968</x:v>
      </x:c>
      <x:c r="F1098" s="17" t="inlineStr">
        <x:is>
          <x:t xml:space="preserve">2026-06-11</x:t>
        </x:is>
      </x:c>
    </x:row>
    <x:row r="1099" ht="20" customHeight="1">
      <x:c r="A1099" s="17" t="inlineStr">
        <x:is>
          <x:t xml:space="preserve">Saint Helena Unified School District</x:t>
        </x:is>
      </x:c>
      <x:c r="B1099" s="17" t="inlineStr">
        <x:is>
          <x:t xml:space="preserve">CA</x:t>
        </x:is>
      </x:c>
      <x:c r="C1099" s="17" t="inlineStr">
        <x:is>
          <x:t xml:space="preserve">Master's</x:t>
        </x:is>
      </x:c>
      <x:c r="D1099" s="40" t="n">
        <x:v>8</x:v>
      </x:c>
      <x:c r="E1099" s="38" t="n">
        <x:v>121883</x:v>
      </x:c>
      <x:c r="F1099" s="17" t="inlineStr">
        <x:is>
          <x:t xml:space="preserve">2026-06-11</x:t>
        </x:is>
      </x:c>
    </x:row>
    <x:row r="1100" ht="20" customHeight="1">
      <x:c r="A1100" s="17" t="inlineStr">
        <x:is>
          <x:t xml:space="preserve">Saint Helena Unified School District</x:t>
        </x:is>
      </x:c>
      <x:c r="B1100" s="17" t="inlineStr">
        <x:is>
          <x:t xml:space="preserve">CA</x:t>
        </x:is>
      </x:c>
      <x:c r="C1100" s="17" t="inlineStr">
        <x:is>
          <x:t xml:space="preserve">Master's</x:t>
        </x:is>
      </x:c>
      <x:c r="D1100" s="40" t="n">
        <x:v>9</x:v>
      </x:c>
      <x:c r="E1100" s="38" t="n">
        <x:v>124871</x:v>
      </x:c>
      <x:c r="F1100" s="17" t="inlineStr">
        <x:is>
          <x:t xml:space="preserve">2026-06-11</x:t>
        </x:is>
      </x:c>
    </x:row>
    <x:row r="1101" ht="20" customHeight="1">
      <x:c r="A1101" s="17" t="inlineStr">
        <x:is>
          <x:t xml:space="preserve">Saint Helena Unified School District</x:t>
        </x:is>
      </x:c>
      <x:c r="B1101" s="17" t="inlineStr">
        <x:is>
          <x:t xml:space="preserve">CA</x:t>
        </x:is>
      </x:c>
      <x:c r="C1101" s="17" t="inlineStr">
        <x:is>
          <x:t xml:space="preserve">Master's</x:t>
        </x:is>
      </x:c>
      <x:c r="D1101" s="40" t="n">
        <x:v>10</x:v>
      </x:c>
      <x:c r="E1101" s="38" t="n">
        <x:v>127934</x:v>
      </x:c>
      <x:c r="F1101" s="17" t="inlineStr">
        <x:is>
          <x:t xml:space="preserve">2026-06-11</x:t>
        </x:is>
      </x:c>
    </x:row>
    <x:row r="1102" ht="20" customHeight="1">
      <x:c r="A1102" s="17" t="inlineStr">
        <x:is>
          <x:t xml:space="preserve">Salt Lake School District</x:t>
        </x:is>
      </x:c>
      <x:c r="B1102" s="17" t="inlineStr">
        <x:is>
          <x:t xml:space="preserve">UT</x:t>
        </x:is>
      </x:c>
      <x:c r="C1102" s="17" t="inlineStr">
        <x:is>
          <x:t xml:space="preserve">Bachelor's</x:t>
        </x:is>
      </x:c>
      <x:c r="D1102" s="40" t="n">
        <x:v>0</x:v>
      </x:c>
      <x:c r="E1102" s="38" t="n">
        <x:v>62566</x:v>
      </x:c>
      <x:c r="F1102" s="17" t="inlineStr">
        <x:is>
          <x:t xml:space="preserve">2026-06-10</x:t>
        </x:is>
      </x:c>
    </x:row>
    <x:row r="1103" ht="20" customHeight="1">
      <x:c r="A1103" s="17" t="inlineStr">
        <x:is>
          <x:t xml:space="preserve">Salt Lake School District</x:t>
        </x:is>
      </x:c>
      <x:c r="B1103" s="17" t="inlineStr">
        <x:is>
          <x:t xml:space="preserve">UT</x:t>
        </x:is>
      </x:c>
      <x:c r="C1103" s="17" t="inlineStr">
        <x:is>
          <x:t xml:space="preserve">Bachelor's</x:t>
        </x:is>
      </x:c>
      <x:c r="D1103" s="40" t="n">
        <x:v>1</x:v>
      </x:c>
      <x:c r="E1103" s="38" t="n">
        <x:v>64785</x:v>
      </x:c>
      <x:c r="F1103" s="17" t="inlineStr">
        <x:is>
          <x:t xml:space="preserve">2026-06-10</x:t>
        </x:is>
      </x:c>
    </x:row>
    <x:row r="1104" ht="20" customHeight="1">
      <x:c r="A1104" s="17" t="inlineStr">
        <x:is>
          <x:t xml:space="preserve">Salt Lake School District</x:t>
        </x:is>
      </x:c>
      <x:c r="B1104" s="17" t="inlineStr">
        <x:is>
          <x:t xml:space="preserve">UT</x:t>
        </x:is>
      </x:c>
      <x:c r="C1104" s="17" t="inlineStr">
        <x:is>
          <x:t xml:space="preserve">Bachelor's</x:t>
        </x:is>
      </x:c>
      <x:c r="D1104" s="40" t="n">
        <x:v>2</x:v>
      </x:c>
      <x:c r="E1104" s="38" t="n">
        <x:v>67058</x:v>
      </x:c>
      <x:c r="F1104" s="17" t="inlineStr">
        <x:is>
          <x:t xml:space="preserve">2026-06-10</x:t>
        </x:is>
      </x:c>
    </x:row>
    <x:row r="1105" ht="20" customHeight="1">
      <x:c r="A1105" s="17" t="inlineStr">
        <x:is>
          <x:t xml:space="preserve">Salt Lake School District</x:t>
        </x:is>
      </x:c>
      <x:c r="B1105" s="17" t="inlineStr">
        <x:is>
          <x:t xml:space="preserve">UT</x:t>
        </x:is>
      </x:c>
      <x:c r="C1105" s="17" t="inlineStr">
        <x:is>
          <x:t xml:space="preserve">Bachelor's</x:t>
        </x:is>
      </x:c>
      <x:c r="D1105" s="40" t="n">
        <x:v>3</x:v>
      </x:c>
      <x:c r="E1105" s="38" t="n">
        <x:v>69410</x:v>
      </x:c>
      <x:c r="F1105" s="17" t="inlineStr">
        <x:is>
          <x:t xml:space="preserve">2026-06-10</x:t>
        </x:is>
      </x:c>
    </x:row>
    <x:row r="1106" ht="20" customHeight="1">
      <x:c r="A1106" s="17" t="inlineStr">
        <x:is>
          <x:t xml:space="preserve">Salt Lake School District</x:t>
        </x:is>
      </x:c>
      <x:c r="B1106" s="17" t="inlineStr">
        <x:is>
          <x:t xml:space="preserve">UT</x:t>
        </x:is>
      </x:c>
      <x:c r="C1106" s="17" t="inlineStr">
        <x:is>
          <x:t xml:space="preserve">Bachelor's</x:t>
        </x:is>
      </x:c>
      <x:c r="D1106" s="40" t="n">
        <x:v>4</x:v>
      </x:c>
      <x:c r="E1106" s="38" t="n">
        <x:v>71881</x:v>
      </x:c>
      <x:c r="F1106" s="17" t="inlineStr">
        <x:is>
          <x:t xml:space="preserve">2026-06-10</x:t>
        </x:is>
      </x:c>
    </x:row>
    <x:row r="1107" ht="20" customHeight="1">
      <x:c r="A1107" s="17" t="inlineStr">
        <x:is>
          <x:t xml:space="preserve">Salt Lake School District</x:t>
        </x:is>
      </x:c>
      <x:c r="B1107" s="17" t="inlineStr">
        <x:is>
          <x:t xml:space="preserve">UT</x:t>
        </x:is>
      </x:c>
      <x:c r="C1107" s="17" t="inlineStr">
        <x:is>
          <x:t xml:space="preserve">Bachelor's</x:t>
        </x:is>
      </x:c>
      <x:c r="D1107" s="40" t="n">
        <x:v>5</x:v>
      </x:c>
      <x:c r="E1107" s="38" t="n">
        <x:v>74460</x:v>
      </x:c>
      <x:c r="F1107" s="17" t="inlineStr">
        <x:is>
          <x:t xml:space="preserve">2026-06-10</x:t>
        </x:is>
      </x:c>
    </x:row>
    <x:row r="1108" ht="20" customHeight="1">
      <x:c r="A1108" s="17" t="inlineStr">
        <x:is>
          <x:t xml:space="preserve">Salt Lake School District</x:t>
        </x:is>
      </x:c>
      <x:c r="B1108" s="17" t="inlineStr">
        <x:is>
          <x:t xml:space="preserve">UT</x:t>
        </x:is>
      </x:c>
      <x:c r="C1108" s="17" t="inlineStr">
        <x:is>
          <x:t xml:space="preserve">Bachelor's</x:t>
        </x:is>
      </x:c>
      <x:c r="D1108" s="40" t="n">
        <x:v>6</x:v>
      </x:c>
      <x:c r="E1108" s="38" t="n">
        <x:v>74460</x:v>
      </x:c>
      <x:c r="F1108" s="17" t="inlineStr">
        <x:is>
          <x:t xml:space="preserve">2026-06-10</x:t>
        </x:is>
      </x:c>
    </x:row>
    <x:row r="1109" ht="20" customHeight="1">
      <x:c r="A1109" s="17" t="inlineStr">
        <x:is>
          <x:t xml:space="preserve">Salt Lake School District</x:t>
        </x:is>
      </x:c>
      <x:c r="B1109" s="17" t="inlineStr">
        <x:is>
          <x:t xml:space="preserve">UT</x:t>
        </x:is>
      </x:c>
      <x:c r="C1109" s="17" t="inlineStr">
        <x:is>
          <x:t xml:space="preserve">Bachelor's</x:t>
        </x:is>
      </x:c>
      <x:c r="D1109" s="40" t="n">
        <x:v>7</x:v>
      </x:c>
      <x:c r="E1109" s="38" t="n">
        <x:v>77077</x:v>
      </x:c>
      <x:c r="F1109" s="17" t="inlineStr">
        <x:is>
          <x:t xml:space="preserve">2026-06-10</x:t>
        </x:is>
      </x:c>
    </x:row>
    <x:row r="1110" ht="20" customHeight="1">
      <x:c r="A1110" s="17" t="inlineStr">
        <x:is>
          <x:t xml:space="preserve">Salt Lake School District</x:t>
        </x:is>
      </x:c>
      <x:c r="B1110" s="17" t="inlineStr">
        <x:is>
          <x:t xml:space="preserve">UT</x:t>
        </x:is>
      </x:c>
      <x:c r="C1110" s="17" t="inlineStr">
        <x:is>
          <x:t xml:space="preserve">Bachelor's</x:t>
        </x:is>
      </x:c>
      <x:c r="D1110" s="40" t="n">
        <x:v>8</x:v>
      </x:c>
      <x:c r="E1110" s="38" t="n">
        <x:v>77077</x:v>
      </x:c>
      <x:c r="F1110" s="17" t="inlineStr">
        <x:is>
          <x:t xml:space="preserve">2026-06-10</x:t>
        </x:is>
      </x:c>
    </x:row>
    <x:row r="1111" ht="20" customHeight="1">
      <x:c r="A1111" s="17" t="inlineStr">
        <x:is>
          <x:t xml:space="preserve">Salt Lake School District</x:t>
        </x:is>
      </x:c>
      <x:c r="B1111" s="17" t="inlineStr">
        <x:is>
          <x:t xml:space="preserve">UT</x:t>
        </x:is>
      </x:c>
      <x:c r="C1111" s="17" t="inlineStr">
        <x:is>
          <x:t xml:space="preserve">Bachelor's</x:t>
        </x:is>
      </x:c>
      <x:c r="D1111" s="40" t="n">
        <x:v>9</x:v>
      </x:c>
      <x:c r="E1111" s="38" t="n">
        <x:v>80826</x:v>
      </x:c>
      <x:c r="F1111" s="17" t="inlineStr">
        <x:is>
          <x:t xml:space="preserve">2026-06-10</x:t>
        </x:is>
      </x:c>
    </x:row>
    <x:row r="1112" ht="20" customHeight="1">
      <x:c r="A1112" s="17" t="inlineStr">
        <x:is>
          <x:t xml:space="preserve">Salt Lake School District</x:t>
        </x:is>
      </x:c>
      <x:c r="B1112" s="17" t="inlineStr">
        <x:is>
          <x:t xml:space="preserve">UT</x:t>
        </x:is>
      </x:c>
      <x:c r="C1112" s="17" t="inlineStr">
        <x:is>
          <x:t xml:space="preserve">Bachelor's</x:t>
        </x:is>
      </x:c>
      <x:c r="D1112" s="40" t="n">
        <x:v>10</x:v>
      </x:c>
      <x:c r="E1112" s="38" t="n">
        <x:v>80826</x:v>
      </x:c>
      <x:c r="F1112" s="17" t="inlineStr">
        <x:is>
          <x:t xml:space="preserve">2026-06-10</x:t>
        </x:is>
      </x:c>
    </x:row>
    <x:row r="1113" ht="20" customHeight="1">
      <x:c r="A1113" s="17" t="inlineStr">
        <x:is>
          <x:t xml:space="preserve">Salt Lake School District</x:t>
        </x:is>
      </x:c>
      <x:c r="B1113" s="17" t="inlineStr">
        <x:is>
          <x:t xml:space="preserve">UT</x:t>
        </x:is>
      </x:c>
      <x:c r="C1113" s="17" t="inlineStr">
        <x:is>
          <x:t xml:space="preserve">Master's</x:t>
        </x:is>
      </x:c>
      <x:c r="D1113" s="40" t="n">
        <x:v>0</x:v>
      </x:c>
      <x:c r="E1113" s="38" t="n">
        <x:v>68933</x:v>
      </x:c>
      <x:c r="F1113" s="17" t="inlineStr">
        <x:is>
          <x:t xml:space="preserve">2026-06-10</x:t>
        </x:is>
      </x:c>
    </x:row>
    <x:row r="1114" ht="20" customHeight="1">
      <x:c r="A1114" s="17" t="inlineStr">
        <x:is>
          <x:t xml:space="preserve">Salt Lake School District</x:t>
        </x:is>
      </x:c>
      <x:c r="B1114" s="17" t="inlineStr">
        <x:is>
          <x:t xml:space="preserve">UT</x:t>
        </x:is>
      </x:c>
      <x:c r="C1114" s="17" t="inlineStr">
        <x:is>
          <x:t xml:space="preserve">Master's</x:t>
        </x:is>
      </x:c>
      <x:c r="D1114" s="40" t="n">
        <x:v>1</x:v>
      </x:c>
      <x:c r="E1114" s="38" t="n">
        <x:v>71066</x:v>
      </x:c>
      <x:c r="F1114" s="17" t="inlineStr">
        <x:is>
          <x:t xml:space="preserve">2026-06-10</x:t>
        </x:is>
      </x:c>
    </x:row>
    <x:row r="1115" ht="20" customHeight="1">
      <x:c r="A1115" s="17" t="inlineStr">
        <x:is>
          <x:t xml:space="preserve">Salt Lake School District</x:t>
        </x:is>
      </x:c>
      <x:c r="B1115" s="17" t="inlineStr">
        <x:is>
          <x:t xml:space="preserve">UT</x:t>
        </x:is>
      </x:c>
      <x:c r="C1115" s="17" t="inlineStr">
        <x:is>
          <x:t xml:space="preserve">Master's</x:t>
        </x:is>
      </x:c>
      <x:c r="D1115" s="40" t="n">
        <x:v>2</x:v>
      </x:c>
      <x:c r="E1115" s="38" t="n">
        <x:v>73237</x:v>
      </x:c>
      <x:c r="F1115" s="17" t="inlineStr">
        <x:is>
          <x:t xml:space="preserve">2026-06-10</x:t>
        </x:is>
      </x:c>
    </x:row>
    <x:row r="1116" ht="20" customHeight="1">
      <x:c r="A1116" s="17" t="inlineStr">
        <x:is>
          <x:t xml:space="preserve">Salt Lake School District</x:t>
        </x:is>
      </x:c>
      <x:c r="B1116" s="17" t="inlineStr">
        <x:is>
          <x:t xml:space="preserve">UT</x:t>
        </x:is>
      </x:c>
      <x:c r="C1116" s="17" t="inlineStr">
        <x:is>
          <x:t xml:space="preserve">Master's</x:t>
        </x:is>
      </x:c>
      <x:c r="D1116" s="40" t="n">
        <x:v>3</x:v>
      </x:c>
      <x:c r="E1116" s="38" t="n">
        <x:v>75514</x:v>
      </x:c>
      <x:c r="F1116" s="17" t="inlineStr">
        <x:is>
          <x:t xml:space="preserve">2026-06-10</x:t>
        </x:is>
      </x:c>
    </x:row>
    <x:row r="1117" ht="20" customHeight="1">
      <x:c r="A1117" s="17" t="inlineStr">
        <x:is>
          <x:t xml:space="preserve">Salt Lake School District</x:t>
        </x:is>
      </x:c>
      <x:c r="B1117" s="17" t="inlineStr">
        <x:is>
          <x:t xml:space="preserve">UT</x:t>
        </x:is>
      </x:c>
      <x:c r="C1117" s="17" t="inlineStr">
        <x:is>
          <x:t xml:space="preserve">Master's</x:t>
        </x:is>
      </x:c>
      <x:c r="D1117" s="40" t="n">
        <x:v>4</x:v>
      </x:c>
      <x:c r="E1117" s="38" t="n">
        <x:v>77844</x:v>
      </x:c>
      <x:c r="F1117" s="17" t="inlineStr">
        <x:is>
          <x:t xml:space="preserve">2026-06-10</x:t>
        </x:is>
      </x:c>
    </x:row>
    <x:row r="1118" ht="20" customHeight="1">
      <x:c r="A1118" s="17" t="inlineStr">
        <x:is>
          <x:t xml:space="preserve">Salt Lake School District</x:t>
        </x:is>
      </x:c>
      <x:c r="B1118" s="17" t="inlineStr">
        <x:is>
          <x:t xml:space="preserve">UT</x:t>
        </x:is>
      </x:c>
      <x:c r="C1118" s="17" t="inlineStr">
        <x:is>
          <x:t xml:space="preserve">Master's</x:t>
        </x:is>
      </x:c>
      <x:c r="D1118" s="40" t="n">
        <x:v>5</x:v>
      </x:c>
      <x:c r="E1118" s="38" t="n">
        <x:v>80270</x:v>
      </x:c>
      <x:c r="F1118" s="17" t="inlineStr">
        <x:is>
          <x:t xml:space="preserve">2026-06-10</x:t>
        </x:is>
      </x:c>
    </x:row>
    <x:row r="1119" ht="20" customHeight="1">
      <x:c r="A1119" s="17" t="inlineStr">
        <x:is>
          <x:t xml:space="preserve">Salt Lake School District</x:t>
        </x:is>
      </x:c>
      <x:c r="B1119" s="17" t="inlineStr">
        <x:is>
          <x:t xml:space="preserve">UT</x:t>
        </x:is>
      </x:c>
      <x:c r="C1119" s="17" t="inlineStr">
        <x:is>
          <x:t xml:space="preserve">Master's</x:t>
        </x:is>
      </x:c>
      <x:c r="D1119" s="40" t="n">
        <x:v>6</x:v>
      </x:c>
      <x:c r="E1119" s="38" t="n">
        <x:v>80270</x:v>
      </x:c>
      <x:c r="F1119" s="17" t="inlineStr">
        <x:is>
          <x:t xml:space="preserve">2026-06-10</x:t>
        </x:is>
      </x:c>
    </x:row>
    <x:row r="1120" ht="20" customHeight="1">
      <x:c r="A1120" s="17" t="inlineStr">
        <x:is>
          <x:t xml:space="preserve">Salt Lake School District</x:t>
        </x:is>
      </x:c>
      <x:c r="B1120" s="17" t="inlineStr">
        <x:is>
          <x:t xml:space="preserve">UT</x:t>
        </x:is>
      </x:c>
      <x:c r="C1120" s="17" t="inlineStr">
        <x:is>
          <x:t xml:space="preserve">Master's</x:t>
        </x:is>
      </x:c>
      <x:c r="D1120" s="40" t="n">
        <x:v>7</x:v>
      </x:c>
      <x:c r="E1120" s="38" t="n">
        <x:v>82807</x:v>
      </x:c>
      <x:c r="F1120" s="17" t="inlineStr">
        <x:is>
          <x:t xml:space="preserve">2026-06-10</x:t>
        </x:is>
      </x:c>
    </x:row>
    <x:row r="1121" ht="20" customHeight="1">
      <x:c r="A1121" s="17" t="inlineStr">
        <x:is>
          <x:t xml:space="preserve">Salt Lake School District</x:t>
        </x:is>
      </x:c>
      <x:c r="B1121" s="17" t="inlineStr">
        <x:is>
          <x:t xml:space="preserve">UT</x:t>
        </x:is>
      </x:c>
      <x:c r="C1121" s="17" t="inlineStr">
        <x:is>
          <x:t xml:space="preserve">Master's</x:t>
        </x:is>
      </x:c>
      <x:c r="D1121" s="40" t="n">
        <x:v>8</x:v>
      </x:c>
      <x:c r="E1121" s="38" t="n">
        <x:v>82807</x:v>
      </x:c>
      <x:c r="F1121" s="17" t="inlineStr">
        <x:is>
          <x:t xml:space="preserve">2026-06-10</x:t>
        </x:is>
      </x:c>
    </x:row>
    <x:row r="1122" ht="20" customHeight="1">
      <x:c r="A1122" s="17" t="inlineStr">
        <x:is>
          <x:t xml:space="preserve">Salt Lake School District</x:t>
        </x:is>
      </x:c>
      <x:c r="B1122" s="17" t="inlineStr">
        <x:is>
          <x:t xml:space="preserve">UT</x:t>
        </x:is>
      </x:c>
      <x:c r="C1122" s="17" t="inlineStr">
        <x:is>
          <x:t xml:space="preserve">Master's</x:t>
        </x:is>
      </x:c>
      <x:c r="D1122" s="40" t="n">
        <x:v>9</x:v>
      </x:c>
      <x:c r="E1122" s="38" t="n">
        <x:v>85425</x:v>
      </x:c>
      <x:c r="F1122" s="17" t="inlineStr">
        <x:is>
          <x:t xml:space="preserve">2026-06-10</x:t>
        </x:is>
      </x:c>
    </x:row>
    <x:row r="1123" ht="20" customHeight="1">
      <x:c r="A1123" s="17" t="inlineStr">
        <x:is>
          <x:t xml:space="preserve">Salt Lake School District</x:t>
        </x:is>
      </x:c>
      <x:c r="B1123" s="17" t="inlineStr">
        <x:is>
          <x:t xml:space="preserve">UT</x:t>
        </x:is>
      </x:c>
      <x:c r="C1123" s="17" t="inlineStr">
        <x:is>
          <x:t xml:space="preserve">Master's</x:t>
        </x:is>
      </x:c>
      <x:c r="D1123" s="40" t="n">
        <x:v>10</x:v>
      </x:c>
      <x:c r="E1123" s="38" t="n">
        <x:v>85425</x:v>
      </x:c>
      <x:c r="F1123" s="17" t="inlineStr">
        <x:is>
          <x:t xml:space="preserve">2026-06-10</x:t>
        </x:is>
      </x:c>
    </x:row>
    <x:row r="1124" ht="20" customHeight="1">
      <x:c r="A1124" s="17" t="inlineStr">
        <x:is>
          <x:t xml:space="preserve">San Antonio ISD</x:t>
        </x:is>
      </x:c>
      <x:c r="B1124" s="17" t="inlineStr">
        <x:is>
          <x:t xml:space="preserve">TX</x:t>
        </x:is>
      </x:c>
      <x:c r="C1124" s="17" t="inlineStr">
        <x:is>
          <x:t xml:space="preserve">Bachelor's</x:t>
        </x:is>
      </x:c>
      <x:c r="D1124" s="40" t="n">
        <x:v>0</x:v>
      </x:c>
      <x:c r="E1124" s="38" t="n">
        <x:v>60000</x:v>
      </x:c>
      <x:c r="F1124" s="17" t="inlineStr">
        <x:is>
          <x:t xml:space="preserve">2026-06-10</x:t>
        </x:is>
      </x:c>
    </x:row>
    <x:row r="1125" ht="20" customHeight="1">
      <x:c r="A1125" s="17" t="inlineStr">
        <x:is>
          <x:t xml:space="preserve">San Antonio ISD</x:t>
        </x:is>
      </x:c>
      <x:c r="B1125" s="17" t="inlineStr">
        <x:is>
          <x:t xml:space="preserve">TX</x:t>
        </x:is>
      </x:c>
      <x:c r="C1125" s="17" t="inlineStr">
        <x:is>
          <x:t xml:space="preserve">Bachelor's</x:t>
        </x:is>
      </x:c>
      <x:c r="D1125" s="40" t="n">
        <x:v>1</x:v>
      </x:c>
      <x:c r="E1125" s="38" t="n">
        <x:v>60000</x:v>
      </x:c>
      <x:c r="F1125" s="17" t="inlineStr">
        <x:is>
          <x:t xml:space="preserve">2026-06-10</x:t>
        </x:is>
      </x:c>
    </x:row>
    <x:row r="1126" ht="20" customHeight="1">
      <x:c r="A1126" s="17" t="inlineStr">
        <x:is>
          <x:t xml:space="preserve">San Antonio ISD</x:t>
        </x:is>
      </x:c>
      <x:c r="B1126" s="17" t="inlineStr">
        <x:is>
          <x:t xml:space="preserve">TX</x:t>
        </x:is>
      </x:c>
      <x:c r="C1126" s="17" t="inlineStr">
        <x:is>
          <x:t xml:space="preserve">Bachelor's</x:t>
        </x:is>
      </x:c>
      <x:c r="D1126" s="40" t="n">
        <x:v>2</x:v>
      </x:c>
      <x:c r="E1126" s="38" t="n">
        <x:v>60152</x:v>
      </x:c>
      <x:c r="F1126" s="17" t="inlineStr">
        <x:is>
          <x:t xml:space="preserve">2026-06-10</x:t>
        </x:is>
      </x:c>
    </x:row>
    <x:row r="1127" ht="20" customHeight="1">
      <x:c r="A1127" s="17" t="inlineStr">
        <x:is>
          <x:t xml:space="preserve">San Antonio ISD</x:t>
        </x:is>
      </x:c>
      <x:c r="B1127" s="17" t="inlineStr">
        <x:is>
          <x:t xml:space="preserve">TX</x:t>
        </x:is>
      </x:c>
      <x:c r="C1127" s="17" t="inlineStr">
        <x:is>
          <x:t xml:space="preserve">Bachelor's</x:t>
        </x:is>
      </x:c>
      <x:c r="D1127" s="40" t="n">
        <x:v>3</x:v>
      </x:c>
      <x:c r="E1127" s="38" t="n">
        <x:v>61490</x:v>
      </x:c>
      <x:c r="F1127" s="17" t="inlineStr">
        <x:is>
          <x:t xml:space="preserve">2026-06-10</x:t>
        </x:is>
      </x:c>
    </x:row>
    <x:row r="1128" ht="20" customHeight="1">
      <x:c r="A1128" s="17" t="inlineStr">
        <x:is>
          <x:t xml:space="preserve">San Antonio ISD</x:t>
        </x:is>
      </x:c>
      <x:c r="B1128" s="17" t="inlineStr">
        <x:is>
          <x:t xml:space="preserve">TX</x:t>
        </x:is>
      </x:c>
      <x:c r="C1128" s="17" t="inlineStr">
        <x:is>
          <x:t xml:space="preserve">Bachelor's</x:t>
        </x:is>
      </x:c>
      <x:c r="D1128" s="40" t="n">
        <x:v>4</x:v>
      </x:c>
      <x:c r="E1128" s="38" t="n">
        <x:v>61490</x:v>
      </x:c>
      <x:c r="F1128" s="17" t="inlineStr">
        <x:is>
          <x:t xml:space="preserve">2026-06-10</x:t>
        </x:is>
      </x:c>
    </x:row>
    <x:row r="1129" ht="20" customHeight="1">
      <x:c r="A1129" s="17" t="inlineStr">
        <x:is>
          <x:t xml:space="preserve">San Antonio ISD</x:t>
        </x:is>
      </x:c>
      <x:c r="B1129" s="17" t="inlineStr">
        <x:is>
          <x:t xml:space="preserve">TX</x:t>
        </x:is>
      </x:c>
      <x:c r="C1129" s="17" t="inlineStr">
        <x:is>
          <x:t xml:space="preserve">Bachelor's</x:t>
        </x:is>
      </x:c>
      <x:c r="D1129" s="40" t="n">
        <x:v>5</x:v>
      </x:c>
      <x:c r="E1129" s="38" t="n">
        <x:v>64513</x:v>
      </x:c>
      <x:c r="F1129" s="17" t="inlineStr">
        <x:is>
          <x:t xml:space="preserve">2026-06-10</x:t>
        </x:is>
      </x:c>
    </x:row>
    <x:row r="1130" ht="20" customHeight="1">
      <x:c r="A1130" s="17" t="inlineStr">
        <x:is>
          <x:t xml:space="preserve">San Antonio ISD</x:t>
        </x:is>
      </x:c>
      <x:c r="B1130" s="17" t="inlineStr">
        <x:is>
          <x:t xml:space="preserve">TX</x:t>
        </x:is>
      </x:c>
      <x:c r="C1130" s="17" t="inlineStr">
        <x:is>
          <x:t xml:space="preserve">Bachelor's</x:t>
        </x:is>
      </x:c>
      <x:c r="D1130" s="40" t="n">
        <x:v>6</x:v>
      </x:c>
      <x:c r="E1130" s="38" t="n">
        <x:v>64513</x:v>
      </x:c>
      <x:c r="F1130" s="17" t="inlineStr">
        <x:is>
          <x:t xml:space="preserve">2026-06-10</x:t>
        </x:is>
      </x:c>
    </x:row>
    <x:row r="1131" ht="20" customHeight="1">
      <x:c r="A1131" s="17" t="inlineStr">
        <x:is>
          <x:t xml:space="preserve">San Antonio ISD</x:t>
        </x:is>
      </x:c>
      <x:c r="B1131" s="17" t="inlineStr">
        <x:is>
          <x:t xml:space="preserve">TX</x:t>
        </x:is>
      </x:c>
      <x:c r="C1131" s="17" t="inlineStr">
        <x:is>
          <x:t xml:space="preserve">Bachelor's</x:t>
        </x:is>
      </x:c>
      <x:c r="D1131" s="40" t="n">
        <x:v>7</x:v>
      </x:c>
      <x:c r="E1131" s="38" t="n">
        <x:v>64803</x:v>
      </x:c>
      <x:c r="F1131" s="17" t="inlineStr">
        <x:is>
          <x:t xml:space="preserve">2026-06-10</x:t>
        </x:is>
      </x:c>
    </x:row>
    <x:row r="1132" ht="20" customHeight="1">
      <x:c r="A1132" s="17" t="inlineStr">
        <x:is>
          <x:t xml:space="preserve">San Antonio ISD</x:t>
        </x:is>
      </x:c>
      <x:c r="B1132" s="17" t="inlineStr">
        <x:is>
          <x:t xml:space="preserve">TX</x:t>
        </x:is>
      </x:c>
      <x:c r="C1132" s="17" t="inlineStr">
        <x:is>
          <x:t xml:space="preserve">Bachelor's</x:t>
        </x:is>
      </x:c>
      <x:c r="D1132" s="40" t="n">
        <x:v>8</x:v>
      </x:c>
      <x:c r="E1132" s="38" t="n">
        <x:v>65093</x:v>
      </x:c>
      <x:c r="F1132" s="17" t="inlineStr">
        <x:is>
          <x:t xml:space="preserve">2026-06-10</x:t>
        </x:is>
      </x:c>
    </x:row>
    <x:row r="1133" ht="20" customHeight="1">
      <x:c r="A1133" s="17" t="inlineStr">
        <x:is>
          <x:t xml:space="preserve">San Antonio ISD</x:t>
        </x:is>
      </x:c>
      <x:c r="B1133" s="17" t="inlineStr">
        <x:is>
          <x:t xml:space="preserve">TX</x:t>
        </x:is>
      </x:c>
      <x:c r="C1133" s="17" t="inlineStr">
        <x:is>
          <x:t xml:space="preserve">Bachelor's</x:t>
        </x:is>
      </x:c>
      <x:c r="D1133" s="40" t="n">
        <x:v>9</x:v>
      </x:c>
      <x:c r="E1133" s="38" t="n">
        <x:v>65341</x:v>
      </x:c>
      <x:c r="F1133" s="17" t="inlineStr">
        <x:is>
          <x:t xml:space="preserve">2026-06-10</x:t>
        </x:is>
      </x:c>
    </x:row>
    <x:row r="1134" ht="20" customHeight="1">
      <x:c r="A1134" s="17" t="inlineStr">
        <x:is>
          <x:t xml:space="preserve">San Antonio ISD</x:t>
        </x:is>
      </x:c>
      <x:c r="B1134" s="17" t="inlineStr">
        <x:is>
          <x:t xml:space="preserve">TX</x:t>
        </x:is>
      </x:c>
      <x:c r="C1134" s="17" t="inlineStr">
        <x:is>
          <x:t xml:space="preserve">Bachelor's</x:t>
        </x:is>
      </x:c>
      <x:c r="D1134" s="40" t="n">
        <x:v>10</x:v>
      </x:c>
      <x:c r="E1134" s="38" t="n">
        <x:v>65590</x:v>
      </x:c>
      <x:c r="F1134" s="17" t="inlineStr">
        <x:is>
          <x:t xml:space="preserve">2026-06-10</x:t>
        </x:is>
      </x:c>
    </x:row>
    <x:row r="1135" ht="20" customHeight="1">
      <x:c r="A1135" s="17" t="inlineStr">
        <x:is>
          <x:t xml:space="preserve">San Antonio ISD</x:t>
        </x:is>
      </x:c>
      <x:c r="B1135" s="17" t="inlineStr">
        <x:is>
          <x:t xml:space="preserve">TX</x:t>
        </x:is>
      </x:c>
      <x:c r="C1135" s="17" t="inlineStr">
        <x:is>
          <x:t xml:space="preserve">Master's</x:t>
        </x:is>
      </x:c>
      <x:c r="D1135" s="40" t="n">
        <x:v>0</x:v>
      </x:c>
      <x:c r="E1135" s="38" t="n">
        <x:v>62000</x:v>
      </x:c>
      <x:c r="F1135" s="17" t="inlineStr">
        <x:is>
          <x:t xml:space="preserve">2026-06-10</x:t>
        </x:is>
      </x:c>
    </x:row>
    <x:row r="1136" ht="20" customHeight="1">
      <x:c r="A1136" s="17" t="inlineStr">
        <x:is>
          <x:t xml:space="preserve">San Antonio ISD</x:t>
        </x:is>
      </x:c>
      <x:c r="B1136" s="17" t="inlineStr">
        <x:is>
          <x:t xml:space="preserve">TX</x:t>
        </x:is>
      </x:c>
      <x:c r="C1136" s="17" t="inlineStr">
        <x:is>
          <x:t xml:space="preserve">Master's</x:t>
        </x:is>
      </x:c>
      <x:c r="D1136" s="40" t="n">
        <x:v>1</x:v>
      </x:c>
      <x:c r="E1136" s="38" t="n">
        <x:v>62000</x:v>
      </x:c>
      <x:c r="F1136" s="17" t="inlineStr">
        <x:is>
          <x:t xml:space="preserve">2026-06-10</x:t>
        </x:is>
      </x:c>
    </x:row>
    <x:row r="1137" ht="20" customHeight="1">
      <x:c r="A1137" s="17" t="inlineStr">
        <x:is>
          <x:t xml:space="preserve">San Antonio ISD</x:t>
        </x:is>
      </x:c>
      <x:c r="B1137" s="17" t="inlineStr">
        <x:is>
          <x:t xml:space="preserve">TX</x:t>
        </x:is>
      </x:c>
      <x:c r="C1137" s="17" t="inlineStr">
        <x:is>
          <x:t xml:space="preserve">Master's</x:t>
        </x:is>
      </x:c>
      <x:c r="D1137" s="40" t="n">
        <x:v>2</x:v>
      </x:c>
      <x:c r="E1137" s="38" t="n">
        <x:v>62152</x:v>
      </x:c>
      <x:c r="F1137" s="17" t="inlineStr">
        <x:is>
          <x:t xml:space="preserve">2026-06-10</x:t>
        </x:is>
      </x:c>
    </x:row>
    <x:row r="1138" ht="20" customHeight="1">
      <x:c r="A1138" s="17" t="inlineStr">
        <x:is>
          <x:t xml:space="preserve">San Antonio ISD</x:t>
        </x:is>
      </x:c>
      <x:c r="B1138" s="17" t="inlineStr">
        <x:is>
          <x:t xml:space="preserve">TX</x:t>
        </x:is>
      </x:c>
      <x:c r="C1138" s="17" t="inlineStr">
        <x:is>
          <x:t xml:space="preserve">Master's</x:t>
        </x:is>
      </x:c>
      <x:c r="D1138" s="40" t="n">
        <x:v>3</x:v>
      </x:c>
      <x:c r="E1138" s="38" t="n">
        <x:v>63490</x:v>
      </x:c>
      <x:c r="F1138" s="17" t="inlineStr">
        <x:is>
          <x:t xml:space="preserve">2026-06-10</x:t>
        </x:is>
      </x:c>
    </x:row>
    <x:row r="1139" ht="20" customHeight="1">
      <x:c r="A1139" s="17" t="inlineStr">
        <x:is>
          <x:t xml:space="preserve">San Antonio ISD</x:t>
        </x:is>
      </x:c>
      <x:c r="B1139" s="17" t="inlineStr">
        <x:is>
          <x:t xml:space="preserve">TX</x:t>
        </x:is>
      </x:c>
      <x:c r="C1139" s="17" t="inlineStr">
        <x:is>
          <x:t xml:space="preserve">Master's</x:t>
        </x:is>
      </x:c>
      <x:c r="D1139" s="40" t="n">
        <x:v>4</x:v>
      </x:c>
      <x:c r="E1139" s="38" t="n">
        <x:v>63490</x:v>
      </x:c>
      <x:c r="F1139" s="17" t="inlineStr">
        <x:is>
          <x:t xml:space="preserve">2026-06-10</x:t>
        </x:is>
      </x:c>
    </x:row>
    <x:row r="1140" ht="20" customHeight="1">
      <x:c r="A1140" s="17" t="inlineStr">
        <x:is>
          <x:t xml:space="preserve">San Antonio ISD</x:t>
        </x:is>
      </x:c>
      <x:c r="B1140" s="17" t="inlineStr">
        <x:is>
          <x:t xml:space="preserve">TX</x:t>
        </x:is>
      </x:c>
      <x:c r="C1140" s="17" t="inlineStr">
        <x:is>
          <x:t xml:space="preserve">Master's</x:t>
        </x:is>
      </x:c>
      <x:c r="D1140" s="40" t="n">
        <x:v>5</x:v>
      </x:c>
      <x:c r="E1140" s="38" t="n">
        <x:v>66513</x:v>
      </x:c>
      <x:c r="F1140" s="17" t="inlineStr">
        <x:is>
          <x:t xml:space="preserve">2026-06-10</x:t>
        </x:is>
      </x:c>
    </x:row>
    <x:row r="1141" ht="20" customHeight="1">
      <x:c r="A1141" s="17" t="inlineStr">
        <x:is>
          <x:t xml:space="preserve">San Antonio ISD</x:t>
        </x:is>
      </x:c>
      <x:c r="B1141" s="17" t="inlineStr">
        <x:is>
          <x:t xml:space="preserve">TX</x:t>
        </x:is>
      </x:c>
      <x:c r="C1141" s="17" t="inlineStr">
        <x:is>
          <x:t xml:space="preserve">Master's</x:t>
        </x:is>
      </x:c>
      <x:c r="D1141" s="40" t="n">
        <x:v>6</x:v>
      </x:c>
      <x:c r="E1141" s="38" t="n">
        <x:v>66513</x:v>
      </x:c>
      <x:c r="F1141" s="17" t="inlineStr">
        <x:is>
          <x:t xml:space="preserve">2026-06-10</x:t>
        </x:is>
      </x:c>
    </x:row>
    <x:row r="1142" ht="20" customHeight="1">
      <x:c r="A1142" s="17" t="inlineStr">
        <x:is>
          <x:t xml:space="preserve">San Antonio ISD</x:t>
        </x:is>
      </x:c>
      <x:c r="B1142" s="17" t="inlineStr">
        <x:is>
          <x:t xml:space="preserve">TX</x:t>
        </x:is>
      </x:c>
      <x:c r="C1142" s="17" t="inlineStr">
        <x:is>
          <x:t xml:space="preserve">Master's</x:t>
        </x:is>
      </x:c>
      <x:c r="D1142" s="40" t="n">
        <x:v>7</x:v>
      </x:c>
      <x:c r="E1142" s="38" t="n">
        <x:v>66803</x:v>
      </x:c>
      <x:c r="F1142" s="17" t="inlineStr">
        <x:is>
          <x:t xml:space="preserve">2026-06-10</x:t>
        </x:is>
      </x:c>
    </x:row>
    <x:row r="1143" ht="20" customHeight="1">
      <x:c r="A1143" s="17" t="inlineStr">
        <x:is>
          <x:t xml:space="preserve">San Antonio ISD</x:t>
        </x:is>
      </x:c>
      <x:c r="B1143" s="17" t="inlineStr">
        <x:is>
          <x:t xml:space="preserve">TX</x:t>
        </x:is>
      </x:c>
      <x:c r="C1143" s="17" t="inlineStr">
        <x:is>
          <x:t xml:space="preserve">Master's</x:t>
        </x:is>
      </x:c>
      <x:c r="D1143" s="40" t="n">
        <x:v>8</x:v>
      </x:c>
      <x:c r="E1143" s="38" t="n">
        <x:v>67093</x:v>
      </x:c>
      <x:c r="F1143" s="17" t="inlineStr">
        <x:is>
          <x:t xml:space="preserve">2026-06-10</x:t>
        </x:is>
      </x:c>
    </x:row>
    <x:row r="1144" ht="20" customHeight="1">
      <x:c r="A1144" s="17" t="inlineStr">
        <x:is>
          <x:t xml:space="preserve">San Antonio ISD</x:t>
        </x:is>
      </x:c>
      <x:c r="B1144" s="17" t="inlineStr">
        <x:is>
          <x:t xml:space="preserve">TX</x:t>
        </x:is>
      </x:c>
      <x:c r="C1144" s="17" t="inlineStr">
        <x:is>
          <x:t xml:space="preserve">Master's</x:t>
        </x:is>
      </x:c>
      <x:c r="D1144" s="40" t="n">
        <x:v>9</x:v>
      </x:c>
      <x:c r="E1144" s="38" t="n">
        <x:v>67341</x:v>
      </x:c>
      <x:c r="F1144" s="17" t="inlineStr">
        <x:is>
          <x:t xml:space="preserve">2026-06-10</x:t>
        </x:is>
      </x:c>
    </x:row>
    <x:row r="1145" ht="20" customHeight="1">
      <x:c r="A1145" s="17" t="inlineStr">
        <x:is>
          <x:t xml:space="preserve">San Antonio ISD</x:t>
        </x:is>
      </x:c>
      <x:c r="B1145" s="17" t="inlineStr">
        <x:is>
          <x:t xml:space="preserve">TX</x:t>
        </x:is>
      </x:c>
      <x:c r="C1145" s="17" t="inlineStr">
        <x:is>
          <x:t xml:space="preserve">Master's</x:t>
        </x:is>
      </x:c>
      <x:c r="D1145" s="40" t="n">
        <x:v>10</x:v>
      </x:c>
      <x:c r="E1145" s="38" t="n">
        <x:v>67590</x:v>
      </x:c>
      <x:c r="F1145" s="17" t="inlineStr">
        <x:is>
          <x:t xml:space="preserve">2026-06-10</x:t>
        </x:is>
      </x:c>
    </x:row>
    <x:row r="1146" ht="20" customHeight="1">
      <x:c r="A1146" s="17" t="inlineStr">
        <x:is>
          <x:t xml:space="preserve">San Diego Unified School District</x:t>
        </x:is>
      </x:c>
      <x:c r="B1146" s="17" t="inlineStr">
        <x:is>
          <x:t xml:space="preserve">CA</x:t>
        </x:is>
      </x:c>
      <x:c r="C1146" s="17" t="inlineStr">
        <x:is>
          <x:t xml:space="preserve">Bachelor's</x:t>
        </x:is>
      </x:c>
      <x:c r="D1146" s="40" t="n">
        <x:v>0</x:v>
      </x:c>
      <x:c r="E1146" s="38" t="n">
        <x:v>59490.98</x:v>
      </x:c>
      <x:c r="F1146" s="17" t="inlineStr">
        <x:is>
          <x:t xml:space="preserve">2026-06-10</x:t>
        </x:is>
      </x:c>
    </x:row>
    <x:row r="1147" ht="20" customHeight="1">
      <x:c r="A1147" s="17" t="inlineStr">
        <x:is>
          <x:t xml:space="preserve">San Diego Unified School District</x:t>
        </x:is>
      </x:c>
      <x:c r="B1147" s="17" t="inlineStr">
        <x:is>
          <x:t xml:space="preserve">CA</x:t>
        </x:is>
      </x:c>
      <x:c r="C1147" s="17" t="inlineStr">
        <x:is>
          <x:t xml:space="preserve">Bachelor's</x:t>
        </x:is>
      </x:c>
      <x:c r="D1147" s="40" t="n">
        <x:v>1</x:v>
      </x:c>
      <x:c r="E1147" s="38" t="n">
        <x:v>59490.98</x:v>
      </x:c>
      <x:c r="F1147" s="17" t="inlineStr">
        <x:is>
          <x:t xml:space="preserve">2026-06-10</x:t>
        </x:is>
      </x:c>
    </x:row>
    <x:row r="1148" ht="20" customHeight="1">
      <x:c r="A1148" s="17" t="inlineStr">
        <x:is>
          <x:t xml:space="preserve">San Diego Unified School District</x:t>
        </x:is>
      </x:c>
      <x:c r="B1148" s="17" t="inlineStr">
        <x:is>
          <x:t xml:space="preserve">CA</x:t>
        </x:is>
      </x:c>
      <x:c r="C1148" s="17" t="inlineStr">
        <x:is>
          <x:t xml:space="preserve">Bachelor's</x:t>
        </x:is>
      </x:c>
      <x:c r="D1148" s="40" t="n">
        <x:v>2</x:v>
      </x:c>
      <x:c r="E1148" s="38" t="n">
        <x:v>61724</x:v>
      </x:c>
      <x:c r="F1148" s="17" t="inlineStr">
        <x:is>
          <x:t xml:space="preserve">2026-06-10</x:t>
        </x:is>
      </x:c>
    </x:row>
    <x:row r="1149" ht="20" customHeight="1">
      <x:c r="A1149" s="17" t="inlineStr">
        <x:is>
          <x:t xml:space="preserve">San Diego Unified School District</x:t>
        </x:is>
      </x:c>
      <x:c r="B1149" s="17" t="inlineStr">
        <x:is>
          <x:t xml:space="preserve">CA</x:t>
        </x:is>
      </x:c>
      <x:c r="C1149" s="17" t="inlineStr">
        <x:is>
          <x:t xml:space="preserve">Bachelor's</x:t>
        </x:is>
      </x:c>
      <x:c r="D1149" s="40" t="n">
        <x:v>3</x:v>
      </x:c>
      <x:c r="E1149" s="38" t="n">
        <x:v>64048</x:v>
      </x:c>
      <x:c r="F1149" s="17" t="inlineStr">
        <x:is>
          <x:t xml:space="preserve">2026-06-10</x:t>
        </x:is>
      </x:c>
    </x:row>
    <x:row r="1150" ht="20" customHeight="1">
      <x:c r="A1150" s="17" t="inlineStr">
        <x:is>
          <x:t xml:space="preserve">San Diego Unified School District</x:t>
        </x:is>
      </x:c>
      <x:c r="B1150" s="17" t="inlineStr">
        <x:is>
          <x:t xml:space="preserve">CA</x:t>
        </x:is>
      </x:c>
      <x:c r="C1150" s="17" t="inlineStr">
        <x:is>
          <x:t xml:space="preserve">Bachelor's</x:t>
        </x:is>
      </x:c>
      <x:c r="D1150" s="40" t="n">
        <x:v>4</x:v>
      </x:c>
      <x:c r="E1150" s="38" t="n">
        <x:v>66467</x:v>
      </x:c>
      <x:c r="F1150" s="17" t="inlineStr">
        <x:is>
          <x:t xml:space="preserve">2026-06-10</x:t>
        </x:is>
      </x:c>
    </x:row>
    <x:row r="1151" ht="20" customHeight="1">
      <x:c r="A1151" s="17" t="inlineStr">
        <x:is>
          <x:t xml:space="preserve">San Diego Unified School District</x:t>
        </x:is>
      </x:c>
      <x:c r="B1151" s="17" t="inlineStr">
        <x:is>
          <x:t xml:space="preserve">CA</x:t>
        </x:is>
      </x:c>
      <x:c r="C1151" s="17" t="inlineStr">
        <x:is>
          <x:t xml:space="preserve">Bachelor's</x:t>
        </x:is>
      </x:c>
      <x:c r="D1151" s="40" t="n">
        <x:v>5</x:v>
      </x:c>
      <x:c r="E1151" s="38" t="n">
        <x:v>68980</x:v>
      </x:c>
      <x:c r="F1151" s="17" t="inlineStr">
        <x:is>
          <x:t xml:space="preserve">2026-06-10</x:t>
        </x:is>
      </x:c>
    </x:row>
    <x:row r="1152" ht="20" customHeight="1">
      <x:c r="A1152" s="17" t="inlineStr">
        <x:is>
          <x:t xml:space="preserve">San Diego Unified School District</x:t>
        </x:is>
      </x:c>
      <x:c r="B1152" s="17" t="inlineStr">
        <x:is>
          <x:t xml:space="preserve">CA</x:t>
        </x:is>
      </x:c>
      <x:c r="C1152" s="17" t="inlineStr">
        <x:is>
          <x:t xml:space="preserve">Bachelor's</x:t>
        </x:is>
      </x:c>
      <x:c r="D1152" s="40" t="n">
        <x:v>6</x:v>
      </x:c>
      <x:c r="E1152" s="38" t="n">
        <x:v>71594</x:v>
      </x:c>
      <x:c r="F1152" s="17" t="inlineStr">
        <x:is>
          <x:t xml:space="preserve">2026-06-10</x:t>
        </x:is>
      </x:c>
    </x:row>
    <x:row r="1153" ht="20" customHeight="1">
      <x:c r="A1153" s="17" t="inlineStr">
        <x:is>
          <x:t xml:space="preserve">San Diego Unified School District</x:t>
        </x:is>
      </x:c>
      <x:c r="B1153" s="17" t="inlineStr">
        <x:is>
          <x:t xml:space="preserve">CA</x:t>
        </x:is>
      </x:c>
      <x:c r="C1153" s="17" t="inlineStr">
        <x:is>
          <x:t xml:space="preserve">Bachelor's</x:t>
        </x:is>
      </x:c>
      <x:c r="D1153" s="40" t="n">
        <x:v>7</x:v>
      </x:c>
      <x:c r="E1153" s="38" t="n">
        <x:v>74314</x:v>
      </x:c>
      <x:c r="F1153" s="17" t="inlineStr">
        <x:is>
          <x:t xml:space="preserve">2026-06-10</x:t>
        </x:is>
      </x:c>
    </x:row>
    <x:row r="1154" ht="20" customHeight="1">
      <x:c r="A1154" s="17" t="inlineStr">
        <x:is>
          <x:t xml:space="preserve">San Diego Unified School District</x:t>
        </x:is>
      </x:c>
      <x:c r="B1154" s="17" t="inlineStr">
        <x:is>
          <x:t xml:space="preserve">CA</x:t>
        </x:is>
      </x:c>
      <x:c r="C1154" s="17" t="inlineStr">
        <x:is>
          <x:t xml:space="preserve">Bachelor's</x:t>
        </x:is>
      </x:c>
      <x:c r="D1154" s="40" t="n">
        <x:v>8</x:v>
      </x:c>
      <x:c r="E1154" s="38" t="n">
        <x:v>77141</x:v>
      </x:c>
      <x:c r="F1154" s="17" t="inlineStr">
        <x:is>
          <x:t xml:space="preserve">2026-06-10</x:t>
        </x:is>
      </x:c>
    </x:row>
    <x:row r="1155" ht="20" customHeight="1">
      <x:c r="A1155" s="17" t="inlineStr">
        <x:is>
          <x:t xml:space="preserve">San Diego Unified School District</x:t>
        </x:is>
      </x:c>
      <x:c r="B1155" s="17" t="inlineStr">
        <x:is>
          <x:t xml:space="preserve">CA</x:t>
        </x:is>
      </x:c>
      <x:c r="C1155" s="17" t="inlineStr">
        <x:is>
          <x:t xml:space="preserve">Bachelor's</x:t>
        </x:is>
      </x:c>
      <x:c r="D1155" s="40" t="n">
        <x:v>9</x:v>
      </x:c>
      <x:c r="E1155" s="38" t="n">
        <x:v>80078</x:v>
      </x:c>
      <x:c r="F1155" s="17" t="inlineStr">
        <x:is>
          <x:t xml:space="preserve">2026-06-10</x:t>
        </x:is>
      </x:c>
    </x:row>
    <x:row r="1156" ht="20" customHeight="1">
      <x:c r="A1156" s="17" t="inlineStr">
        <x:is>
          <x:t xml:space="preserve">San Diego Unified School District</x:t>
        </x:is>
      </x:c>
      <x:c r="B1156" s="17" t="inlineStr">
        <x:is>
          <x:t xml:space="preserve">CA</x:t>
        </x:is>
      </x:c>
      <x:c r="C1156" s="17" t="inlineStr">
        <x:is>
          <x:t xml:space="preserve">Bachelor's</x:t>
        </x:is>
      </x:c>
      <x:c r="D1156" s="40" t="n">
        <x:v>10</x:v>
      </x:c>
      <x:c r="E1156" s="38" t="n">
        <x:v>83135</x:v>
      </x:c>
      <x:c r="F1156" s="17" t="inlineStr">
        <x:is>
          <x:t xml:space="preserve">2026-06-10</x:t>
        </x:is>
      </x:c>
    </x:row>
    <x:row r="1157" ht="20" customHeight="1">
      <x:c r="A1157" s="17" t="inlineStr">
        <x:is>
          <x:t xml:space="preserve">San Diego Unified School District</x:t>
        </x:is>
      </x:c>
      <x:c r="B1157" s="17" t="inlineStr">
        <x:is>
          <x:t xml:space="preserve">CA</x:t>
        </x:is>
      </x:c>
      <x:c r="C1157" s="17" t="inlineStr">
        <x:is>
          <x:t xml:space="preserve">Master's</x:t>
        </x:is>
      </x:c>
      <x:c r="D1157" s="40" t="n">
        <x:v>0</x:v>
      </x:c>
      <x:c r="E1157" s="38" t="n">
        <x:v>63121</x:v>
      </x:c>
      <x:c r="F1157" s="17" t="inlineStr">
        <x:is>
          <x:t xml:space="preserve">2026-06-10</x:t>
        </x:is>
      </x:c>
    </x:row>
    <x:row r="1158" ht="20" customHeight="1">
      <x:c r="A1158" s="17" t="inlineStr">
        <x:is>
          <x:t xml:space="preserve">San Diego Unified School District</x:t>
        </x:is>
      </x:c>
      <x:c r="B1158" s="17" t="inlineStr">
        <x:is>
          <x:t xml:space="preserve">CA</x:t>
        </x:is>
      </x:c>
      <x:c r="C1158" s="17" t="inlineStr">
        <x:is>
          <x:t xml:space="preserve">Master's</x:t>
        </x:is>
      </x:c>
      <x:c r="D1158" s="40" t="n">
        <x:v>1</x:v>
      </x:c>
      <x:c r="E1158" s="38" t="n">
        <x:v>63121</x:v>
      </x:c>
      <x:c r="F1158" s="17" t="inlineStr">
        <x:is>
          <x:t xml:space="preserve">2026-06-10</x:t>
        </x:is>
      </x:c>
    </x:row>
    <x:row r="1159" ht="20" customHeight="1">
      <x:c r="A1159" s="17" t="inlineStr">
        <x:is>
          <x:t xml:space="preserve">San Diego Unified School District</x:t>
        </x:is>
      </x:c>
      <x:c r="B1159" s="17" t="inlineStr">
        <x:is>
          <x:t xml:space="preserve">CA</x:t>
        </x:is>
      </x:c>
      <x:c r="C1159" s="17" t="inlineStr">
        <x:is>
          <x:t xml:space="preserve">Master's</x:t>
        </x:is>
      </x:c>
      <x:c r="D1159" s="40" t="n">
        <x:v>2</x:v>
      </x:c>
      <x:c r="E1159" s="38" t="n">
        <x:v>65356</x:v>
      </x:c>
      <x:c r="F1159" s="17" t="inlineStr">
        <x:is>
          <x:t xml:space="preserve">2026-06-10</x:t>
        </x:is>
      </x:c>
    </x:row>
    <x:row r="1160" ht="20" customHeight="1">
      <x:c r="A1160" s="17" t="inlineStr">
        <x:is>
          <x:t xml:space="preserve">San Diego Unified School District</x:t>
        </x:is>
      </x:c>
      <x:c r="B1160" s="17" t="inlineStr">
        <x:is>
          <x:t xml:space="preserve">CA</x:t>
        </x:is>
      </x:c>
      <x:c r="C1160" s="17" t="inlineStr">
        <x:is>
          <x:t xml:space="preserve">Master's</x:t>
        </x:is>
      </x:c>
      <x:c r="D1160" s="40" t="n">
        <x:v>3</x:v>
      </x:c>
      <x:c r="E1160" s="38" t="n">
        <x:v>67678</x:v>
      </x:c>
      <x:c r="F1160" s="17" t="inlineStr">
        <x:is>
          <x:t xml:space="preserve">2026-06-10</x:t>
        </x:is>
      </x:c>
    </x:row>
    <x:row r="1161" ht="20" customHeight="1">
      <x:c r="A1161" s="17" t="inlineStr">
        <x:is>
          <x:t xml:space="preserve">San Diego Unified School District</x:t>
        </x:is>
      </x:c>
      <x:c r="B1161" s="17" t="inlineStr">
        <x:is>
          <x:t xml:space="preserve">CA</x:t>
        </x:is>
      </x:c>
      <x:c r="C1161" s="17" t="inlineStr">
        <x:is>
          <x:t xml:space="preserve">Master's</x:t>
        </x:is>
      </x:c>
      <x:c r="D1161" s="40" t="n">
        <x:v>4</x:v>
      </x:c>
      <x:c r="E1161" s="38" t="n">
        <x:v>70098</x:v>
      </x:c>
      <x:c r="F1161" s="17" t="inlineStr">
        <x:is>
          <x:t xml:space="preserve">2026-06-10</x:t>
        </x:is>
      </x:c>
    </x:row>
    <x:row r="1162" ht="20" customHeight="1">
      <x:c r="A1162" s="17" t="inlineStr">
        <x:is>
          <x:t xml:space="preserve">San Diego Unified School District</x:t>
        </x:is>
      </x:c>
      <x:c r="B1162" s="17" t="inlineStr">
        <x:is>
          <x:t xml:space="preserve">CA</x:t>
        </x:is>
      </x:c>
      <x:c r="C1162" s="17" t="inlineStr">
        <x:is>
          <x:t xml:space="preserve">Master's</x:t>
        </x:is>
      </x:c>
      <x:c r="D1162" s="40" t="n">
        <x:v>5</x:v>
      </x:c>
      <x:c r="E1162" s="38" t="n">
        <x:v>72610</x:v>
      </x:c>
      <x:c r="F1162" s="17" t="inlineStr">
        <x:is>
          <x:t xml:space="preserve">2026-06-10</x:t>
        </x:is>
      </x:c>
    </x:row>
    <x:row r="1163" ht="20" customHeight="1">
      <x:c r="A1163" s="17" t="inlineStr">
        <x:is>
          <x:t xml:space="preserve">San Diego Unified School District</x:t>
        </x:is>
      </x:c>
      <x:c r="B1163" s="17" t="inlineStr">
        <x:is>
          <x:t xml:space="preserve">CA</x:t>
        </x:is>
      </x:c>
      <x:c r="C1163" s="17" t="inlineStr">
        <x:is>
          <x:t xml:space="preserve">Master's</x:t>
        </x:is>
      </x:c>
      <x:c r="D1163" s="40" t="n">
        <x:v>6</x:v>
      </x:c>
      <x:c r="E1163" s="38" t="n">
        <x:v>75225</x:v>
      </x:c>
      <x:c r="F1163" s="17" t="inlineStr">
        <x:is>
          <x:t xml:space="preserve">2026-06-10</x:t>
        </x:is>
      </x:c>
    </x:row>
    <x:row r="1164" ht="20" customHeight="1">
      <x:c r="A1164" s="17" t="inlineStr">
        <x:is>
          <x:t xml:space="preserve">San Diego Unified School District</x:t>
        </x:is>
      </x:c>
      <x:c r="B1164" s="17" t="inlineStr">
        <x:is>
          <x:t xml:space="preserve">CA</x:t>
        </x:is>
      </x:c>
      <x:c r="C1164" s="17" t="inlineStr">
        <x:is>
          <x:t xml:space="preserve">Master's</x:t>
        </x:is>
      </x:c>
      <x:c r="D1164" s="40" t="n">
        <x:v>7</x:v>
      </x:c>
      <x:c r="E1164" s="38" t="n">
        <x:v>77946</x:v>
      </x:c>
      <x:c r="F1164" s="17" t="inlineStr">
        <x:is>
          <x:t xml:space="preserve">2026-06-10</x:t>
        </x:is>
      </x:c>
    </x:row>
    <x:row r="1165" ht="20" customHeight="1">
      <x:c r="A1165" s="17" t="inlineStr">
        <x:is>
          <x:t xml:space="preserve">San Diego Unified School District</x:t>
        </x:is>
      </x:c>
      <x:c r="B1165" s="17" t="inlineStr">
        <x:is>
          <x:t xml:space="preserve">CA</x:t>
        </x:is>
      </x:c>
      <x:c r="C1165" s="17" t="inlineStr">
        <x:is>
          <x:t xml:space="preserve">Master's</x:t>
        </x:is>
      </x:c>
      <x:c r="D1165" s="40" t="n">
        <x:v>8</x:v>
      </x:c>
      <x:c r="E1165" s="38" t="n">
        <x:v>80773</x:v>
      </x:c>
      <x:c r="F1165" s="17" t="inlineStr">
        <x:is>
          <x:t xml:space="preserve">2026-06-10</x:t>
        </x:is>
      </x:c>
    </x:row>
    <x:row r="1166" ht="20" customHeight="1">
      <x:c r="A1166" s="17" t="inlineStr">
        <x:is>
          <x:t xml:space="preserve">San Diego Unified School District</x:t>
        </x:is>
      </x:c>
      <x:c r="B1166" s="17" t="inlineStr">
        <x:is>
          <x:t xml:space="preserve">CA</x:t>
        </x:is>
      </x:c>
      <x:c r="C1166" s="17" t="inlineStr">
        <x:is>
          <x:t xml:space="preserve">Master's</x:t>
        </x:is>
      </x:c>
      <x:c r="D1166" s="40" t="n">
        <x:v>9</x:v>
      </x:c>
      <x:c r="E1166" s="38" t="n">
        <x:v>83710</x:v>
      </x:c>
      <x:c r="F1166" s="17" t="inlineStr">
        <x:is>
          <x:t xml:space="preserve">2026-06-10</x:t>
        </x:is>
      </x:c>
    </x:row>
    <x:row r="1167" ht="20" customHeight="1">
      <x:c r="A1167" s="17" t="inlineStr">
        <x:is>
          <x:t xml:space="preserve">San Diego Unified School District</x:t>
        </x:is>
      </x:c>
      <x:c r="B1167" s="17" t="inlineStr">
        <x:is>
          <x:t xml:space="preserve">CA</x:t>
        </x:is>
      </x:c>
      <x:c r="C1167" s="17" t="inlineStr">
        <x:is>
          <x:t xml:space="preserve">Master's</x:t>
        </x:is>
      </x:c>
      <x:c r="D1167" s="40" t="n">
        <x:v>10</x:v>
      </x:c>
      <x:c r="E1167" s="38" t="n">
        <x:v>86765</x:v>
      </x:c>
      <x:c r="F1167" s="17" t="inlineStr">
        <x:is>
          <x:t xml:space="preserve">2026-06-10</x:t>
        </x:is>
      </x:c>
    </x:row>
    <x:row r="1168" ht="20" customHeight="1">
      <x:c r="A1168" s="17" t="inlineStr">
        <x:is>
          <x:t xml:space="preserve">San Jose Unified School District</x:t>
        </x:is>
      </x:c>
      <x:c r="B1168" s="17" t="inlineStr">
        <x:is>
          <x:t xml:space="preserve">CA</x:t>
        </x:is>
      </x:c>
      <x:c r="C1168" s="17" t="inlineStr">
        <x:is>
          <x:t xml:space="preserve">Bachelor's</x:t>
        </x:is>
      </x:c>
      <x:c r="D1168" s="40" t="n">
        <x:v>0</x:v>
      </x:c>
      <x:c r="E1168" s="38" t="n">
        <x:v>72051</x:v>
      </x:c>
      <x:c r="F1168" s="17" t="inlineStr">
        <x:is>
          <x:t xml:space="preserve">2026-06-10</x:t>
        </x:is>
      </x:c>
    </x:row>
    <x:row r="1169" ht="20" customHeight="1">
      <x:c r="A1169" s="17" t="inlineStr">
        <x:is>
          <x:t xml:space="preserve">San Jose Unified School District</x:t>
        </x:is>
      </x:c>
      <x:c r="B1169" s="17" t="inlineStr">
        <x:is>
          <x:t xml:space="preserve">CA</x:t>
        </x:is>
      </x:c>
      <x:c r="C1169" s="17" t="inlineStr">
        <x:is>
          <x:t xml:space="preserve">Bachelor's</x:t>
        </x:is>
      </x:c>
      <x:c r="D1169" s="40" t="n">
        <x:v>1</x:v>
      </x:c>
      <x:c r="E1169" s="38" t="n">
        <x:v>72051</x:v>
      </x:c>
      <x:c r="F1169" s="17" t="inlineStr">
        <x:is>
          <x:t xml:space="preserve">2026-06-10</x:t>
        </x:is>
      </x:c>
    </x:row>
    <x:row r="1170" ht="20" customHeight="1">
      <x:c r="A1170" s="17" t="inlineStr">
        <x:is>
          <x:t xml:space="preserve">San Jose Unified School District</x:t>
        </x:is>
      </x:c>
      <x:c r="B1170" s="17" t="inlineStr">
        <x:is>
          <x:t xml:space="preserve">CA</x:t>
        </x:is>
      </x:c>
      <x:c r="C1170" s="17" t="inlineStr">
        <x:is>
          <x:t xml:space="preserve">Bachelor's</x:t>
        </x:is>
      </x:c>
      <x:c r="D1170" s="40" t="n">
        <x:v>2</x:v>
      </x:c>
      <x:c r="E1170" s="38" t="n">
        <x:v>75602</x:v>
      </x:c>
      <x:c r="F1170" s="17" t="inlineStr">
        <x:is>
          <x:t xml:space="preserve">2026-06-10</x:t>
        </x:is>
      </x:c>
    </x:row>
    <x:row r="1171" ht="20" customHeight="1">
      <x:c r="A1171" s="17" t="inlineStr">
        <x:is>
          <x:t xml:space="preserve">San Jose Unified School District</x:t>
        </x:is>
      </x:c>
      <x:c r="B1171" s="17" t="inlineStr">
        <x:is>
          <x:t xml:space="preserve">CA</x:t>
        </x:is>
      </x:c>
      <x:c r="C1171" s="17" t="inlineStr">
        <x:is>
          <x:t xml:space="preserve">Bachelor's</x:t>
        </x:is>
      </x:c>
      <x:c r="D1171" s="40" t="n">
        <x:v>3</x:v>
      </x:c>
      <x:c r="E1171" s="38" t="n">
        <x:v>79153</x:v>
      </x:c>
      <x:c r="F1171" s="17" t="inlineStr">
        <x:is>
          <x:t xml:space="preserve">2026-06-10</x:t>
        </x:is>
      </x:c>
    </x:row>
    <x:row r="1172" ht="20" customHeight="1">
      <x:c r="A1172" s="17" t="inlineStr">
        <x:is>
          <x:t xml:space="preserve">San Jose Unified School District</x:t>
        </x:is>
      </x:c>
      <x:c r="B1172" s="17" t="inlineStr">
        <x:is>
          <x:t xml:space="preserve">CA</x:t>
        </x:is>
      </x:c>
      <x:c r="C1172" s="17" t="inlineStr">
        <x:is>
          <x:t xml:space="preserve">Bachelor's</x:t>
        </x:is>
      </x:c>
      <x:c r="D1172" s="40" t="n">
        <x:v>4</x:v>
      </x:c>
      <x:c r="E1172" s="38" t="n">
        <x:v>82704</x:v>
      </x:c>
      <x:c r="F1172" s="17" t="inlineStr">
        <x:is>
          <x:t xml:space="preserve">2026-06-10</x:t>
        </x:is>
      </x:c>
    </x:row>
    <x:row r="1173" ht="20" customHeight="1">
      <x:c r="A1173" s="17" t="inlineStr">
        <x:is>
          <x:t xml:space="preserve">San Jose Unified School District</x:t>
        </x:is>
      </x:c>
      <x:c r="B1173" s="17" t="inlineStr">
        <x:is>
          <x:t xml:space="preserve">CA</x:t>
        </x:is>
      </x:c>
      <x:c r="C1173" s="17" t="inlineStr">
        <x:is>
          <x:t xml:space="preserve">Bachelor's</x:t>
        </x:is>
      </x:c>
      <x:c r="D1173" s="40" t="n">
        <x:v>5</x:v>
      </x:c>
      <x:c r="E1173" s="38" t="n">
        <x:v>86255</x:v>
      </x:c>
      <x:c r="F1173" s="17" t="inlineStr">
        <x:is>
          <x:t xml:space="preserve">2026-06-10</x:t>
        </x:is>
      </x:c>
    </x:row>
    <x:row r="1174" ht="20" customHeight="1">
      <x:c r="A1174" s="17" t="inlineStr">
        <x:is>
          <x:t xml:space="preserve">San Jose Unified School District</x:t>
        </x:is>
      </x:c>
      <x:c r="B1174" s="17" t="inlineStr">
        <x:is>
          <x:t xml:space="preserve">CA</x:t>
        </x:is>
      </x:c>
      <x:c r="C1174" s="17" t="inlineStr">
        <x:is>
          <x:t xml:space="preserve">Bachelor's</x:t>
        </x:is>
      </x:c>
      <x:c r="D1174" s="40" t="n">
        <x:v>6</x:v>
      </x:c>
      <x:c r="E1174" s="38" t="n">
        <x:v>89806</x:v>
      </x:c>
      <x:c r="F1174" s="17" t="inlineStr">
        <x:is>
          <x:t xml:space="preserve">2026-06-10</x:t>
        </x:is>
      </x:c>
    </x:row>
    <x:row r="1175" ht="20" customHeight="1">
      <x:c r="A1175" s="17" t="inlineStr">
        <x:is>
          <x:t xml:space="preserve">San Jose Unified School District</x:t>
        </x:is>
      </x:c>
      <x:c r="B1175" s="17" t="inlineStr">
        <x:is>
          <x:t xml:space="preserve">CA</x:t>
        </x:is>
      </x:c>
      <x:c r="C1175" s="17" t="inlineStr">
        <x:is>
          <x:t xml:space="preserve">Bachelor's</x:t>
        </x:is>
      </x:c>
      <x:c r="D1175" s="40" t="n">
        <x:v>7</x:v>
      </x:c>
      <x:c r="E1175" s="38" t="n">
        <x:v>93358</x:v>
      </x:c>
      <x:c r="F1175" s="17" t="inlineStr">
        <x:is>
          <x:t xml:space="preserve">2026-06-10</x:t>
        </x:is>
      </x:c>
    </x:row>
    <x:row r="1176" ht="20" customHeight="1">
      <x:c r="A1176" s="17" t="inlineStr">
        <x:is>
          <x:t xml:space="preserve">San Jose Unified School District</x:t>
        </x:is>
      </x:c>
      <x:c r="B1176" s="17" t="inlineStr">
        <x:is>
          <x:t xml:space="preserve">CA</x:t>
        </x:is>
      </x:c>
      <x:c r="C1176" s="17" t="inlineStr">
        <x:is>
          <x:t xml:space="preserve">Bachelor's</x:t>
        </x:is>
      </x:c>
      <x:c r="D1176" s="40" t="n">
        <x:v>8</x:v>
      </x:c>
      <x:c r="E1176" s="38" t="n">
        <x:v>96909</x:v>
      </x:c>
      <x:c r="F1176" s="17" t="inlineStr">
        <x:is>
          <x:t xml:space="preserve">2026-06-10</x:t>
        </x:is>
      </x:c>
    </x:row>
    <x:row r="1177" ht="20" customHeight="1">
      <x:c r="A1177" s="17" t="inlineStr">
        <x:is>
          <x:t xml:space="preserve">San Jose Unified School District</x:t>
        </x:is>
      </x:c>
      <x:c r="B1177" s="17" t="inlineStr">
        <x:is>
          <x:t xml:space="preserve">CA</x:t>
        </x:is>
      </x:c>
      <x:c r="C1177" s="17" t="inlineStr">
        <x:is>
          <x:t xml:space="preserve">Bachelor's</x:t>
        </x:is>
      </x:c>
      <x:c r="D1177" s="40" t="n">
        <x:v>9</x:v>
      </x:c>
      <x:c r="E1177" s="38" t="n">
        <x:v>100460</x:v>
      </x:c>
      <x:c r="F1177" s="17" t="inlineStr">
        <x:is>
          <x:t xml:space="preserve">2026-06-10</x:t>
        </x:is>
      </x:c>
    </x:row>
    <x:row r="1178" ht="20" customHeight="1">
      <x:c r="A1178" s="17" t="inlineStr">
        <x:is>
          <x:t xml:space="preserve">San Jose Unified School District</x:t>
        </x:is>
      </x:c>
      <x:c r="B1178" s="17" t="inlineStr">
        <x:is>
          <x:t xml:space="preserve">CA</x:t>
        </x:is>
      </x:c>
      <x:c r="C1178" s="17" t="inlineStr">
        <x:is>
          <x:t xml:space="preserve">Bachelor's</x:t>
        </x:is>
      </x:c>
      <x:c r="D1178" s="40" t="n">
        <x:v>10</x:v>
      </x:c>
      <x:c r="E1178" s="38" t="n">
        <x:v>104011</x:v>
      </x:c>
      <x:c r="F1178" s="17" t="inlineStr">
        <x:is>
          <x:t xml:space="preserve">2026-06-10</x:t>
        </x:is>
      </x:c>
    </x:row>
    <x:row r="1179" ht="20" customHeight="1">
      <x:c r="A1179" s="17" t="inlineStr">
        <x:is>
          <x:t xml:space="preserve">San Jose Unified School District</x:t>
        </x:is>
      </x:c>
      <x:c r="B1179" s="17" t="inlineStr">
        <x:is>
          <x:t xml:space="preserve">CA</x:t>
        </x:is>
      </x:c>
      <x:c r="C1179" s="17" t="inlineStr">
        <x:is>
          <x:t xml:space="preserve">Master's</x:t>
        </x:is>
      </x:c>
      <x:c r="D1179" s="40" t="n">
        <x:v>0</x:v>
      </x:c>
      <x:c r="E1179" s="38" t="n">
        <x:v>75051</x:v>
      </x:c>
      <x:c r="F1179" s="17" t="inlineStr">
        <x:is>
          <x:t xml:space="preserve">2026-06-10</x:t>
        </x:is>
      </x:c>
    </x:row>
    <x:row r="1180" ht="20" customHeight="1">
      <x:c r="A1180" s="17" t="inlineStr">
        <x:is>
          <x:t xml:space="preserve">San Jose Unified School District</x:t>
        </x:is>
      </x:c>
      <x:c r="B1180" s="17" t="inlineStr">
        <x:is>
          <x:t xml:space="preserve">CA</x:t>
        </x:is>
      </x:c>
      <x:c r="C1180" s="17" t="inlineStr">
        <x:is>
          <x:t xml:space="preserve">Master's</x:t>
        </x:is>
      </x:c>
      <x:c r="D1180" s="40" t="n">
        <x:v>1</x:v>
      </x:c>
      <x:c r="E1180" s="38" t="n">
        <x:v>75051</x:v>
      </x:c>
      <x:c r="F1180" s="17" t="inlineStr">
        <x:is>
          <x:t xml:space="preserve">2026-06-10</x:t>
        </x:is>
      </x:c>
    </x:row>
    <x:row r="1181" ht="20" customHeight="1">
      <x:c r="A1181" s="17" t="inlineStr">
        <x:is>
          <x:t xml:space="preserve">San Jose Unified School District</x:t>
        </x:is>
      </x:c>
      <x:c r="B1181" s="17" t="inlineStr">
        <x:is>
          <x:t xml:space="preserve">CA</x:t>
        </x:is>
      </x:c>
      <x:c r="C1181" s="17" t="inlineStr">
        <x:is>
          <x:t xml:space="preserve">Master's</x:t>
        </x:is>
      </x:c>
      <x:c r="D1181" s="40" t="n">
        <x:v>2</x:v>
      </x:c>
      <x:c r="E1181" s="38" t="n">
        <x:v>78602</x:v>
      </x:c>
      <x:c r="F1181" s="17" t="inlineStr">
        <x:is>
          <x:t xml:space="preserve">2026-06-10</x:t>
        </x:is>
      </x:c>
    </x:row>
    <x:row r="1182" ht="20" customHeight="1">
      <x:c r="A1182" s="17" t="inlineStr">
        <x:is>
          <x:t xml:space="preserve">San Jose Unified School District</x:t>
        </x:is>
      </x:c>
      <x:c r="B1182" s="17" t="inlineStr">
        <x:is>
          <x:t xml:space="preserve">CA</x:t>
        </x:is>
      </x:c>
      <x:c r="C1182" s="17" t="inlineStr">
        <x:is>
          <x:t xml:space="preserve">Master's</x:t>
        </x:is>
      </x:c>
      <x:c r="D1182" s="40" t="n">
        <x:v>3</x:v>
      </x:c>
      <x:c r="E1182" s="38" t="n">
        <x:v>82153</x:v>
      </x:c>
      <x:c r="F1182" s="17" t="inlineStr">
        <x:is>
          <x:t xml:space="preserve">2026-06-10</x:t>
        </x:is>
      </x:c>
    </x:row>
    <x:row r="1183" ht="20" customHeight="1">
      <x:c r="A1183" s="17" t="inlineStr">
        <x:is>
          <x:t xml:space="preserve">San Jose Unified School District</x:t>
        </x:is>
      </x:c>
      <x:c r="B1183" s="17" t="inlineStr">
        <x:is>
          <x:t xml:space="preserve">CA</x:t>
        </x:is>
      </x:c>
      <x:c r="C1183" s="17" t="inlineStr">
        <x:is>
          <x:t xml:space="preserve">Master's</x:t>
        </x:is>
      </x:c>
      <x:c r="D1183" s="40" t="n">
        <x:v>4</x:v>
      </x:c>
      <x:c r="E1183" s="38" t="n">
        <x:v>85704</x:v>
      </x:c>
      <x:c r="F1183" s="17" t="inlineStr">
        <x:is>
          <x:t xml:space="preserve">2026-06-10</x:t>
        </x:is>
      </x:c>
    </x:row>
    <x:row r="1184" ht="20" customHeight="1">
      <x:c r="A1184" s="17" t="inlineStr">
        <x:is>
          <x:t xml:space="preserve">San Jose Unified School District</x:t>
        </x:is>
      </x:c>
      <x:c r="B1184" s="17" t="inlineStr">
        <x:is>
          <x:t xml:space="preserve">CA</x:t>
        </x:is>
      </x:c>
      <x:c r="C1184" s="17" t="inlineStr">
        <x:is>
          <x:t xml:space="preserve">Master's</x:t>
        </x:is>
      </x:c>
      <x:c r="D1184" s="40" t="n">
        <x:v>5</x:v>
      </x:c>
      <x:c r="E1184" s="38" t="n">
        <x:v>89255</x:v>
      </x:c>
      <x:c r="F1184" s="17" t="inlineStr">
        <x:is>
          <x:t xml:space="preserve">2026-06-10</x:t>
        </x:is>
      </x:c>
    </x:row>
    <x:row r="1185" ht="20" customHeight="1">
      <x:c r="A1185" s="17" t="inlineStr">
        <x:is>
          <x:t xml:space="preserve">San Jose Unified School District</x:t>
        </x:is>
      </x:c>
      <x:c r="B1185" s="17" t="inlineStr">
        <x:is>
          <x:t xml:space="preserve">CA</x:t>
        </x:is>
      </x:c>
      <x:c r="C1185" s="17" t="inlineStr">
        <x:is>
          <x:t xml:space="preserve">Master's</x:t>
        </x:is>
      </x:c>
      <x:c r="D1185" s="40" t="n">
        <x:v>6</x:v>
      </x:c>
      <x:c r="E1185" s="38" t="n">
        <x:v>92806</x:v>
      </x:c>
      <x:c r="F1185" s="17" t="inlineStr">
        <x:is>
          <x:t xml:space="preserve">2026-06-10</x:t>
        </x:is>
      </x:c>
    </x:row>
    <x:row r="1186" ht="20" customHeight="1">
      <x:c r="A1186" s="17" t="inlineStr">
        <x:is>
          <x:t xml:space="preserve">San Jose Unified School District</x:t>
        </x:is>
      </x:c>
      <x:c r="B1186" s="17" t="inlineStr">
        <x:is>
          <x:t xml:space="preserve">CA</x:t>
        </x:is>
      </x:c>
      <x:c r="C1186" s="17" t="inlineStr">
        <x:is>
          <x:t xml:space="preserve">Master's</x:t>
        </x:is>
      </x:c>
      <x:c r="D1186" s="40" t="n">
        <x:v>7</x:v>
      </x:c>
      <x:c r="E1186" s="38" t="n">
        <x:v>96358</x:v>
      </x:c>
      <x:c r="F1186" s="17" t="inlineStr">
        <x:is>
          <x:t xml:space="preserve">2026-06-10</x:t>
        </x:is>
      </x:c>
    </x:row>
    <x:row r="1187" ht="20" customHeight="1">
      <x:c r="A1187" s="17" t="inlineStr">
        <x:is>
          <x:t xml:space="preserve">San Jose Unified School District</x:t>
        </x:is>
      </x:c>
      <x:c r="B1187" s="17" t="inlineStr">
        <x:is>
          <x:t xml:space="preserve">CA</x:t>
        </x:is>
      </x:c>
      <x:c r="C1187" s="17" t="inlineStr">
        <x:is>
          <x:t xml:space="preserve">Master's</x:t>
        </x:is>
      </x:c>
      <x:c r="D1187" s="40" t="n">
        <x:v>8</x:v>
      </x:c>
      <x:c r="E1187" s="38" t="n">
        <x:v>99909</x:v>
      </x:c>
      <x:c r="F1187" s="17" t="inlineStr">
        <x:is>
          <x:t xml:space="preserve">2026-06-10</x:t>
        </x:is>
      </x:c>
    </x:row>
    <x:row r="1188" ht="20" customHeight="1">
      <x:c r="A1188" s="17" t="inlineStr">
        <x:is>
          <x:t xml:space="preserve">San Jose Unified School District</x:t>
        </x:is>
      </x:c>
      <x:c r="B1188" s="17" t="inlineStr">
        <x:is>
          <x:t xml:space="preserve">CA</x:t>
        </x:is>
      </x:c>
      <x:c r="C1188" s="17" t="inlineStr">
        <x:is>
          <x:t xml:space="preserve">Master's</x:t>
        </x:is>
      </x:c>
      <x:c r="D1188" s="40" t="n">
        <x:v>9</x:v>
      </x:c>
      <x:c r="E1188" s="38" t="n">
        <x:v>103460</x:v>
      </x:c>
      <x:c r="F1188" s="17" t="inlineStr">
        <x:is>
          <x:t xml:space="preserve">2026-06-10</x:t>
        </x:is>
      </x:c>
    </x:row>
    <x:row r="1189" ht="20" customHeight="1">
      <x:c r="A1189" s="17" t="inlineStr">
        <x:is>
          <x:t xml:space="preserve">San Jose Unified School District</x:t>
        </x:is>
      </x:c>
      <x:c r="B1189" s="17" t="inlineStr">
        <x:is>
          <x:t xml:space="preserve">CA</x:t>
        </x:is>
      </x:c>
      <x:c r="C1189" s="17" t="inlineStr">
        <x:is>
          <x:t xml:space="preserve">Master's</x:t>
        </x:is>
      </x:c>
      <x:c r="D1189" s="40" t="n">
        <x:v>10</x:v>
      </x:c>
      <x:c r="E1189" s="38" t="n">
        <x:v>107011</x:v>
      </x:c>
      <x:c r="F1189" s="17" t="inlineStr">
        <x:is>
          <x:t xml:space="preserve">2026-06-10</x:t>
        </x:is>
      </x:c>
    </x:row>
    <x:row r="1190" ht="20" customHeight="1">
      <x:c r="A1190" s="17" t="inlineStr">
        <x:is>
          <x:t xml:space="preserve">Scarsdale Union Free School District</x:t>
        </x:is>
      </x:c>
      <x:c r="B1190" s="17" t="inlineStr">
        <x:is>
          <x:t xml:space="preserve">NY</x:t>
        </x:is>
      </x:c>
      <x:c r="C1190" s="17" t="inlineStr">
        <x:is>
          <x:t xml:space="preserve">Bachelor's</x:t>
        </x:is>
      </x:c>
      <x:c r="D1190" s="40" t="n">
        <x:v>0</x:v>
      </x:c>
      <x:c r="E1190" s="38" t="n">
        <x:v>69524</x:v>
      </x:c>
      <x:c r="F1190" s="17" t="inlineStr">
        <x:is>
          <x:t xml:space="preserve">2026-06-11</x:t>
        </x:is>
      </x:c>
    </x:row>
    <x:row r="1191" ht="20" customHeight="1">
      <x:c r="A1191" s="17" t="inlineStr">
        <x:is>
          <x:t xml:space="preserve">Scarsdale Union Free School District</x:t>
        </x:is>
      </x:c>
      <x:c r="B1191" s="17" t="inlineStr">
        <x:is>
          <x:t xml:space="preserve">NY</x:t>
        </x:is>
      </x:c>
      <x:c r="C1191" s="17" t="inlineStr">
        <x:is>
          <x:t xml:space="preserve">Bachelor's</x:t>
        </x:is>
      </x:c>
      <x:c r="D1191" s="40" t="n">
        <x:v>1</x:v>
      </x:c>
      <x:c r="E1191" s="38" t="n">
        <x:v>74331</x:v>
      </x:c>
      <x:c r="F1191" s="17" t="inlineStr">
        <x:is>
          <x:t xml:space="preserve">2026-06-11</x:t>
        </x:is>
      </x:c>
    </x:row>
    <x:row r="1192" ht="20" customHeight="1">
      <x:c r="A1192" s="17" t="inlineStr">
        <x:is>
          <x:t xml:space="preserve">Scarsdale Union Free School District</x:t>
        </x:is>
      </x:c>
      <x:c r="B1192" s="17" t="inlineStr">
        <x:is>
          <x:t xml:space="preserve">NY</x:t>
        </x:is>
      </x:c>
      <x:c r="C1192" s="17" t="inlineStr">
        <x:is>
          <x:t xml:space="preserve">Bachelor's</x:t>
        </x:is>
      </x:c>
      <x:c r="D1192" s="40" t="n">
        <x:v>2</x:v>
      </x:c>
      <x:c r="E1192" s="38" t="n">
        <x:v>76736</x:v>
      </x:c>
      <x:c r="F1192" s="17" t="inlineStr">
        <x:is>
          <x:t xml:space="preserve">2026-06-11</x:t>
        </x:is>
      </x:c>
    </x:row>
    <x:row r="1193" ht="20" customHeight="1">
      <x:c r="A1193" s="17" t="inlineStr">
        <x:is>
          <x:t xml:space="preserve">Scarsdale Union Free School District</x:t>
        </x:is>
      </x:c>
      <x:c r="B1193" s="17" t="inlineStr">
        <x:is>
          <x:t xml:space="preserve">NY</x:t>
        </x:is>
      </x:c>
      <x:c r="C1193" s="17" t="inlineStr">
        <x:is>
          <x:t xml:space="preserve">Bachelor's</x:t>
        </x:is>
      </x:c>
      <x:c r="D1193" s="40" t="n">
        <x:v>3</x:v>
      </x:c>
      <x:c r="E1193" s="38" t="n">
        <x:v>79141</x:v>
      </x:c>
      <x:c r="F1193" s="17" t="inlineStr">
        <x:is>
          <x:t xml:space="preserve">2026-06-11</x:t>
        </x:is>
      </x:c>
    </x:row>
    <x:row r="1194" ht="20" customHeight="1">
      <x:c r="A1194" s="17" t="inlineStr">
        <x:is>
          <x:t xml:space="preserve">Scarsdale Union Free School District</x:t>
        </x:is>
      </x:c>
      <x:c r="B1194" s="17" t="inlineStr">
        <x:is>
          <x:t xml:space="preserve">NY</x:t>
        </x:is>
      </x:c>
      <x:c r="C1194" s="17" t="inlineStr">
        <x:is>
          <x:t xml:space="preserve">Bachelor's</x:t>
        </x:is>
      </x:c>
      <x:c r="D1194" s="40" t="n">
        <x:v>4</x:v>
      </x:c>
      <x:c r="E1194" s="38" t="n">
        <x:v>84635</x:v>
      </x:c>
      <x:c r="F1194" s="17" t="inlineStr">
        <x:is>
          <x:t xml:space="preserve">2026-06-11</x:t>
        </x:is>
      </x:c>
    </x:row>
    <x:row r="1195" ht="20" customHeight="1">
      <x:c r="A1195" s="17" t="inlineStr">
        <x:is>
          <x:t xml:space="preserve">Scarsdale Union Free School District</x:t>
        </x:is>
      </x:c>
      <x:c r="B1195" s="17" t="inlineStr">
        <x:is>
          <x:t xml:space="preserve">NY</x:t>
        </x:is>
      </x:c>
      <x:c r="C1195" s="17" t="inlineStr">
        <x:is>
          <x:t xml:space="preserve">Bachelor's</x:t>
        </x:is>
      </x:c>
      <x:c r="D1195" s="40" t="n">
        <x:v>5</x:v>
      </x:c>
      <x:c r="E1195" s="38" t="n">
        <x:v>90131</x:v>
      </x:c>
      <x:c r="F1195" s="17" t="inlineStr">
        <x:is>
          <x:t xml:space="preserve">2026-06-11</x:t>
        </x:is>
      </x:c>
    </x:row>
    <x:row r="1196" ht="20" customHeight="1">
      <x:c r="A1196" s="17" t="inlineStr">
        <x:is>
          <x:t xml:space="preserve">Scarsdale Union Free School District</x:t>
        </x:is>
      </x:c>
      <x:c r="B1196" s="17" t="inlineStr">
        <x:is>
          <x:t xml:space="preserve">NY</x:t>
        </x:is>
      </x:c>
      <x:c r="C1196" s="17" t="inlineStr">
        <x:is>
          <x:t xml:space="preserve">Bachelor's</x:t>
        </x:is>
      </x:c>
      <x:c r="D1196" s="40" t="n">
        <x:v>6</x:v>
      </x:c>
      <x:c r="E1196" s="38" t="n">
        <x:v>95627</x:v>
      </x:c>
      <x:c r="F1196" s="17" t="inlineStr">
        <x:is>
          <x:t xml:space="preserve">2026-06-11</x:t>
        </x:is>
      </x:c>
    </x:row>
    <x:row r="1197" ht="20" customHeight="1">
      <x:c r="A1197" s="17" t="inlineStr">
        <x:is>
          <x:t xml:space="preserve">Scarsdale Union Free School District</x:t>
        </x:is>
      </x:c>
      <x:c r="B1197" s="17" t="inlineStr">
        <x:is>
          <x:t xml:space="preserve">NY</x:t>
        </x:is>
      </x:c>
      <x:c r="C1197" s="17" t="inlineStr">
        <x:is>
          <x:t xml:space="preserve">Bachelor's</x:t>
        </x:is>
      </x:c>
      <x:c r="D1197" s="40" t="n">
        <x:v>7</x:v>
      </x:c>
      <x:c r="E1197" s="38" t="n">
        <x:v>98031</x:v>
      </x:c>
      <x:c r="F1197" s="17" t="inlineStr">
        <x:is>
          <x:t xml:space="preserve">2026-06-11</x:t>
        </x:is>
      </x:c>
    </x:row>
    <x:row r="1198" ht="20" customHeight="1">
      <x:c r="A1198" s="17" t="inlineStr">
        <x:is>
          <x:t xml:space="preserve">Scarsdale Union Free School District</x:t>
        </x:is>
      </x:c>
      <x:c r="B1198" s="17" t="inlineStr">
        <x:is>
          <x:t xml:space="preserve">NY</x:t>
        </x:is>
      </x:c>
      <x:c r="C1198" s="17" t="inlineStr">
        <x:is>
          <x:t xml:space="preserve">Bachelor's</x:t>
        </x:is>
      </x:c>
      <x:c r="D1198" s="40" t="n">
        <x:v>8</x:v>
      </x:c>
      <x:c r="E1198" s="38" t="n">
        <x:v>100435</x:v>
      </x:c>
      <x:c r="F1198" s="17" t="inlineStr">
        <x:is>
          <x:t xml:space="preserve">2026-06-11</x:t>
        </x:is>
      </x:c>
    </x:row>
    <x:row r="1199" ht="20" customHeight="1">
      <x:c r="A1199" s="17" t="inlineStr">
        <x:is>
          <x:t xml:space="preserve">Scarsdale Union Free School District</x:t>
        </x:is>
      </x:c>
      <x:c r="B1199" s="17" t="inlineStr">
        <x:is>
          <x:t xml:space="preserve">NY</x:t>
        </x:is>
      </x:c>
      <x:c r="C1199" s="17" t="inlineStr">
        <x:is>
          <x:t xml:space="preserve">Bachelor's</x:t>
        </x:is>
      </x:c>
      <x:c r="D1199" s="40" t="n">
        <x:v>9</x:v>
      </x:c>
      <x:c r="E1199" s="38" t="n">
        <x:v>105244</x:v>
      </x:c>
      <x:c r="F1199" s="17" t="inlineStr">
        <x:is>
          <x:t xml:space="preserve">2026-06-11</x:t>
        </x:is>
      </x:c>
    </x:row>
    <x:row r="1200" ht="20" customHeight="1">
      <x:c r="A1200" s="17" t="inlineStr">
        <x:is>
          <x:t xml:space="preserve">Scarsdale Union Free School District</x:t>
        </x:is>
      </x:c>
      <x:c r="B1200" s="17" t="inlineStr">
        <x:is>
          <x:t xml:space="preserve">NY</x:t>
        </x:is>
      </x:c>
      <x:c r="C1200" s="17" t="inlineStr">
        <x:is>
          <x:t xml:space="preserve">Bachelor's</x:t>
        </x:is>
      </x:c>
      <x:c r="D1200" s="40" t="n">
        <x:v>10</x:v>
      </x:c>
      <x:c r="E1200" s="38" t="n">
        <x:v>110052</x:v>
      </x:c>
      <x:c r="F1200" s="17" t="inlineStr">
        <x:is>
          <x:t xml:space="preserve">2026-06-11</x:t>
        </x:is>
      </x:c>
    </x:row>
    <x:row r="1201" ht="20" customHeight="1">
      <x:c r="A1201" s="17" t="inlineStr">
        <x:is>
          <x:t xml:space="preserve">Scarsdale Union Free School District</x:t>
        </x:is>
      </x:c>
      <x:c r="B1201" s="17" t="inlineStr">
        <x:is>
          <x:t xml:space="preserve">NY</x:t>
        </x:is>
      </x:c>
      <x:c r="C1201" s="17" t="inlineStr">
        <x:is>
          <x:t xml:space="preserve">Master's</x:t>
        </x:is>
      </x:c>
      <x:c r="D1201" s="40" t="n">
        <x:v>0</x:v>
      </x:c>
      <x:c r="E1201" s="38" t="n">
        <x:v>77767</x:v>
      </x:c>
      <x:c r="F1201" s="17" t="inlineStr">
        <x:is>
          <x:t xml:space="preserve">2026-06-11</x:t>
        </x:is>
      </x:c>
    </x:row>
    <x:row r="1202" ht="20" customHeight="1">
      <x:c r="A1202" s="17" t="inlineStr">
        <x:is>
          <x:t xml:space="preserve">Scarsdale Union Free School District</x:t>
        </x:is>
      </x:c>
      <x:c r="B1202" s="17" t="inlineStr">
        <x:is>
          <x:t xml:space="preserve">NY</x:t>
        </x:is>
      </x:c>
      <x:c r="C1202" s="17" t="inlineStr">
        <x:is>
          <x:t xml:space="preserve">Master's</x:t>
        </x:is>
      </x:c>
      <x:c r="D1202" s="40" t="n">
        <x:v>1</x:v>
      </x:c>
      <x:c r="E1202" s="38" t="n">
        <x:v>82575</x:v>
      </x:c>
      <x:c r="F1202" s="17" t="inlineStr">
        <x:is>
          <x:t xml:space="preserve">2026-06-11</x:t>
        </x:is>
      </x:c>
    </x:row>
    <x:row r="1203" ht="20" customHeight="1">
      <x:c r="A1203" s="17" t="inlineStr">
        <x:is>
          <x:t xml:space="preserve">Scarsdale Union Free School District</x:t>
        </x:is>
      </x:c>
      <x:c r="B1203" s="17" t="inlineStr">
        <x:is>
          <x:t xml:space="preserve">NY</x:t>
        </x:is>
      </x:c>
      <x:c r="C1203" s="17" t="inlineStr">
        <x:is>
          <x:t xml:space="preserve">Master's</x:t>
        </x:is>
      </x:c>
      <x:c r="D1203" s="40" t="n">
        <x:v>2</x:v>
      </x:c>
      <x:c r="E1203" s="38" t="n">
        <x:v>84979</x:v>
      </x:c>
      <x:c r="F1203" s="17" t="inlineStr">
        <x:is>
          <x:t xml:space="preserve">2026-06-11</x:t>
        </x:is>
      </x:c>
    </x:row>
    <x:row r="1204" ht="20" customHeight="1">
      <x:c r="A1204" s="17" t="inlineStr">
        <x:is>
          <x:t xml:space="preserve">Scarsdale Union Free School District</x:t>
        </x:is>
      </x:c>
      <x:c r="B1204" s="17" t="inlineStr">
        <x:is>
          <x:t xml:space="preserve">NY</x:t>
        </x:is>
      </x:c>
      <x:c r="C1204" s="17" t="inlineStr">
        <x:is>
          <x:t xml:space="preserve">Master's</x:t>
        </x:is>
      </x:c>
      <x:c r="D1204" s="40" t="n">
        <x:v>3</x:v>
      </x:c>
      <x:c r="E1204" s="38" t="n">
        <x:v>87384</x:v>
      </x:c>
      <x:c r="F1204" s="17" t="inlineStr">
        <x:is>
          <x:t xml:space="preserve">2026-06-11</x:t>
        </x:is>
      </x:c>
    </x:row>
    <x:row r="1205" ht="20" customHeight="1">
      <x:c r="A1205" s="17" t="inlineStr">
        <x:is>
          <x:t xml:space="preserve">Scarsdale Union Free School District</x:t>
        </x:is>
      </x:c>
      <x:c r="B1205" s="17" t="inlineStr">
        <x:is>
          <x:t xml:space="preserve">NY</x:t>
        </x:is>
      </x:c>
      <x:c r="C1205" s="17" t="inlineStr">
        <x:is>
          <x:t xml:space="preserve">Master's</x:t>
        </x:is>
      </x:c>
      <x:c r="D1205" s="40" t="n">
        <x:v>4</x:v>
      </x:c>
      <x:c r="E1205" s="38" t="n">
        <x:v>92879</x:v>
      </x:c>
      <x:c r="F1205" s="17" t="inlineStr">
        <x:is>
          <x:t xml:space="preserve">2026-06-11</x:t>
        </x:is>
      </x:c>
    </x:row>
    <x:row r="1206" ht="20" customHeight="1">
      <x:c r="A1206" s="17" t="inlineStr">
        <x:is>
          <x:t xml:space="preserve">Scarsdale Union Free School District</x:t>
        </x:is>
      </x:c>
      <x:c r="B1206" s="17" t="inlineStr">
        <x:is>
          <x:t xml:space="preserve">NY</x:t>
        </x:is>
      </x:c>
      <x:c r="C1206" s="17" t="inlineStr">
        <x:is>
          <x:t xml:space="preserve">Master's</x:t>
        </x:is>
      </x:c>
      <x:c r="D1206" s="40" t="n">
        <x:v>5</x:v>
      </x:c>
      <x:c r="E1206" s="38" t="n">
        <x:v>98375</x:v>
      </x:c>
      <x:c r="F1206" s="17" t="inlineStr">
        <x:is>
          <x:t xml:space="preserve">2026-06-11</x:t>
        </x:is>
      </x:c>
    </x:row>
    <x:row r="1207" ht="20" customHeight="1">
      <x:c r="A1207" s="17" t="inlineStr">
        <x:is>
          <x:t xml:space="preserve">Scarsdale Union Free School District</x:t>
        </x:is>
      </x:c>
      <x:c r="B1207" s="17" t="inlineStr">
        <x:is>
          <x:t xml:space="preserve">NY</x:t>
        </x:is>
      </x:c>
      <x:c r="C1207" s="17" t="inlineStr">
        <x:is>
          <x:t xml:space="preserve">Master's</x:t>
        </x:is>
      </x:c>
      <x:c r="D1207" s="40" t="n">
        <x:v>6</x:v>
      </x:c>
      <x:c r="E1207" s="38" t="n">
        <x:v>103869</x:v>
      </x:c>
      <x:c r="F1207" s="17" t="inlineStr">
        <x:is>
          <x:t xml:space="preserve">2026-06-11</x:t>
        </x:is>
      </x:c>
    </x:row>
    <x:row r="1208" ht="20" customHeight="1">
      <x:c r="A1208" s="17" t="inlineStr">
        <x:is>
          <x:t xml:space="preserve">Scarsdale Union Free School District</x:t>
        </x:is>
      </x:c>
      <x:c r="B1208" s="17" t="inlineStr">
        <x:is>
          <x:t xml:space="preserve">NY</x:t>
        </x:is>
      </x:c>
      <x:c r="C1208" s="17" t="inlineStr">
        <x:is>
          <x:t xml:space="preserve">Master's</x:t>
        </x:is>
      </x:c>
      <x:c r="D1208" s="40" t="n">
        <x:v>7</x:v>
      </x:c>
      <x:c r="E1208" s="38" t="n">
        <x:v>106273</x:v>
      </x:c>
      <x:c r="F1208" s="17" t="inlineStr">
        <x:is>
          <x:t xml:space="preserve">2026-06-11</x:t>
        </x:is>
      </x:c>
    </x:row>
    <x:row r="1209" ht="20" customHeight="1">
      <x:c r="A1209" s="17" t="inlineStr">
        <x:is>
          <x:t xml:space="preserve">Scarsdale Union Free School District</x:t>
        </x:is>
      </x:c>
      <x:c r="B1209" s="17" t="inlineStr">
        <x:is>
          <x:t xml:space="preserve">NY</x:t>
        </x:is>
      </x:c>
      <x:c r="C1209" s="17" t="inlineStr">
        <x:is>
          <x:t xml:space="preserve">Master's</x:t>
        </x:is>
      </x:c>
      <x:c r="D1209" s="40" t="n">
        <x:v>8</x:v>
      </x:c>
      <x:c r="E1209" s="38" t="n">
        <x:v>108679</x:v>
      </x:c>
      <x:c r="F1209" s="17" t="inlineStr">
        <x:is>
          <x:t xml:space="preserve">2026-06-11</x:t>
        </x:is>
      </x:c>
    </x:row>
    <x:row r="1210" ht="20" customHeight="1">
      <x:c r="A1210" s="17" t="inlineStr">
        <x:is>
          <x:t xml:space="preserve">Scarsdale Union Free School District</x:t>
        </x:is>
      </x:c>
      <x:c r="B1210" s="17" t="inlineStr">
        <x:is>
          <x:t xml:space="preserve">NY</x:t>
        </x:is>
      </x:c>
      <x:c r="C1210" s="17" t="inlineStr">
        <x:is>
          <x:t xml:space="preserve">Master's</x:t>
        </x:is>
      </x:c>
      <x:c r="D1210" s="40" t="n">
        <x:v>9</x:v>
      </x:c>
      <x:c r="E1210" s="38" t="n">
        <x:v>113486</x:v>
      </x:c>
      <x:c r="F1210" s="17" t="inlineStr">
        <x:is>
          <x:t xml:space="preserve">2026-06-11</x:t>
        </x:is>
      </x:c>
    </x:row>
    <x:row r="1211" ht="20" customHeight="1">
      <x:c r="A1211" s="17" t="inlineStr">
        <x:is>
          <x:t xml:space="preserve">Scarsdale Union Free School District</x:t>
        </x:is>
      </x:c>
      <x:c r="B1211" s="17" t="inlineStr">
        <x:is>
          <x:t xml:space="preserve">NY</x:t>
        </x:is>
      </x:c>
      <x:c r="C1211" s="17" t="inlineStr">
        <x:is>
          <x:t xml:space="preserve">Master's</x:t>
        </x:is>
      </x:c>
      <x:c r="D1211" s="40" t="n">
        <x:v>10</x:v>
      </x:c>
      <x:c r="E1211" s="38" t="n">
        <x:v>118295</x:v>
      </x:c>
      <x:c r="F1211" s="17" t="inlineStr">
        <x:is>
          <x:t xml:space="preserve">2026-06-11</x:t>
        </x:is>
      </x:c>
    </x:row>
    <x:row r="1212" ht="20" customHeight="1">
      <x:c r="A1212" s="17" t="inlineStr">
        <x:is>
          <x:t xml:space="preserve">South Pasadena Unified School District</x:t>
        </x:is>
      </x:c>
      <x:c r="B1212" s="17" t="inlineStr">
        <x:is>
          <x:t xml:space="preserve">CA</x:t>
        </x:is>
      </x:c>
      <x:c r="C1212" s="17" t="inlineStr">
        <x:is>
          <x:t xml:space="preserve">Bachelor's</x:t>
        </x:is>
      </x:c>
      <x:c r="D1212" s="40" t="n">
        <x:v>0</x:v>
      </x:c>
      <x:c r="E1212" s="38" t="n">
        <x:v>54525</x:v>
      </x:c>
      <x:c r="F1212" s="17" t="inlineStr">
        <x:is>
          <x:t xml:space="preserve">2026-06-10</x:t>
        </x:is>
      </x:c>
    </x:row>
    <x:row r="1213" ht="20" customHeight="1">
      <x:c r="A1213" s="17" t="inlineStr">
        <x:is>
          <x:t xml:space="preserve">South Pasadena Unified School District</x:t>
        </x:is>
      </x:c>
      <x:c r="B1213" s="17" t="inlineStr">
        <x:is>
          <x:t xml:space="preserve">CA</x:t>
        </x:is>
      </x:c>
      <x:c r="C1213" s="17" t="inlineStr">
        <x:is>
          <x:t xml:space="preserve">Bachelor's</x:t>
        </x:is>
      </x:c>
      <x:c r="D1213" s="40" t="n">
        <x:v>1</x:v>
      </x:c>
      <x:c r="E1213" s="38" t="n">
        <x:v>57083</x:v>
      </x:c>
      <x:c r="F1213" s="17" t="inlineStr">
        <x:is>
          <x:t xml:space="preserve">2026-06-10</x:t>
        </x:is>
      </x:c>
    </x:row>
    <x:row r="1214" ht="20" customHeight="1">
      <x:c r="A1214" s="17" t="inlineStr">
        <x:is>
          <x:t xml:space="preserve">South Pasadena Unified School District</x:t>
        </x:is>
      </x:c>
      <x:c r="B1214" s="17" t="inlineStr">
        <x:is>
          <x:t xml:space="preserve">CA</x:t>
        </x:is>
      </x:c>
      <x:c r="C1214" s="17" t="inlineStr">
        <x:is>
          <x:t xml:space="preserve">Bachelor's</x:t>
        </x:is>
      </x:c>
      <x:c r="D1214" s="40" t="n">
        <x:v>2</x:v>
      </x:c>
      <x:c r="E1214" s="38" t="n">
        <x:v>59644</x:v>
      </x:c>
      <x:c r="F1214" s="17" t="inlineStr">
        <x:is>
          <x:t xml:space="preserve">2026-06-10</x:t>
        </x:is>
      </x:c>
    </x:row>
    <x:row r="1215" ht="20" customHeight="1">
      <x:c r="A1215" s="17" t="inlineStr">
        <x:is>
          <x:t xml:space="preserve">South Pasadena Unified School District</x:t>
        </x:is>
      </x:c>
      <x:c r="B1215" s="17" t="inlineStr">
        <x:is>
          <x:t xml:space="preserve">CA</x:t>
        </x:is>
      </x:c>
      <x:c r="C1215" s="17" t="inlineStr">
        <x:is>
          <x:t xml:space="preserve">Bachelor's</x:t>
        </x:is>
      </x:c>
      <x:c r="D1215" s="40" t="n">
        <x:v>3</x:v>
      </x:c>
      <x:c r="E1215" s="38" t="n">
        <x:v>62205</x:v>
      </x:c>
      <x:c r="F1215" s="17" t="inlineStr">
        <x:is>
          <x:t xml:space="preserve">2026-06-10</x:t>
        </x:is>
      </x:c>
    </x:row>
    <x:row r="1216" ht="20" customHeight="1">
      <x:c r="A1216" s="17" t="inlineStr">
        <x:is>
          <x:t xml:space="preserve">South Pasadena Unified School District</x:t>
        </x:is>
      </x:c>
      <x:c r="B1216" s="17" t="inlineStr">
        <x:is>
          <x:t xml:space="preserve">CA</x:t>
        </x:is>
      </x:c>
      <x:c r="C1216" s="17" t="inlineStr">
        <x:is>
          <x:t xml:space="preserve">Bachelor's</x:t>
        </x:is>
      </x:c>
      <x:c r="D1216" s="40" t="n">
        <x:v>4</x:v>
      </x:c>
      <x:c r="E1216" s="38" t="n">
        <x:v>64778</x:v>
      </x:c>
      <x:c r="F1216" s="17" t="inlineStr">
        <x:is>
          <x:t xml:space="preserve">2026-06-10</x:t>
        </x:is>
      </x:c>
    </x:row>
    <x:row r="1217" ht="20" customHeight="1">
      <x:c r="A1217" s="17" t="inlineStr">
        <x:is>
          <x:t xml:space="preserve">South Pasadena Unified School District</x:t>
        </x:is>
      </x:c>
      <x:c r="B1217" s="17" t="inlineStr">
        <x:is>
          <x:t xml:space="preserve">CA</x:t>
        </x:is>
      </x:c>
      <x:c r="C1217" s="17" t="inlineStr">
        <x:is>
          <x:t xml:space="preserve">Bachelor's</x:t>
        </x:is>
      </x:c>
      <x:c r="D1217" s="40" t="n">
        <x:v>5</x:v>
      </x:c>
      <x:c r="E1217" s="38" t="n">
        <x:v>67339</x:v>
      </x:c>
      <x:c r="F1217" s="17" t="inlineStr">
        <x:is>
          <x:t xml:space="preserve">2026-06-10</x:t>
        </x:is>
      </x:c>
    </x:row>
    <x:row r="1218" ht="20" customHeight="1">
      <x:c r="A1218" s="17" t="inlineStr">
        <x:is>
          <x:t xml:space="preserve">South Pasadena Unified School District</x:t>
        </x:is>
      </x:c>
      <x:c r="B1218" s="17" t="inlineStr">
        <x:is>
          <x:t xml:space="preserve">CA</x:t>
        </x:is>
      </x:c>
      <x:c r="C1218" s="17" t="inlineStr">
        <x:is>
          <x:t xml:space="preserve">Bachelor's</x:t>
        </x:is>
      </x:c>
      <x:c r="D1218" s="40" t="n">
        <x:v>6</x:v>
      </x:c>
      <x:c r="E1218" s="38" t="n">
        <x:v>69900</x:v>
      </x:c>
      <x:c r="F1218" s="17" t="inlineStr">
        <x:is>
          <x:t xml:space="preserve">2026-06-10</x:t>
        </x:is>
      </x:c>
    </x:row>
    <x:row r="1219" ht="20" customHeight="1">
      <x:c r="A1219" s="17" t="inlineStr">
        <x:is>
          <x:t xml:space="preserve">South Pasadena Unified School District</x:t>
        </x:is>
      </x:c>
      <x:c r="B1219" s="17" t="inlineStr">
        <x:is>
          <x:t xml:space="preserve">CA</x:t>
        </x:is>
      </x:c>
      <x:c r="C1219" s="17" t="inlineStr">
        <x:is>
          <x:t xml:space="preserve">Bachelor's</x:t>
        </x:is>
      </x:c>
      <x:c r="D1219" s="40" t="n">
        <x:v>7</x:v>
      </x:c>
      <x:c r="E1219" s="38" t="n">
        <x:v>72459</x:v>
      </x:c>
      <x:c r="F1219" s="17" t="inlineStr">
        <x:is>
          <x:t xml:space="preserve">2026-06-10</x:t>
        </x:is>
      </x:c>
    </x:row>
    <x:row r="1220" ht="20" customHeight="1">
      <x:c r="A1220" s="17" t="inlineStr">
        <x:is>
          <x:t xml:space="preserve">South Pasadena Unified School District</x:t>
        </x:is>
      </x:c>
      <x:c r="B1220" s="17" t="inlineStr">
        <x:is>
          <x:t xml:space="preserve">CA</x:t>
        </x:is>
      </x:c>
      <x:c r="C1220" s="17" t="inlineStr">
        <x:is>
          <x:t xml:space="preserve">Bachelor's</x:t>
        </x:is>
      </x:c>
      <x:c r="D1220" s="40" t="n">
        <x:v>8</x:v>
      </x:c>
      <x:c r="E1220" s="38" t="n">
        <x:v>75017</x:v>
      </x:c>
      <x:c r="F1220" s="17" t="inlineStr">
        <x:is>
          <x:t xml:space="preserve">2026-06-10</x:t>
        </x:is>
      </x:c>
    </x:row>
    <x:row r="1221" ht="20" customHeight="1">
      <x:c r="A1221" s="17" t="inlineStr">
        <x:is>
          <x:t xml:space="preserve">South Pasadena Unified School District</x:t>
        </x:is>
      </x:c>
      <x:c r="B1221" s="17" t="inlineStr">
        <x:is>
          <x:t xml:space="preserve">CA</x:t>
        </x:is>
      </x:c>
      <x:c r="C1221" s="17" t="inlineStr">
        <x:is>
          <x:t xml:space="preserve">Bachelor's</x:t>
        </x:is>
      </x:c>
      <x:c r="D1221" s="40" t="n">
        <x:v>9</x:v>
      </x:c>
      <x:c r="E1221" s="38" t="n">
        <x:v>77577</x:v>
      </x:c>
      <x:c r="F1221" s="17" t="inlineStr">
        <x:is>
          <x:t xml:space="preserve">2026-06-10</x:t>
        </x:is>
      </x:c>
    </x:row>
    <x:row r="1222" ht="20" customHeight="1">
      <x:c r="A1222" s="17" t="inlineStr">
        <x:is>
          <x:t xml:space="preserve">South Pasadena Unified School District</x:t>
        </x:is>
      </x:c>
      <x:c r="B1222" s="17" t="inlineStr">
        <x:is>
          <x:t xml:space="preserve">CA</x:t>
        </x:is>
      </x:c>
      <x:c r="C1222" s="17" t="inlineStr">
        <x:is>
          <x:t xml:space="preserve">Bachelor's</x:t>
        </x:is>
      </x:c>
      <x:c r="D1222" s="40" t="n">
        <x:v>10</x:v>
      </x:c>
      <x:c r="E1222" s="38" t="n">
        <x:v>77577</x:v>
      </x:c>
      <x:c r="F1222" s="17" t="inlineStr">
        <x:is>
          <x:t xml:space="preserve">2026-06-10</x:t>
        </x:is>
      </x:c>
    </x:row>
    <x:row r="1223" ht="20" customHeight="1">
      <x:c r="A1223" s="17" t="inlineStr">
        <x:is>
          <x:t xml:space="preserve">South Pasadena Unified School District</x:t>
        </x:is>
      </x:c>
      <x:c r="B1223" s="17" t="inlineStr">
        <x:is>
          <x:t xml:space="preserve">CA</x:t>
        </x:is>
      </x:c>
      <x:c r="C1223" s="17" t="inlineStr">
        <x:is>
          <x:t xml:space="preserve">Master's</x:t>
        </x:is>
      </x:c>
      <x:c r="D1223" s="40" t="n">
        <x:v>0</x:v>
      </x:c>
      <x:c r="E1223" s="38" t="n">
        <x:v>62698</x:v>
      </x:c>
      <x:c r="F1223" s="17" t="inlineStr">
        <x:is>
          <x:t xml:space="preserve">2026-06-10</x:t>
        </x:is>
      </x:c>
    </x:row>
    <x:row r="1224" ht="20" customHeight="1">
      <x:c r="A1224" s="17" t="inlineStr">
        <x:is>
          <x:t xml:space="preserve">South Pasadena Unified School District</x:t>
        </x:is>
      </x:c>
      <x:c r="B1224" s="17" t="inlineStr">
        <x:is>
          <x:t xml:space="preserve">CA</x:t>
        </x:is>
      </x:c>
      <x:c r="C1224" s="17" t="inlineStr">
        <x:is>
          <x:t xml:space="preserve">Master's</x:t>
        </x:is>
      </x:c>
      <x:c r="D1224" s="40" t="n">
        <x:v>1</x:v>
      </x:c>
      <x:c r="E1224" s="38" t="n">
        <x:v>65571</x:v>
      </x:c>
      <x:c r="F1224" s="17" t="inlineStr">
        <x:is>
          <x:t xml:space="preserve">2026-06-10</x:t>
        </x:is>
      </x:c>
    </x:row>
    <x:row r="1225" ht="20" customHeight="1">
      <x:c r="A1225" s="17" t="inlineStr">
        <x:is>
          <x:t xml:space="preserve">South Pasadena Unified School District</x:t>
        </x:is>
      </x:c>
      <x:c r="B1225" s="17" t="inlineStr">
        <x:is>
          <x:t xml:space="preserve">CA</x:t>
        </x:is>
      </x:c>
      <x:c r="C1225" s="17" t="inlineStr">
        <x:is>
          <x:t xml:space="preserve">Master's</x:t>
        </x:is>
      </x:c>
      <x:c r="D1225" s="40" t="n">
        <x:v>2</x:v>
      </x:c>
      <x:c r="E1225" s="38" t="n">
        <x:v>68441</x:v>
      </x:c>
      <x:c r="F1225" s="17" t="inlineStr">
        <x:is>
          <x:t xml:space="preserve">2026-06-10</x:t>
        </x:is>
      </x:c>
    </x:row>
    <x:row r="1226" ht="20" customHeight="1">
      <x:c r="A1226" s="17" t="inlineStr">
        <x:is>
          <x:t xml:space="preserve">South Pasadena Unified School District</x:t>
        </x:is>
      </x:c>
      <x:c r="B1226" s="17" t="inlineStr">
        <x:is>
          <x:t xml:space="preserve">CA</x:t>
        </x:is>
      </x:c>
      <x:c r="C1226" s="17" t="inlineStr">
        <x:is>
          <x:t xml:space="preserve">Master's</x:t>
        </x:is>
      </x:c>
      <x:c r="D1226" s="40" t="n">
        <x:v>3</x:v>
      </x:c>
      <x:c r="E1226" s="38" t="n">
        <x:v>71298</x:v>
      </x:c>
      <x:c r="F1226" s="17" t="inlineStr">
        <x:is>
          <x:t xml:space="preserve">2026-06-10</x:t>
        </x:is>
      </x:c>
    </x:row>
    <x:row r="1227" ht="20" customHeight="1">
      <x:c r="A1227" s="17" t="inlineStr">
        <x:is>
          <x:t xml:space="preserve">South Pasadena Unified School District</x:t>
        </x:is>
      </x:c>
      <x:c r="B1227" s="17" t="inlineStr">
        <x:is>
          <x:t xml:space="preserve">CA</x:t>
        </x:is>
      </x:c>
      <x:c r="C1227" s="17" t="inlineStr">
        <x:is>
          <x:t xml:space="preserve">Master's</x:t>
        </x:is>
      </x:c>
      <x:c r="D1227" s="40" t="n">
        <x:v>4</x:v>
      </x:c>
      <x:c r="E1227" s="38" t="n">
        <x:v>74169</x:v>
      </x:c>
      <x:c r="F1227" s="17" t="inlineStr">
        <x:is>
          <x:t xml:space="preserve">2026-06-10</x:t>
        </x:is>
      </x:c>
    </x:row>
    <x:row r="1228" ht="20" customHeight="1">
      <x:c r="A1228" s="17" t="inlineStr">
        <x:is>
          <x:t xml:space="preserve">South Pasadena Unified School District</x:t>
        </x:is>
      </x:c>
      <x:c r="B1228" s="17" t="inlineStr">
        <x:is>
          <x:t xml:space="preserve">CA</x:t>
        </x:is>
      </x:c>
      <x:c r="C1228" s="17" t="inlineStr">
        <x:is>
          <x:t xml:space="preserve">Master's</x:t>
        </x:is>
      </x:c>
      <x:c r="D1228" s="40" t="n">
        <x:v>5</x:v>
      </x:c>
      <x:c r="E1228" s="38" t="n">
        <x:v>77040</x:v>
      </x:c>
      <x:c r="F1228" s="17" t="inlineStr">
        <x:is>
          <x:t xml:space="preserve">2026-06-10</x:t>
        </x:is>
      </x:c>
    </x:row>
    <x:row r="1229" ht="20" customHeight="1">
      <x:c r="A1229" s="17" t="inlineStr">
        <x:is>
          <x:t xml:space="preserve">South Pasadena Unified School District</x:t>
        </x:is>
      </x:c>
      <x:c r="B1229" s="17" t="inlineStr">
        <x:is>
          <x:t xml:space="preserve">CA</x:t>
        </x:is>
      </x:c>
      <x:c r="C1229" s="17" t="inlineStr">
        <x:is>
          <x:t xml:space="preserve">Master's</x:t>
        </x:is>
      </x:c>
      <x:c r="D1229" s="40" t="n">
        <x:v>6</x:v>
      </x:c>
      <x:c r="E1229" s="38" t="n">
        <x:v>79913</x:v>
      </x:c>
      <x:c r="F1229" s="17" t="inlineStr">
        <x:is>
          <x:t xml:space="preserve">2026-06-10</x:t>
        </x:is>
      </x:c>
    </x:row>
    <x:row r="1230" ht="20" customHeight="1">
      <x:c r="A1230" s="17" t="inlineStr">
        <x:is>
          <x:t xml:space="preserve">South Pasadena Unified School District</x:t>
        </x:is>
      </x:c>
      <x:c r="B1230" s="17" t="inlineStr">
        <x:is>
          <x:t xml:space="preserve">CA</x:t>
        </x:is>
      </x:c>
      <x:c r="C1230" s="17" t="inlineStr">
        <x:is>
          <x:t xml:space="preserve">Master's</x:t>
        </x:is>
      </x:c>
      <x:c r="D1230" s="40" t="n">
        <x:v>7</x:v>
      </x:c>
      <x:c r="E1230" s="38" t="n">
        <x:v>82768</x:v>
      </x:c>
      <x:c r="F1230" s="17" t="inlineStr">
        <x:is>
          <x:t xml:space="preserve">2026-06-10</x:t>
        </x:is>
      </x:c>
    </x:row>
    <x:row r="1231" ht="20" customHeight="1">
      <x:c r="A1231" s="17" t="inlineStr">
        <x:is>
          <x:t xml:space="preserve">South Pasadena Unified School District</x:t>
        </x:is>
      </x:c>
      <x:c r="B1231" s="17" t="inlineStr">
        <x:is>
          <x:t xml:space="preserve">CA</x:t>
        </x:is>
      </x:c>
      <x:c r="C1231" s="17" t="inlineStr">
        <x:is>
          <x:t xml:space="preserve">Master's</x:t>
        </x:is>
      </x:c>
      <x:c r="D1231" s="40" t="n">
        <x:v>8</x:v>
      </x:c>
      <x:c r="E1231" s="38" t="n">
        <x:v>85640</x:v>
      </x:c>
      <x:c r="F1231" s="17" t="inlineStr">
        <x:is>
          <x:t xml:space="preserve">2026-06-10</x:t>
        </x:is>
      </x:c>
    </x:row>
    <x:row r="1232" ht="20" customHeight="1">
      <x:c r="A1232" s="17" t="inlineStr">
        <x:is>
          <x:t xml:space="preserve">South Pasadena Unified School District</x:t>
        </x:is>
      </x:c>
      <x:c r="B1232" s="17" t="inlineStr">
        <x:is>
          <x:t xml:space="preserve">CA</x:t>
        </x:is>
      </x:c>
      <x:c r="C1232" s="17" t="inlineStr">
        <x:is>
          <x:t xml:space="preserve">Master's</x:t>
        </x:is>
      </x:c>
      <x:c r="D1232" s="40" t="n">
        <x:v>9</x:v>
      </x:c>
      <x:c r="E1232" s="38" t="n">
        <x:v>88510</x:v>
      </x:c>
      <x:c r="F1232" s="17" t="inlineStr">
        <x:is>
          <x:t xml:space="preserve">2026-06-10</x:t>
        </x:is>
      </x:c>
    </x:row>
    <x:row r="1233" ht="20" customHeight="1">
      <x:c r="A1233" s="17" t="inlineStr">
        <x:is>
          <x:t xml:space="preserve">South Pasadena Unified School District</x:t>
        </x:is>
      </x:c>
      <x:c r="B1233" s="17" t="inlineStr">
        <x:is>
          <x:t xml:space="preserve">CA</x:t>
        </x:is>
      </x:c>
      <x:c r="C1233" s="17" t="inlineStr">
        <x:is>
          <x:t xml:space="preserve">Master's</x:t>
        </x:is>
      </x:c>
      <x:c r="D1233" s="40" t="n">
        <x:v>10</x:v>
      </x:c>
      <x:c r="E1233" s="38" t="n">
        <x:v>91381</x:v>
      </x:c>
      <x:c r="F1233" s="17" t="inlineStr">
        <x:is>
          <x:t xml:space="preserve">2026-06-10</x:t>
        </x:is>
      </x:c>
    </x:row>
    <x:row r="1234" ht="20" customHeight="1">
      <x:c r="A1234" s="17" t="inlineStr">
        <x:is>
          <x:t xml:space="preserve">Sun Prairie Area School District</x:t>
        </x:is>
      </x:c>
      <x:c r="B1234" s="17" t="inlineStr">
        <x:is>
          <x:t xml:space="preserve">WI</x:t>
        </x:is>
      </x:c>
      <x:c r="C1234" s="17" t="inlineStr">
        <x:is>
          <x:t xml:space="preserve">Bachelor's</x:t>
        </x:is>
      </x:c>
      <x:c r="D1234" s="40" t="n">
        <x:v>0</x:v>
      </x:c>
      <x:c r="E1234" s="38" t="n">
        <x:v>52918</x:v>
      </x:c>
      <x:c r="F1234" s="17" t="inlineStr">
        <x:is>
          <x:t xml:space="preserve">2026-06-15</x:t>
        </x:is>
      </x:c>
    </x:row>
    <x:row r="1235" ht="20" customHeight="1">
      <x:c r="A1235" s="17" t="inlineStr">
        <x:is>
          <x:t xml:space="preserve">Sun Prairie Area School District</x:t>
        </x:is>
      </x:c>
      <x:c r="B1235" s="17" t="inlineStr">
        <x:is>
          <x:t xml:space="preserve">WI</x:t>
        </x:is>
      </x:c>
      <x:c r="C1235" s="17" t="inlineStr">
        <x:is>
          <x:t xml:space="preserve">Bachelor's</x:t>
        </x:is>
      </x:c>
      <x:c r="D1235" s="40" t="n">
        <x:v>1</x:v>
      </x:c>
      <x:c r="E1235" s="38" t="n">
        <x:v>54318</x:v>
      </x:c>
      <x:c r="F1235" s="17" t="inlineStr">
        <x:is>
          <x:t xml:space="preserve">2026-06-15</x:t>
        </x:is>
      </x:c>
    </x:row>
    <x:row r="1236" ht="20" customHeight="1">
      <x:c r="A1236" s="17" t="inlineStr">
        <x:is>
          <x:t xml:space="preserve">Sun Prairie Area School District</x:t>
        </x:is>
      </x:c>
      <x:c r="B1236" s="17" t="inlineStr">
        <x:is>
          <x:t xml:space="preserve">WI</x:t>
        </x:is>
      </x:c>
      <x:c r="C1236" s="17" t="inlineStr">
        <x:is>
          <x:t xml:space="preserve">Bachelor's</x:t>
        </x:is>
      </x:c>
      <x:c r="D1236" s="40" t="n">
        <x:v>2</x:v>
      </x:c>
      <x:c r="E1236" s="38" t="n">
        <x:v>55718</x:v>
      </x:c>
      <x:c r="F1236" s="17" t="inlineStr">
        <x:is>
          <x:t xml:space="preserve">2026-06-15</x:t>
        </x:is>
      </x:c>
    </x:row>
    <x:row r="1237" ht="20" customHeight="1">
      <x:c r="A1237" s="17" t="inlineStr">
        <x:is>
          <x:t xml:space="preserve">Sun Prairie Area School District</x:t>
        </x:is>
      </x:c>
      <x:c r="B1237" s="17" t="inlineStr">
        <x:is>
          <x:t xml:space="preserve">WI</x:t>
        </x:is>
      </x:c>
      <x:c r="C1237" s="17" t="inlineStr">
        <x:is>
          <x:t xml:space="preserve">Bachelor's</x:t>
        </x:is>
      </x:c>
      <x:c r="D1237" s="40" t="n">
        <x:v>3</x:v>
      </x:c>
      <x:c r="E1237" s="38" t="n">
        <x:v>57118</x:v>
      </x:c>
      <x:c r="F1237" s="17" t="inlineStr">
        <x:is>
          <x:t xml:space="preserve">2026-06-15</x:t>
        </x:is>
      </x:c>
    </x:row>
    <x:row r="1238" ht="20" customHeight="1">
      <x:c r="A1238" s="17" t="inlineStr">
        <x:is>
          <x:t xml:space="preserve">Sun Prairie Area School District</x:t>
        </x:is>
      </x:c>
      <x:c r="B1238" s="17" t="inlineStr">
        <x:is>
          <x:t xml:space="preserve">WI</x:t>
        </x:is>
      </x:c>
      <x:c r="C1238" s="17" t="inlineStr">
        <x:is>
          <x:t xml:space="preserve">Bachelor's</x:t>
        </x:is>
      </x:c>
      <x:c r="D1238" s="40" t="n">
        <x:v>4</x:v>
      </x:c>
      <x:c r="E1238" s="38" t="n">
        <x:v>58518</x:v>
      </x:c>
      <x:c r="F1238" s="17" t="inlineStr">
        <x:is>
          <x:t xml:space="preserve">2026-06-15</x:t>
        </x:is>
      </x:c>
    </x:row>
    <x:row r="1239" ht="20" customHeight="1">
      <x:c r="A1239" s="17" t="inlineStr">
        <x:is>
          <x:t xml:space="preserve">Sun Prairie Area School District</x:t>
        </x:is>
      </x:c>
      <x:c r="B1239" s="17" t="inlineStr">
        <x:is>
          <x:t xml:space="preserve">WI</x:t>
        </x:is>
      </x:c>
      <x:c r="C1239" s="17" t="inlineStr">
        <x:is>
          <x:t xml:space="preserve">Bachelor's</x:t>
        </x:is>
      </x:c>
      <x:c r="D1239" s="40" t="n">
        <x:v>5</x:v>
      </x:c>
      <x:c r="E1239" s="38" t="n">
        <x:v>59918</x:v>
      </x:c>
      <x:c r="F1239" s="17" t="inlineStr">
        <x:is>
          <x:t xml:space="preserve">2026-06-15</x:t>
        </x:is>
      </x:c>
    </x:row>
    <x:row r="1240" ht="20" customHeight="1">
      <x:c r="A1240" s="17" t="inlineStr">
        <x:is>
          <x:t xml:space="preserve">Sun Prairie Area School District</x:t>
        </x:is>
      </x:c>
      <x:c r="B1240" s="17" t="inlineStr">
        <x:is>
          <x:t xml:space="preserve">WI</x:t>
        </x:is>
      </x:c>
      <x:c r="C1240" s="17" t="inlineStr">
        <x:is>
          <x:t xml:space="preserve">Bachelor's</x:t>
        </x:is>
      </x:c>
      <x:c r="D1240" s="40" t="n">
        <x:v>6</x:v>
      </x:c>
      <x:c r="E1240" s="38" t="n">
        <x:v>61318</x:v>
      </x:c>
      <x:c r="F1240" s="17" t="inlineStr">
        <x:is>
          <x:t xml:space="preserve">2026-06-15</x:t>
        </x:is>
      </x:c>
    </x:row>
    <x:row r="1241" ht="20" customHeight="1">
      <x:c r="A1241" s="17" t="inlineStr">
        <x:is>
          <x:t xml:space="preserve">Sun Prairie Area School District</x:t>
        </x:is>
      </x:c>
      <x:c r="B1241" s="17" t="inlineStr">
        <x:is>
          <x:t xml:space="preserve">WI</x:t>
        </x:is>
      </x:c>
      <x:c r="C1241" s="17" t="inlineStr">
        <x:is>
          <x:t xml:space="preserve">Bachelor's</x:t>
        </x:is>
      </x:c>
      <x:c r="D1241" s="40" t="n">
        <x:v>7</x:v>
      </x:c>
      <x:c r="E1241" s="38" t="n">
        <x:v>62718</x:v>
      </x:c>
      <x:c r="F1241" s="17" t="inlineStr">
        <x:is>
          <x:t xml:space="preserve">2026-06-15</x:t>
        </x:is>
      </x:c>
    </x:row>
    <x:row r="1242" ht="20" customHeight="1">
      <x:c r="A1242" s="17" t="inlineStr">
        <x:is>
          <x:t xml:space="preserve">Sun Prairie Area School District</x:t>
        </x:is>
      </x:c>
      <x:c r="B1242" s="17" t="inlineStr">
        <x:is>
          <x:t xml:space="preserve">WI</x:t>
        </x:is>
      </x:c>
      <x:c r="C1242" s="17" t="inlineStr">
        <x:is>
          <x:t xml:space="preserve">Bachelor's</x:t>
        </x:is>
      </x:c>
      <x:c r="D1242" s="40" t="n">
        <x:v>8</x:v>
      </x:c>
      <x:c r="E1242" s="38" t="n">
        <x:v>64118</x:v>
      </x:c>
      <x:c r="F1242" s="17" t="inlineStr">
        <x:is>
          <x:t xml:space="preserve">2026-06-15</x:t>
        </x:is>
      </x:c>
    </x:row>
    <x:row r="1243" ht="20" customHeight="1">
      <x:c r="A1243" s="17" t="inlineStr">
        <x:is>
          <x:t xml:space="preserve">Sun Prairie Area School District</x:t>
        </x:is>
      </x:c>
      <x:c r="B1243" s="17" t="inlineStr">
        <x:is>
          <x:t xml:space="preserve">WI</x:t>
        </x:is>
      </x:c>
      <x:c r="C1243" s="17" t="inlineStr">
        <x:is>
          <x:t xml:space="preserve">Bachelor's</x:t>
        </x:is>
      </x:c>
      <x:c r="D1243" s="40" t="n">
        <x:v>9</x:v>
      </x:c>
      <x:c r="E1243" s="38" t="n">
        <x:v>65518</x:v>
      </x:c>
      <x:c r="F1243" s="17" t="inlineStr">
        <x:is>
          <x:t xml:space="preserve">2026-06-15</x:t>
        </x:is>
      </x:c>
    </x:row>
    <x:row r="1244" ht="20" customHeight="1">
      <x:c r="A1244" s="17" t="inlineStr">
        <x:is>
          <x:t xml:space="preserve">Sun Prairie Area School District</x:t>
        </x:is>
      </x:c>
      <x:c r="B1244" s="17" t="inlineStr">
        <x:is>
          <x:t xml:space="preserve">WI</x:t>
        </x:is>
      </x:c>
      <x:c r="C1244" s="17" t="inlineStr">
        <x:is>
          <x:t xml:space="preserve">Bachelor's</x:t>
        </x:is>
      </x:c>
      <x:c r="D1244" s="40" t="n">
        <x:v>10</x:v>
      </x:c>
      <x:c r="E1244" s="38" t="n">
        <x:v>66918</x:v>
      </x:c>
      <x:c r="F1244" s="17" t="inlineStr">
        <x:is>
          <x:t xml:space="preserve">2026-06-15</x:t>
        </x:is>
      </x:c>
    </x:row>
    <x:row r="1245" ht="20" customHeight="1">
      <x:c r="A1245" s="17" t="inlineStr">
        <x:is>
          <x:t xml:space="preserve">Sun Prairie Area School District</x:t>
        </x:is>
      </x:c>
      <x:c r="B1245" s="17" t="inlineStr">
        <x:is>
          <x:t xml:space="preserve">WI</x:t>
        </x:is>
      </x:c>
      <x:c r="C1245" s="17" t="inlineStr">
        <x:is>
          <x:t xml:space="preserve">Master's</x:t>
        </x:is>
      </x:c>
      <x:c r="D1245" s="40" t="n">
        <x:v>0</x:v>
      </x:c>
      <x:c r="E1245" s="38" t="n">
        <x:v>56918</x:v>
      </x:c>
      <x:c r="F1245" s="17" t="inlineStr">
        <x:is>
          <x:t xml:space="preserve">2026-06-15</x:t>
        </x:is>
      </x:c>
    </x:row>
    <x:row r="1246" ht="20" customHeight="1">
      <x:c r="A1246" s="17" t="inlineStr">
        <x:is>
          <x:t xml:space="preserve">Sun Prairie Area School District</x:t>
        </x:is>
      </x:c>
      <x:c r="B1246" s="17" t="inlineStr">
        <x:is>
          <x:t xml:space="preserve">WI</x:t>
        </x:is>
      </x:c>
      <x:c r="C1246" s="17" t="inlineStr">
        <x:is>
          <x:t xml:space="preserve">Master's</x:t>
        </x:is>
      </x:c>
      <x:c r="D1246" s="40" t="n">
        <x:v>1</x:v>
      </x:c>
      <x:c r="E1246" s="38" t="n">
        <x:v>58318</x:v>
      </x:c>
      <x:c r="F1246" s="17" t="inlineStr">
        <x:is>
          <x:t xml:space="preserve">2026-06-15</x:t>
        </x:is>
      </x:c>
    </x:row>
    <x:row r="1247" ht="20" customHeight="1">
      <x:c r="A1247" s="17" t="inlineStr">
        <x:is>
          <x:t xml:space="preserve">Sun Prairie Area School District</x:t>
        </x:is>
      </x:c>
      <x:c r="B1247" s="17" t="inlineStr">
        <x:is>
          <x:t xml:space="preserve">WI</x:t>
        </x:is>
      </x:c>
      <x:c r="C1247" s="17" t="inlineStr">
        <x:is>
          <x:t xml:space="preserve">Master's</x:t>
        </x:is>
      </x:c>
      <x:c r="D1247" s="40" t="n">
        <x:v>2</x:v>
      </x:c>
      <x:c r="E1247" s="38" t="n">
        <x:v>59718</x:v>
      </x:c>
      <x:c r="F1247" s="17" t="inlineStr">
        <x:is>
          <x:t xml:space="preserve">2026-06-15</x:t>
        </x:is>
      </x:c>
    </x:row>
    <x:row r="1248" ht="20" customHeight="1">
      <x:c r="A1248" s="17" t="inlineStr">
        <x:is>
          <x:t xml:space="preserve">Sun Prairie Area School District</x:t>
        </x:is>
      </x:c>
      <x:c r="B1248" s="17" t="inlineStr">
        <x:is>
          <x:t xml:space="preserve">WI</x:t>
        </x:is>
      </x:c>
      <x:c r="C1248" s="17" t="inlineStr">
        <x:is>
          <x:t xml:space="preserve">Master's</x:t>
        </x:is>
      </x:c>
      <x:c r="D1248" s="40" t="n">
        <x:v>3</x:v>
      </x:c>
      <x:c r="E1248" s="38" t="n">
        <x:v>61118</x:v>
      </x:c>
      <x:c r="F1248" s="17" t="inlineStr">
        <x:is>
          <x:t xml:space="preserve">2026-06-15</x:t>
        </x:is>
      </x:c>
    </x:row>
    <x:row r="1249" ht="20" customHeight="1">
      <x:c r="A1249" s="17" t="inlineStr">
        <x:is>
          <x:t xml:space="preserve">Sun Prairie Area School District</x:t>
        </x:is>
      </x:c>
      <x:c r="B1249" s="17" t="inlineStr">
        <x:is>
          <x:t xml:space="preserve">WI</x:t>
        </x:is>
      </x:c>
      <x:c r="C1249" s="17" t="inlineStr">
        <x:is>
          <x:t xml:space="preserve">Master's</x:t>
        </x:is>
      </x:c>
      <x:c r="D1249" s="40" t="n">
        <x:v>4</x:v>
      </x:c>
      <x:c r="E1249" s="38" t="n">
        <x:v>62518</x:v>
      </x:c>
      <x:c r="F1249" s="17" t="inlineStr">
        <x:is>
          <x:t xml:space="preserve">2026-06-15</x:t>
        </x:is>
      </x:c>
    </x:row>
    <x:row r="1250" ht="20" customHeight="1">
      <x:c r="A1250" s="17" t="inlineStr">
        <x:is>
          <x:t xml:space="preserve">Sun Prairie Area School District</x:t>
        </x:is>
      </x:c>
      <x:c r="B1250" s="17" t="inlineStr">
        <x:is>
          <x:t xml:space="preserve">WI</x:t>
        </x:is>
      </x:c>
      <x:c r="C1250" s="17" t="inlineStr">
        <x:is>
          <x:t xml:space="preserve">Master's</x:t>
        </x:is>
      </x:c>
      <x:c r="D1250" s="40" t="n">
        <x:v>5</x:v>
      </x:c>
      <x:c r="E1250" s="38" t="n">
        <x:v>63918</x:v>
      </x:c>
      <x:c r="F1250" s="17" t="inlineStr">
        <x:is>
          <x:t xml:space="preserve">2026-06-15</x:t>
        </x:is>
      </x:c>
    </x:row>
    <x:row r="1251" ht="20" customHeight="1">
      <x:c r="A1251" s="17" t="inlineStr">
        <x:is>
          <x:t xml:space="preserve">Sun Prairie Area School District</x:t>
        </x:is>
      </x:c>
      <x:c r="B1251" s="17" t="inlineStr">
        <x:is>
          <x:t xml:space="preserve">WI</x:t>
        </x:is>
      </x:c>
      <x:c r="C1251" s="17" t="inlineStr">
        <x:is>
          <x:t xml:space="preserve">Master's</x:t>
        </x:is>
      </x:c>
      <x:c r="D1251" s="40" t="n">
        <x:v>6</x:v>
      </x:c>
      <x:c r="E1251" s="38" t="n">
        <x:v>65318</x:v>
      </x:c>
      <x:c r="F1251" s="17" t="inlineStr">
        <x:is>
          <x:t xml:space="preserve">2026-06-15</x:t>
        </x:is>
      </x:c>
    </x:row>
    <x:row r="1252" ht="20" customHeight="1">
      <x:c r="A1252" s="17" t="inlineStr">
        <x:is>
          <x:t xml:space="preserve">Sun Prairie Area School District</x:t>
        </x:is>
      </x:c>
      <x:c r="B1252" s="17" t="inlineStr">
        <x:is>
          <x:t xml:space="preserve">WI</x:t>
        </x:is>
      </x:c>
      <x:c r="C1252" s="17" t="inlineStr">
        <x:is>
          <x:t xml:space="preserve">Master's</x:t>
        </x:is>
      </x:c>
      <x:c r="D1252" s="40" t="n">
        <x:v>7</x:v>
      </x:c>
      <x:c r="E1252" s="38" t="n">
        <x:v>66718</x:v>
      </x:c>
      <x:c r="F1252" s="17" t="inlineStr">
        <x:is>
          <x:t xml:space="preserve">2026-06-15</x:t>
        </x:is>
      </x:c>
    </x:row>
    <x:row r="1253" ht="20" customHeight="1">
      <x:c r="A1253" s="17" t="inlineStr">
        <x:is>
          <x:t xml:space="preserve">Sun Prairie Area School District</x:t>
        </x:is>
      </x:c>
      <x:c r="B1253" s="17" t="inlineStr">
        <x:is>
          <x:t xml:space="preserve">WI</x:t>
        </x:is>
      </x:c>
      <x:c r="C1253" s="17" t="inlineStr">
        <x:is>
          <x:t xml:space="preserve">Master's</x:t>
        </x:is>
      </x:c>
      <x:c r="D1253" s="40" t="n">
        <x:v>8</x:v>
      </x:c>
      <x:c r="E1253" s="38" t="n">
        <x:v>68118</x:v>
      </x:c>
      <x:c r="F1253" s="17" t="inlineStr">
        <x:is>
          <x:t xml:space="preserve">2026-06-15</x:t>
        </x:is>
      </x:c>
    </x:row>
    <x:row r="1254" ht="20" customHeight="1">
      <x:c r="A1254" s="17" t="inlineStr">
        <x:is>
          <x:t xml:space="preserve">Sun Prairie Area School District</x:t>
        </x:is>
      </x:c>
      <x:c r="B1254" s="17" t="inlineStr">
        <x:is>
          <x:t xml:space="preserve">WI</x:t>
        </x:is>
      </x:c>
      <x:c r="C1254" s="17" t="inlineStr">
        <x:is>
          <x:t xml:space="preserve">Master's</x:t>
        </x:is>
      </x:c>
      <x:c r="D1254" s="40" t="n">
        <x:v>9</x:v>
      </x:c>
      <x:c r="E1254" s="38" t="n">
        <x:v>69518</x:v>
      </x:c>
      <x:c r="F1254" s="17" t="inlineStr">
        <x:is>
          <x:t xml:space="preserve">2026-06-15</x:t>
        </x:is>
      </x:c>
    </x:row>
    <x:row r="1255" ht="20" customHeight="1">
      <x:c r="A1255" s="17" t="inlineStr">
        <x:is>
          <x:t xml:space="preserve">Sun Prairie Area School District</x:t>
        </x:is>
      </x:c>
      <x:c r="B1255" s="17" t="inlineStr">
        <x:is>
          <x:t xml:space="preserve">WI</x:t>
        </x:is>
      </x:c>
      <x:c r="C1255" s="17" t="inlineStr">
        <x:is>
          <x:t xml:space="preserve">Master's</x:t>
        </x:is>
      </x:c>
      <x:c r="D1255" s="40" t="n">
        <x:v>10</x:v>
      </x:c>
      <x:c r="E1255" s="38" t="n">
        <x:v>70918</x:v>
      </x:c>
      <x:c r="F1255" s="17" t="inlineStr">
        <x:is>
          <x:t xml:space="preserve">2026-06-15</x:t>
        </x:is>
      </x:c>
    </x:row>
    <x:row r="1256" ht="20" customHeight="1">
      <x:c r="A1256" s="17" t="inlineStr">
        <x:is>
          <x:t xml:space="preserve">Syosset Central School District</x:t>
        </x:is>
      </x:c>
      <x:c r="B1256" s="17" t="inlineStr">
        <x:is>
          <x:t xml:space="preserve">NY</x:t>
        </x:is>
      </x:c>
      <x:c r="C1256" s="17" t="inlineStr">
        <x:is>
          <x:t xml:space="preserve">Bachelor's</x:t>
        </x:is>
      </x:c>
      <x:c r="D1256" s="40" t="n">
        <x:v>0</x:v>
      </x:c>
      <x:c r="E1256" s="38" t="n">
        <x:v>68687</x:v>
      </x:c>
      <x:c r="F1256" s="17" t="inlineStr">
        <x:is>
          <x:t xml:space="preserve">2026-06-10</x:t>
        </x:is>
      </x:c>
    </x:row>
    <x:row r="1257" ht="20" customHeight="1">
      <x:c r="A1257" s="17" t="inlineStr">
        <x:is>
          <x:t xml:space="preserve">Syosset Central School District</x:t>
        </x:is>
      </x:c>
      <x:c r="B1257" s="17" t="inlineStr">
        <x:is>
          <x:t xml:space="preserve">NY</x:t>
        </x:is>
      </x:c>
      <x:c r="C1257" s="17" t="inlineStr">
        <x:is>
          <x:t xml:space="preserve">Bachelor's</x:t>
        </x:is>
      </x:c>
      <x:c r="D1257" s="40" t="n">
        <x:v>1</x:v>
      </x:c>
      <x:c r="E1257" s="38" t="n">
        <x:v>71732</x:v>
      </x:c>
      <x:c r="F1257" s="17" t="inlineStr">
        <x:is>
          <x:t xml:space="preserve">2026-06-10</x:t>
        </x:is>
      </x:c>
    </x:row>
    <x:row r="1258" ht="20" customHeight="1">
      <x:c r="A1258" s="17" t="inlineStr">
        <x:is>
          <x:t xml:space="preserve">Syosset Central School District</x:t>
        </x:is>
      </x:c>
      <x:c r="B1258" s="17" t="inlineStr">
        <x:is>
          <x:t xml:space="preserve">NY</x:t>
        </x:is>
      </x:c>
      <x:c r="C1258" s="17" t="inlineStr">
        <x:is>
          <x:t xml:space="preserve">Bachelor's</x:t>
        </x:is>
      </x:c>
      <x:c r="D1258" s="40" t="n">
        <x:v>2</x:v>
      </x:c>
      <x:c r="E1258" s="38" t="n">
        <x:v>74766</x:v>
      </x:c>
      <x:c r="F1258" s="17" t="inlineStr">
        <x:is>
          <x:t xml:space="preserve">2026-06-10</x:t>
        </x:is>
      </x:c>
    </x:row>
    <x:row r="1259" ht="20" customHeight="1">
      <x:c r="A1259" s="17" t="inlineStr">
        <x:is>
          <x:t xml:space="preserve">Syosset Central School District</x:t>
        </x:is>
      </x:c>
      <x:c r="B1259" s="17" t="inlineStr">
        <x:is>
          <x:t xml:space="preserve">NY</x:t>
        </x:is>
      </x:c>
      <x:c r="C1259" s="17" t="inlineStr">
        <x:is>
          <x:t xml:space="preserve">Bachelor's</x:t>
        </x:is>
      </x:c>
      <x:c r="D1259" s="40" t="n">
        <x:v>3</x:v>
      </x:c>
      <x:c r="E1259" s="38" t="n">
        <x:v>77752</x:v>
      </x:c>
      <x:c r="F1259" s="17" t="inlineStr">
        <x:is>
          <x:t xml:space="preserve">2026-06-10</x:t>
        </x:is>
      </x:c>
    </x:row>
    <x:row r="1260" ht="20" customHeight="1">
      <x:c r="A1260" s="17" t="inlineStr">
        <x:is>
          <x:t xml:space="preserve">Syosset Central School District</x:t>
        </x:is>
      </x:c>
      <x:c r="B1260" s="17" t="inlineStr">
        <x:is>
          <x:t xml:space="preserve">NY</x:t>
        </x:is>
      </x:c>
      <x:c r="C1260" s="17" t="inlineStr">
        <x:is>
          <x:t xml:space="preserve">Bachelor's</x:t>
        </x:is>
      </x:c>
      <x:c r="D1260" s="40" t="n">
        <x:v>4</x:v>
      </x:c>
      <x:c r="E1260" s="38" t="n">
        <x:v>80994</x:v>
      </x:c>
      <x:c r="F1260" s="17" t="inlineStr">
        <x:is>
          <x:t xml:space="preserve">2026-06-10</x:t>
        </x:is>
      </x:c>
    </x:row>
    <x:row r="1261" ht="20" customHeight="1">
      <x:c r="A1261" s="17" t="inlineStr">
        <x:is>
          <x:t xml:space="preserve">Syosset Central School District</x:t>
        </x:is>
      </x:c>
      <x:c r="B1261" s="17" t="inlineStr">
        <x:is>
          <x:t xml:space="preserve">NY</x:t>
        </x:is>
      </x:c>
      <x:c r="C1261" s="17" t="inlineStr">
        <x:is>
          <x:t xml:space="preserve">Bachelor's</x:t>
        </x:is>
      </x:c>
      <x:c r="D1261" s="40" t="n">
        <x:v>5</x:v>
      </x:c>
      <x:c r="E1261" s="38" t="n">
        <x:v>84471</x:v>
      </x:c>
      <x:c r="F1261" s="17" t="inlineStr">
        <x:is>
          <x:t xml:space="preserve">2026-06-10</x:t>
        </x:is>
      </x:c>
    </x:row>
    <x:row r="1262" ht="20" customHeight="1">
      <x:c r="A1262" s="17" t="inlineStr">
        <x:is>
          <x:t xml:space="preserve">Syosset Central School District</x:t>
        </x:is>
      </x:c>
      <x:c r="B1262" s="17" t="inlineStr">
        <x:is>
          <x:t xml:space="preserve">NY</x:t>
        </x:is>
      </x:c>
      <x:c r="C1262" s="17" t="inlineStr">
        <x:is>
          <x:t xml:space="preserve">Bachelor's</x:t>
        </x:is>
      </x:c>
      <x:c r="D1262" s="40" t="n">
        <x:v>6</x:v>
      </x:c>
      <x:c r="E1262" s="38" t="n">
        <x:v>88365</x:v>
      </x:c>
      <x:c r="F1262" s="17" t="inlineStr">
        <x:is>
          <x:t xml:space="preserve">2026-06-10</x:t>
        </x:is>
      </x:c>
    </x:row>
    <x:row r="1263" ht="20" customHeight="1">
      <x:c r="A1263" s="17" t="inlineStr">
        <x:is>
          <x:t xml:space="preserve">Syosset Central School District</x:t>
        </x:is>
      </x:c>
      <x:c r="B1263" s="17" t="inlineStr">
        <x:is>
          <x:t xml:space="preserve">NY</x:t>
        </x:is>
      </x:c>
      <x:c r="C1263" s="17" t="inlineStr">
        <x:is>
          <x:t xml:space="preserve">Bachelor's</x:t>
        </x:is>
      </x:c>
      <x:c r="D1263" s="40" t="n">
        <x:v>7</x:v>
      </x:c>
      <x:c r="E1263" s="38" t="n">
        <x:v>92271</x:v>
      </x:c>
      <x:c r="F1263" s="17" t="inlineStr">
        <x:is>
          <x:t xml:space="preserve">2026-06-10</x:t>
        </x:is>
      </x:c>
    </x:row>
    <x:row r="1264" ht="20" customHeight="1">
      <x:c r="A1264" s="17" t="inlineStr">
        <x:is>
          <x:t xml:space="preserve">Syosset Central School District</x:t>
        </x:is>
      </x:c>
      <x:c r="B1264" s="17" t="inlineStr">
        <x:is>
          <x:t xml:space="preserve">NY</x:t>
        </x:is>
      </x:c>
      <x:c r="C1264" s="17" t="inlineStr">
        <x:is>
          <x:t xml:space="preserve">Bachelor's</x:t>
        </x:is>
      </x:c>
      <x:c r="D1264" s="40" t="n">
        <x:v>8</x:v>
      </x:c>
      <x:c r="E1264" s="38" t="n">
        <x:v>96385</x:v>
      </x:c>
      <x:c r="F1264" s="17" t="inlineStr">
        <x:is>
          <x:t xml:space="preserve">2026-06-10</x:t>
        </x:is>
      </x:c>
    </x:row>
    <x:row r="1265" ht="20" customHeight="1">
      <x:c r="A1265" s="17" t="inlineStr">
        <x:is>
          <x:t xml:space="preserve">Syosset Central School District</x:t>
        </x:is>
      </x:c>
      <x:c r="B1265" s="17" t="inlineStr">
        <x:is>
          <x:t xml:space="preserve">NY</x:t>
        </x:is>
      </x:c>
      <x:c r="C1265" s="17" t="inlineStr">
        <x:is>
          <x:t xml:space="preserve">Bachelor's</x:t>
        </x:is>
      </x:c>
      <x:c r="D1265" s="40" t="n">
        <x:v>9</x:v>
      </x:c>
      <x:c r="E1265" s="38" t="n">
        <x:v>100511</x:v>
      </x:c>
      <x:c r="F1265" s="17" t="inlineStr">
        <x:is>
          <x:t xml:space="preserve">2026-06-10</x:t>
        </x:is>
      </x:c>
    </x:row>
    <x:row r="1266" ht="20" customHeight="1">
      <x:c r="A1266" s="17" t="inlineStr">
        <x:is>
          <x:t xml:space="preserve">Syosset Central School District</x:t>
        </x:is>
      </x:c>
      <x:c r="B1266" s="17" t="inlineStr">
        <x:is>
          <x:t xml:space="preserve">NY</x:t>
        </x:is>
      </x:c>
      <x:c r="C1266" s="17" t="inlineStr">
        <x:is>
          <x:t xml:space="preserve">Bachelor's</x:t>
        </x:is>
      </x:c>
      <x:c r="D1266" s="40" t="n">
        <x:v>10</x:v>
      </x:c>
      <x:c r="E1266" s="38" t="n">
        <x:v>103885</x:v>
      </x:c>
      <x:c r="F1266" s="17" t="inlineStr">
        <x:is>
          <x:t xml:space="preserve">2026-06-10</x:t>
        </x:is>
      </x:c>
    </x:row>
    <x:row r="1267" ht="20" customHeight="1">
      <x:c r="A1267" s="17" t="inlineStr">
        <x:is>
          <x:t xml:space="preserve">Syosset Central School District</x:t>
        </x:is>
      </x:c>
      <x:c r="B1267" s="17" t="inlineStr">
        <x:is>
          <x:t xml:space="preserve">NY</x:t>
        </x:is>
      </x:c>
      <x:c r="C1267" s="17" t="inlineStr">
        <x:is>
          <x:t xml:space="preserve">Master's</x:t>
        </x:is>
      </x:c>
      <x:c r="D1267" s="40" t="n">
        <x:v>0</x:v>
      </x:c>
      <x:c r="E1267" s="38" t="n">
        <x:v>79562</x:v>
      </x:c>
      <x:c r="F1267" s="17" t="inlineStr">
        <x:is>
          <x:t xml:space="preserve">2026-06-10</x:t>
        </x:is>
      </x:c>
    </x:row>
    <x:row r="1268" ht="20" customHeight="1">
      <x:c r="A1268" s="17" t="inlineStr">
        <x:is>
          <x:t xml:space="preserve">Syosset Central School District</x:t>
        </x:is>
      </x:c>
      <x:c r="B1268" s="17" t="inlineStr">
        <x:is>
          <x:t xml:space="preserve">NY</x:t>
        </x:is>
      </x:c>
      <x:c r="C1268" s="17" t="inlineStr">
        <x:is>
          <x:t xml:space="preserve">Master's</x:t>
        </x:is>
      </x:c>
      <x:c r="D1268" s="40" t="n">
        <x:v>1</x:v>
      </x:c>
      <x:c r="E1268" s="38" t="n">
        <x:v>82599</x:v>
      </x:c>
      <x:c r="F1268" s="17" t="inlineStr">
        <x:is>
          <x:t xml:space="preserve">2026-06-10</x:t>
        </x:is>
      </x:c>
    </x:row>
    <x:row r="1269" ht="20" customHeight="1">
      <x:c r="A1269" s="17" t="inlineStr">
        <x:is>
          <x:t xml:space="preserve">Syosset Central School District</x:t>
        </x:is>
      </x:c>
      <x:c r="B1269" s="17" t="inlineStr">
        <x:is>
          <x:t xml:space="preserve">NY</x:t>
        </x:is>
      </x:c>
      <x:c r="C1269" s="17" t="inlineStr">
        <x:is>
          <x:t xml:space="preserve">Master's</x:t>
        </x:is>
      </x:c>
      <x:c r="D1269" s="40" t="n">
        <x:v>2</x:v>
      </x:c>
      <x:c r="E1269" s="38" t="n">
        <x:v>85649</x:v>
      </x:c>
      <x:c r="F1269" s="17" t="inlineStr">
        <x:is>
          <x:t xml:space="preserve">2026-06-10</x:t>
        </x:is>
      </x:c>
    </x:row>
    <x:row r="1270" ht="20" customHeight="1">
      <x:c r="A1270" s="17" t="inlineStr">
        <x:is>
          <x:t xml:space="preserve">Syosset Central School District</x:t>
        </x:is>
      </x:c>
      <x:c r="B1270" s="17" t="inlineStr">
        <x:is>
          <x:t xml:space="preserve">NY</x:t>
        </x:is>
      </x:c>
      <x:c r="C1270" s="17" t="inlineStr">
        <x:is>
          <x:t xml:space="preserve">Master's</x:t>
        </x:is>
      </x:c>
      <x:c r="D1270" s="40" t="n">
        <x:v>3</x:v>
      </x:c>
      <x:c r="E1270" s="38" t="n">
        <x:v>88589</x:v>
      </x:c>
      <x:c r="F1270" s="17" t="inlineStr">
        <x:is>
          <x:t xml:space="preserve">2026-06-10</x:t>
        </x:is>
      </x:c>
    </x:row>
    <x:row r="1271" ht="20" customHeight="1">
      <x:c r="A1271" s="17" t="inlineStr">
        <x:is>
          <x:t xml:space="preserve">Syosset Central School District</x:t>
        </x:is>
      </x:c>
      <x:c r="B1271" s="17" t="inlineStr">
        <x:is>
          <x:t xml:space="preserve">NY</x:t>
        </x:is>
      </x:c>
      <x:c r="C1271" s="17" t="inlineStr">
        <x:is>
          <x:t xml:space="preserve">Master's</x:t>
        </x:is>
      </x:c>
      <x:c r="D1271" s="40" t="n">
        <x:v>4</x:v>
      </x:c>
      <x:c r="E1271" s="38" t="n">
        <x:v>91836</x:v>
      </x:c>
      <x:c r="F1271" s="17" t="inlineStr">
        <x:is>
          <x:t xml:space="preserve">2026-06-10</x:t>
        </x:is>
      </x:c>
    </x:row>
    <x:row r="1272" ht="20" customHeight="1">
      <x:c r="A1272" s="17" t="inlineStr">
        <x:is>
          <x:t xml:space="preserve">Syosset Central School District</x:t>
        </x:is>
      </x:c>
      <x:c r="B1272" s="17" t="inlineStr">
        <x:is>
          <x:t xml:space="preserve">NY</x:t>
        </x:is>
      </x:c>
      <x:c r="C1272" s="17" t="inlineStr">
        <x:is>
          <x:t xml:space="preserve">Master's</x:t>
        </x:is>
      </x:c>
      <x:c r="D1272" s="40" t="n">
        <x:v>5</x:v>
      </x:c>
      <x:c r="E1272" s="38" t="n">
        <x:v>95313</x:v>
      </x:c>
      <x:c r="F1272" s="17" t="inlineStr">
        <x:is>
          <x:t xml:space="preserve">2026-06-10</x:t>
        </x:is>
      </x:c>
    </x:row>
    <x:row r="1273" ht="20" customHeight="1">
      <x:c r="A1273" s="17" t="inlineStr">
        <x:is>
          <x:t xml:space="preserve">Syosset Central School District</x:t>
        </x:is>
      </x:c>
      <x:c r="B1273" s="17" t="inlineStr">
        <x:is>
          <x:t xml:space="preserve">NY</x:t>
        </x:is>
      </x:c>
      <x:c r="C1273" s="17" t="inlineStr">
        <x:is>
          <x:t xml:space="preserve">Master's</x:t>
        </x:is>
      </x:c>
      <x:c r="D1273" s="40" t="n">
        <x:v>6</x:v>
      </x:c>
      <x:c r="E1273" s="38" t="n">
        <x:v>99204</x:v>
      </x:c>
      <x:c r="F1273" s="17" t="inlineStr">
        <x:is>
          <x:t xml:space="preserve">2026-06-10</x:t>
        </x:is>
      </x:c>
    </x:row>
    <x:row r="1274" ht="20" customHeight="1">
      <x:c r="A1274" s="17" t="inlineStr">
        <x:is>
          <x:t xml:space="preserve">Syosset Central School District</x:t>
        </x:is>
      </x:c>
      <x:c r="B1274" s="17" t="inlineStr">
        <x:is>
          <x:t xml:space="preserve">NY</x:t>
        </x:is>
      </x:c>
      <x:c r="C1274" s="17" t="inlineStr">
        <x:is>
          <x:t xml:space="preserve">Master's</x:t>
        </x:is>
      </x:c>
      <x:c r="D1274" s="40" t="n">
        <x:v>7</x:v>
      </x:c>
      <x:c r="E1274" s="38" t="n">
        <x:v>103113</x:v>
      </x:c>
      <x:c r="F1274" s="17" t="inlineStr">
        <x:is>
          <x:t xml:space="preserve">2026-06-10</x:t>
        </x:is>
      </x:c>
    </x:row>
    <x:row r="1275" ht="20" customHeight="1">
      <x:c r="A1275" s="17" t="inlineStr">
        <x:is>
          <x:t xml:space="preserve">Syosset Central School District</x:t>
        </x:is>
      </x:c>
      <x:c r="B1275" s="17" t="inlineStr">
        <x:is>
          <x:t xml:space="preserve">NY</x:t>
        </x:is>
      </x:c>
      <x:c r="C1275" s="17" t="inlineStr">
        <x:is>
          <x:t xml:space="preserve">Master's</x:t>
        </x:is>
      </x:c>
      <x:c r="D1275" s="40" t="n">
        <x:v>8</x:v>
      </x:c>
      <x:c r="E1275" s="38" t="n">
        <x:v>107225</x:v>
      </x:c>
      <x:c r="F1275" s="17" t="inlineStr">
        <x:is>
          <x:t xml:space="preserve">2026-06-10</x:t>
        </x:is>
      </x:c>
    </x:row>
    <x:row r="1276" ht="20" customHeight="1">
      <x:c r="A1276" s="17" t="inlineStr">
        <x:is>
          <x:t xml:space="preserve">Syosset Central School District</x:t>
        </x:is>
      </x:c>
      <x:c r="B1276" s="17" t="inlineStr">
        <x:is>
          <x:t xml:space="preserve">NY</x:t>
        </x:is>
      </x:c>
      <x:c r="C1276" s="17" t="inlineStr">
        <x:is>
          <x:t xml:space="preserve">Master's</x:t>
        </x:is>
      </x:c>
      <x:c r="D1276" s="40" t="n">
        <x:v>9</x:v>
      </x:c>
      <x:c r="E1276" s="38" t="n">
        <x:v>111343</x:v>
      </x:c>
      <x:c r="F1276" s="17" t="inlineStr">
        <x:is>
          <x:t xml:space="preserve">2026-06-10</x:t>
        </x:is>
      </x:c>
    </x:row>
    <x:row r="1277" ht="20" customHeight="1">
      <x:c r="A1277" s="17" t="inlineStr">
        <x:is>
          <x:t xml:space="preserve">Syosset Central School District</x:t>
        </x:is>
      </x:c>
      <x:c r="B1277" s="17" t="inlineStr">
        <x:is>
          <x:t xml:space="preserve">NY</x:t>
        </x:is>
      </x:c>
      <x:c r="C1277" s="17" t="inlineStr">
        <x:is>
          <x:t xml:space="preserve">Master's</x:t>
        </x:is>
      </x:c>
      <x:c r="D1277" s="40" t="n">
        <x:v>10</x:v>
      </x:c>
      <x:c r="E1277" s="38" t="n">
        <x:v>115460</x:v>
      </x:c>
      <x:c r="F1277" s="17" t="inlineStr">
        <x:is>
          <x:t xml:space="preserve">2026-06-10</x:t>
        </x:is>
      </x:c>
    </x:row>
    <x:row r="1278" ht="20" customHeight="1">
      <x:c r="A1278" t="inlineStr">
        <x:is>
          <x:t xml:space="preserve">Tahoe-Truckee Unified School District</x:t>
        </x:is>
      </x:c>
      <x:c r="B1278" t="inlineStr">
        <x:is>
          <x:t xml:space="preserve">CA</x:t>
        </x:is>
      </x:c>
      <x:c r="C1278" t="inlineStr">
        <x:is>
          <x:t xml:space="preserve">Bachelor's</x:t>
        </x:is>
      </x:c>
      <x:c r="D1278" t="n">
        <x:v>0</x:v>
      </x:c>
      <x:c r="E1278" t="n">
        <x:v>71086</x:v>
      </x:c>
      <x:c r="F1278" t="inlineStr">
        <x:is>
          <x:t xml:space="preserve">2026-06-16</x:t>
        </x:is>
      </x:c>
    </x:row>
    <x:row r="1279" ht="20" customHeight="1">
      <x:c r="A1279" t="inlineStr">
        <x:is>
          <x:t xml:space="preserve">Tahoe-Truckee Unified School District</x:t>
        </x:is>
      </x:c>
      <x:c r="B1279" t="inlineStr">
        <x:is>
          <x:t xml:space="preserve">CA</x:t>
        </x:is>
      </x:c>
      <x:c r="C1279" t="inlineStr">
        <x:is>
          <x:t xml:space="preserve">Bachelor's</x:t>
        </x:is>
      </x:c>
      <x:c r="D1279" t="n">
        <x:v>1</x:v>
      </x:c>
      <x:c r="E1279" t="n">
        <x:v>73926</x:v>
      </x:c>
      <x:c r="F1279" t="inlineStr">
        <x:is>
          <x:t xml:space="preserve">2026-06-16</x:t>
        </x:is>
      </x:c>
    </x:row>
    <x:row r="1280" ht="20" customHeight="1">
      <x:c r="A1280" t="inlineStr">
        <x:is>
          <x:t xml:space="preserve">Tahoe-Truckee Unified School District</x:t>
        </x:is>
      </x:c>
      <x:c r="B1280" t="inlineStr">
        <x:is>
          <x:t xml:space="preserve">CA</x:t>
        </x:is>
      </x:c>
      <x:c r="C1280" t="inlineStr">
        <x:is>
          <x:t xml:space="preserve">Bachelor's</x:t>
        </x:is>
      </x:c>
      <x:c r="D1280" t="n">
        <x:v>2</x:v>
      </x:c>
      <x:c r="E1280" t="n">
        <x:v>76885</x:v>
      </x:c>
      <x:c r="F1280" t="inlineStr">
        <x:is>
          <x:t xml:space="preserve">2026-06-16</x:t>
        </x:is>
      </x:c>
    </x:row>
    <x:row r="1281" ht="20" customHeight="1">
      <x:c r="A1281" t="inlineStr">
        <x:is>
          <x:t xml:space="preserve">Tahoe-Truckee Unified School District</x:t>
        </x:is>
      </x:c>
      <x:c r="B1281" t="inlineStr">
        <x:is>
          <x:t xml:space="preserve">CA</x:t>
        </x:is>
      </x:c>
      <x:c r="C1281" t="inlineStr">
        <x:is>
          <x:t xml:space="preserve">Bachelor's</x:t>
        </x:is>
      </x:c>
      <x:c r="D1281" t="n">
        <x:v>3</x:v>
      </x:c>
      <x:c r="E1281" t="n">
        <x:v>79960</x:v>
      </x:c>
      <x:c r="F1281" t="inlineStr">
        <x:is>
          <x:t xml:space="preserve">2026-06-16</x:t>
        </x:is>
      </x:c>
    </x:row>
    <x:row r="1282" ht="20" customHeight="1">
      <x:c r="A1282" t="inlineStr">
        <x:is>
          <x:t xml:space="preserve">Tahoe-Truckee Unified School District</x:t>
        </x:is>
      </x:c>
      <x:c r="B1282" t="inlineStr">
        <x:is>
          <x:t xml:space="preserve">CA</x:t>
        </x:is>
      </x:c>
      <x:c r="C1282" t="inlineStr">
        <x:is>
          <x:t xml:space="preserve">Bachelor's</x:t>
        </x:is>
      </x:c>
      <x:c r="D1282" t="n">
        <x:v>4</x:v>
      </x:c>
      <x:c r="E1282" t="n">
        <x:v>85931</x:v>
      </x:c>
      <x:c r="F1282" t="inlineStr">
        <x:is>
          <x:t xml:space="preserve">2026-06-16</x:t>
        </x:is>
      </x:c>
    </x:row>
    <x:row r="1283" ht="20" customHeight="1">
      <x:c r="A1283" t="inlineStr">
        <x:is>
          <x:t xml:space="preserve">Tahoe-Truckee Unified School District</x:t>
        </x:is>
      </x:c>
      <x:c r="B1283" t="inlineStr">
        <x:is>
          <x:t xml:space="preserve">CA</x:t>
        </x:is>
      </x:c>
      <x:c r="C1283" t="inlineStr">
        <x:is>
          <x:t xml:space="preserve">Bachelor's</x:t>
        </x:is>
      </x:c>
      <x:c r="D1283" t="n">
        <x:v>5</x:v>
      </x:c>
      <x:c r="E1283" t="n">
        <x:v>85931</x:v>
      </x:c>
      <x:c r="F1283" t="inlineStr">
        <x:is>
          <x:t xml:space="preserve">2026-06-16</x:t>
        </x:is>
      </x:c>
    </x:row>
    <x:row r="1284" ht="20" customHeight="1">
      <x:c r="A1284" t="inlineStr">
        <x:is>
          <x:t xml:space="preserve">Tahoe-Truckee Unified School District</x:t>
        </x:is>
      </x:c>
      <x:c r="B1284" t="inlineStr">
        <x:is>
          <x:t xml:space="preserve">CA</x:t>
        </x:is>
      </x:c>
      <x:c r="C1284" t="inlineStr">
        <x:is>
          <x:t xml:space="preserve">Bachelor's</x:t>
        </x:is>
      </x:c>
      <x:c r="D1284" t="n">
        <x:v>6</x:v>
      </x:c>
      <x:c r="E1284" t="n">
        <x:v>85931</x:v>
      </x:c>
      <x:c r="F1284" t="inlineStr">
        <x:is>
          <x:t xml:space="preserve">2026-06-16</x:t>
        </x:is>
      </x:c>
    </x:row>
    <x:row r="1285" ht="20" customHeight="1">
      <x:c r="A1285" t="inlineStr">
        <x:is>
          <x:t xml:space="preserve">Tahoe-Truckee Unified School District</x:t>
        </x:is>
      </x:c>
      <x:c r="B1285" t="inlineStr">
        <x:is>
          <x:t xml:space="preserve">CA</x:t>
        </x:is>
      </x:c>
      <x:c r="C1285" t="inlineStr">
        <x:is>
          <x:t xml:space="preserve">Bachelor's</x:t>
        </x:is>
      </x:c>
      <x:c r="D1285" t="n">
        <x:v>7</x:v>
      </x:c>
      <x:c r="E1285" t="n">
        <x:v>85931</x:v>
      </x:c>
      <x:c r="F1285" t="inlineStr">
        <x:is>
          <x:t xml:space="preserve">2026-06-16</x:t>
        </x:is>
      </x:c>
    </x:row>
    <x:row r="1286" ht="20" customHeight="1">
      <x:c r="A1286" t="inlineStr">
        <x:is>
          <x:t xml:space="preserve">Tahoe-Truckee Unified School District</x:t>
        </x:is>
      </x:c>
      <x:c r="B1286" t="inlineStr">
        <x:is>
          <x:t xml:space="preserve">CA</x:t>
        </x:is>
      </x:c>
      <x:c r="C1286" t="inlineStr">
        <x:is>
          <x:t xml:space="preserve">Bachelor's</x:t>
        </x:is>
      </x:c>
      <x:c r="D1286" t="n">
        <x:v>8</x:v>
      </x:c>
      <x:c r="E1286" t="n">
        <x:v>85931</x:v>
      </x:c>
      <x:c r="F1286" t="inlineStr">
        <x:is>
          <x:t xml:space="preserve">2026-06-16</x:t>
        </x:is>
      </x:c>
    </x:row>
    <x:row r="1287" ht="20" customHeight="1">
      <x:c r="A1287" t="inlineStr">
        <x:is>
          <x:t xml:space="preserve">Tahoe-Truckee Unified School District</x:t>
        </x:is>
      </x:c>
      <x:c r="B1287" t="inlineStr">
        <x:is>
          <x:t xml:space="preserve">CA</x:t>
        </x:is>
      </x:c>
      <x:c r="C1287" t="inlineStr">
        <x:is>
          <x:t xml:space="preserve">Bachelor's</x:t>
        </x:is>
      </x:c>
      <x:c r="D1287" t="n">
        <x:v>9</x:v>
      </x:c>
      <x:c r="E1287" t="n">
        <x:v>85931</x:v>
      </x:c>
      <x:c r="F1287" t="inlineStr">
        <x:is>
          <x:t xml:space="preserve">2026-06-16</x:t>
        </x:is>
      </x:c>
    </x:row>
    <x:row r="1288" ht="20" customHeight="1">
      <x:c r="A1288" t="inlineStr">
        <x:is>
          <x:t xml:space="preserve">Tahoe-Truckee Unified School District</x:t>
        </x:is>
      </x:c>
      <x:c r="B1288" t="inlineStr">
        <x:is>
          <x:t xml:space="preserve">CA</x:t>
        </x:is>
      </x:c>
      <x:c r="C1288" t="inlineStr">
        <x:is>
          <x:t xml:space="preserve">Bachelor's</x:t>
        </x:is>
      </x:c>
      <x:c r="D1288" t="n">
        <x:v>10</x:v>
      </x:c>
      <x:c r="E1288" t="n">
        <x:v>85931</x:v>
      </x:c>
      <x:c r="F1288" t="inlineStr">
        <x:is>
          <x:t xml:space="preserve">2026-06-16</x:t>
        </x:is>
      </x:c>
    </x:row>
    <x:row r="1289" ht="20" customHeight="1">
      <x:c r="A1289" t="inlineStr">
        <x:is>
          <x:t xml:space="preserve">Tahoe-Truckee Unified School District</x:t>
        </x:is>
      </x:c>
      <x:c r="B1289" t="inlineStr">
        <x:is>
          <x:t xml:space="preserve">CA</x:t>
        </x:is>
      </x:c>
      <x:c r="C1289" t="inlineStr">
        <x:is>
          <x:t xml:space="preserve">Master's</x:t>
        </x:is>
      </x:c>
      <x:c r="D1289" t="n">
        <x:v>0</x:v>
      </x:c>
      <x:c r="E1289" t="n">
        <x:v>72086</x:v>
      </x:c>
      <x:c r="F1289" t="inlineStr">
        <x:is>
          <x:t xml:space="preserve">2026-06-16</x:t>
        </x:is>
      </x:c>
    </x:row>
    <x:row r="1290" ht="20" customHeight="1">
      <x:c r="A1290" t="inlineStr">
        <x:is>
          <x:t xml:space="preserve">Tahoe-Truckee Unified School District</x:t>
        </x:is>
      </x:c>
      <x:c r="B1290" t="inlineStr">
        <x:is>
          <x:t xml:space="preserve">CA</x:t>
        </x:is>
      </x:c>
      <x:c r="C1290" t="inlineStr">
        <x:is>
          <x:t xml:space="preserve">Master's</x:t>
        </x:is>
      </x:c>
      <x:c r="D1290" t="n">
        <x:v>1</x:v>
      </x:c>
      <x:c r="E1290" t="n">
        <x:v>74926</x:v>
      </x:c>
      <x:c r="F1290" t="inlineStr">
        <x:is>
          <x:t xml:space="preserve">2026-06-16</x:t>
        </x:is>
      </x:c>
    </x:row>
    <x:row r="1291" ht="20" customHeight="1">
      <x:c r="A1291" t="inlineStr">
        <x:is>
          <x:t xml:space="preserve">Tahoe-Truckee Unified School District</x:t>
        </x:is>
      </x:c>
      <x:c r="B1291" t="inlineStr">
        <x:is>
          <x:t xml:space="preserve">CA</x:t>
        </x:is>
      </x:c>
      <x:c r="C1291" t="inlineStr">
        <x:is>
          <x:t xml:space="preserve">Master's</x:t>
        </x:is>
      </x:c>
      <x:c r="D1291" t="n">
        <x:v>2</x:v>
      </x:c>
      <x:c r="E1291" t="n">
        <x:v>77885</x:v>
      </x:c>
      <x:c r="F1291" t="inlineStr">
        <x:is>
          <x:t xml:space="preserve">2026-06-16</x:t>
        </x:is>
      </x:c>
    </x:row>
    <x:row r="1292" ht="20" customHeight="1">
      <x:c r="A1292" t="inlineStr">
        <x:is>
          <x:t xml:space="preserve">Tahoe-Truckee Unified School District</x:t>
        </x:is>
      </x:c>
      <x:c r="B1292" t="inlineStr">
        <x:is>
          <x:t xml:space="preserve">CA</x:t>
        </x:is>
      </x:c>
      <x:c r="C1292" t="inlineStr">
        <x:is>
          <x:t xml:space="preserve">Master's</x:t>
        </x:is>
      </x:c>
      <x:c r="D1292" t="n">
        <x:v>3</x:v>
      </x:c>
      <x:c r="E1292" t="n">
        <x:v>80960</x:v>
      </x:c>
      <x:c r="F1292" t="inlineStr">
        <x:is>
          <x:t xml:space="preserve">2026-06-16</x:t>
        </x:is>
      </x:c>
    </x:row>
    <x:row r="1293" ht="20" customHeight="1">
      <x:c r="A1293" t="inlineStr">
        <x:is>
          <x:t xml:space="preserve">Tahoe-Truckee Unified School District</x:t>
        </x:is>
      </x:c>
      <x:c r="B1293" t="inlineStr">
        <x:is>
          <x:t xml:space="preserve">CA</x:t>
        </x:is>
      </x:c>
      <x:c r="C1293" t="inlineStr">
        <x:is>
          <x:t xml:space="preserve">Master's</x:t>
        </x:is>
      </x:c>
      <x:c r="D1293" t="n">
        <x:v>4</x:v>
      </x:c>
      <x:c r="E1293" t="n">
        <x:v>86931</x:v>
      </x:c>
      <x:c r="F1293" t="inlineStr">
        <x:is>
          <x:t xml:space="preserve">2026-06-16</x:t>
        </x:is>
      </x:c>
    </x:row>
    <x:row r="1294" ht="20" customHeight="1">
      <x:c r="A1294" t="inlineStr">
        <x:is>
          <x:t xml:space="preserve">Tahoe-Truckee Unified School District</x:t>
        </x:is>
      </x:c>
      <x:c r="B1294" t="inlineStr">
        <x:is>
          <x:t xml:space="preserve">CA</x:t>
        </x:is>
      </x:c>
      <x:c r="C1294" t="inlineStr">
        <x:is>
          <x:t xml:space="preserve">Master's</x:t>
        </x:is>
      </x:c>
      <x:c r="D1294" t="n">
        <x:v>5</x:v>
      </x:c>
      <x:c r="E1294" t="n">
        <x:v>86931</x:v>
      </x:c>
      <x:c r="F1294" t="inlineStr">
        <x:is>
          <x:t xml:space="preserve">2026-06-16</x:t>
        </x:is>
      </x:c>
    </x:row>
    <x:row r="1295" ht="20" customHeight="1">
      <x:c r="A1295" t="inlineStr">
        <x:is>
          <x:t xml:space="preserve">Tahoe-Truckee Unified School District</x:t>
        </x:is>
      </x:c>
      <x:c r="B1295" t="inlineStr">
        <x:is>
          <x:t xml:space="preserve">CA</x:t>
        </x:is>
      </x:c>
      <x:c r="C1295" t="inlineStr">
        <x:is>
          <x:t xml:space="preserve">Master's</x:t>
        </x:is>
      </x:c>
      <x:c r="D1295" t="n">
        <x:v>6</x:v>
      </x:c>
      <x:c r="E1295" t="n">
        <x:v>86931</x:v>
      </x:c>
      <x:c r="F1295" t="inlineStr">
        <x:is>
          <x:t xml:space="preserve">2026-06-16</x:t>
        </x:is>
      </x:c>
    </x:row>
    <x:row r="1296" ht="20" customHeight="1">
      <x:c r="A1296" t="inlineStr">
        <x:is>
          <x:t xml:space="preserve">Tahoe-Truckee Unified School District</x:t>
        </x:is>
      </x:c>
      <x:c r="B1296" t="inlineStr">
        <x:is>
          <x:t xml:space="preserve">CA</x:t>
        </x:is>
      </x:c>
      <x:c r="C1296" t="inlineStr">
        <x:is>
          <x:t xml:space="preserve">Master's</x:t>
        </x:is>
      </x:c>
      <x:c r="D1296" t="n">
        <x:v>7</x:v>
      </x:c>
      <x:c r="E1296" t="n">
        <x:v>86931</x:v>
      </x:c>
      <x:c r="F1296" t="inlineStr">
        <x:is>
          <x:t xml:space="preserve">2026-06-16</x:t>
        </x:is>
      </x:c>
    </x:row>
    <x:row r="1297" ht="20" customHeight="1">
      <x:c r="A1297" t="inlineStr">
        <x:is>
          <x:t xml:space="preserve">Tahoe-Truckee Unified School District</x:t>
        </x:is>
      </x:c>
      <x:c r="B1297" t="inlineStr">
        <x:is>
          <x:t xml:space="preserve">CA</x:t>
        </x:is>
      </x:c>
      <x:c r="C1297" t="inlineStr">
        <x:is>
          <x:t xml:space="preserve">Master's</x:t>
        </x:is>
      </x:c>
      <x:c r="D1297" t="n">
        <x:v>8</x:v>
      </x:c>
      <x:c r="E1297" t="n">
        <x:v>86931</x:v>
      </x:c>
      <x:c r="F1297" t="inlineStr">
        <x:is>
          <x:t xml:space="preserve">2026-06-16</x:t>
        </x:is>
      </x:c>
    </x:row>
    <x:row r="1298" ht="20" customHeight="1">
      <x:c r="A1298" t="inlineStr">
        <x:is>
          <x:t xml:space="preserve">Tahoe-Truckee Unified School District</x:t>
        </x:is>
      </x:c>
      <x:c r="B1298" t="inlineStr">
        <x:is>
          <x:t xml:space="preserve">CA</x:t>
        </x:is>
      </x:c>
      <x:c r="C1298" t="inlineStr">
        <x:is>
          <x:t xml:space="preserve">Master's</x:t>
        </x:is>
      </x:c>
      <x:c r="D1298" t="n">
        <x:v>9</x:v>
      </x:c>
      <x:c r="E1298" t="n">
        <x:v>86931</x:v>
      </x:c>
      <x:c r="F1298" t="inlineStr">
        <x:is>
          <x:t xml:space="preserve">2026-06-16</x:t>
        </x:is>
      </x:c>
    </x:row>
    <x:row r="1299" ht="20" customHeight="1">
      <x:c r="A1299" t="inlineStr">
        <x:is>
          <x:t xml:space="preserve">Tahoe-Truckee Unified School District</x:t>
        </x:is>
      </x:c>
      <x:c r="B1299" t="inlineStr">
        <x:is>
          <x:t xml:space="preserve">CA</x:t>
        </x:is>
      </x:c>
      <x:c r="C1299" t="inlineStr">
        <x:is>
          <x:t xml:space="preserve">Master's</x:t>
        </x:is>
      </x:c>
      <x:c r="D1299" t="n">
        <x:v>10</x:v>
      </x:c>
      <x:c r="E1299" t="n">
        <x:v>86931</x:v>
      </x:c>
      <x:c r="F1299" t="inlineStr">
        <x:is>
          <x:t xml:space="preserve">2026-06-16</x:t>
        </x:is>
      </x:c>
    </x:row>
    <x:row r="1300" ht="20" customHeight="1">
      <x:c r="A1300" s="17" t="inlineStr">
        <x:is>
          <x:t xml:space="preserve">Verona Area School District</x:t>
        </x:is>
      </x:c>
      <x:c r="B1300" s="17" t="inlineStr">
        <x:is>
          <x:t xml:space="preserve">WI</x:t>
        </x:is>
      </x:c>
      <x:c r="C1300" s="17" t="inlineStr">
        <x:is>
          <x:t xml:space="preserve">Bachelor's</x:t>
        </x:is>
      </x:c>
      <x:c r="D1300" s="40" t="n">
        <x:v>0</x:v>
      </x:c>
      <x:c r="E1300" s="38" t="n">
        <x:v>56698</x:v>
      </x:c>
      <x:c r="F1300" s="17" t="inlineStr">
        <x:is>
          <x:t xml:space="preserve">2026-06-15</x:t>
        </x:is>
      </x:c>
    </x:row>
    <x:row r="1301" ht="20" customHeight="1">
      <x:c r="A1301" s="17" t="inlineStr">
        <x:is>
          <x:t xml:space="preserve">Verona Area School District</x:t>
        </x:is>
      </x:c>
      <x:c r="B1301" s="17" t="inlineStr">
        <x:is>
          <x:t xml:space="preserve">WI</x:t>
        </x:is>
      </x:c>
      <x:c r="C1301" s="17" t="inlineStr">
        <x:is>
          <x:t xml:space="preserve">Bachelor's</x:t>
        </x:is>
      </x:c>
      <x:c r="D1301" s="40" t="n">
        <x:v>1</x:v>
      </x:c>
      <x:c r="E1301" s="38" t="n">
        <x:v>57676</x:v>
      </x:c>
      <x:c r="F1301" s="17" t="inlineStr">
        <x:is>
          <x:t xml:space="preserve">2026-06-15</x:t>
        </x:is>
      </x:c>
    </x:row>
    <x:row r="1302" ht="20" customHeight="1">
      <x:c r="A1302" s="17" t="inlineStr">
        <x:is>
          <x:t xml:space="preserve">Verona Area School District</x:t>
        </x:is>
      </x:c>
      <x:c r="B1302" s="17" t="inlineStr">
        <x:is>
          <x:t xml:space="preserve">WI</x:t>
        </x:is>
      </x:c>
      <x:c r="C1302" s="17" t="inlineStr">
        <x:is>
          <x:t xml:space="preserve">Bachelor's</x:t>
        </x:is>
      </x:c>
      <x:c r="D1302" s="40" t="n">
        <x:v>2</x:v>
      </x:c>
      <x:c r="E1302" s="38" t="n">
        <x:v>58654</x:v>
      </x:c>
      <x:c r="F1302" s="17" t="inlineStr">
        <x:is>
          <x:t xml:space="preserve">2026-06-15</x:t>
        </x:is>
      </x:c>
    </x:row>
    <x:row r="1303" ht="20" customHeight="1">
      <x:c r="A1303" s="17" t="inlineStr">
        <x:is>
          <x:t xml:space="preserve">Verona Area School District</x:t>
        </x:is>
      </x:c>
      <x:c r="B1303" s="17" t="inlineStr">
        <x:is>
          <x:t xml:space="preserve">WI</x:t>
        </x:is>
      </x:c>
      <x:c r="C1303" s="17" t="inlineStr">
        <x:is>
          <x:t xml:space="preserve">Bachelor's</x:t>
        </x:is>
      </x:c>
      <x:c r="D1303" s="40" t="n">
        <x:v>3</x:v>
      </x:c>
      <x:c r="E1303" s="38" t="n">
        <x:v>59632</x:v>
      </x:c>
      <x:c r="F1303" s="17" t="inlineStr">
        <x:is>
          <x:t xml:space="preserve">2026-06-15</x:t>
        </x:is>
      </x:c>
    </x:row>
    <x:row r="1304" ht="20" customHeight="1">
      <x:c r="A1304" s="17" t="inlineStr">
        <x:is>
          <x:t xml:space="preserve">Verona Area School District</x:t>
        </x:is>
      </x:c>
      <x:c r="B1304" s="17" t="inlineStr">
        <x:is>
          <x:t xml:space="preserve">WI</x:t>
        </x:is>
      </x:c>
      <x:c r="C1304" s="17" t="inlineStr">
        <x:is>
          <x:t xml:space="preserve">Bachelor's</x:t>
        </x:is>
      </x:c>
      <x:c r="D1304" s="40" t="n">
        <x:v>4</x:v>
      </x:c>
      <x:c r="E1304" s="38" t="n">
        <x:v>60610</x:v>
      </x:c>
      <x:c r="F1304" s="17" t="inlineStr">
        <x:is>
          <x:t xml:space="preserve">2026-06-15</x:t>
        </x:is>
      </x:c>
    </x:row>
    <x:row r="1305" ht="20" customHeight="1">
      <x:c r="A1305" s="17" t="inlineStr">
        <x:is>
          <x:t xml:space="preserve">Verona Area School District</x:t>
        </x:is>
      </x:c>
      <x:c r="B1305" s="17" t="inlineStr">
        <x:is>
          <x:t xml:space="preserve">WI</x:t>
        </x:is>
      </x:c>
      <x:c r="C1305" s="17" t="inlineStr">
        <x:is>
          <x:t xml:space="preserve">Bachelor's</x:t>
        </x:is>
      </x:c>
      <x:c r="D1305" s="40" t="n">
        <x:v>5</x:v>
      </x:c>
      <x:c r="E1305" s="38" t="n">
        <x:v>61588</x:v>
      </x:c>
      <x:c r="F1305" s="17" t="inlineStr">
        <x:is>
          <x:t xml:space="preserve">2026-06-15</x:t>
        </x:is>
      </x:c>
    </x:row>
    <x:row r="1306" ht="20" customHeight="1">
      <x:c r="A1306" s="17" t="inlineStr">
        <x:is>
          <x:t xml:space="preserve">Verona Area School District</x:t>
        </x:is>
      </x:c>
      <x:c r="B1306" s="17" t="inlineStr">
        <x:is>
          <x:t xml:space="preserve">WI</x:t>
        </x:is>
      </x:c>
      <x:c r="C1306" s="17" t="inlineStr">
        <x:is>
          <x:t xml:space="preserve">Bachelor's</x:t>
        </x:is>
      </x:c>
      <x:c r="D1306" s="40" t="n">
        <x:v>6</x:v>
      </x:c>
      <x:c r="E1306" s="38" t="n">
        <x:v>62557</x:v>
      </x:c>
      <x:c r="F1306" s="17" t="inlineStr">
        <x:is>
          <x:t xml:space="preserve">2026-06-15</x:t>
        </x:is>
      </x:c>
    </x:row>
    <x:row r="1307" ht="20" customHeight="1">
      <x:c r="A1307" s="17" t="inlineStr">
        <x:is>
          <x:t xml:space="preserve">Verona Area School District</x:t>
        </x:is>
      </x:c>
      <x:c r="B1307" s="17" t="inlineStr">
        <x:is>
          <x:t xml:space="preserve">WI</x:t>
        </x:is>
      </x:c>
      <x:c r="C1307" s="17" t="inlineStr">
        <x:is>
          <x:t xml:space="preserve">Bachelor's</x:t>
        </x:is>
      </x:c>
      <x:c r="D1307" s="40" t="n">
        <x:v>7</x:v>
      </x:c>
      <x:c r="E1307" s="38" t="n">
        <x:v>63526</x:v>
      </x:c>
      <x:c r="F1307" s="17" t="inlineStr">
        <x:is>
          <x:t xml:space="preserve">2026-06-15</x:t>
        </x:is>
      </x:c>
    </x:row>
    <x:row r="1308" ht="20" customHeight="1">
      <x:c r="A1308" s="17" t="inlineStr">
        <x:is>
          <x:t xml:space="preserve">Verona Area School District</x:t>
        </x:is>
      </x:c>
      <x:c r="B1308" s="17" t="inlineStr">
        <x:is>
          <x:t xml:space="preserve">WI</x:t>
        </x:is>
      </x:c>
      <x:c r="C1308" s="17" t="inlineStr">
        <x:is>
          <x:t xml:space="preserve">Bachelor's</x:t>
        </x:is>
      </x:c>
      <x:c r="D1308" s="40" t="n">
        <x:v>8</x:v>
      </x:c>
      <x:c r="E1308" s="38" t="n">
        <x:v>64495</x:v>
      </x:c>
      <x:c r="F1308" s="17" t="inlineStr">
        <x:is>
          <x:t xml:space="preserve">2026-06-15</x:t>
        </x:is>
      </x:c>
    </x:row>
    <x:row r="1309" ht="20" customHeight="1">
      <x:c r="A1309" s="17" t="inlineStr">
        <x:is>
          <x:t xml:space="preserve">Verona Area School District</x:t>
        </x:is>
      </x:c>
      <x:c r="B1309" s="17" t="inlineStr">
        <x:is>
          <x:t xml:space="preserve">WI</x:t>
        </x:is>
      </x:c>
      <x:c r="C1309" s="17" t="inlineStr">
        <x:is>
          <x:t xml:space="preserve">Bachelor's</x:t>
        </x:is>
      </x:c>
      <x:c r="D1309" s="40" t="n">
        <x:v>9</x:v>
      </x:c>
      <x:c r="E1309" s="38" t="n">
        <x:v>65464</x:v>
      </x:c>
      <x:c r="F1309" s="17" t="inlineStr">
        <x:is>
          <x:t xml:space="preserve">2026-06-15</x:t>
        </x:is>
      </x:c>
    </x:row>
    <x:row r="1310" ht="20" customHeight="1">
      <x:c r="A1310" s="17" t="inlineStr">
        <x:is>
          <x:t xml:space="preserve">Verona Area School District</x:t>
        </x:is>
      </x:c>
      <x:c r="B1310" s="17" t="inlineStr">
        <x:is>
          <x:t xml:space="preserve">WI</x:t>
        </x:is>
      </x:c>
      <x:c r="C1310" s="17" t="inlineStr">
        <x:is>
          <x:t xml:space="preserve">Bachelor's</x:t>
        </x:is>
      </x:c>
      <x:c r="D1310" s="40" t="n">
        <x:v>10</x:v>
      </x:c>
      <x:c r="E1310" s="38" t="n">
        <x:v>66431</x:v>
      </x:c>
      <x:c r="F1310" s="17" t="inlineStr">
        <x:is>
          <x:t xml:space="preserve">2026-06-15</x:t>
        </x:is>
      </x:c>
    </x:row>
    <x:row r="1311" ht="20" customHeight="1">
      <x:c r="A1311" s="17" t="inlineStr">
        <x:is>
          <x:t xml:space="preserve">Verona Area School District</x:t>
        </x:is>
      </x:c>
      <x:c r="B1311" s="17" t="inlineStr">
        <x:is>
          <x:t xml:space="preserve">WI</x:t>
        </x:is>
      </x:c>
      <x:c r="C1311" s="17" t="inlineStr">
        <x:is>
          <x:t xml:space="preserve">Master's</x:t>
        </x:is>
      </x:c>
      <x:c r="D1311" s="40" t="n">
        <x:v>0</x:v>
      </x:c>
      <x:c r="E1311" s="38" t="n">
        <x:v>62280</x:v>
      </x:c>
      <x:c r="F1311" s="17" t="inlineStr">
        <x:is>
          <x:t xml:space="preserve">2026-06-15</x:t>
        </x:is>
      </x:c>
    </x:row>
    <x:row r="1312" ht="20" customHeight="1">
      <x:c r="A1312" s="17" t="inlineStr">
        <x:is>
          <x:t xml:space="preserve">Verona Area School District</x:t>
        </x:is>
      </x:c>
      <x:c r="B1312" s="17" t="inlineStr">
        <x:is>
          <x:t xml:space="preserve">WI</x:t>
        </x:is>
      </x:c>
      <x:c r="C1312" s="17" t="inlineStr">
        <x:is>
          <x:t xml:space="preserve">Master's</x:t>
        </x:is>
      </x:c>
      <x:c r="D1312" s="40" t="n">
        <x:v>1</x:v>
      </x:c>
      <x:c r="E1312" s="38" t="n">
        <x:v>63349</x:v>
      </x:c>
      <x:c r="F1312" s="17" t="inlineStr">
        <x:is>
          <x:t xml:space="preserve">2026-06-15</x:t>
        </x:is>
      </x:c>
    </x:row>
    <x:row r="1313" ht="20" customHeight="1">
      <x:c r="A1313" s="17" t="inlineStr">
        <x:is>
          <x:t xml:space="preserve">Verona Area School District</x:t>
        </x:is>
      </x:c>
      <x:c r="B1313" s="17" t="inlineStr">
        <x:is>
          <x:t xml:space="preserve">WI</x:t>
        </x:is>
      </x:c>
      <x:c r="C1313" s="17" t="inlineStr">
        <x:is>
          <x:t xml:space="preserve">Master's</x:t>
        </x:is>
      </x:c>
      <x:c r="D1313" s="40" t="n">
        <x:v>2</x:v>
      </x:c>
      <x:c r="E1313" s="38" t="n">
        <x:v>64418</x:v>
      </x:c>
      <x:c r="F1313" s="17" t="inlineStr">
        <x:is>
          <x:t xml:space="preserve">2026-06-15</x:t>
        </x:is>
      </x:c>
    </x:row>
    <x:row r="1314" ht="20" customHeight="1">
      <x:c r="A1314" s="17" t="inlineStr">
        <x:is>
          <x:t xml:space="preserve">Verona Area School District</x:t>
        </x:is>
      </x:c>
      <x:c r="B1314" s="17" t="inlineStr">
        <x:is>
          <x:t xml:space="preserve">WI</x:t>
        </x:is>
      </x:c>
      <x:c r="C1314" s="17" t="inlineStr">
        <x:is>
          <x:t xml:space="preserve">Master's</x:t>
        </x:is>
      </x:c>
      <x:c r="D1314" s="40" t="n">
        <x:v>3</x:v>
      </x:c>
      <x:c r="E1314" s="38" t="n">
        <x:v>65487</x:v>
      </x:c>
      <x:c r="F1314" s="17" t="inlineStr">
        <x:is>
          <x:t xml:space="preserve">2026-06-15</x:t>
        </x:is>
      </x:c>
    </x:row>
    <x:row r="1315" ht="20" customHeight="1">
      <x:c r="A1315" s="17" t="inlineStr">
        <x:is>
          <x:t xml:space="preserve">Verona Area School District</x:t>
        </x:is>
      </x:c>
      <x:c r="B1315" s="17" t="inlineStr">
        <x:is>
          <x:t xml:space="preserve">WI</x:t>
        </x:is>
      </x:c>
      <x:c r="C1315" s="17" t="inlineStr">
        <x:is>
          <x:t xml:space="preserve">Master's</x:t>
        </x:is>
      </x:c>
      <x:c r="D1315" s="40" t="n">
        <x:v>4</x:v>
      </x:c>
      <x:c r="E1315" s="38" t="n">
        <x:v>66556</x:v>
      </x:c>
      <x:c r="F1315" s="17" t="inlineStr">
        <x:is>
          <x:t xml:space="preserve">2026-06-15</x:t>
        </x:is>
      </x:c>
    </x:row>
    <x:row r="1316" ht="20" customHeight="1">
      <x:c r="A1316" s="17" t="inlineStr">
        <x:is>
          <x:t xml:space="preserve">Verona Area School District</x:t>
        </x:is>
      </x:c>
      <x:c r="B1316" s="17" t="inlineStr">
        <x:is>
          <x:t xml:space="preserve">WI</x:t>
        </x:is>
      </x:c>
      <x:c r="C1316" s="17" t="inlineStr">
        <x:is>
          <x:t xml:space="preserve">Master's</x:t>
        </x:is>
      </x:c>
      <x:c r="D1316" s="40" t="n">
        <x:v>5</x:v>
      </x:c>
      <x:c r="E1316" s="38" t="n">
        <x:v>67625</x:v>
      </x:c>
      <x:c r="F1316" s="17" t="inlineStr">
        <x:is>
          <x:t xml:space="preserve">2026-06-15</x:t>
        </x:is>
      </x:c>
    </x:row>
    <x:row r="1317" ht="20" customHeight="1">
      <x:c r="A1317" s="17" t="inlineStr">
        <x:is>
          <x:t xml:space="preserve">Verona Area School District</x:t>
        </x:is>
      </x:c>
      <x:c r="B1317" s="17" t="inlineStr">
        <x:is>
          <x:t xml:space="preserve">WI</x:t>
        </x:is>
      </x:c>
      <x:c r="C1317" s="17" t="inlineStr">
        <x:is>
          <x:t xml:space="preserve">Master's</x:t>
        </x:is>
      </x:c>
      <x:c r="D1317" s="40" t="n">
        <x:v>6</x:v>
      </x:c>
      <x:c r="E1317" s="38" t="n">
        <x:v>68694</x:v>
      </x:c>
      <x:c r="F1317" s="17" t="inlineStr">
        <x:is>
          <x:t xml:space="preserve">2026-06-15</x:t>
        </x:is>
      </x:c>
    </x:row>
    <x:row r="1318" ht="20" customHeight="1">
      <x:c r="A1318" s="17" t="inlineStr">
        <x:is>
          <x:t xml:space="preserve">Verona Area School District</x:t>
        </x:is>
      </x:c>
      <x:c r="B1318" s="17" t="inlineStr">
        <x:is>
          <x:t xml:space="preserve">WI</x:t>
        </x:is>
      </x:c>
      <x:c r="C1318" s="17" t="inlineStr">
        <x:is>
          <x:t xml:space="preserve">Master's</x:t>
        </x:is>
      </x:c>
      <x:c r="D1318" s="40" t="n">
        <x:v>7</x:v>
      </x:c>
      <x:c r="E1318" s="38" t="n">
        <x:v>69763</x:v>
      </x:c>
      <x:c r="F1318" s="17" t="inlineStr">
        <x:is>
          <x:t xml:space="preserve">2026-06-15</x:t>
        </x:is>
      </x:c>
    </x:row>
    <x:row r="1319" ht="20" customHeight="1">
      <x:c r="A1319" s="17" t="inlineStr">
        <x:is>
          <x:t xml:space="preserve">Verona Area School District</x:t>
        </x:is>
      </x:c>
      <x:c r="B1319" s="17" t="inlineStr">
        <x:is>
          <x:t xml:space="preserve">WI</x:t>
        </x:is>
      </x:c>
      <x:c r="C1319" s="17" t="inlineStr">
        <x:is>
          <x:t xml:space="preserve">Master's</x:t>
        </x:is>
      </x:c>
      <x:c r="D1319" s="40" t="n">
        <x:v>8</x:v>
      </x:c>
      <x:c r="E1319" s="38" t="n">
        <x:v>70832</x:v>
      </x:c>
      <x:c r="F1319" s="17" t="inlineStr">
        <x:is>
          <x:t xml:space="preserve">2026-06-15</x:t>
        </x:is>
      </x:c>
    </x:row>
    <x:row r="1320" ht="20" customHeight="1">
      <x:c r="A1320" s="17" t="inlineStr">
        <x:is>
          <x:t xml:space="preserve">Verona Area School District</x:t>
        </x:is>
      </x:c>
      <x:c r="B1320" s="17" t="inlineStr">
        <x:is>
          <x:t xml:space="preserve">WI</x:t>
        </x:is>
      </x:c>
      <x:c r="C1320" s="17" t="inlineStr">
        <x:is>
          <x:t xml:space="preserve">Master's</x:t>
        </x:is>
      </x:c>
      <x:c r="D1320" s="40" t="n">
        <x:v>9</x:v>
      </x:c>
      <x:c r="E1320" s="38" t="n">
        <x:v>71901</x:v>
      </x:c>
      <x:c r="F1320" s="17" t="inlineStr">
        <x:is>
          <x:t xml:space="preserve">2026-06-15</x:t>
        </x:is>
      </x:c>
    </x:row>
    <x:row r="1321" ht="20" customHeight="1">
      <x:c r="A1321" s="17" t="inlineStr">
        <x:is>
          <x:t xml:space="preserve">Verona Area School District</x:t>
        </x:is>
      </x:c>
      <x:c r="B1321" s="17" t="inlineStr">
        <x:is>
          <x:t xml:space="preserve">WI</x:t>
        </x:is>
      </x:c>
      <x:c r="C1321" s="17" t="inlineStr">
        <x:is>
          <x:t xml:space="preserve">Master's</x:t>
        </x:is>
      </x:c>
      <x:c r="D1321" s="40" t="n">
        <x:v>10</x:v>
      </x:c>
      <x:c r="E1321" s="38" t="n">
        <x:v>72971</x:v>
      </x:c>
      <x:c r="F1321" s="17" t="inlineStr">
        <x:is>
          <x:t xml:space="preserve">2026-06-15</x:t>
        </x:is>
      </x:c>
    </x:row>
    <x:row r="1322" ht="20" customHeight="1">
      <x:c r="A1322" s="17" t="inlineStr">
        <x:is>
          <x:t xml:space="preserve">Waunakee Community School District</x:t>
        </x:is>
      </x:c>
      <x:c r="B1322" s="17" t="inlineStr">
        <x:is>
          <x:t xml:space="preserve">WI</x:t>
        </x:is>
      </x:c>
      <x:c r="C1322" s="17" t="inlineStr">
        <x:is>
          <x:t xml:space="preserve">Bachelor's</x:t>
        </x:is>
      </x:c>
      <x:c r="D1322" s="40" t="n">
        <x:v>0</x:v>
      </x:c>
      <x:c r="E1322" s="38" t="n">
        <x:v>52000</x:v>
      </x:c>
      <x:c r="F1322" s="17" t="inlineStr">
        <x:is>
          <x:t xml:space="preserve">2026-06-15</x:t>
        </x:is>
      </x:c>
    </x:row>
    <x:row r="1323" ht="20" customHeight="1">
      <x:c r="A1323" s="17" t="inlineStr">
        <x:is>
          <x:t xml:space="preserve">Waunakee Community School District</x:t>
        </x:is>
      </x:c>
      <x:c r="B1323" s="17" t="inlineStr">
        <x:is>
          <x:t xml:space="preserve">WI</x:t>
        </x:is>
      </x:c>
      <x:c r="C1323" s="17" t="inlineStr">
        <x:is>
          <x:t xml:space="preserve">Bachelor's</x:t>
        </x:is>
      </x:c>
      <x:c r="D1323" s="40" t="n">
        <x:v>1</x:v>
      </x:c>
      <x:c r="E1323" s="38" t="n">
        <x:v>53600</x:v>
      </x:c>
      <x:c r="F1323" s="17" t="inlineStr">
        <x:is>
          <x:t xml:space="preserve">2026-06-15</x:t>
        </x:is>
      </x:c>
    </x:row>
    <x:row r="1324" ht="20" customHeight="1">
      <x:c r="A1324" s="17" t="inlineStr">
        <x:is>
          <x:t xml:space="preserve">Waunakee Community School District</x:t>
        </x:is>
      </x:c>
      <x:c r="B1324" s="17" t="inlineStr">
        <x:is>
          <x:t xml:space="preserve">WI</x:t>
        </x:is>
      </x:c>
      <x:c r="C1324" s="17" t="inlineStr">
        <x:is>
          <x:t xml:space="preserve">Bachelor's</x:t>
        </x:is>
      </x:c>
      <x:c r="D1324" s="40" t="n">
        <x:v>2</x:v>
      </x:c>
      <x:c r="E1324" s="38" t="n">
        <x:v>55200</x:v>
      </x:c>
      <x:c r="F1324" s="17" t="inlineStr">
        <x:is>
          <x:t xml:space="preserve">2026-06-15</x:t>
        </x:is>
      </x:c>
    </x:row>
    <x:row r="1325" ht="20" customHeight="1">
      <x:c r="A1325" s="17" t="inlineStr">
        <x:is>
          <x:t xml:space="preserve">Waunakee Community School District</x:t>
        </x:is>
      </x:c>
      <x:c r="B1325" s="17" t="inlineStr">
        <x:is>
          <x:t xml:space="preserve">WI</x:t>
        </x:is>
      </x:c>
      <x:c r="C1325" s="17" t="inlineStr">
        <x:is>
          <x:t xml:space="preserve">Bachelor's</x:t>
        </x:is>
      </x:c>
      <x:c r="D1325" s="40" t="n">
        <x:v>3</x:v>
      </x:c>
      <x:c r="E1325" s="38" t="n">
        <x:v>56800</x:v>
      </x:c>
      <x:c r="F1325" s="17" t="inlineStr">
        <x:is>
          <x:t xml:space="preserve">2026-06-15</x:t>
        </x:is>
      </x:c>
    </x:row>
    <x:row r="1326" ht="20" customHeight="1">
      <x:c r="A1326" s="17" t="inlineStr">
        <x:is>
          <x:t xml:space="preserve">Waunakee Community School District</x:t>
        </x:is>
      </x:c>
      <x:c r="B1326" s="17" t="inlineStr">
        <x:is>
          <x:t xml:space="preserve">WI</x:t>
        </x:is>
      </x:c>
      <x:c r="C1326" s="17" t="inlineStr">
        <x:is>
          <x:t xml:space="preserve">Bachelor's</x:t>
        </x:is>
      </x:c>
      <x:c r="D1326" s="40" t="n">
        <x:v>4</x:v>
      </x:c>
      <x:c r="E1326" s="38" t="n">
        <x:v>58400</x:v>
      </x:c>
      <x:c r="F1326" s="17" t="inlineStr">
        <x:is>
          <x:t xml:space="preserve">2026-06-15</x:t>
        </x:is>
      </x:c>
    </x:row>
    <x:row r="1327" ht="20" customHeight="1">
      <x:c r="A1327" s="17" t="inlineStr">
        <x:is>
          <x:t xml:space="preserve">Waunakee Community School District</x:t>
        </x:is>
      </x:c>
      <x:c r="B1327" s="17" t="inlineStr">
        <x:is>
          <x:t xml:space="preserve">WI</x:t>
        </x:is>
      </x:c>
      <x:c r="C1327" s="17" t="inlineStr">
        <x:is>
          <x:t xml:space="preserve">Bachelor's</x:t>
        </x:is>
      </x:c>
      <x:c r="D1327" s="40" t="n">
        <x:v>5</x:v>
      </x:c>
      <x:c r="E1327" s="38" t="n">
        <x:v>60000</x:v>
      </x:c>
      <x:c r="F1327" s="17" t="inlineStr">
        <x:is>
          <x:t xml:space="preserve">2026-06-15</x:t>
        </x:is>
      </x:c>
    </x:row>
    <x:row r="1328" ht="20" customHeight="1">
      <x:c r="A1328" s="17" t="inlineStr">
        <x:is>
          <x:t xml:space="preserve">Waunakee Community School District</x:t>
        </x:is>
      </x:c>
      <x:c r="B1328" s="17" t="inlineStr">
        <x:is>
          <x:t xml:space="preserve">WI</x:t>
        </x:is>
      </x:c>
      <x:c r="C1328" s="17" t="inlineStr">
        <x:is>
          <x:t xml:space="preserve">Bachelor's</x:t>
        </x:is>
      </x:c>
      <x:c r="D1328" s="40" t="n">
        <x:v>6</x:v>
      </x:c>
      <x:c r="E1328" s="38" t="n">
        <x:v>62400</x:v>
      </x:c>
      <x:c r="F1328" s="17" t="inlineStr">
        <x:is>
          <x:t xml:space="preserve">2026-06-15</x:t>
        </x:is>
      </x:c>
    </x:row>
    <x:row r="1329" ht="20" customHeight="1">
      <x:c r="A1329" s="17" t="inlineStr">
        <x:is>
          <x:t xml:space="preserve">Waunakee Community School District</x:t>
        </x:is>
      </x:c>
      <x:c r="B1329" s="17" t="inlineStr">
        <x:is>
          <x:t xml:space="preserve">WI</x:t>
        </x:is>
      </x:c>
      <x:c r="C1329" s="17" t="inlineStr">
        <x:is>
          <x:t xml:space="preserve">Bachelor's</x:t>
        </x:is>
      </x:c>
      <x:c r="D1329" s="40" t="n">
        <x:v>7</x:v>
      </x:c>
      <x:c r="E1329" s="38" t="n">
        <x:v>64800</x:v>
      </x:c>
      <x:c r="F1329" s="17" t="inlineStr">
        <x:is>
          <x:t xml:space="preserve">2026-06-15</x:t>
        </x:is>
      </x:c>
    </x:row>
    <x:row r="1330" ht="20" customHeight="1">
      <x:c r="A1330" s="17" t="inlineStr">
        <x:is>
          <x:t xml:space="preserve">Waunakee Community School District</x:t>
        </x:is>
      </x:c>
      <x:c r="B1330" s="17" t="inlineStr">
        <x:is>
          <x:t xml:space="preserve">WI</x:t>
        </x:is>
      </x:c>
      <x:c r="C1330" s="17" t="inlineStr">
        <x:is>
          <x:t xml:space="preserve">Bachelor's</x:t>
        </x:is>
      </x:c>
      <x:c r="D1330" s="40" t="n">
        <x:v>8</x:v>
      </x:c>
      <x:c r="E1330" s="38" t="n">
        <x:v>67200</x:v>
      </x:c>
      <x:c r="F1330" s="17" t="inlineStr">
        <x:is>
          <x:t xml:space="preserve">2026-06-15</x:t>
        </x:is>
      </x:c>
    </x:row>
    <x:row r="1331" ht="20" customHeight="1">
      <x:c r="A1331" s="17" t="inlineStr">
        <x:is>
          <x:t xml:space="preserve">Waunakee Community School District</x:t>
        </x:is>
      </x:c>
      <x:c r="B1331" s="17" t="inlineStr">
        <x:is>
          <x:t xml:space="preserve">WI</x:t>
        </x:is>
      </x:c>
      <x:c r="C1331" s="17" t="inlineStr">
        <x:is>
          <x:t xml:space="preserve">Bachelor's</x:t>
        </x:is>
      </x:c>
      <x:c r="D1331" s="40" t="n">
        <x:v>9</x:v>
      </x:c>
      <x:c r="E1331" s="38" t="n">
        <x:v>69600</x:v>
      </x:c>
      <x:c r="F1331" s="17" t="inlineStr">
        <x:is>
          <x:t xml:space="preserve">2026-06-15</x:t>
        </x:is>
      </x:c>
    </x:row>
    <x:row r="1332" ht="20" customHeight="1">
      <x:c r="A1332" s="17" t="inlineStr">
        <x:is>
          <x:t xml:space="preserve">Waunakee Community School District</x:t>
        </x:is>
      </x:c>
      <x:c r="B1332" s="17" t="inlineStr">
        <x:is>
          <x:t xml:space="preserve">WI</x:t>
        </x:is>
      </x:c>
      <x:c r="C1332" s="17" t="inlineStr">
        <x:is>
          <x:t xml:space="preserve">Bachelor's</x:t>
        </x:is>
      </x:c>
      <x:c r="D1332" s="40" t="n">
        <x:v>10</x:v>
      </x:c>
      <x:c r="E1332" s="38" t="n">
        <x:v>72000</x:v>
      </x:c>
      <x:c r="F1332" s="17" t="inlineStr">
        <x:is>
          <x:t xml:space="preserve">2026-06-15</x:t>
        </x:is>
      </x:c>
    </x:row>
    <x:row r="1333" ht="20" customHeight="1">
      <x:c r="A1333" s="17" t="inlineStr">
        <x:is>
          <x:t xml:space="preserve">Waunakee Community School District</x:t>
        </x:is>
      </x:c>
      <x:c r="B1333" s="17" t="inlineStr">
        <x:is>
          <x:t xml:space="preserve">WI</x:t>
        </x:is>
      </x:c>
      <x:c r="C1333" s="17" t="inlineStr">
        <x:is>
          <x:t xml:space="preserve">Master's</x:t>
        </x:is>
      </x:c>
      <x:c r="D1333" s="40" t="n">
        <x:v>0</x:v>
      </x:c>
      <x:c r="E1333" s="38" t="n">
        <x:v>56000</x:v>
      </x:c>
      <x:c r="F1333" s="17" t="inlineStr">
        <x:is>
          <x:t xml:space="preserve">2026-06-15</x:t>
        </x:is>
      </x:c>
    </x:row>
    <x:row r="1334" ht="20" customHeight="1">
      <x:c r="A1334" s="17" t="inlineStr">
        <x:is>
          <x:t xml:space="preserve">Waunakee Community School District</x:t>
        </x:is>
      </x:c>
      <x:c r="B1334" s="17" t="inlineStr">
        <x:is>
          <x:t xml:space="preserve">WI</x:t>
        </x:is>
      </x:c>
      <x:c r="C1334" s="17" t="inlineStr">
        <x:is>
          <x:t xml:space="preserve">Master's</x:t>
        </x:is>
      </x:c>
      <x:c r="D1334" s="40" t="n">
        <x:v>1</x:v>
      </x:c>
      <x:c r="E1334" s="38" t="n">
        <x:v>57800</x:v>
      </x:c>
      <x:c r="F1334" s="17" t="inlineStr">
        <x:is>
          <x:t xml:space="preserve">2026-06-15</x:t>
        </x:is>
      </x:c>
    </x:row>
    <x:row r="1335" ht="20" customHeight="1">
      <x:c r="A1335" s="17" t="inlineStr">
        <x:is>
          <x:t xml:space="preserve">Waunakee Community School District</x:t>
        </x:is>
      </x:c>
      <x:c r="B1335" s="17" t="inlineStr">
        <x:is>
          <x:t xml:space="preserve">WI</x:t>
        </x:is>
      </x:c>
      <x:c r="C1335" s="17" t="inlineStr">
        <x:is>
          <x:t xml:space="preserve">Master's</x:t>
        </x:is>
      </x:c>
      <x:c r="D1335" s="40" t="n">
        <x:v>2</x:v>
      </x:c>
      <x:c r="E1335" s="38" t="n">
        <x:v>59600</x:v>
      </x:c>
      <x:c r="F1335" s="17" t="inlineStr">
        <x:is>
          <x:t xml:space="preserve">2026-06-15</x:t>
        </x:is>
      </x:c>
    </x:row>
    <x:row r="1336" ht="20" customHeight="1">
      <x:c r="A1336" s="17" t="inlineStr">
        <x:is>
          <x:t xml:space="preserve">Waunakee Community School District</x:t>
        </x:is>
      </x:c>
      <x:c r="B1336" s="17" t="inlineStr">
        <x:is>
          <x:t xml:space="preserve">WI</x:t>
        </x:is>
      </x:c>
      <x:c r="C1336" s="17" t="inlineStr">
        <x:is>
          <x:t xml:space="preserve">Master's</x:t>
        </x:is>
      </x:c>
      <x:c r="D1336" s="40" t="n">
        <x:v>3</x:v>
      </x:c>
      <x:c r="E1336" s="38" t="n">
        <x:v>61400</x:v>
      </x:c>
      <x:c r="F1336" s="17" t="inlineStr">
        <x:is>
          <x:t xml:space="preserve">2026-06-15</x:t>
        </x:is>
      </x:c>
    </x:row>
    <x:row r="1337" ht="20" customHeight="1">
      <x:c r="A1337" s="17" t="inlineStr">
        <x:is>
          <x:t xml:space="preserve">Waunakee Community School District</x:t>
        </x:is>
      </x:c>
      <x:c r="B1337" s="17" t="inlineStr">
        <x:is>
          <x:t xml:space="preserve">WI</x:t>
        </x:is>
      </x:c>
      <x:c r="C1337" s="17" t="inlineStr">
        <x:is>
          <x:t xml:space="preserve">Master's</x:t>
        </x:is>
      </x:c>
      <x:c r="D1337" s="40" t="n">
        <x:v>4</x:v>
      </x:c>
      <x:c r="E1337" s="38" t="n">
        <x:v>63200</x:v>
      </x:c>
      <x:c r="F1337" s="17" t="inlineStr">
        <x:is>
          <x:t xml:space="preserve">2026-06-15</x:t>
        </x:is>
      </x:c>
    </x:row>
    <x:row r="1338" ht="20" customHeight="1">
      <x:c r="A1338" s="17" t="inlineStr">
        <x:is>
          <x:t xml:space="preserve">Waunakee Community School District</x:t>
        </x:is>
      </x:c>
      <x:c r="B1338" s="17" t="inlineStr">
        <x:is>
          <x:t xml:space="preserve">WI</x:t>
        </x:is>
      </x:c>
      <x:c r="C1338" s="17" t="inlineStr">
        <x:is>
          <x:t xml:space="preserve">Master's</x:t>
        </x:is>
      </x:c>
      <x:c r="D1338" s="40" t="n">
        <x:v>5</x:v>
      </x:c>
      <x:c r="E1338" s="38" t="n">
        <x:v>65000</x:v>
      </x:c>
      <x:c r="F1338" s="17" t="inlineStr">
        <x:is>
          <x:t xml:space="preserve">2026-06-15</x:t>
        </x:is>
      </x:c>
    </x:row>
    <x:row r="1339" ht="20" customHeight="1">
      <x:c r="A1339" s="17" t="inlineStr">
        <x:is>
          <x:t xml:space="preserve">Waunakee Community School District</x:t>
        </x:is>
      </x:c>
      <x:c r="B1339" s="17" t="inlineStr">
        <x:is>
          <x:t xml:space="preserve">WI</x:t>
        </x:is>
      </x:c>
      <x:c r="C1339" s="17" t="inlineStr">
        <x:is>
          <x:t xml:space="preserve">Master's</x:t>
        </x:is>
      </x:c>
      <x:c r="D1339" s="40" t="n">
        <x:v>6</x:v>
      </x:c>
      <x:c r="E1339" s="38" t="n">
        <x:v>67600</x:v>
      </x:c>
      <x:c r="F1339" s="17" t="inlineStr">
        <x:is>
          <x:t xml:space="preserve">2026-06-15</x:t>
        </x:is>
      </x:c>
    </x:row>
    <x:row r="1340" ht="20" customHeight="1">
      <x:c r="A1340" s="17" t="inlineStr">
        <x:is>
          <x:t xml:space="preserve">Waunakee Community School District</x:t>
        </x:is>
      </x:c>
      <x:c r="B1340" s="17" t="inlineStr">
        <x:is>
          <x:t xml:space="preserve">WI</x:t>
        </x:is>
      </x:c>
      <x:c r="C1340" s="17" t="inlineStr">
        <x:is>
          <x:t xml:space="preserve">Master's</x:t>
        </x:is>
      </x:c>
      <x:c r="D1340" s="40" t="n">
        <x:v>7</x:v>
      </x:c>
      <x:c r="E1340" s="38" t="n">
        <x:v>70200</x:v>
      </x:c>
      <x:c r="F1340" s="17" t="inlineStr">
        <x:is>
          <x:t xml:space="preserve">2026-06-15</x:t>
        </x:is>
      </x:c>
    </x:row>
    <x:row r="1341" ht="20" customHeight="1">
      <x:c r="A1341" s="17" t="inlineStr">
        <x:is>
          <x:t xml:space="preserve">Waunakee Community School District</x:t>
        </x:is>
      </x:c>
      <x:c r="B1341" s="17" t="inlineStr">
        <x:is>
          <x:t xml:space="preserve">WI</x:t>
        </x:is>
      </x:c>
      <x:c r="C1341" s="17" t="inlineStr">
        <x:is>
          <x:t xml:space="preserve">Master's</x:t>
        </x:is>
      </x:c>
      <x:c r="D1341" s="40" t="n">
        <x:v>8</x:v>
      </x:c>
      <x:c r="E1341" s="38" t="n">
        <x:v>72800</x:v>
      </x:c>
      <x:c r="F1341" s="17" t="inlineStr">
        <x:is>
          <x:t xml:space="preserve">2026-06-15</x:t>
        </x:is>
      </x:c>
    </x:row>
    <x:row r="1342" ht="20" customHeight="1">
      <x:c r="A1342" s="17" t="inlineStr">
        <x:is>
          <x:t xml:space="preserve">Waunakee Community School District</x:t>
        </x:is>
      </x:c>
      <x:c r="B1342" s="17" t="inlineStr">
        <x:is>
          <x:t xml:space="preserve">WI</x:t>
        </x:is>
      </x:c>
      <x:c r="C1342" s="17" t="inlineStr">
        <x:is>
          <x:t xml:space="preserve">Master's</x:t>
        </x:is>
      </x:c>
      <x:c r="D1342" s="40" t="n">
        <x:v>9</x:v>
      </x:c>
      <x:c r="E1342" s="38" t="n">
        <x:v>75400</x:v>
      </x:c>
      <x:c r="F1342" s="17" t="inlineStr">
        <x:is>
          <x:t xml:space="preserve">2026-06-15</x:t>
        </x:is>
      </x:c>
    </x:row>
    <x:row r="1343" ht="20" customHeight="1">
      <x:c r="A1343" s="17" t="inlineStr">
        <x:is>
          <x:t xml:space="preserve">Waunakee Community School District</x:t>
        </x:is>
      </x:c>
      <x:c r="B1343" s="17" t="inlineStr">
        <x:is>
          <x:t xml:space="preserve">WI</x:t>
        </x:is>
      </x:c>
      <x:c r="C1343" s="17" t="inlineStr">
        <x:is>
          <x:t xml:space="preserve">Master's</x:t>
        </x:is>
      </x:c>
      <x:c r="D1343" s="40" t="n">
        <x:v>10</x:v>
      </x:c>
      <x:c r="E1343" s="38" t="n">
        <x:v>78000</x:v>
      </x:c>
      <x:c r="F1343" s="17" t="inlineStr">
        <x:is>
          <x:t xml:space="preserve">2026-06-15</x:t>
        </x:is>
      </x:c>
    </x:row>
    <x:row r="1344" ht="20" customHeight="1">
      <x:c r="A1344" t="inlineStr">
        <x:is>
          <x:t xml:space="preserve">Wayzata Public Schools</x:t>
        </x:is>
      </x:c>
      <x:c r="B1344" t="inlineStr">
        <x:is>
          <x:t xml:space="preserve">MN</x:t>
        </x:is>
      </x:c>
      <x:c r="C1344" t="inlineStr">
        <x:is>
          <x:t xml:space="preserve">Bachelor's</x:t>
        </x:is>
      </x:c>
      <x:c r="D1344" t="n">
        <x:v>0</x:v>
      </x:c>
      <x:c r="E1344" s="1" t="n">
        <x:v>52308</x:v>
      </x:c>
      <x:c r="F1344" t="inlineStr">
        <x:is>
          <x:t xml:space="preserve">2026-06-16</x:t>
        </x:is>
      </x:c>
    </x:row>
    <x:row r="1345" ht="20" customHeight="1">
      <x:c r="A1345" t="inlineStr">
        <x:is>
          <x:t xml:space="preserve">Wayzata Public Schools</x:t>
        </x:is>
      </x:c>
      <x:c r="B1345" t="inlineStr">
        <x:is>
          <x:t xml:space="preserve">MN</x:t>
        </x:is>
      </x:c>
      <x:c r="C1345" t="inlineStr">
        <x:is>
          <x:t xml:space="preserve">Bachelor's</x:t>
        </x:is>
      </x:c>
      <x:c r="D1345" t="n">
        <x:v>1</x:v>
      </x:c>
      <x:c r="E1345" s="1" t="n">
        <x:v>55053</x:v>
      </x:c>
      <x:c r="F1345" t="inlineStr">
        <x:is>
          <x:t xml:space="preserve">2026-06-16</x:t>
        </x:is>
      </x:c>
    </x:row>
    <x:row r="1346" ht="20" customHeight="1">
      <x:c r="A1346" t="inlineStr">
        <x:is>
          <x:t xml:space="preserve">Wayzata Public Schools</x:t>
        </x:is>
      </x:c>
      <x:c r="B1346" t="inlineStr">
        <x:is>
          <x:t xml:space="preserve">MN</x:t>
        </x:is>
      </x:c>
      <x:c r="C1346" t="inlineStr">
        <x:is>
          <x:t xml:space="preserve">Bachelor's</x:t>
        </x:is>
      </x:c>
      <x:c r="D1346" t="n">
        <x:v>2</x:v>
      </x:c>
      <x:c r="E1346" s="1" t="n">
        <x:v>57798</x:v>
      </x:c>
      <x:c r="F1346" t="inlineStr">
        <x:is>
          <x:t xml:space="preserve">2026-06-16</x:t>
        </x:is>
      </x:c>
    </x:row>
    <x:row r="1347" ht="20" customHeight="1">
      <x:c r="A1347" t="inlineStr">
        <x:is>
          <x:t xml:space="preserve">Wayzata Public Schools</x:t>
        </x:is>
      </x:c>
      <x:c r="B1347" t="inlineStr">
        <x:is>
          <x:t xml:space="preserve">MN</x:t>
        </x:is>
      </x:c>
      <x:c r="C1347" t="inlineStr">
        <x:is>
          <x:t xml:space="preserve">Bachelor's</x:t>
        </x:is>
      </x:c>
      <x:c r="D1347" t="n">
        <x:v>3</x:v>
      </x:c>
      <x:c r="E1347" s="1" t="n">
        <x:v>60543</x:v>
      </x:c>
      <x:c r="F1347" t="inlineStr">
        <x:is>
          <x:t xml:space="preserve">2026-06-16</x:t>
        </x:is>
      </x:c>
    </x:row>
    <x:row r="1348" ht="20" customHeight="1">
      <x:c r="A1348" t="inlineStr">
        <x:is>
          <x:t xml:space="preserve">Wayzata Public Schools</x:t>
        </x:is>
      </x:c>
      <x:c r="B1348" t="inlineStr">
        <x:is>
          <x:t xml:space="preserve">MN</x:t>
        </x:is>
      </x:c>
      <x:c r="C1348" t="inlineStr">
        <x:is>
          <x:t xml:space="preserve">Bachelor's</x:t>
        </x:is>
      </x:c>
      <x:c r="D1348" t="n">
        <x:v>4</x:v>
      </x:c>
      <x:c r="E1348" s="1" t="n">
        <x:v>63288</x:v>
      </x:c>
      <x:c r="F1348" t="inlineStr">
        <x:is>
          <x:t xml:space="preserve">2026-06-16</x:t>
        </x:is>
      </x:c>
    </x:row>
    <x:row r="1349" ht="20" customHeight="1">
      <x:c r="A1349" t="inlineStr">
        <x:is>
          <x:t xml:space="preserve">Wayzata Public Schools</x:t>
        </x:is>
      </x:c>
      <x:c r="B1349" t="inlineStr">
        <x:is>
          <x:t xml:space="preserve">MN</x:t>
        </x:is>
      </x:c>
      <x:c r="C1349" t="inlineStr">
        <x:is>
          <x:t xml:space="preserve">Bachelor's</x:t>
        </x:is>
      </x:c>
      <x:c r="D1349" t="n">
        <x:v>5</x:v>
      </x:c>
      <x:c r="E1349" s="1" t="n">
        <x:v>66033</x:v>
      </x:c>
      <x:c r="F1349" t="inlineStr">
        <x:is>
          <x:t xml:space="preserve">2026-06-16</x:t>
        </x:is>
      </x:c>
    </x:row>
    <x:row r="1350" ht="20" customHeight="1">
      <x:c r="A1350" t="inlineStr">
        <x:is>
          <x:t xml:space="preserve">Wayzata Public Schools</x:t>
        </x:is>
      </x:c>
      <x:c r="B1350" t="inlineStr">
        <x:is>
          <x:t xml:space="preserve">MN</x:t>
        </x:is>
      </x:c>
      <x:c r="C1350" t="inlineStr">
        <x:is>
          <x:t xml:space="preserve">Bachelor's</x:t>
        </x:is>
      </x:c>
      <x:c r="D1350" t="n">
        <x:v>6</x:v>
      </x:c>
      <x:c r="E1350" s="1" t="n">
        <x:v>68778</x:v>
      </x:c>
      <x:c r="F1350" t="inlineStr">
        <x:is>
          <x:t xml:space="preserve">2026-06-16</x:t>
        </x:is>
      </x:c>
    </x:row>
    <x:row r="1351" ht="20" customHeight="1">
      <x:c r="A1351" t="inlineStr">
        <x:is>
          <x:t xml:space="preserve">Wayzata Public Schools</x:t>
        </x:is>
      </x:c>
      <x:c r="B1351" t="inlineStr">
        <x:is>
          <x:t xml:space="preserve">MN</x:t>
        </x:is>
      </x:c>
      <x:c r="C1351" t="inlineStr">
        <x:is>
          <x:t xml:space="preserve">Bachelor's</x:t>
        </x:is>
      </x:c>
      <x:c r="D1351" t="n">
        <x:v>7</x:v>
      </x:c>
      <x:c r="E1351" s="1" t="n">
        <x:v>71523</x:v>
      </x:c>
      <x:c r="F1351" t="inlineStr">
        <x:is>
          <x:t xml:space="preserve">2026-06-16</x:t>
        </x:is>
      </x:c>
    </x:row>
    <x:row r="1352" ht="20" customHeight="1">
      <x:c r="A1352" t="inlineStr">
        <x:is>
          <x:t xml:space="preserve">Wayzata Public Schools</x:t>
        </x:is>
      </x:c>
      <x:c r="B1352" t="inlineStr">
        <x:is>
          <x:t xml:space="preserve">MN</x:t>
        </x:is>
      </x:c>
      <x:c r="C1352" t="inlineStr">
        <x:is>
          <x:t xml:space="preserve">Bachelor's</x:t>
        </x:is>
      </x:c>
      <x:c r="D1352" t="n">
        <x:v>8</x:v>
      </x:c>
      <x:c r="E1352" s="1" t="n">
        <x:v>74268</x:v>
      </x:c>
      <x:c r="F1352" t="inlineStr">
        <x:is>
          <x:t xml:space="preserve">2026-06-16</x:t>
        </x:is>
      </x:c>
    </x:row>
    <x:row r="1353" ht="20" customHeight="1">
      <x:c r="A1353" t="inlineStr">
        <x:is>
          <x:t xml:space="preserve">Wayzata Public Schools</x:t>
        </x:is>
      </x:c>
      <x:c r="B1353" t="inlineStr">
        <x:is>
          <x:t xml:space="preserve">MN</x:t>
        </x:is>
      </x:c>
      <x:c r="C1353" t="inlineStr">
        <x:is>
          <x:t xml:space="preserve">Bachelor's</x:t>
        </x:is>
      </x:c>
      <x:c r="D1353" t="n">
        <x:v>9</x:v>
      </x:c>
      <x:c r="E1353" s="1" t="n">
        <x:v>77013</x:v>
      </x:c>
      <x:c r="F1353" t="inlineStr">
        <x:is>
          <x:t xml:space="preserve">2026-06-16</x:t>
        </x:is>
      </x:c>
    </x:row>
    <x:row r="1354" ht="20" customHeight="1">
      <x:c r="A1354" t="inlineStr">
        <x:is>
          <x:t xml:space="preserve">Wayzata Public Schools</x:t>
        </x:is>
      </x:c>
      <x:c r="B1354" t="inlineStr">
        <x:is>
          <x:t xml:space="preserve">MN</x:t>
        </x:is>
      </x:c>
      <x:c r="C1354" t="inlineStr">
        <x:is>
          <x:t xml:space="preserve">Bachelor's</x:t>
        </x:is>
      </x:c>
      <x:c r="D1354" t="n">
        <x:v>10</x:v>
      </x:c>
      <x:c r="E1354" s="1" t="n">
        <x:v>79758</x:v>
      </x:c>
      <x:c r="F1354" t="inlineStr">
        <x:is>
          <x:t xml:space="preserve">2026-06-16</x:t>
        </x:is>
      </x:c>
    </x:row>
    <x:row r="1355" ht="20" customHeight="1">
      <x:c r="A1355" t="inlineStr">
        <x:is>
          <x:t xml:space="preserve">Wayzata Public Schools</x:t>
        </x:is>
      </x:c>
      <x:c r="B1355" t="inlineStr">
        <x:is>
          <x:t xml:space="preserve">MN</x:t>
        </x:is>
      </x:c>
      <x:c r="C1355" t="inlineStr">
        <x:is>
          <x:t xml:space="preserve">Master's</x:t>
        </x:is>
      </x:c>
      <x:c r="D1355" t="n">
        <x:v>0</x:v>
      </x:c>
      <x:c r="E1355" s="1" t="n">
        <x:v>64000</x:v>
      </x:c>
      <x:c r="F1355" t="inlineStr">
        <x:is>
          <x:t xml:space="preserve">2026-06-16</x:t>
        </x:is>
      </x:c>
    </x:row>
    <x:row r="1356" ht="20" customHeight="1">
      <x:c r="A1356" t="inlineStr">
        <x:is>
          <x:t xml:space="preserve">Wayzata Public Schools</x:t>
        </x:is>
      </x:c>
      <x:c r="B1356" t="inlineStr">
        <x:is>
          <x:t xml:space="preserve">MN</x:t>
        </x:is>
      </x:c>
      <x:c r="C1356" t="inlineStr">
        <x:is>
          <x:t xml:space="preserve">Master's</x:t>
        </x:is>
      </x:c>
      <x:c r="D1356" t="n">
        <x:v>1</x:v>
      </x:c>
      <x:c r="E1356" s="1" t="n">
        <x:v>67000</x:v>
      </x:c>
      <x:c r="F1356" t="inlineStr">
        <x:is>
          <x:t xml:space="preserve">2026-06-16</x:t>
        </x:is>
      </x:c>
    </x:row>
    <x:row r="1357" ht="20" customHeight="1">
      <x:c r="A1357" t="inlineStr">
        <x:is>
          <x:t xml:space="preserve">Wayzata Public Schools</x:t>
        </x:is>
      </x:c>
      <x:c r="B1357" t="inlineStr">
        <x:is>
          <x:t xml:space="preserve">MN</x:t>
        </x:is>
      </x:c>
      <x:c r="C1357" t="inlineStr">
        <x:is>
          <x:t xml:space="preserve">Master's</x:t>
        </x:is>
      </x:c>
      <x:c r="D1357" t="n">
        <x:v>2</x:v>
      </x:c>
      <x:c r="E1357" s="1" t="n">
        <x:v>70000</x:v>
      </x:c>
      <x:c r="F1357" t="inlineStr">
        <x:is>
          <x:t xml:space="preserve">2026-06-16</x:t>
        </x:is>
      </x:c>
    </x:row>
    <x:row r="1358" ht="20" customHeight="1">
      <x:c r="A1358" t="inlineStr">
        <x:is>
          <x:t xml:space="preserve">Wayzata Public Schools</x:t>
        </x:is>
      </x:c>
      <x:c r="B1358" t="inlineStr">
        <x:is>
          <x:t xml:space="preserve">MN</x:t>
        </x:is>
      </x:c>
      <x:c r="C1358" t="inlineStr">
        <x:is>
          <x:t xml:space="preserve">Master's</x:t>
        </x:is>
      </x:c>
      <x:c r="D1358" t="n">
        <x:v>3</x:v>
      </x:c>
      <x:c r="E1358" s="1" t="n">
        <x:v>73000</x:v>
      </x:c>
      <x:c r="F1358" t="inlineStr">
        <x:is>
          <x:t xml:space="preserve">2026-06-16</x:t>
        </x:is>
      </x:c>
    </x:row>
    <x:row r="1359" ht="20" customHeight="1">
      <x:c r="A1359" t="inlineStr">
        <x:is>
          <x:t xml:space="preserve">Wayzata Public Schools</x:t>
        </x:is>
      </x:c>
      <x:c r="B1359" t="inlineStr">
        <x:is>
          <x:t xml:space="preserve">MN</x:t>
        </x:is>
      </x:c>
      <x:c r="C1359" t="inlineStr">
        <x:is>
          <x:t xml:space="preserve">Master's</x:t>
        </x:is>
      </x:c>
      <x:c r="D1359" t="n">
        <x:v>4</x:v>
      </x:c>
      <x:c r="E1359" s="1" t="n">
        <x:v>76000</x:v>
      </x:c>
      <x:c r="F1359" t="inlineStr">
        <x:is>
          <x:t xml:space="preserve">2026-06-16</x:t>
        </x:is>
      </x:c>
    </x:row>
    <x:row r="1360" ht="20" customHeight="1">
      <x:c r="A1360" t="inlineStr">
        <x:is>
          <x:t xml:space="preserve">Wayzata Public Schools</x:t>
        </x:is>
      </x:c>
      <x:c r="B1360" t="inlineStr">
        <x:is>
          <x:t xml:space="preserve">MN</x:t>
        </x:is>
      </x:c>
      <x:c r="C1360" t="inlineStr">
        <x:is>
          <x:t xml:space="preserve">Master's</x:t>
        </x:is>
      </x:c>
      <x:c r="D1360" t="n">
        <x:v>5</x:v>
      </x:c>
      <x:c r="E1360" s="1" t="n">
        <x:v>79000</x:v>
      </x:c>
      <x:c r="F1360" t="inlineStr">
        <x:is>
          <x:t xml:space="preserve">2026-06-16</x:t>
        </x:is>
      </x:c>
    </x:row>
    <x:row r="1361" ht="20" customHeight="1">
      <x:c r="A1361" t="inlineStr">
        <x:is>
          <x:t xml:space="preserve">Wayzata Public Schools</x:t>
        </x:is>
      </x:c>
      <x:c r="B1361" t="inlineStr">
        <x:is>
          <x:t xml:space="preserve">MN</x:t>
        </x:is>
      </x:c>
      <x:c r="C1361" t="inlineStr">
        <x:is>
          <x:t xml:space="preserve">Master's</x:t>
        </x:is>
      </x:c>
      <x:c r="D1361" t="n">
        <x:v>6</x:v>
      </x:c>
      <x:c r="E1361" s="1" t="n">
        <x:v>82000</x:v>
      </x:c>
      <x:c r="F1361" t="inlineStr">
        <x:is>
          <x:t xml:space="preserve">2026-06-16</x:t>
        </x:is>
      </x:c>
    </x:row>
    <x:row r="1362" ht="20" customHeight="1">
      <x:c r="A1362" t="inlineStr">
        <x:is>
          <x:t xml:space="preserve">Wayzata Public Schools</x:t>
        </x:is>
      </x:c>
      <x:c r="B1362" t="inlineStr">
        <x:is>
          <x:t xml:space="preserve">MN</x:t>
        </x:is>
      </x:c>
      <x:c r="C1362" t="inlineStr">
        <x:is>
          <x:t xml:space="preserve">Master's</x:t>
        </x:is>
      </x:c>
      <x:c r="D1362" t="n">
        <x:v>7</x:v>
      </x:c>
      <x:c r="E1362" s="1" t="n">
        <x:v>85000</x:v>
      </x:c>
      <x:c r="F1362" t="inlineStr">
        <x:is>
          <x:t xml:space="preserve">2026-06-16</x:t>
        </x:is>
      </x:c>
    </x:row>
    <x:row r="1363" ht="20" customHeight="1">
      <x:c r="A1363" t="inlineStr">
        <x:is>
          <x:t xml:space="preserve">Wayzata Public Schools</x:t>
        </x:is>
      </x:c>
      <x:c r="B1363" t="inlineStr">
        <x:is>
          <x:t xml:space="preserve">MN</x:t>
        </x:is>
      </x:c>
      <x:c r="C1363" t="inlineStr">
        <x:is>
          <x:t xml:space="preserve">Master's</x:t>
        </x:is>
      </x:c>
      <x:c r="D1363" t="n">
        <x:v>8</x:v>
      </x:c>
      <x:c r="E1363" s="1" t="n">
        <x:v>88000</x:v>
      </x:c>
      <x:c r="F1363" t="inlineStr">
        <x:is>
          <x:t xml:space="preserve">2026-06-16</x:t>
        </x:is>
      </x:c>
    </x:row>
    <x:row r="1364" ht="20" customHeight="1">
      <x:c r="A1364" t="inlineStr">
        <x:is>
          <x:t xml:space="preserve">Wayzata Public Schools</x:t>
        </x:is>
      </x:c>
      <x:c r="B1364" t="inlineStr">
        <x:is>
          <x:t xml:space="preserve">MN</x:t>
        </x:is>
      </x:c>
      <x:c r="C1364" t="inlineStr">
        <x:is>
          <x:t xml:space="preserve">Master's</x:t>
        </x:is>
      </x:c>
      <x:c r="D1364" t="n">
        <x:v>9</x:v>
      </x:c>
      <x:c r="E1364" s="1" t="n">
        <x:v>91000</x:v>
      </x:c>
      <x:c r="F1364" t="inlineStr">
        <x:is>
          <x:t xml:space="preserve">2026-06-16</x:t>
        </x:is>
      </x:c>
    </x:row>
    <x:row r="1365" ht="20" customHeight="1">
      <x:c r="A1365" t="inlineStr">
        <x:is>
          <x:t xml:space="preserve">Wayzata Public Schools</x:t>
        </x:is>
      </x:c>
      <x:c r="B1365" t="inlineStr">
        <x:is>
          <x:t xml:space="preserve">MN</x:t>
        </x:is>
      </x:c>
      <x:c r="C1365" t="inlineStr">
        <x:is>
          <x:t xml:space="preserve">Master's</x:t>
        </x:is>
      </x:c>
      <x:c r="D1365" t="n">
        <x:v>10</x:v>
      </x:c>
      <x:c r="E1365" s="1" t="n">
        <x:v>94000</x:v>
      </x:c>
      <x:c r="F1365" t="inlineStr">
        <x:is>
          <x:t xml:space="preserve">2026-06-16</x:t>
        </x:is>
      </x:c>
    </x:row>
    <x:row r="1366" ht="20" customHeight="1">
      <x:c r="A1366" s="16" t="inlineStr">
        <x:is>
          <x:t xml:space="preserve">West Des Moines Community Schools</x:t>
        </x:is>
      </x:c>
      <x:c r="B1366" s="16" t="inlineStr">
        <x:is>
          <x:t xml:space="preserve">IA</x:t>
        </x:is>
      </x:c>
      <x:c r="C1366" s="16" t="inlineStr">
        <x:is>
          <x:t xml:space="preserve">Bachelor's</x:t>
        </x:is>
      </x:c>
      <x:c r="D1366" s="39" t="n">
        <x:v>0</x:v>
      </x:c>
      <x:c r="E1366" s="37" t="n">
        <x:v>51584</x:v>
      </x:c>
      <x:c r="F1366" s="16" t="inlineStr">
        <x:is>
          <x:t xml:space="preserve">2026-06-13</x:t>
        </x:is>
      </x:c>
    </x:row>
    <x:row r="1367" ht="20" customHeight="1">
      <x:c r="A1367" s="16" t="inlineStr">
        <x:is>
          <x:t xml:space="preserve">West Des Moines Community Schools</x:t>
        </x:is>
      </x:c>
      <x:c r="B1367" s="16" t="inlineStr">
        <x:is>
          <x:t xml:space="preserve">IA</x:t>
        </x:is>
      </x:c>
      <x:c r="C1367" s="16" t="inlineStr">
        <x:is>
          <x:t xml:space="preserve">Bachelor's</x:t>
        </x:is>
      </x:c>
      <x:c r="D1367" s="39" t="n">
        <x:v>1</x:v>
      </x:c>
      <x:c r="E1367" s="37" t="n">
        <x:v>52037</x:v>
      </x:c>
      <x:c r="F1367" s="16" t="inlineStr">
        <x:is>
          <x:t xml:space="preserve">2026-06-13</x:t>
        </x:is>
      </x:c>
    </x:row>
    <x:row r="1368" ht="20" customHeight="1">
      <x:c r="A1368" s="16" t="inlineStr">
        <x:is>
          <x:t xml:space="preserve">West Des Moines Community Schools</x:t>
        </x:is>
      </x:c>
      <x:c r="B1368" s="16" t="inlineStr">
        <x:is>
          <x:t xml:space="preserve">IA</x:t>
        </x:is>
      </x:c>
      <x:c r="C1368" s="16" t="inlineStr">
        <x:is>
          <x:t xml:space="preserve">Bachelor's</x:t>
        </x:is>
      </x:c>
      <x:c r="D1368" s="39" t="n">
        <x:v>2</x:v>
      </x:c>
      <x:c r="E1368" s="37" t="n">
        <x:v>52489</x:v>
      </x:c>
      <x:c r="F1368" s="16" t="inlineStr">
        <x:is>
          <x:t xml:space="preserve">2026-06-13</x:t>
        </x:is>
      </x:c>
    </x:row>
    <x:row r="1369" ht="20" customHeight="1">
      <x:c r="A1369" s="16" t="inlineStr">
        <x:is>
          <x:t xml:space="preserve">West Des Moines Community Schools</x:t>
        </x:is>
      </x:c>
      <x:c r="B1369" s="16" t="inlineStr">
        <x:is>
          <x:t xml:space="preserve">IA</x:t>
        </x:is>
      </x:c>
      <x:c r="C1369" s="16" t="inlineStr">
        <x:is>
          <x:t xml:space="preserve">Bachelor's</x:t>
        </x:is>
      </x:c>
      <x:c r="D1369" s="39" t="n">
        <x:v>3</x:v>
      </x:c>
      <x:c r="E1369" s="37" t="n">
        <x:v>53224</x:v>
      </x:c>
      <x:c r="F1369" s="16" t="inlineStr">
        <x:is>
          <x:t xml:space="preserve">2026-06-13</x:t>
        </x:is>
      </x:c>
    </x:row>
    <x:row r="1370" ht="20" customHeight="1">
      <x:c r="A1370" s="16" t="inlineStr">
        <x:is>
          <x:t xml:space="preserve">West Des Moines Community Schools</x:t>
        </x:is>
      </x:c>
      <x:c r="B1370" s="16" t="inlineStr">
        <x:is>
          <x:t xml:space="preserve">IA</x:t>
        </x:is>
      </x:c>
      <x:c r="C1370" s="16" t="inlineStr">
        <x:is>
          <x:t xml:space="preserve">Bachelor's</x:t>
        </x:is>
      </x:c>
      <x:c r="D1370" s="39" t="n">
        <x:v>4</x:v>
      </x:c>
      <x:c r="E1370" s="37" t="n">
        <x:v>53968</x:v>
      </x:c>
      <x:c r="F1370" s="16" t="inlineStr">
        <x:is>
          <x:t xml:space="preserve">2026-06-13</x:t>
        </x:is>
      </x:c>
    </x:row>
    <x:row r="1371" ht="20" customHeight="1">
      <x:c r="A1371" s="16" t="inlineStr">
        <x:is>
          <x:t xml:space="preserve">West Des Moines Community Schools</x:t>
        </x:is>
      </x:c>
      <x:c r="B1371" s="16" t="inlineStr">
        <x:is>
          <x:t xml:space="preserve">IA</x:t>
        </x:is>
      </x:c>
      <x:c r="C1371" s="16" t="inlineStr">
        <x:is>
          <x:t xml:space="preserve">Bachelor's</x:t>
        </x:is>
      </x:c>
      <x:c r="D1371" s="39" t="n">
        <x:v>5</x:v>
      </x:c>
      <x:c r="E1371" s="37" t="n">
        <x:v>55017</x:v>
      </x:c>
      <x:c r="F1371" s="16" t="inlineStr">
        <x:is>
          <x:t xml:space="preserve">2026-06-13</x:t>
        </x:is>
      </x:c>
    </x:row>
    <x:row r="1372" ht="20" customHeight="1">
      <x:c r="A1372" s="16" t="inlineStr">
        <x:is>
          <x:t xml:space="preserve">West Des Moines Community Schools</x:t>
        </x:is>
      </x:c>
      <x:c r="B1372" s="16" t="inlineStr">
        <x:is>
          <x:t xml:space="preserve">IA</x:t>
        </x:is>
      </x:c>
      <x:c r="C1372" s="16" t="inlineStr">
        <x:is>
          <x:t xml:space="preserve">Bachelor's</x:t>
        </x:is>
      </x:c>
      <x:c r="D1372" s="39" t="n">
        <x:v>6</x:v>
      </x:c>
      <x:c r="E1372" s="37" t="n">
        <x:v>56010</x:v>
      </x:c>
      <x:c r="F1372" s="16" t="inlineStr">
        <x:is>
          <x:t xml:space="preserve">2026-06-13</x:t>
        </x:is>
      </x:c>
    </x:row>
    <x:row r="1373" ht="20" customHeight="1">
      <x:c r="A1373" s="16" t="inlineStr">
        <x:is>
          <x:t xml:space="preserve">West Des Moines Community Schools</x:t>
        </x:is>
      </x:c>
      <x:c r="B1373" s="16" t="inlineStr">
        <x:is>
          <x:t xml:space="preserve">IA</x:t>
        </x:is>
      </x:c>
      <x:c r="C1373" s="16" t="inlineStr">
        <x:is>
          <x:t xml:space="preserve">Bachelor's</x:t>
        </x:is>
      </x:c>
      <x:c r="D1373" s="39" t="n">
        <x:v>7</x:v>
      </x:c>
      <x:c r="E1373" s="37" t="n">
        <x:v>57418</x:v>
      </x:c>
      <x:c r="F1373" s="16" t="inlineStr">
        <x:is>
          <x:t xml:space="preserve">2026-06-13</x:t>
        </x:is>
      </x:c>
    </x:row>
    <x:row r="1374" ht="20" customHeight="1">
      <x:c r="A1374" s="16" t="inlineStr">
        <x:is>
          <x:t xml:space="preserve">West Des Moines Community Schools</x:t>
        </x:is>
      </x:c>
      <x:c r="B1374" s="16" t="inlineStr">
        <x:is>
          <x:t xml:space="preserve">IA</x:t>
        </x:is>
      </x:c>
      <x:c r="C1374" s="16" t="inlineStr">
        <x:is>
          <x:t xml:space="preserve">Bachelor's</x:t>
        </x:is>
      </x:c>
      <x:c r="D1374" s="39" t="n">
        <x:v>8</x:v>
      </x:c>
      <x:c r="E1374" s="37" t="n">
        <x:v>59001</x:v>
      </x:c>
      <x:c r="F1374" s="16" t="inlineStr">
        <x:is>
          <x:t xml:space="preserve">2026-06-13</x:t>
        </x:is>
      </x:c>
    </x:row>
    <x:row r="1375" ht="20" customHeight="1">
      <x:c r="A1375" s="16" t="inlineStr">
        <x:is>
          <x:t xml:space="preserve">West Des Moines Community Schools</x:t>
        </x:is>
      </x:c>
      <x:c r="B1375" s="16" t="inlineStr">
        <x:is>
          <x:t xml:space="preserve">IA</x:t>
        </x:is>
      </x:c>
      <x:c r="C1375" s="16" t="inlineStr">
        <x:is>
          <x:t xml:space="preserve">Bachelor's</x:t>
        </x:is>
      </x:c>
      <x:c r="D1375" s="39" t="n">
        <x:v>9</x:v>
      </x:c>
      <x:c r="E1375" s="37" t="n">
        <x:v>60582</x:v>
      </x:c>
      <x:c r="F1375" s="16" t="inlineStr">
        <x:is>
          <x:t xml:space="preserve">2026-06-13</x:t>
        </x:is>
      </x:c>
    </x:row>
    <x:row r="1376" ht="20" customHeight="1">
      <x:c r="A1376" s="16" t="inlineStr">
        <x:is>
          <x:t xml:space="preserve">West Des Moines Community Schools</x:t>
        </x:is>
      </x:c>
      <x:c r="B1376" s="16" t="inlineStr">
        <x:is>
          <x:t xml:space="preserve">IA</x:t>
        </x:is>
      </x:c>
      <x:c r="C1376" s="16" t="inlineStr">
        <x:is>
          <x:t xml:space="preserve">Bachelor's</x:t>
        </x:is>
      </x:c>
      <x:c r="D1376" s="39" t="n">
        <x:v>10</x:v>
      </x:c>
      <x:c r="E1376" s="37" t="n">
        <x:v>62175</x:v>
      </x:c>
      <x:c r="F1376" s="16" t="inlineStr">
        <x:is>
          <x:t xml:space="preserve">2026-06-13</x:t>
        </x:is>
      </x:c>
    </x:row>
    <x:row r="1377" ht="20" customHeight="1">
      <x:c r="A1377" s="16" t="inlineStr">
        <x:is>
          <x:t xml:space="preserve">West Des Moines Community Schools</x:t>
        </x:is>
      </x:c>
      <x:c r="B1377" s="16" t="inlineStr">
        <x:is>
          <x:t xml:space="preserve">IA</x:t>
        </x:is>
      </x:c>
      <x:c r="C1377" s="16" t="inlineStr">
        <x:is>
          <x:t xml:space="preserve">Master's</x:t>
        </x:is>
      </x:c>
      <x:c r="D1377" s="39" t="n">
        <x:v>0</x:v>
      </x:c>
      <x:c r="E1377" s="37" t="n">
        <x:v>54411</x:v>
      </x:c>
      <x:c r="F1377" s="16" t="inlineStr">
        <x:is>
          <x:t xml:space="preserve">2026-06-13</x:t>
        </x:is>
      </x:c>
    </x:row>
    <x:row r="1378" ht="20" customHeight="1">
      <x:c r="A1378" s="16" t="inlineStr">
        <x:is>
          <x:t xml:space="preserve">West Des Moines Community Schools</x:t>
        </x:is>
      </x:c>
      <x:c r="B1378" s="16" t="inlineStr">
        <x:is>
          <x:t xml:space="preserve">IA</x:t>
        </x:is>
      </x:c>
      <x:c r="C1378" s="16" t="inlineStr">
        <x:is>
          <x:t xml:space="preserve">Master's</x:t>
        </x:is>
      </x:c>
      <x:c r="D1378" s="39" t="n">
        <x:v>1</x:v>
      </x:c>
      <x:c r="E1378" s="37" t="n">
        <x:v>54863</x:v>
      </x:c>
      <x:c r="F1378" s="16" t="inlineStr">
        <x:is>
          <x:t xml:space="preserve">2026-06-13</x:t>
        </x:is>
      </x:c>
    </x:row>
    <x:row r="1379" ht="20" customHeight="1">
      <x:c r="A1379" s="16" t="inlineStr">
        <x:is>
          <x:t xml:space="preserve">West Des Moines Community Schools</x:t>
        </x:is>
      </x:c>
      <x:c r="B1379" s="16" t="inlineStr">
        <x:is>
          <x:t xml:space="preserve">IA</x:t>
        </x:is>
      </x:c>
      <x:c r="C1379" s="16" t="inlineStr">
        <x:is>
          <x:t xml:space="preserve">Master's</x:t>
        </x:is>
      </x:c>
      <x:c r="D1379" s="39" t="n">
        <x:v>2</x:v>
      </x:c>
      <x:c r="E1379" s="37" t="n">
        <x:v>55315</x:v>
      </x:c>
      <x:c r="F1379" s="16" t="inlineStr">
        <x:is>
          <x:t xml:space="preserve">2026-06-13</x:t>
        </x:is>
      </x:c>
    </x:row>
    <x:row r="1380" ht="20" customHeight="1">
      <x:c r="A1380" s="16" t="inlineStr">
        <x:is>
          <x:t xml:space="preserve">West Des Moines Community Schools</x:t>
        </x:is>
      </x:c>
      <x:c r="B1380" s="16" t="inlineStr">
        <x:is>
          <x:t xml:space="preserve">IA</x:t>
        </x:is>
      </x:c>
      <x:c r="C1380" s="16" t="inlineStr">
        <x:is>
          <x:t xml:space="preserve">Master's</x:t>
        </x:is>
      </x:c>
      <x:c r="D1380" s="39" t="n">
        <x:v>3</x:v>
      </x:c>
      <x:c r="E1380" s="37" t="n">
        <x:v>56096</x:v>
      </x:c>
      <x:c r="F1380" s="16" t="inlineStr">
        <x:is>
          <x:t xml:space="preserve">2026-06-13</x:t>
        </x:is>
      </x:c>
    </x:row>
    <x:row r="1381" ht="20" customHeight="1">
      <x:c r="A1381" s="16" t="inlineStr">
        <x:is>
          <x:t xml:space="preserve">West Des Moines Community Schools</x:t>
        </x:is>
      </x:c>
      <x:c r="B1381" s="16" t="inlineStr">
        <x:is>
          <x:t xml:space="preserve">IA</x:t>
        </x:is>
      </x:c>
      <x:c r="C1381" s="16" t="inlineStr">
        <x:is>
          <x:t xml:space="preserve">Master's</x:t>
        </x:is>
      </x:c>
      <x:c r="D1381" s="39" t="n">
        <x:v>4</x:v>
      </x:c>
      <x:c r="E1381" s="37" t="n">
        <x:v>56892</x:v>
      </x:c>
      <x:c r="F1381" s="16" t="inlineStr">
        <x:is>
          <x:t xml:space="preserve">2026-06-13</x:t>
        </x:is>
      </x:c>
    </x:row>
    <x:row r="1382" ht="20" customHeight="1">
      <x:c r="A1382" s="16" t="inlineStr">
        <x:is>
          <x:t xml:space="preserve">West Des Moines Community Schools</x:t>
        </x:is>
      </x:c>
      <x:c r="B1382" s="16" t="inlineStr">
        <x:is>
          <x:t xml:space="preserve">IA</x:t>
        </x:is>
      </x:c>
      <x:c r="C1382" s="16" t="inlineStr">
        <x:is>
          <x:t xml:space="preserve">Master's</x:t>
        </x:is>
      </x:c>
      <x:c r="D1382" s="39" t="n">
        <x:v>5</x:v>
      </x:c>
      <x:c r="E1382" s="37" t="n">
        <x:v>58011</x:v>
      </x:c>
      <x:c r="F1382" s="16" t="inlineStr">
        <x:is>
          <x:t xml:space="preserve">2026-06-13</x:t>
        </x:is>
      </x:c>
    </x:row>
    <x:row r="1383" ht="20" customHeight="1">
      <x:c r="A1383" s="16" t="inlineStr">
        <x:is>
          <x:t xml:space="preserve">West Des Moines Community Schools</x:t>
        </x:is>
      </x:c>
      <x:c r="B1383" s="16" t="inlineStr">
        <x:is>
          <x:t xml:space="preserve">IA</x:t>
        </x:is>
      </x:c>
      <x:c r="C1383" s="16" t="inlineStr">
        <x:is>
          <x:t xml:space="preserve">Master's</x:t>
        </x:is>
      </x:c>
      <x:c r="D1383" s="39" t="n">
        <x:v>6</x:v>
      </x:c>
      <x:c r="E1383" s="37" t="n">
        <x:v>59067</x:v>
      </x:c>
      <x:c r="F1383" s="16" t="inlineStr">
        <x:is>
          <x:t xml:space="preserve">2026-06-13</x:t>
        </x:is>
      </x:c>
    </x:row>
    <x:row r="1384" ht="20" customHeight="1">
      <x:c r="A1384" s="16" t="inlineStr">
        <x:is>
          <x:t xml:space="preserve">West Des Moines Community Schools</x:t>
        </x:is>
      </x:c>
      <x:c r="B1384" s="16" t="inlineStr">
        <x:is>
          <x:t xml:space="preserve">IA</x:t>
        </x:is>
      </x:c>
      <x:c r="C1384" s="16" t="inlineStr">
        <x:is>
          <x:t xml:space="preserve">Master's</x:t>
        </x:is>
      </x:c>
      <x:c r="D1384" s="39" t="n">
        <x:v>7</x:v>
      </x:c>
      <x:c r="E1384" s="37" t="n">
        <x:v>60554</x:v>
      </x:c>
      <x:c r="F1384" s="16" t="inlineStr">
        <x:is>
          <x:t xml:space="preserve">2026-06-13</x:t>
        </x:is>
      </x:c>
    </x:row>
    <x:row r="1385" ht="20" customHeight="1">
      <x:c r="A1385" s="16" t="inlineStr">
        <x:is>
          <x:t xml:space="preserve">West Des Moines Community Schools</x:t>
        </x:is>
      </x:c>
      <x:c r="B1385" s="16" t="inlineStr">
        <x:is>
          <x:t xml:space="preserve">IA</x:t>
        </x:is>
      </x:c>
      <x:c r="C1385" s="16" t="inlineStr">
        <x:is>
          <x:t xml:space="preserve">Master's</x:t>
        </x:is>
      </x:c>
      <x:c r="D1385" s="39" t="n">
        <x:v>8</x:v>
      </x:c>
      <x:c r="E1385" s="37" t="n">
        <x:v>62202</x:v>
      </x:c>
      <x:c r="F1385" s="16" t="inlineStr">
        <x:is>
          <x:t xml:space="preserve">2026-06-13</x:t>
        </x:is>
      </x:c>
    </x:row>
    <x:row r="1386" ht="20" customHeight="1">
      <x:c r="A1386" s="16" t="inlineStr">
        <x:is>
          <x:t xml:space="preserve">West Des Moines Community Schools</x:t>
        </x:is>
      </x:c>
      <x:c r="B1386" s="16" t="inlineStr">
        <x:is>
          <x:t xml:space="preserve">IA</x:t>
        </x:is>
      </x:c>
      <x:c r="C1386" s="16" t="inlineStr">
        <x:is>
          <x:t xml:space="preserve">Master's</x:t>
        </x:is>
      </x:c>
      <x:c r="D1386" s="39" t="n">
        <x:v>9</x:v>
      </x:c>
      <x:c r="E1386" s="37" t="n">
        <x:v>63855</x:v>
      </x:c>
      <x:c r="F1386" s="16" t="inlineStr">
        <x:is>
          <x:t xml:space="preserve">2026-06-13</x:t>
        </x:is>
      </x:c>
    </x:row>
    <x:row r="1387" ht="20" customHeight="1">
      <x:c r="A1387" s="16" t="inlineStr">
        <x:is>
          <x:t xml:space="preserve">West Des Moines Community Schools</x:t>
        </x:is>
      </x:c>
      <x:c r="B1387" s="16" t="inlineStr">
        <x:is>
          <x:t xml:space="preserve">IA</x:t>
        </x:is>
      </x:c>
      <x:c r="C1387" s="16" t="inlineStr">
        <x:is>
          <x:t xml:space="preserve">Master's</x:t>
        </x:is>
      </x:c>
      <x:c r="D1387" s="39" t="n">
        <x:v>10</x:v>
      </x:c>
      <x:c r="E1387" s="37" t="n">
        <x:v>65512</x:v>
      </x:c>
      <x:c r="F1387" s="16" t="inlineStr">
        <x:is>
          <x:t xml:space="preserve">2026-06-13</x:t>
        </x:is>
      </x:c>
    </x:row>
    <x:row r="1388" ht="20" customHeight="1">
      <x:c r="A1388" s="16" t="str">
        <x:v>Dublin City Schools</x:v>
      </x:c>
      <x:c r="B1388" s="16" t="str">
        <x:v>OH</x:v>
      </x:c>
      <x:c r="C1388" s="16" t="str">
        <x:v>Bachelor's</x:v>
      </x:c>
      <x:c r="D1388" s="39" t="n">
        <x:v>0</x:v>
      </x:c>
      <x:c r="E1388" s="37" t="n">
        <x:v>52078</x:v>
      </x:c>
      <x:c r="F1388" s="16" t="str">
        <x:v>2026-06-16</x:v>
      </x:c>
    </x:row>
    <x:row r="1389" ht="20" customHeight="1">
      <x:c r="A1389" s="16" t="str">
        <x:v>Dublin City Schools</x:v>
      </x:c>
      <x:c r="B1389" s="16" t="str">
        <x:v>OH</x:v>
      </x:c>
      <x:c r="C1389" s="16" t="str">
        <x:v>Bachelor's</x:v>
      </x:c>
      <x:c r="D1389" s="39" t="n">
        <x:v>1</x:v>
      </x:c>
      <x:c r="E1389" s="37" t="n">
        <x:v>56850</x:v>
      </x:c>
      <x:c r="F1389" s="16" t="str">
        <x:v>2026-06-16</x:v>
      </x:c>
    </x:row>
    <x:row r="1390" ht="20" customHeight="1">
      <x:c r="A1390" s="16" t="str">
        <x:v>Dublin City Schools</x:v>
      </x:c>
      <x:c r="B1390" s="16" t="str">
        <x:v>OH</x:v>
      </x:c>
      <x:c r="C1390" s="16" t="str">
        <x:v>Bachelor's</x:v>
      </x:c>
      <x:c r="D1390" s="39" t="n">
        <x:v>2</x:v>
      </x:c>
      <x:c r="E1390" s="37" t="n">
        <x:v>61600</x:v>
      </x:c>
      <x:c r="F1390" s="16" t="str">
        <x:v>2026-06-16</x:v>
      </x:c>
    </x:row>
    <x:row r="1391" ht="20" customHeight="1">
      <x:c r="A1391" s="16" t="str">
        <x:v>Dublin City Schools</x:v>
      </x:c>
      <x:c r="B1391" s="16" t="str">
        <x:v>OH</x:v>
      </x:c>
      <x:c r="C1391" s="16" t="str">
        <x:v>Bachelor's</x:v>
      </x:c>
      <x:c r="D1391" s="39" t="n">
        <x:v>3</x:v>
      </x:c>
      <x:c r="E1391" s="37" t="n">
        <x:v>65500</x:v>
      </x:c>
      <x:c r="F1391" s="16" t="str">
        <x:v>2026-06-16</x:v>
      </x:c>
    </x:row>
    <x:row r="1392" ht="20" customHeight="1">
      <x:c r="A1392" s="16" t="str">
        <x:v>Dublin City Schools</x:v>
      </x:c>
      <x:c r="B1392" s="16" t="str">
        <x:v>OH</x:v>
      </x:c>
      <x:c r="C1392" s="16" t="str">
        <x:v>Bachelor's</x:v>
      </x:c>
      <x:c r="D1392" s="39" t="n">
        <x:v>4</x:v>
      </x:c>
      <x:c r="E1392" s="37" t="n">
        <x:v>69000</x:v>
      </x:c>
      <x:c r="F1392" s="16" t="str">
        <x:v>2026-06-16</x:v>
      </x:c>
    </x:row>
    <x:row r="1393" ht="20" customHeight="1">
      <x:c r="A1393" s="16" t="str">
        <x:v>Dublin City Schools</x:v>
      </x:c>
      <x:c r="B1393" s="16" t="str">
        <x:v>OH</x:v>
      </x:c>
      <x:c r="C1393" s="16" t="str">
        <x:v>Bachelor's</x:v>
      </x:c>
      <x:c r="D1393" s="39" t="n">
        <x:v>5</x:v>
      </x:c>
      <x:c r="E1393" s="37" t="n">
        <x:v>72000</x:v>
      </x:c>
      <x:c r="F1393" s="16" t="str">
        <x:v>2026-06-16</x:v>
      </x:c>
    </x:row>
    <x:row r="1394" ht="20" customHeight="1">
      <x:c r="A1394" s="16" t="str">
        <x:v>Dublin City Schools</x:v>
      </x:c>
      <x:c r="B1394" s="16" t="str">
        <x:v>OH</x:v>
      </x:c>
      <x:c r="C1394" s="16" t="str">
        <x:v>Bachelor's</x:v>
      </x:c>
      <x:c r="D1394" s="39" t="n">
        <x:v>6</x:v>
      </x:c>
      <x:c r="E1394" s="37" t="n">
        <x:v>74000</x:v>
      </x:c>
      <x:c r="F1394" s="16" t="str">
        <x:v>2026-06-16</x:v>
      </x:c>
    </x:row>
    <x:row r="1395" ht="20" customHeight="1">
      <x:c r="A1395" s="16" t="str">
        <x:v>Dublin City Schools</x:v>
      </x:c>
      <x:c r="B1395" s="16" t="str">
        <x:v>OH</x:v>
      </x:c>
      <x:c r="C1395" s="16" t="str">
        <x:v>Bachelor's</x:v>
      </x:c>
      <x:c r="D1395" s="39" t="n">
        <x:v>7</x:v>
      </x:c>
      <x:c r="E1395" s="37" t="n">
        <x:v>75500</x:v>
      </x:c>
      <x:c r="F1395" s="16" t="str">
        <x:v>2026-06-16</x:v>
      </x:c>
    </x:row>
    <x:row r="1396" ht="20" customHeight="1">
      <x:c r="A1396" s="16" t="str">
        <x:v>Dublin City Schools</x:v>
      </x:c>
      <x:c r="B1396" s="16" t="str">
        <x:v>OH</x:v>
      </x:c>
      <x:c r="C1396" s="16" t="str">
        <x:v>Bachelor's</x:v>
      </x:c>
      <x:c r="D1396" s="39" t="n">
        <x:v>8</x:v>
      </x:c>
      <x:c r="E1396" s="37" t="n">
        <x:v>76500</x:v>
      </x:c>
      <x:c r="F1396" s="16" t="str">
        <x:v>2026-06-16</x:v>
      </x:c>
    </x:row>
    <x:row r="1397" ht="20" customHeight="1">
      <x:c r="A1397" s="16" t="str">
        <x:v>Dublin City Schools</x:v>
      </x:c>
      <x:c r="B1397" s="16" t="str">
        <x:v>OH</x:v>
      </x:c>
      <x:c r="C1397" s="16" t="str">
        <x:v>Bachelor's</x:v>
      </x:c>
      <x:c r="D1397" s="39" t="n">
        <x:v>9</x:v>
      </x:c>
      <x:c r="E1397" s="37" t="n">
        <x:v>77250</x:v>
      </x:c>
      <x:c r="F1397" s="16" t="str">
        <x:v>2026-06-16</x:v>
      </x:c>
    </x:row>
    <x:row r="1398" ht="20" customHeight="1">
      <x:c r="A1398" s="16" t="str">
        <x:v>Dublin City Schools</x:v>
      </x:c>
      <x:c r="B1398" s="16" t="str">
        <x:v>OH</x:v>
      </x:c>
      <x:c r="C1398" s="16" t="str">
        <x:v>Bachelor's</x:v>
      </x:c>
      <x:c r="D1398" s="39" t="n">
        <x:v>10</x:v>
      </x:c>
      <x:c r="E1398" s="37" t="n">
        <x:v>78000</x:v>
      </x:c>
      <x:c r="F1398" s="16" t="str">
        <x:v>2026-06-16</x:v>
      </x:c>
    </x:row>
    <x:row r="1399" ht="20" customHeight="1">
      <x:c r="A1399" s="16" t="str">
        <x:v>Dublin City Schools</x:v>
      </x:c>
      <x:c r="B1399" s="16" t="str">
        <x:v>OH</x:v>
      </x:c>
      <x:c r="C1399" s="16" t="str">
        <x:v>Master's</x:v>
      </x:c>
      <x:c r="D1399" s="39" t="n">
        <x:v>0</x:v>
      </x:c>
      <x:c r="E1399" s="37" t="n">
        <x:v>57286</x:v>
      </x:c>
      <x:c r="F1399" s="16" t="str">
        <x:v>2026-06-16</x:v>
      </x:c>
    </x:row>
    <x:row r="1400" ht="20" customHeight="1">
      <x:c r="A1400" s="16" t="str">
        <x:v>Dublin City Schools</x:v>
      </x:c>
      <x:c r="B1400" s="16" t="str">
        <x:v>OH</x:v>
      </x:c>
      <x:c r="C1400" s="16" t="str">
        <x:v>Master's</x:v>
      </x:c>
      <x:c r="D1400" s="39" t="n">
        <x:v>1</x:v>
      </x:c>
      <x:c r="E1400" s="37" t="n">
        <x:v>62000</x:v>
      </x:c>
      <x:c r="F1400" s="16" t="str">
        <x:v>2026-06-16</x:v>
      </x:c>
    </x:row>
    <x:row r="1401" ht="20" customHeight="1">
      <x:c r="A1401" s="16" t="str">
        <x:v>Dublin City Schools</x:v>
      </x:c>
      <x:c r="B1401" s="16" t="str">
        <x:v>OH</x:v>
      </x:c>
      <x:c r="C1401" s="16" t="str">
        <x:v>Master's</x:v>
      </x:c>
      <x:c r="D1401" s="39" t="n">
        <x:v>2</x:v>
      </x:c>
      <x:c r="E1401" s="37" t="n">
        <x:v>66500</x:v>
      </x:c>
      <x:c r="F1401" s="16" t="str">
        <x:v>2026-06-16</x:v>
      </x:c>
    </x:row>
    <x:row r="1402" ht="20" customHeight="1">
      <x:c r="A1402" s="16" t="str">
        <x:v>Dublin City Schools</x:v>
      </x:c>
      <x:c r="B1402" s="16" t="str">
        <x:v>OH</x:v>
      </x:c>
      <x:c r="C1402" s="16" t="str">
        <x:v>Master's</x:v>
      </x:c>
      <x:c r="D1402" s="39" t="n">
        <x:v>3</x:v>
      </x:c>
      <x:c r="E1402" s="37" t="n">
        <x:v>70000</x:v>
      </x:c>
      <x:c r="F1402" s="16" t="str">
        <x:v>2026-06-16</x:v>
      </x:c>
    </x:row>
    <x:row r="1403" ht="20" customHeight="1">
      <x:c r="A1403" s="16" t="str">
        <x:v>Dublin City Schools</x:v>
      </x:c>
      <x:c r="B1403" s="16" t="str">
        <x:v>OH</x:v>
      </x:c>
      <x:c r="C1403" s="16" t="str">
        <x:v>Master's</x:v>
      </x:c>
      <x:c r="D1403" s="39" t="n">
        <x:v>4</x:v>
      </x:c>
      <x:c r="E1403" s="37" t="n">
        <x:v>73500</x:v>
      </x:c>
      <x:c r="F1403" s="16" t="str">
        <x:v>2026-06-16</x:v>
      </x:c>
    </x:row>
    <x:row r="1404" ht="20" customHeight="1">
      <x:c r="A1404" s="16" t="str">
        <x:v>Dublin City Schools</x:v>
      </x:c>
      <x:c r="B1404" s="16" t="str">
        <x:v>OH</x:v>
      </x:c>
      <x:c r="C1404" s="16" t="str">
        <x:v>Master's</x:v>
      </x:c>
      <x:c r="D1404" s="39" t="n">
        <x:v>5</x:v>
      </x:c>
      <x:c r="E1404" s="37" t="n">
        <x:v>76500</x:v>
      </x:c>
      <x:c r="F1404" s="16" t="str">
        <x:v>2026-06-16</x:v>
      </x:c>
    </x:row>
    <x:row r="1405" ht="20" customHeight="1">
      <x:c r="A1405" s="16" t="str">
        <x:v>Dublin City Schools</x:v>
      </x:c>
      <x:c r="B1405" s="16" t="str">
        <x:v>OH</x:v>
      </x:c>
      <x:c r="C1405" s="16" t="str">
        <x:v>Master's</x:v>
      </x:c>
      <x:c r="D1405" s="39" t="n">
        <x:v>6</x:v>
      </x:c>
      <x:c r="E1405" s="37" t="n">
        <x:v>79000</x:v>
      </x:c>
      <x:c r="F1405" s="16" t="str">
        <x:v>2026-06-16</x:v>
      </x:c>
    </x:row>
    <x:row r="1406" ht="20" customHeight="1">
      <x:c r="A1406" s="16" t="str">
        <x:v>Dublin City Schools</x:v>
      </x:c>
      <x:c r="B1406" s="16" t="str">
        <x:v>OH</x:v>
      </x:c>
      <x:c r="C1406" s="16" t="str">
        <x:v>Master's</x:v>
      </x:c>
      <x:c r="D1406" s="39" t="n">
        <x:v>7</x:v>
      </x:c>
      <x:c r="E1406" s="37" t="n">
        <x:v>81500</x:v>
      </x:c>
      <x:c r="F1406" s="16" t="str">
        <x:v>2026-06-16</x:v>
      </x:c>
    </x:row>
    <x:row r="1407" ht="20" customHeight="1">
      <x:c r="A1407" s="16" t="str">
        <x:v>Dublin City Schools</x:v>
      </x:c>
      <x:c r="B1407" s="16" t="str">
        <x:v>OH</x:v>
      </x:c>
      <x:c r="C1407" s="16" t="str">
        <x:v>Master's</x:v>
      </x:c>
      <x:c r="D1407" s="39" t="n">
        <x:v>8</x:v>
      </x:c>
      <x:c r="E1407" s="37" t="n">
        <x:v>83000</x:v>
      </x:c>
      <x:c r="F1407" s="16" t="str">
        <x:v>2026-06-16</x:v>
      </x:c>
    </x:row>
    <x:row r="1408" ht="20" customHeight="1">
      <x:c r="A1408" s="16" t="str">
        <x:v>Dublin City Schools</x:v>
      </x:c>
      <x:c r="B1408" s="16" t="str">
        <x:v>OH</x:v>
      </x:c>
      <x:c r="C1408" s="16" t="str">
        <x:v>Master's</x:v>
      </x:c>
      <x:c r="D1408" s="39" t="n">
        <x:v>9</x:v>
      </x:c>
      <x:c r="E1408" s="37" t="n">
        <x:v>84500</x:v>
      </x:c>
      <x:c r="F1408" s="16" t="str">
        <x:v>2026-06-16</x:v>
      </x:c>
    </x:row>
    <x:row r="1409" ht="20" customHeight="1">
      <x:c r="A1409" s="16" t="str">
        <x:v>Dublin City Schools</x:v>
      </x:c>
      <x:c r="B1409" s="16" t="str">
        <x:v>OH</x:v>
      </x:c>
      <x:c r="C1409" s="16" t="str">
        <x:v>Master's</x:v>
      </x:c>
      <x:c r="D1409" s="39" t="n">
        <x:v>10</x:v>
      </x:c>
      <x:c r="E1409" s="37" t="n">
        <x:v>86000</x:v>
      </x:c>
      <x:c r="F1409" s="16" t="str">
        <x:v>2026-06-16</x:v>
      </x:c>
    </x:row>
    <x:row r="1410">
      <x:c r="A1410" t="str">
        <x:v>Mariemont City Schools</x:v>
      </x:c>
      <x:c r="B1410" t="str">
        <x:v>OH</x:v>
      </x:c>
      <x:c r="C1410" t="str">
        <x:v>Bachelor's</x:v>
      </x:c>
      <x:c r="D1410" t="n">
        <x:v>0</x:v>
      </x:c>
      <x:c r="E1410" t="n">
        <x:v>51000</x:v>
      </x:c>
      <x:c r="F1410" t="str">
        <x:v>2026-06-16</x:v>
      </x:c>
    </x:row>
    <x:row r="1411">
      <x:c r="A1411" t="str">
        <x:v>Mariemont City Schools</x:v>
      </x:c>
      <x:c r="B1411" t="str">
        <x:v>OH</x:v>
      </x:c>
      <x:c r="C1411" t="str">
        <x:v>Bachelor's</x:v>
      </x:c>
      <x:c r="D1411" t="n">
        <x:v>1</x:v>
      </x:c>
      <x:c r="E1411" t="n">
        <x:v>53200</x:v>
      </x:c>
      <x:c r="F1411" t="str">
        <x:v>2026-06-16</x:v>
      </x:c>
    </x:row>
    <x:row r="1412">
      <x:c r="A1412" t="str">
        <x:v>Mariemont City Schools</x:v>
      </x:c>
      <x:c r="B1412" t="str">
        <x:v>OH</x:v>
      </x:c>
      <x:c r="C1412" t="str">
        <x:v>Bachelor's</x:v>
      </x:c>
      <x:c r="D1412" t="n">
        <x:v>2</x:v>
      </x:c>
      <x:c r="E1412" t="n">
        <x:v>55500</x:v>
      </x:c>
      <x:c r="F1412" t="str">
        <x:v>2026-06-16</x:v>
      </x:c>
    </x:row>
    <x:row r="1413">
      <x:c r="A1413" t="str">
        <x:v>Mariemont City Schools</x:v>
      </x:c>
      <x:c r="B1413" t="str">
        <x:v>OH</x:v>
      </x:c>
      <x:c r="C1413" t="str">
        <x:v>Bachelor's</x:v>
      </x:c>
      <x:c r="D1413" t="n">
        <x:v>3</x:v>
      </x:c>
      <x:c r="E1413" t="n">
        <x:v>57800</x:v>
      </x:c>
      <x:c r="F1413" t="str">
        <x:v>2026-06-16</x:v>
      </x:c>
    </x:row>
    <x:row r="1414">
      <x:c r="A1414" t="str">
        <x:v>Mariemont City Schools</x:v>
      </x:c>
      <x:c r="B1414" t="str">
        <x:v>OH</x:v>
      </x:c>
      <x:c r="C1414" t="str">
        <x:v>Bachelor's</x:v>
      </x:c>
      <x:c r="D1414" t="n">
        <x:v>4</x:v>
      </x:c>
      <x:c r="E1414" t="n">
        <x:v>60000</x:v>
      </x:c>
      <x:c r="F1414" t="str">
        <x:v>2026-06-16</x:v>
      </x:c>
    </x:row>
    <x:row r="1415">
      <x:c r="A1415" t="str">
        <x:v>Mariemont City Schools</x:v>
      </x:c>
      <x:c r="B1415" t="str">
        <x:v>OH</x:v>
      </x:c>
      <x:c r="C1415" t="str">
        <x:v>Bachelor's</x:v>
      </x:c>
      <x:c r="D1415" t="n">
        <x:v>5</x:v>
      </x:c>
      <x:c r="E1415" t="n">
        <x:v>62000</x:v>
      </x:c>
      <x:c r="F1415" t="str">
        <x:v>2026-06-16</x:v>
      </x:c>
    </x:row>
    <x:row r="1416">
      <x:c r="A1416" t="str">
        <x:v>Mariemont City Schools</x:v>
      </x:c>
      <x:c r="B1416" t="str">
        <x:v>OH</x:v>
      </x:c>
      <x:c r="C1416" t="str">
        <x:v>Bachelor's</x:v>
      </x:c>
      <x:c r="D1416" t="n">
        <x:v>6</x:v>
      </x:c>
      <x:c r="E1416" t="n">
        <x:v>64500</x:v>
      </x:c>
      <x:c r="F1416" t="str">
        <x:v>2026-06-16</x:v>
      </x:c>
    </x:row>
    <x:row r="1417">
      <x:c r="A1417" t="str">
        <x:v>Mariemont City Schools</x:v>
      </x:c>
      <x:c r="B1417" t="str">
        <x:v>OH</x:v>
      </x:c>
      <x:c r="C1417" t="str">
        <x:v>Bachelor's</x:v>
      </x:c>
      <x:c r="D1417" t="n">
        <x:v>7</x:v>
      </x:c>
      <x:c r="E1417" t="n">
        <x:v>67000</x:v>
      </x:c>
      <x:c r="F1417" t="str">
        <x:v>2026-06-16</x:v>
      </x:c>
    </x:row>
    <x:row r="1418">
      <x:c r="A1418" t="str">
        <x:v>Mariemont City Schools</x:v>
      </x:c>
      <x:c r="B1418" t="str">
        <x:v>OH</x:v>
      </x:c>
      <x:c r="C1418" t="str">
        <x:v>Bachelor's</x:v>
      </x:c>
      <x:c r="D1418" t="n">
        <x:v>8</x:v>
      </x:c>
      <x:c r="E1418" t="n">
        <x:v>69500</x:v>
      </x:c>
      <x:c r="F1418" t="str">
        <x:v>2026-06-16</x:v>
      </x:c>
    </x:row>
    <x:row r="1419">
      <x:c r="A1419" t="str">
        <x:v>Mariemont City Schools</x:v>
      </x:c>
      <x:c r="B1419" t="str">
        <x:v>OH</x:v>
      </x:c>
      <x:c r="C1419" t="str">
        <x:v>Bachelor's</x:v>
      </x:c>
      <x:c r="D1419" t="n">
        <x:v>9</x:v>
      </x:c>
      <x:c r="E1419" t="n">
        <x:v>72000</x:v>
      </x:c>
      <x:c r="F1419" t="str">
        <x:v>2026-06-16</x:v>
      </x:c>
    </x:row>
    <x:row r="1420">
      <x:c r="A1420" t="str">
        <x:v>Mariemont City Schools</x:v>
      </x:c>
      <x:c r="B1420" t="str">
        <x:v>OH</x:v>
      </x:c>
      <x:c r="C1420" t="str">
        <x:v>Bachelor's</x:v>
      </x:c>
      <x:c r="D1420" t="n">
        <x:v>10</x:v>
      </x:c>
      <x:c r="E1420" t="n">
        <x:v>74000</x:v>
      </x:c>
      <x:c r="F1420" t="str">
        <x:v>2026-06-16</x:v>
      </x:c>
    </x:row>
    <x:row r="1421">
      <x:c r="A1421" t="str">
        <x:v>Mariemont City Schools</x:v>
      </x:c>
      <x:c r="B1421" t="str">
        <x:v>OH</x:v>
      </x:c>
      <x:c r="C1421" t="str">
        <x:v>Master's</x:v>
      </x:c>
      <x:c r="D1421" t="n">
        <x:v>0</x:v>
      </x:c>
      <x:c r="E1421" t="n">
        <x:v>56000</x:v>
      </x:c>
      <x:c r="F1421" t="str">
        <x:v>2026-06-16</x:v>
      </x:c>
    </x:row>
    <x:row r="1422">
      <x:c r="A1422" t="str">
        <x:v>Mariemont City Schools</x:v>
      </x:c>
      <x:c r="B1422" t="str">
        <x:v>OH</x:v>
      </x:c>
      <x:c r="C1422" t="str">
        <x:v>Master's</x:v>
      </x:c>
      <x:c r="D1422" t="n">
        <x:v>1</x:v>
      </x:c>
      <x:c r="E1422" t="n">
        <x:v>58500</x:v>
      </x:c>
      <x:c r="F1422" t="str">
        <x:v>2026-06-16</x:v>
      </x:c>
    </x:row>
    <x:row r="1423">
      <x:c r="A1423" t="str">
        <x:v>Mariemont City Schools</x:v>
      </x:c>
      <x:c r="B1423" t="str">
        <x:v>OH</x:v>
      </x:c>
      <x:c r="C1423" t="str">
        <x:v>Master's</x:v>
      </x:c>
      <x:c r="D1423" t="n">
        <x:v>2</x:v>
      </x:c>
      <x:c r="E1423" t="n">
        <x:v>61000</x:v>
      </x:c>
      <x:c r="F1423" t="str">
        <x:v>2026-06-16</x:v>
      </x:c>
    </x:row>
    <x:row r="1424">
      <x:c r="A1424" t="str">
        <x:v>Mariemont City Schools</x:v>
      </x:c>
      <x:c r="B1424" t="str">
        <x:v>OH</x:v>
      </x:c>
      <x:c r="C1424" t="str">
        <x:v>Master's</x:v>
      </x:c>
      <x:c r="D1424" t="n">
        <x:v>3</x:v>
      </x:c>
      <x:c r="E1424" t="n">
        <x:v>63500</x:v>
      </x:c>
      <x:c r="F1424" t="str">
        <x:v>2026-06-16</x:v>
      </x:c>
    </x:row>
    <x:row r="1425">
      <x:c r="A1425" t="str">
        <x:v>Mariemont City Schools</x:v>
      </x:c>
      <x:c r="B1425" t="str">
        <x:v>OH</x:v>
      </x:c>
      <x:c r="C1425" t="str">
        <x:v>Master's</x:v>
      </x:c>
      <x:c r="D1425" t="n">
        <x:v>4</x:v>
      </x:c>
      <x:c r="E1425" t="n">
        <x:v>66000</x:v>
      </x:c>
      <x:c r="F1425" t="str">
        <x:v>2026-06-16</x:v>
      </x:c>
    </x:row>
    <x:row r="1426">
      <x:c r="A1426" t="str">
        <x:v>Mariemont City Schools</x:v>
      </x:c>
      <x:c r="B1426" t="str">
        <x:v>OH</x:v>
      </x:c>
      <x:c r="C1426" t="str">
        <x:v>Master's</x:v>
      </x:c>
      <x:c r="D1426" t="n">
        <x:v>5</x:v>
      </x:c>
      <x:c r="E1426" t="n">
        <x:v>68500</x:v>
      </x:c>
      <x:c r="F1426" t="str">
        <x:v>2026-06-16</x:v>
      </x:c>
    </x:row>
    <x:row r="1427">
      <x:c r="A1427" t="str">
        <x:v>Mariemont City Schools</x:v>
      </x:c>
      <x:c r="B1427" t="str">
        <x:v>OH</x:v>
      </x:c>
      <x:c r="C1427" t="str">
        <x:v>Master's</x:v>
      </x:c>
      <x:c r="D1427" t="n">
        <x:v>6</x:v>
      </x:c>
      <x:c r="E1427" t="n">
        <x:v>71000</x:v>
      </x:c>
      <x:c r="F1427" t="str">
        <x:v>2026-06-16</x:v>
      </x:c>
    </x:row>
    <x:row r="1428">
      <x:c r="A1428" t="str">
        <x:v>Mariemont City Schools</x:v>
      </x:c>
      <x:c r="B1428" t="str">
        <x:v>OH</x:v>
      </x:c>
      <x:c r="C1428" t="str">
        <x:v>Master's</x:v>
      </x:c>
      <x:c r="D1428" t="n">
        <x:v>7</x:v>
      </x:c>
      <x:c r="E1428" t="n">
        <x:v>73500</x:v>
      </x:c>
      <x:c r="F1428" t="str">
        <x:v>2026-06-16</x:v>
      </x:c>
    </x:row>
    <x:row r="1429">
      <x:c r="A1429" t="str">
        <x:v>Mariemont City Schools</x:v>
      </x:c>
      <x:c r="B1429" t="str">
        <x:v>OH</x:v>
      </x:c>
      <x:c r="C1429" t="str">
        <x:v>Master's</x:v>
      </x:c>
      <x:c r="D1429" t="n">
        <x:v>8</x:v>
      </x:c>
      <x:c r="E1429" t="n">
        <x:v>76500</x:v>
      </x:c>
      <x:c r="F1429" t="str">
        <x:v>2026-06-16</x:v>
      </x:c>
    </x:row>
    <x:row r="1430">
      <x:c r="A1430" t="str">
        <x:v>Mariemont City Schools</x:v>
      </x:c>
      <x:c r="B1430" t="str">
        <x:v>OH</x:v>
      </x:c>
      <x:c r="C1430" t="str">
        <x:v>Master's</x:v>
      </x:c>
      <x:c r="D1430" t="n">
        <x:v>9</x:v>
      </x:c>
      <x:c r="E1430" t="n">
        <x:v>79500</x:v>
      </x:c>
      <x:c r="F1430" t="str">
        <x:v>2026-06-16</x:v>
      </x:c>
    </x:row>
    <x:row r="1431">
      <x:c r="A1431" t="str">
        <x:v>Mariemont City Schools</x:v>
      </x:c>
      <x:c r="B1431" t="str">
        <x:v>OH</x:v>
      </x:c>
      <x:c r="C1431" t="str">
        <x:v>Master's</x:v>
      </x:c>
      <x:c r="D1431" t="n">
        <x:v>10</x:v>
      </x:c>
      <x:c r="E1431" t="n">
        <x:v>82000</x:v>
      </x:c>
      <x:c r="F1431" t="str">
        <x:v>2026-06-16</x:v>
      </x:c>
    </x:row>
    <x:row r="1432">
      <x:c r="A1432" t="str">
        <x:v>Las Cruces Public Schools</x:v>
      </x:c>
      <x:c r="B1432" t="str">
        <x:v>NM</x:v>
      </x:c>
      <x:c r="C1432" t="str">
        <x:v>Bachelor's</x:v>
      </x:c>
      <x:c r="D1432" t="n">
        <x:v>0</x:v>
      </x:c>
      <x:c r="E1432" t="n">
        <x:v>55000</x:v>
      </x:c>
      <x:c r="F1432" t="str">
        <x:v>2026-06-16</x:v>
      </x:c>
    </x:row>
    <x:row r="1433">
      <x:c r="A1433" t="str">
        <x:v>Las Cruces Public Schools</x:v>
      </x:c>
      <x:c r="B1433" t="str">
        <x:v>NM</x:v>
      </x:c>
      <x:c r="C1433" t="str">
        <x:v>Bachelor's</x:v>
      </x:c>
      <x:c r="D1433" t="n">
        <x:v>1</x:v>
      </x:c>
      <x:c r="E1433" t="n">
        <x:v>58000</x:v>
      </x:c>
      <x:c r="F1433" t="str">
        <x:v>2026-06-16</x:v>
      </x:c>
    </x:row>
    <x:row r="1434">
      <x:c r="A1434" t="str">
        <x:v>Las Cruces Public Schools</x:v>
      </x:c>
      <x:c r="B1434" t="str">
        <x:v>NM</x:v>
      </x:c>
      <x:c r="C1434" t="str">
        <x:v>Bachelor's</x:v>
      </x:c>
      <x:c r="D1434" t="n">
        <x:v>2</x:v>
      </x:c>
      <x:c r="E1434" t="n">
        <x:v>61000</x:v>
      </x:c>
      <x:c r="F1434" t="str">
        <x:v>2026-06-16</x:v>
      </x:c>
    </x:row>
    <x:row r="1435">
      <x:c r="A1435" t="str">
        <x:v>Las Cruces Public Schools</x:v>
      </x:c>
      <x:c r="B1435" t="str">
        <x:v>NM</x:v>
      </x:c>
      <x:c r="C1435" t="str">
        <x:v>Bachelor's</x:v>
      </x:c>
      <x:c r="D1435" t="n">
        <x:v>3</x:v>
      </x:c>
      <x:c r="E1435" t="n">
        <x:v>63000</x:v>
      </x:c>
      <x:c r="F1435" t="str">
        <x:v>2026-06-16</x:v>
      </x:c>
    </x:row>
    <x:row r="1436">
      <x:c r="A1436" t="str">
        <x:v>Las Cruces Public Schools</x:v>
      </x:c>
      <x:c r="B1436" t="str">
        <x:v>NM</x:v>
      </x:c>
      <x:c r="C1436" t="str">
        <x:v>Bachelor's</x:v>
      </x:c>
      <x:c r="D1436" t="n">
        <x:v>4</x:v>
      </x:c>
      <x:c r="E1436" t="n">
        <x:v>64500</x:v>
      </x:c>
      <x:c r="F1436" t="str">
        <x:v>2026-06-16</x:v>
      </x:c>
    </x:row>
    <x:row r="1437">
      <x:c r="A1437" t="str">
        <x:v>Las Cruces Public Schools</x:v>
      </x:c>
      <x:c r="B1437" t="str">
        <x:v>NM</x:v>
      </x:c>
      <x:c r="C1437" t="str">
        <x:v>Bachelor's</x:v>
      </x:c>
      <x:c r="D1437" t="n">
        <x:v>5</x:v>
      </x:c>
      <x:c r="E1437" t="n">
        <x:v>66000</x:v>
      </x:c>
      <x:c r="F1437" t="str">
        <x:v>2026-06-16</x:v>
      </x:c>
    </x:row>
    <x:row r="1438">
      <x:c r="A1438" t="str">
        <x:v>Las Cruces Public Schools</x:v>
      </x:c>
      <x:c r="B1438" t="str">
        <x:v>NM</x:v>
      </x:c>
      <x:c r="C1438" t="str">
        <x:v>Bachelor's</x:v>
      </x:c>
      <x:c r="D1438" t="n">
        <x:v>6</x:v>
      </x:c>
      <x:c r="E1438" t="n">
        <x:v>68000</x:v>
      </x:c>
      <x:c r="F1438" t="str">
        <x:v>2026-06-16</x:v>
      </x:c>
    </x:row>
    <x:row r="1439">
      <x:c r="A1439" t="str">
        <x:v>Las Cruces Public Schools</x:v>
      </x:c>
      <x:c r="B1439" t="str">
        <x:v>NM</x:v>
      </x:c>
      <x:c r="C1439" t="str">
        <x:v>Bachelor's</x:v>
      </x:c>
      <x:c r="D1439" t="n">
        <x:v>7</x:v>
      </x:c>
      <x:c r="E1439" t="n">
        <x:v>70000</x:v>
      </x:c>
      <x:c r="F1439" t="str">
        <x:v>2026-06-16</x:v>
      </x:c>
    </x:row>
    <x:row r="1440">
      <x:c r="A1440" t="str">
        <x:v>Las Cruces Public Schools</x:v>
      </x:c>
      <x:c r="B1440" t="str">
        <x:v>NM</x:v>
      </x:c>
      <x:c r="C1440" t="str">
        <x:v>Bachelor's</x:v>
      </x:c>
      <x:c r="D1440" t="n">
        <x:v>8</x:v>
      </x:c>
      <x:c r="E1440" t="n">
        <x:v>72000</x:v>
      </x:c>
      <x:c r="F1440" t="str">
        <x:v>2026-06-16</x:v>
      </x:c>
    </x:row>
    <x:row r="1441">
      <x:c r="A1441" t="str">
        <x:v>Las Cruces Public Schools</x:v>
      </x:c>
      <x:c r="B1441" t="str">
        <x:v>NM</x:v>
      </x:c>
      <x:c r="C1441" t="str">
        <x:v>Bachelor's</x:v>
      </x:c>
      <x:c r="D1441" t="n">
        <x:v>9</x:v>
      </x:c>
      <x:c r="E1441" t="n">
        <x:v>73500</x:v>
      </x:c>
      <x:c r="F1441" t="str">
        <x:v>2026-06-16</x:v>
      </x:c>
    </x:row>
    <x:row r="1442">
      <x:c r="A1442" t="str">
        <x:v>Las Cruces Public Schools</x:v>
      </x:c>
      <x:c r="B1442" t="str">
        <x:v>NM</x:v>
      </x:c>
      <x:c r="C1442" t="str">
        <x:v>Bachelor's</x:v>
      </x:c>
      <x:c r="D1442" t="n">
        <x:v>10</x:v>
      </x:c>
      <x:c r="E1442" t="n">
        <x:v>75000</x:v>
      </x:c>
      <x:c r="F1442" t="str">
        <x:v>2026-06-16</x:v>
      </x:c>
    </x:row>
    <x:row r="1443">
      <x:c r="A1443" t="str">
        <x:v>Las Cruces Public Schools</x:v>
      </x:c>
      <x:c r="B1443" t="str">
        <x:v>NM</x:v>
      </x:c>
      <x:c r="C1443" t="str">
        <x:v>Master's</x:v>
      </x:c>
      <x:c r="D1443" t="n">
        <x:v>0</x:v>
      </x:c>
      <x:c r="E1443" t="n">
        <x:v>59000</x:v>
      </x:c>
      <x:c r="F1443" t="str">
        <x:v>2026-06-16</x:v>
      </x:c>
    </x:row>
    <x:row r="1444">
      <x:c r="A1444" t="str">
        <x:v>Las Cruces Public Schools</x:v>
      </x:c>
      <x:c r="B1444" t="str">
        <x:v>NM</x:v>
      </x:c>
      <x:c r="C1444" t="str">
        <x:v>Master's</x:v>
      </x:c>
      <x:c r="D1444" t="n">
        <x:v>1</x:v>
      </x:c>
      <x:c r="E1444" t="n">
        <x:v>62000</x:v>
      </x:c>
      <x:c r="F1444" t="str">
        <x:v>2026-06-16</x:v>
      </x:c>
    </x:row>
    <x:row r="1445">
      <x:c r="A1445" t="str">
        <x:v>Las Cruces Public Schools</x:v>
      </x:c>
      <x:c r="B1445" t="str">
        <x:v>NM</x:v>
      </x:c>
      <x:c r="C1445" t="str">
        <x:v>Master's</x:v>
      </x:c>
      <x:c r="D1445" t="n">
        <x:v>2</x:v>
      </x:c>
      <x:c r="E1445" t="n">
        <x:v>65000</x:v>
      </x:c>
      <x:c r="F1445" t="str">
        <x:v>2026-06-16</x:v>
      </x:c>
    </x:row>
    <x:row r="1446">
      <x:c r="A1446" t="str">
        <x:v>Las Cruces Public Schools</x:v>
      </x:c>
      <x:c r="B1446" t="str">
        <x:v>NM</x:v>
      </x:c>
      <x:c r="C1446" t="str">
        <x:v>Master's</x:v>
      </x:c>
      <x:c r="D1446" t="n">
        <x:v>3</x:v>
      </x:c>
      <x:c r="E1446" t="n">
        <x:v>67000</x:v>
      </x:c>
      <x:c r="F1446" t="str">
        <x:v>2026-06-16</x:v>
      </x:c>
    </x:row>
    <x:row r="1447">
      <x:c r="A1447" t="str">
        <x:v>Las Cruces Public Schools</x:v>
      </x:c>
      <x:c r="B1447" t="str">
        <x:v>NM</x:v>
      </x:c>
      <x:c r="C1447" t="str">
        <x:v>Master's</x:v>
      </x:c>
      <x:c r="D1447" t="n">
        <x:v>4</x:v>
      </x:c>
      <x:c r="E1447" t="n">
        <x:v>68500</x:v>
      </x:c>
      <x:c r="F1447" t="str">
        <x:v>2026-06-16</x:v>
      </x:c>
    </x:row>
    <x:row r="1448">
      <x:c r="A1448" t="str">
        <x:v>Las Cruces Public Schools</x:v>
      </x:c>
      <x:c r="B1448" t="str">
        <x:v>NM</x:v>
      </x:c>
      <x:c r="C1448" t="str">
        <x:v>Master's</x:v>
      </x:c>
      <x:c r="D1448" t="n">
        <x:v>5</x:v>
      </x:c>
      <x:c r="E1448" t="n">
        <x:v>70000</x:v>
      </x:c>
      <x:c r="F1448" t="str">
        <x:v>2026-06-16</x:v>
      </x:c>
    </x:row>
    <x:row r="1449">
      <x:c r="A1449" t="str">
        <x:v>Las Cruces Public Schools</x:v>
      </x:c>
      <x:c r="B1449" t="str">
        <x:v>NM</x:v>
      </x:c>
      <x:c r="C1449" t="str">
        <x:v>Master's</x:v>
      </x:c>
      <x:c r="D1449" t="n">
        <x:v>6</x:v>
      </x:c>
      <x:c r="E1449" t="n">
        <x:v>72000</x:v>
      </x:c>
      <x:c r="F1449" t="str">
        <x:v>2026-06-16</x:v>
      </x:c>
    </x:row>
    <x:row r="1450">
      <x:c r="A1450" t="str">
        <x:v>Las Cruces Public Schools</x:v>
      </x:c>
      <x:c r="B1450" t="str">
        <x:v>NM</x:v>
      </x:c>
      <x:c r="C1450" t="str">
        <x:v>Master's</x:v>
      </x:c>
      <x:c r="D1450" t="n">
        <x:v>7</x:v>
      </x:c>
      <x:c r="E1450" t="n">
        <x:v>74000</x:v>
      </x:c>
      <x:c r="F1450" t="str">
        <x:v>2026-06-16</x:v>
      </x:c>
    </x:row>
    <x:row r="1451">
      <x:c r="A1451" t="str">
        <x:v>Las Cruces Public Schools</x:v>
      </x:c>
      <x:c r="B1451" t="str">
        <x:v>NM</x:v>
      </x:c>
      <x:c r="C1451" t="str">
        <x:v>Master's</x:v>
      </x:c>
      <x:c r="D1451" t="n">
        <x:v>8</x:v>
      </x:c>
      <x:c r="E1451" t="n">
        <x:v>76000</x:v>
      </x:c>
      <x:c r="F1451" t="str">
        <x:v>2026-06-16</x:v>
      </x:c>
    </x:row>
    <x:row r="1452">
      <x:c r="A1452" t="str">
        <x:v>Las Cruces Public Schools</x:v>
      </x:c>
      <x:c r="B1452" t="str">
        <x:v>NM</x:v>
      </x:c>
      <x:c r="C1452" t="str">
        <x:v>Master's</x:v>
      </x:c>
      <x:c r="D1452" t="n">
        <x:v>9</x:v>
      </x:c>
      <x:c r="E1452" t="n">
        <x:v>77500</x:v>
      </x:c>
      <x:c r="F1452" t="str">
        <x:v>2026-06-16</x:v>
      </x:c>
    </x:row>
    <x:row r="1453">
      <x:c r="A1453" t="str">
        <x:v>Las Cruces Public Schools</x:v>
      </x:c>
      <x:c r="B1453" t="str">
        <x:v>NM</x:v>
      </x:c>
      <x:c r="C1453" t="str">
        <x:v>Master's</x:v>
      </x:c>
      <x:c r="D1453" t="n">
        <x:v>10</x:v>
      </x:c>
      <x:c r="E1453" t="n">
        <x:v>79000</x:v>
      </x:c>
      <x:c r="F1453" t="str">
        <x:v>2026-06-16</x:v>
      </x:c>
    </x:row>
    <x:row r="1454">
      <x:c r="A1454" t="str">
        <x:v>Rio Rancho Public Schools</x:v>
      </x:c>
      <x:c r="B1454" t="str">
        <x:v>NM</x:v>
      </x:c>
      <x:c r="C1454" t="str">
        <x:v>Bachelor's</x:v>
      </x:c>
      <x:c r="D1454" t="n">
        <x:v>0</x:v>
      </x:c>
      <x:c r="E1454" t="n">
        <x:v>56000</x:v>
      </x:c>
      <x:c r="F1454" t="str">
        <x:v>2026-06-16</x:v>
      </x:c>
    </x:row>
    <x:row r="1455">
      <x:c r="A1455" t="str">
        <x:v>Rio Rancho Public Schools</x:v>
      </x:c>
      <x:c r="B1455" t="str">
        <x:v>NM</x:v>
      </x:c>
      <x:c r="C1455" t="str">
        <x:v>Bachelor's</x:v>
      </x:c>
      <x:c r="D1455" t="n">
        <x:v>1</x:v>
      </x:c>
      <x:c r="E1455" t="n">
        <x:v>59000</x:v>
      </x:c>
      <x:c r="F1455" t="str">
        <x:v>2026-06-16</x:v>
      </x:c>
    </x:row>
    <x:row r="1456">
      <x:c r="A1456" t="str">
        <x:v>Rio Rancho Public Schools</x:v>
      </x:c>
      <x:c r="B1456" t="str">
        <x:v>NM</x:v>
      </x:c>
      <x:c r="C1456" t="str">
        <x:v>Bachelor's</x:v>
      </x:c>
      <x:c r="D1456" t="n">
        <x:v>2</x:v>
      </x:c>
      <x:c r="E1456" t="n">
        <x:v>62000</x:v>
      </x:c>
      <x:c r="F1456" t="str">
        <x:v>2026-06-16</x:v>
      </x:c>
    </x:row>
    <x:row r="1457">
      <x:c r="A1457" t="str">
        <x:v>Rio Rancho Public Schools</x:v>
      </x:c>
      <x:c r="B1457" t="str">
        <x:v>NM</x:v>
      </x:c>
      <x:c r="C1457" t="str">
        <x:v>Bachelor's</x:v>
      </x:c>
      <x:c r="D1457" t="n">
        <x:v>3</x:v>
      </x:c>
      <x:c r="E1457" t="n">
        <x:v>64000</x:v>
      </x:c>
      <x:c r="F1457" t="str">
        <x:v>2026-06-16</x:v>
      </x:c>
    </x:row>
    <x:row r="1458">
      <x:c r="A1458" t="str">
        <x:v>Rio Rancho Public Schools</x:v>
      </x:c>
      <x:c r="B1458" t="str">
        <x:v>NM</x:v>
      </x:c>
      <x:c r="C1458" t="str">
        <x:v>Bachelor's</x:v>
      </x:c>
      <x:c r="D1458" t="n">
        <x:v>4</x:v>
      </x:c>
      <x:c r="E1458" t="n">
        <x:v>65500</x:v>
      </x:c>
      <x:c r="F1458" t="str">
        <x:v>2026-06-16</x:v>
      </x:c>
    </x:row>
    <x:row r="1459">
      <x:c r="A1459" t="str">
        <x:v>Rio Rancho Public Schools</x:v>
      </x:c>
      <x:c r="B1459" t="str">
        <x:v>NM</x:v>
      </x:c>
      <x:c r="C1459" t="str">
        <x:v>Bachelor's</x:v>
      </x:c>
      <x:c r="D1459" t="n">
        <x:v>5</x:v>
      </x:c>
      <x:c r="E1459" t="n">
        <x:v>67000</x:v>
      </x:c>
      <x:c r="F1459" t="str">
        <x:v>2026-06-16</x:v>
      </x:c>
    </x:row>
    <x:row r="1460">
      <x:c r="A1460" t="str">
        <x:v>Rio Rancho Public Schools</x:v>
      </x:c>
      <x:c r="B1460" t="str">
        <x:v>NM</x:v>
      </x:c>
      <x:c r="C1460" t="str">
        <x:v>Bachelor's</x:v>
      </x:c>
      <x:c r="D1460" t="n">
        <x:v>6</x:v>
      </x:c>
      <x:c r="E1460" t="n">
        <x:v>69000</x:v>
      </x:c>
      <x:c r="F1460" t="str">
        <x:v>2026-06-16</x:v>
      </x:c>
    </x:row>
    <x:row r="1461">
      <x:c r="A1461" t="str">
        <x:v>Rio Rancho Public Schools</x:v>
      </x:c>
      <x:c r="B1461" t="str">
        <x:v>NM</x:v>
      </x:c>
      <x:c r="C1461" t="str">
        <x:v>Bachelor's</x:v>
      </x:c>
      <x:c r="D1461" t="n">
        <x:v>7</x:v>
      </x:c>
      <x:c r="E1461" t="n">
        <x:v>71000</x:v>
      </x:c>
      <x:c r="F1461" t="str">
        <x:v>2026-06-16</x:v>
      </x:c>
    </x:row>
    <x:row r="1462">
      <x:c r="A1462" t="str">
        <x:v>Rio Rancho Public Schools</x:v>
      </x:c>
      <x:c r="B1462" t="str">
        <x:v>NM</x:v>
      </x:c>
      <x:c r="C1462" t="str">
        <x:v>Bachelor's</x:v>
      </x:c>
      <x:c r="D1462" t="n">
        <x:v>8</x:v>
      </x:c>
      <x:c r="E1462" t="n">
        <x:v>73000</x:v>
      </x:c>
      <x:c r="F1462" t="str">
        <x:v>2026-06-16</x:v>
      </x:c>
    </x:row>
    <x:row r="1463">
      <x:c r="A1463" t="str">
        <x:v>Rio Rancho Public Schools</x:v>
      </x:c>
      <x:c r="B1463" t="str">
        <x:v>NM</x:v>
      </x:c>
      <x:c r="C1463" t="str">
        <x:v>Bachelor's</x:v>
      </x:c>
      <x:c r="D1463" t="n">
        <x:v>9</x:v>
      </x:c>
      <x:c r="E1463" t="n">
        <x:v>74500</x:v>
      </x:c>
      <x:c r="F1463" t="str">
        <x:v>2026-06-16</x:v>
      </x:c>
    </x:row>
    <x:row r="1464">
      <x:c r="A1464" t="str">
        <x:v>Rio Rancho Public Schools</x:v>
      </x:c>
      <x:c r="B1464" t="str">
        <x:v>NM</x:v>
      </x:c>
      <x:c r="C1464" t="str">
        <x:v>Bachelor's</x:v>
      </x:c>
      <x:c r="D1464" t="n">
        <x:v>10</x:v>
      </x:c>
      <x:c r="E1464" t="n">
        <x:v>76000</x:v>
      </x:c>
      <x:c r="F1464" t="str">
        <x:v>2026-06-16</x:v>
      </x:c>
    </x:row>
    <x:row r="1465">
      <x:c r="A1465" t="str">
        <x:v>Rio Rancho Public Schools</x:v>
      </x:c>
      <x:c r="B1465" t="str">
        <x:v>NM</x:v>
      </x:c>
      <x:c r="C1465" t="str">
        <x:v>Master's</x:v>
      </x:c>
      <x:c r="D1465" t="n">
        <x:v>0</x:v>
      </x:c>
      <x:c r="E1465" t="n">
        <x:v>60000</x:v>
      </x:c>
      <x:c r="F1465" t="str">
        <x:v>2026-06-16</x:v>
      </x:c>
    </x:row>
    <x:row r="1466">
      <x:c r="A1466" t="str">
        <x:v>Rio Rancho Public Schools</x:v>
      </x:c>
      <x:c r="B1466" t="str">
        <x:v>NM</x:v>
      </x:c>
      <x:c r="C1466" t="str">
        <x:v>Master's</x:v>
      </x:c>
      <x:c r="D1466" t="n">
        <x:v>1</x:v>
      </x:c>
      <x:c r="E1466" t="n">
        <x:v>63000</x:v>
      </x:c>
      <x:c r="F1466" t="str">
        <x:v>2026-06-16</x:v>
      </x:c>
    </x:row>
    <x:row r="1467">
      <x:c r="A1467" t="str">
        <x:v>Rio Rancho Public Schools</x:v>
      </x:c>
      <x:c r="B1467" t="str">
        <x:v>NM</x:v>
      </x:c>
      <x:c r="C1467" t="str">
        <x:v>Master's</x:v>
      </x:c>
      <x:c r="D1467" t="n">
        <x:v>2</x:v>
      </x:c>
      <x:c r="E1467" t="n">
        <x:v>66000</x:v>
      </x:c>
      <x:c r="F1467" t="str">
        <x:v>2026-06-16</x:v>
      </x:c>
    </x:row>
    <x:row r="1468">
      <x:c r="A1468" t="str">
        <x:v>Rio Rancho Public Schools</x:v>
      </x:c>
      <x:c r="B1468" t="str">
        <x:v>NM</x:v>
      </x:c>
      <x:c r="C1468" t="str">
        <x:v>Master's</x:v>
      </x:c>
      <x:c r="D1468" t="n">
        <x:v>3</x:v>
      </x:c>
      <x:c r="E1468" t="n">
        <x:v>68000</x:v>
      </x:c>
      <x:c r="F1468" t="str">
        <x:v>2026-06-16</x:v>
      </x:c>
    </x:row>
    <x:row r="1469">
      <x:c r="A1469" t="str">
        <x:v>Rio Rancho Public Schools</x:v>
      </x:c>
      <x:c r="B1469" t="str">
        <x:v>NM</x:v>
      </x:c>
      <x:c r="C1469" t="str">
        <x:v>Master's</x:v>
      </x:c>
      <x:c r="D1469" t="n">
        <x:v>4</x:v>
      </x:c>
      <x:c r="E1469" t="n">
        <x:v>70000</x:v>
      </x:c>
      <x:c r="F1469" t="str">
        <x:v>2026-06-16</x:v>
      </x:c>
    </x:row>
    <x:row r="1470">
      <x:c r="A1470" t="str">
        <x:v>Rio Rancho Public Schools</x:v>
      </x:c>
      <x:c r="B1470" t="str">
        <x:v>NM</x:v>
      </x:c>
      <x:c r="C1470" t="str">
        <x:v>Master's</x:v>
      </x:c>
      <x:c r="D1470" t="n">
        <x:v>5</x:v>
      </x:c>
      <x:c r="E1470" t="n">
        <x:v>72000</x:v>
      </x:c>
      <x:c r="F1470" t="str">
        <x:v>2026-06-16</x:v>
      </x:c>
    </x:row>
    <x:row r="1471">
      <x:c r="A1471" t="str">
        <x:v>Rio Rancho Public Schools</x:v>
      </x:c>
      <x:c r="B1471" t="str">
        <x:v>NM</x:v>
      </x:c>
      <x:c r="C1471" t="str">
        <x:v>Master's</x:v>
      </x:c>
      <x:c r="D1471" t="n">
        <x:v>6</x:v>
      </x:c>
      <x:c r="E1471" t="n">
        <x:v>74000</x:v>
      </x:c>
      <x:c r="F1471" t="str">
        <x:v>2026-06-16</x:v>
      </x:c>
    </x:row>
    <x:row r="1472">
      <x:c r="A1472" t="str">
        <x:v>Rio Rancho Public Schools</x:v>
      </x:c>
      <x:c r="B1472" t="str">
        <x:v>NM</x:v>
      </x:c>
      <x:c r="C1472" t="str">
        <x:v>Master's</x:v>
      </x:c>
      <x:c r="D1472" t="n">
        <x:v>7</x:v>
      </x:c>
      <x:c r="E1472" t="n">
        <x:v>76000</x:v>
      </x:c>
      <x:c r="F1472" t="str">
        <x:v>2026-06-16</x:v>
      </x:c>
    </x:row>
    <x:row r="1473">
      <x:c r="A1473" t="str">
        <x:v>Rio Rancho Public Schools</x:v>
      </x:c>
      <x:c r="B1473" t="str">
        <x:v>NM</x:v>
      </x:c>
      <x:c r="C1473" t="str">
        <x:v>Master's</x:v>
      </x:c>
      <x:c r="D1473" t="n">
        <x:v>8</x:v>
      </x:c>
      <x:c r="E1473" t="n">
        <x:v>78000</x:v>
      </x:c>
      <x:c r="F1473" t="str">
        <x:v>2026-06-16</x:v>
      </x:c>
    </x:row>
    <x:row r="1474">
      <x:c r="A1474" t="str">
        <x:v>Rio Rancho Public Schools</x:v>
      </x:c>
      <x:c r="B1474" t="str">
        <x:v>NM</x:v>
      </x:c>
      <x:c r="C1474" t="str">
        <x:v>Master's</x:v>
      </x:c>
      <x:c r="D1474" t="n">
        <x:v>9</x:v>
      </x:c>
      <x:c r="E1474" t="n">
        <x:v>79500</x:v>
      </x:c>
      <x:c r="F1474" t="str">
        <x:v>2026-06-16</x:v>
      </x:c>
    </x:row>
    <x:row r="1475">
      <x:c r="A1475" t="str">
        <x:v>Rio Rancho Public Schools</x:v>
      </x:c>
      <x:c r="B1475" t="str">
        <x:v>NM</x:v>
      </x:c>
      <x:c r="C1475" t="str">
        <x:v>Master's</x:v>
      </x:c>
      <x:c r="D1475" t="n">
        <x:v>10</x:v>
      </x:c>
      <x:c r="E1475" t="n">
        <x:v>81000</x:v>
      </x:c>
      <x:c r="F1475" t="str">
        <x:v>2026-06-16</x:v>
      </x:c>
    </x:row>
    <x:row r="1476">
      <x:c r="A1476" t="str">
        <x:v>Gilbert Public Schools</x:v>
      </x:c>
      <x:c r="B1476" t="str">
        <x:v>AZ</x:v>
      </x:c>
      <x:c r="C1476" t="str">
        <x:v>Bachelor's</x:v>
      </x:c>
      <x:c r="D1476" t="n">
        <x:v>0</x:v>
      </x:c>
      <x:c r="E1476" t="n">
        <x:v>53530</x:v>
      </x:c>
      <x:c r="F1476" t="str">
        <x:v>2026-06-16</x:v>
      </x:c>
    </x:row>
    <x:row r="1477">
      <x:c r="A1477" t="str">
        <x:v>Gilbert Public Schools</x:v>
      </x:c>
      <x:c r="B1477" t="str">
        <x:v>AZ</x:v>
      </x:c>
      <x:c r="C1477" t="str">
        <x:v>Bachelor's</x:v>
      </x:c>
      <x:c r="D1477" t="n">
        <x:v>1</x:v>
      </x:c>
      <x:c r="E1477" t="n">
        <x:v>56000</x:v>
      </x:c>
      <x:c r="F1477" t="str">
        <x:v>2026-06-16</x:v>
      </x:c>
    </x:row>
    <x:row r="1478">
      <x:c r="A1478" t="str">
        <x:v>Gilbert Public Schools</x:v>
      </x:c>
      <x:c r="B1478" t="str">
        <x:v>AZ</x:v>
      </x:c>
      <x:c r="C1478" t="str">
        <x:v>Bachelor's</x:v>
      </x:c>
      <x:c r="D1478" t="n">
        <x:v>2</x:v>
      </x:c>
      <x:c r="E1478" t="n">
        <x:v>58500</x:v>
      </x:c>
      <x:c r="F1478" t="str">
        <x:v>2026-06-16</x:v>
      </x:c>
    </x:row>
    <x:row r="1479">
      <x:c r="A1479" t="str">
        <x:v>Gilbert Public Schools</x:v>
      </x:c>
      <x:c r="B1479" t="str">
        <x:v>AZ</x:v>
      </x:c>
      <x:c r="C1479" t="str">
        <x:v>Bachelor's</x:v>
      </x:c>
      <x:c r="D1479" t="n">
        <x:v>3</x:v>
      </x:c>
      <x:c r="E1479" t="n">
        <x:v>61000</x:v>
      </x:c>
      <x:c r="F1479" t="str">
        <x:v>2026-06-16</x:v>
      </x:c>
    </x:row>
    <x:row r="1480">
      <x:c r="A1480" t="str">
        <x:v>Gilbert Public Schools</x:v>
      </x:c>
      <x:c r="B1480" t="str">
        <x:v>AZ</x:v>
      </x:c>
      <x:c r="C1480" t="str">
        <x:v>Bachelor's</x:v>
      </x:c>
      <x:c r="D1480" t="n">
        <x:v>4</x:v>
      </x:c>
      <x:c r="E1480" t="n">
        <x:v>63000</x:v>
      </x:c>
      <x:c r="F1480" t="str">
        <x:v>2026-06-16</x:v>
      </x:c>
    </x:row>
    <x:row r="1481">
      <x:c r="A1481" t="str">
        <x:v>Gilbert Public Schools</x:v>
      </x:c>
      <x:c r="B1481" t="str">
        <x:v>AZ</x:v>
      </x:c>
      <x:c r="C1481" t="str">
        <x:v>Bachelor's</x:v>
      </x:c>
      <x:c r="D1481" t="n">
        <x:v>5</x:v>
      </x:c>
      <x:c r="E1481" t="n">
        <x:v>65000</x:v>
      </x:c>
      <x:c r="F1481" t="str">
        <x:v>2026-06-16</x:v>
      </x:c>
    </x:row>
    <x:row r="1482">
      <x:c r="A1482" t="str">
        <x:v>Gilbert Public Schools</x:v>
      </x:c>
      <x:c r="B1482" t="str">
        <x:v>AZ</x:v>
      </x:c>
      <x:c r="C1482" t="str">
        <x:v>Bachelor's</x:v>
      </x:c>
      <x:c r="D1482" t="n">
        <x:v>6</x:v>
      </x:c>
      <x:c r="E1482" t="n">
        <x:v>66000</x:v>
      </x:c>
      <x:c r="F1482" t="str">
        <x:v>2026-06-16</x:v>
      </x:c>
    </x:row>
    <x:row r="1483">
      <x:c r="A1483" t="str">
        <x:v>Gilbert Public Schools</x:v>
      </x:c>
      <x:c r="B1483" t="str">
        <x:v>AZ</x:v>
      </x:c>
      <x:c r="C1483" t="str">
        <x:v>Bachelor's</x:v>
      </x:c>
      <x:c r="D1483" t="n">
        <x:v>7</x:v>
      </x:c>
      <x:c r="E1483" t="n">
        <x:v>67000</x:v>
      </x:c>
      <x:c r="F1483" t="str">
        <x:v>2026-06-16</x:v>
      </x:c>
    </x:row>
    <x:row r="1484">
      <x:c r="A1484" t="str">
        <x:v>Gilbert Public Schools</x:v>
      </x:c>
      <x:c r="B1484" t="str">
        <x:v>AZ</x:v>
      </x:c>
      <x:c r="C1484" t="str">
        <x:v>Bachelor's</x:v>
      </x:c>
      <x:c r="D1484" t="n">
        <x:v>8</x:v>
      </x:c>
      <x:c r="E1484" t="n">
        <x:v>68000</x:v>
      </x:c>
      <x:c r="F1484" t="str">
        <x:v>2026-06-16</x:v>
      </x:c>
    </x:row>
    <x:row r="1485">
      <x:c r="A1485" t="str">
        <x:v>Gilbert Public Schools</x:v>
      </x:c>
      <x:c r="B1485" t="str">
        <x:v>AZ</x:v>
      </x:c>
      <x:c r="C1485" t="str">
        <x:v>Bachelor's</x:v>
      </x:c>
      <x:c r="D1485" t="n">
        <x:v>9</x:v>
      </x:c>
      <x:c r="E1485" t="n">
        <x:v>69000</x:v>
      </x:c>
      <x:c r="F1485" t="str">
        <x:v>2026-06-16</x:v>
      </x:c>
    </x:row>
    <x:row r="1486">
      <x:c r="A1486" t="str">
        <x:v>Gilbert Public Schools</x:v>
      </x:c>
      <x:c r="B1486" t="str">
        <x:v>AZ</x:v>
      </x:c>
      <x:c r="C1486" t="str">
        <x:v>Bachelor's</x:v>
      </x:c>
      <x:c r="D1486" t="n">
        <x:v>10</x:v>
      </x:c>
      <x:c r="E1486" t="n">
        <x:v>70000</x:v>
      </x:c>
      <x:c r="F1486" t="str">
        <x:v>2026-06-16</x:v>
      </x:c>
    </x:row>
    <x:row r="1487">
      <x:c r="A1487" t="str">
        <x:v>Gilbert Public Schools</x:v>
      </x:c>
      <x:c r="B1487" t="str">
        <x:v>AZ</x:v>
      </x:c>
      <x:c r="C1487" t="str">
        <x:v>Master's</x:v>
      </x:c>
      <x:c r="D1487" t="n">
        <x:v>0</x:v>
      </x:c>
      <x:c r="E1487" t="n">
        <x:v>58500</x:v>
      </x:c>
      <x:c r="F1487" t="str">
        <x:v>2026-06-16</x:v>
      </x:c>
    </x:row>
    <x:row r="1488">
      <x:c r="A1488" t="str">
        <x:v>Gilbert Public Schools</x:v>
      </x:c>
      <x:c r="B1488" t="str">
        <x:v>AZ</x:v>
      </x:c>
      <x:c r="C1488" t="str">
        <x:v>Master's</x:v>
      </x:c>
      <x:c r="D1488" t="n">
        <x:v>1</x:v>
      </x:c>
      <x:c r="E1488" t="n">
        <x:v>61000</x:v>
      </x:c>
      <x:c r="F1488" t="str">
        <x:v>2026-06-16</x:v>
      </x:c>
    </x:row>
    <x:row r="1489">
      <x:c r="A1489" t="str">
        <x:v>Gilbert Public Schools</x:v>
      </x:c>
      <x:c r="B1489" t="str">
        <x:v>AZ</x:v>
      </x:c>
      <x:c r="C1489" t="str">
        <x:v>Master's</x:v>
      </x:c>
      <x:c r="D1489" t="n">
        <x:v>2</x:v>
      </x:c>
      <x:c r="E1489" t="n">
        <x:v>63500</x:v>
      </x:c>
      <x:c r="F1489" t="str">
        <x:v>2026-06-16</x:v>
      </x:c>
    </x:row>
    <x:row r="1490">
      <x:c r="A1490" t="str">
        <x:v>Gilbert Public Schools</x:v>
      </x:c>
      <x:c r="B1490" t="str">
        <x:v>AZ</x:v>
      </x:c>
      <x:c r="C1490" t="str">
        <x:v>Master's</x:v>
      </x:c>
      <x:c r="D1490" t="n">
        <x:v>3</x:v>
      </x:c>
      <x:c r="E1490" t="n">
        <x:v>66000</x:v>
      </x:c>
      <x:c r="F1490" t="str">
        <x:v>2026-06-16</x:v>
      </x:c>
    </x:row>
    <x:row r="1491">
      <x:c r="A1491" t="str">
        <x:v>Gilbert Public Schools</x:v>
      </x:c>
      <x:c r="B1491" t="str">
        <x:v>AZ</x:v>
      </x:c>
      <x:c r="C1491" t="str">
        <x:v>Master's</x:v>
      </x:c>
      <x:c r="D1491" t="n">
        <x:v>4</x:v>
      </x:c>
      <x:c r="E1491" t="n">
        <x:v>68000</x:v>
      </x:c>
      <x:c r="F1491" t="str">
        <x:v>2026-06-16</x:v>
      </x:c>
    </x:row>
    <x:row r="1492">
      <x:c r="A1492" t="str">
        <x:v>Gilbert Public Schools</x:v>
      </x:c>
      <x:c r="B1492" t="str">
        <x:v>AZ</x:v>
      </x:c>
      <x:c r="C1492" t="str">
        <x:v>Master's</x:v>
      </x:c>
      <x:c r="D1492" t="n">
        <x:v>5</x:v>
      </x:c>
      <x:c r="E1492" t="n">
        <x:v>70000</x:v>
      </x:c>
      <x:c r="F1492" t="str">
        <x:v>2026-06-16</x:v>
      </x:c>
    </x:row>
    <x:row r="1493">
      <x:c r="A1493" t="str">
        <x:v>Gilbert Public Schools</x:v>
      </x:c>
      <x:c r="B1493" t="str">
        <x:v>AZ</x:v>
      </x:c>
      <x:c r="C1493" t="str">
        <x:v>Master's</x:v>
      </x:c>
      <x:c r="D1493" t="n">
        <x:v>6</x:v>
      </x:c>
      <x:c r="E1493" t="n">
        <x:v>71500</x:v>
      </x:c>
      <x:c r="F1493" t="str">
        <x:v>2026-06-16</x:v>
      </x:c>
    </x:row>
    <x:row r="1494">
      <x:c r="A1494" t="str">
        <x:v>Gilbert Public Schools</x:v>
      </x:c>
      <x:c r="B1494" t="str">
        <x:v>AZ</x:v>
      </x:c>
      <x:c r="C1494" t="str">
        <x:v>Master's</x:v>
      </x:c>
      <x:c r="D1494" t="n">
        <x:v>7</x:v>
      </x:c>
      <x:c r="E1494" t="n">
        <x:v>72500</x:v>
      </x:c>
      <x:c r="F1494" t="str">
        <x:v>2026-06-16</x:v>
      </x:c>
    </x:row>
    <x:row r="1495">
      <x:c r="A1495" t="str">
        <x:v>Gilbert Public Schools</x:v>
      </x:c>
      <x:c r="B1495" t="str">
        <x:v>AZ</x:v>
      </x:c>
      <x:c r="C1495" t="str">
        <x:v>Master's</x:v>
      </x:c>
      <x:c r="D1495" t="n">
        <x:v>8</x:v>
      </x:c>
      <x:c r="E1495" t="n">
        <x:v>73500</x:v>
      </x:c>
      <x:c r="F1495" t="str">
        <x:v>2026-06-16</x:v>
      </x:c>
    </x:row>
    <x:row r="1496">
      <x:c r="A1496" t="str">
        <x:v>Gilbert Public Schools</x:v>
      </x:c>
      <x:c r="B1496" t="str">
        <x:v>AZ</x:v>
      </x:c>
      <x:c r="C1496" t="str">
        <x:v>Master's</x:v>
      </x:c>
      <x:c r="D1496" t="n">
        <x:v>9</x:v>
      </x:c>
      <x:c r="E1496" t="n">
        <x:v>74500</x:v>
      </x:c>
      <x:c r="F1496" t="str">
        <x:v>2026-06-16</x:v>
      </x:c>
    </x:row>
    <x:row r="1497">
      <x:c r="A1497" t="str">
        <x:v>Gilbert Public Schools</x:v>
      </x:c>
      <x:c r="B1497" t="str">
        <x:v>AZ</x:v>
      </x:c>
      <x:c r="C1497" t="str">
        <x:v>Master's</x:v>
      </x:c>
      <x:c r="D1497" t="n">
        <x:v>10</x:v>
      </x:c>
      <x:c r="E1497" t="n">
        <x:v>75500</x:v>
      </x:c>
      <x:c r="F1497" t="str">
        <x:v>2026-06-16</x:v>
      </x:c>
    </x:row>
    <x:row r="1498">
      <x:c r="A1498" t="str">
        <x:v>Queen Creek Unified School District</x:v>
      </x:c>
      <x:c r="B1498" t="str">
        <x:v>AZ</x:v>
      </x:c>
      <x:c r="C1498" t="str">
        <x:v>Bachelor's</x:v>
      </x:c>
      <x:c r="D1498" t="n">
        <x:v>0</x:v>
      </x:c>
      <x:c r="E1498" t="n">
        <x:v>52000</x:v>
      </x:c>
      <x:c r="F1498" t="str">
        <x:v>2026-06-16</x:v>
      </x:c>
    </x:row>
    <x:row r="1499">
      <x:c r="A1499" t="str">
        <x:v>Queen Creek Unified School District</x:v>
      </x:c>
      <x:c r="B1499" t="str">
        <x:v>AZ</x:v>
      </x:c>
      <x:c r="C1499" t="str">
        <x:v>Bachelor's</x:v>
      </x:c>
      <x:c r="D1499" t="n">
        <x:v>1</x:v>
      </x:c>
      <x:c r="E1499" t="n">
        <x:v>54500</x:v>
      </x:c>
      <x:c r="F1499" t="str">
        <x:v>2026-06-16</x:v>
      </x:c>
    </x:row>
    <x:row r="1500">
      <x:c r="A1500" t="str">
        <x:v>Queen Creek Unified School District</x:v>
      </x:c>
      <x:c r="B1500" t="str">
        <x:v>AZ</x:v>
      </x:c>
      <x:c r="C1500" t="str">
        <x:v>Bachelor's</x:v>
      </x:c>
      <x:c r="D1500" t="n">
        <x:v>2</x:v>
      </x:c>
      <x:c r="E1500" t="n">
        <x:v>57000</x:v>
      </x:c>
      <x:c r="F1500" t="str">
        <x:v>2026-06-16</x:v>
      </x:c>
    </x:row>
    <x:row r="1501">
      <x:c r="A1501" t="str">
        <x:v>Queen Creek Unified School District</x:v>
      </x:c>
      <x:c r="B1501" t="str">
        <x:v>AZ</x:v>
      </x:c>
      <x:c r="C1501" t="str">
        <x:v>Bachelor's</x:v>
      </x:c>
      <x:c r="D1501" t="n">
        <x:v>3</x:v>
      </x:c>
      <x:c r="E1501" t="n">
        <x:v>59500</x:v>
      </x:c>
      <x:c r="F1501" t="str">
        <x:v>2026-06-16</x:v>
      </x:c>
    </x:row>
    <x:row r="1502">
      <x:c r="A1502" t="str">
        <x:v>Queen Creek Unified School District</x:v>
      </x:c>
      <x:c r="B1502" t="str">
        <x:v>AZ</x:v>
      </x:c>
      <x:c r="C1502" t="str">
        <x:v>Bachelor's</x:v>
      </x:c>
      <x:c r="D1502" t="n">
        <x:v>4</x:v>
      </x:c>
      <x:c r="E1502" t="n">
        <x:v>61500</x:v>
      </x:c>
      <x:c r="F1502" t="str">
        <x:v>2026-06-16</x:v>
      </x:c>
    </x:row>
    <x:row r="1503">
      <x:c r="A1503" t="str">
        <x:v>Queen Creek Unified School District</x:v>
      </x:c>
      <x:c r="B1503" t="str">
        <x:v>AZ</x:v>
      </x:c>
      <x:c r="C1503" t="str">
        <x:v>Bachelor's</x:v>
      </x:c>
      <x:c r="D1503" t="n">
        <x:v>5</x:v>
      </x:c>
      <x:c r="E1503" t="n">
        <x:v>63500</x:v>
      </x:c>
      <x:c r="F1503" t="str">
        <x:v>2026-06-16</x:v>
      </x:c>
    </x:row>
    <x:row r="1504">
      <x:c r="A1504" t="str">
        <x:v>Queen Creek Unified School District</x:v>
      </x:c>
      <x:c r="B1504" t="str">
        <x:v>AZ</x:v>
      </x:c>
      <x:c r="C1504" t="str">
        <x:v>Bachelor's</x:v>
      </x:c>
      <x:c r="D1504" t="n">
        <x:v>6</x:v>
      </x:c>
      <x:c r="E1504" t="n">
        <x:v>65000</x:v>
      </x:c>
      <x:c r="F1504" t="str">
        <x:v>2026-06-16</x:v>
      </x:c>
    </x:row>
    <x:row r="1505">
      <x:c r="A1505" t="str">
        <x:v>Queen Creek Unified School District</x:v>
      </x:c>
      <x:c r="B1505" t="str">
        <x:v>AZ</x:v>
      </x:c>
      <x:c r="C1505" t="str">
        <x:v>Bachelor's</x:v>
      </x:c>
      <x:c r="D1505" t="n">
        <x:v>7</x:v>
      </x:c>
      <x:c r="E1505" t="n">
        <x:v>66250</x:v>
      </x:c>
      <x:c r="F1505" t="str">
        <x:v>2026-06-16</x:v>
      </x:c>
    </x:row>
    <x:row r="1506">
      <x:c r="A1506" t="str">
        <x:v>Queen Creek Unified School District</x:v>
      </x:c>
      <x:c r="B1506" t="str">
        <x:v>AZ</x:v>
      </x:c>
      <x:c r="C1506" t="str">
        <x:v>Bachelor's</x:v>
      </x:c>
      <x:c r="D1506" t="n">
        <x:v>8</x:v>
      </x:c>
      <x:c r="E1506" t="n">
        <x:v>67500</x:v>
      </x:c>
      <x:c r="F1506" t="str">
        <x:v>2026-06-16</x:v>
      </x:c>
    </x:row>
    <x:row r="1507">
      <x:c r="A1507" t="str">
        <x:v>Queen Creek Unified School District</x:v>
      </x:c>
      <x:c r="B1507" t="str">
        <x:v>AZ</x:v>
      </x:c>
      <x:c r="C1507" t="str">
        <x:v>Bachelor's</x:v>
      </x:c>
      <x:c r="D1507" t="n">
        <x:v>9</x:v>
      </x:c>
      <x:c r="E1507" t="n">
        <x:v>68750</x:v>
      </x:c>
      <x:c r="F1507" t="str">
        <x:v>2026-06-16</x:v>
      </x:c>
    </x:row>
    <x:row r="1508">
      <x:c r="A1508" t="str">
        <x:v>Queen Creek Unified School District</x:v>
      </x:c>
      <x:c r="B1508" t="str">
        <x:v>AZ</x:v>
      </x:c>
      <x:c r="C1508" t="str">
        <x:v>Bachelor's</x:v>
      </x:c>
      <x:c r="D1508" t="n">
        <x:v>10</x:v>
      </x:c>
      <x:c r="E1508" t="n">
        <x:v>70000</x:v>
      </x:c>
      <x:c r="F1508" t="str">
        <x:v>2026-06-16</x:v>
      </x:c>
    </x:row>
    <x:row r="1509">
      <x:c r="A1509" t="str">
        <x:v>Queen Creek Unified School District</x:v>
      </x:c>
      <x:c r="B1509" t="str">
        <x:v>AZ</x:v>
      </x:c>
      <x:c r="C1509" t="str">
        <x:v>Master's</x:v>
      </x:c>
      <x:c r="D1509" t="n">
        <x:v>0</x:v>
      </x:c>
      <x:c r="E1509" t="n">
        <x:v>57000</x:v>
      </x:c>
      <x:c r="F1509" t="str">
        <x:v>2026-06-16</x:v>
      </x:c>
    </x:row>
    <x:row r="1510">
      <x:c r="A1510" t="str">
        <x:v>Queen Creek Unified School District</x:v>
      </x:c>
      <x:c r="B1510" t="str">
        <x:v>AZ</x:v>
      </x:c>
      <x:c r="C1510" t="str">
        <x:v>Master's</x:v>
      </x:c>
      <x:c r="D1510" t="n">
        <x:v>1</x:v>
      </x:c>
      <x:c r="E1510" t="n">
        <x:v>59500</x:v>
      </x:c>
      <x:c r="F1510" t="str">
        <x:v>2026-06-16</x:v>
      </x:c>
    </x:row>
    <x:row r="1511">
      <x:c r="A1511" t="str">
        <x:v>Queen Creek Unified School District</x:v>
      </x:c>
      <x:c r="B1511" t="str">
        <x:v>AZ</x:v>
      </x:c>
      <x:c r="C1511" t="str">
        <x:v>Master's</x:v>
      </x:c>
      <x:c r="D1511" t="n">
        <x:v>2</x:v>
      </x:c>
      <x:c r="E1511" t="n">
        <x:v>62000</x:v>
      </x:c>
      <x:c r="F1511" t="str">
        <x:v>2026-06-16</x:v>
      </x:c>
    </x:row>
    <x:row r="1512">
      <x:c r="A1512" t="str">
        <x:v>Queen Creek Unified School District</x:v>
      </x:c>
      <x:c r="B1512" t="str">
        <x:v>AZ</x:v>
      </x:c>
      <x:c r="C1512" t="str">
        <x:v>Master's</x:v>
      </x:c>
      <x:c r="D1512" t="n">
        <x:v>3</x:v>
      </x:c>
      <x:c r="E1512" t="n">
        <x:v>64500</x:v>
      </x:c>
      <x:c r="F1512" t="str">
        <x:v>2026-06-16</x:v>
      </x:c>
    </x:row>
    <x:row r="1513">
      <x:c r="A1513" t="str">
        <x:v>Queen Creek Unified School District</x:v>
      </x:c>
      <x:c r="B1513" t="str">
        <x:v>AZ</x:v>
      </x:c>
      <x:c r="C1513" t="str">
        <x:v>Master's</x:v>
      </x:c>
      <x:c r="D1513" t="n">
        <x:v>4</x:v>
      </x:c>
      <x:c r="E1513" t="n">
        <x:v>66500</x:v>
      </x:c>
      <x:c r="F1513" t="str">
        <x:v>2026-06-16</x:v>
      </x:c>
    </x:row>
    <x:row r="1514">
      <x:c r="A1514" t="str">
        <x:v>Queen Creek Unified School District</x:v>
      </x:c>
      <x:c r="B1514" t="str">
        <x:v>AZ</x:v>
      </x:c>
      <x:c r="C1514" t="str">
        <x:v>Master's</x:v>
      </x:c>
      <x:c r="D1514" t="n">
        <x:v>5</x:v>
      </x:c>
      <x:c r="E1514" t="n">
        <x:v>68500</x:v>
      </x:c>
      <x:c r="F1514" t="str">
        <x:v>2026-06-16</x:v>
      </x:c>
    </x:row>
    <x:row r="1515">
      <x:c r="A1515" t="str">
        <x:v>Queen Creek Unified School District</x:v>
      </x:c>
      <x:c r="B1515" t="str">
        <x:v>AZ</x:v>
      </x:c>
      <x:c r="C1515" t="str">
        <x:v>Master's</x:v>
      </x:c>
      <x:c r="D1515" t="n">
        <x:v>6</x:v>
      </x:c>
      <x:c r="E1515" t="n">
        <x:v>70000</x:v>
      </x:c>
      <x:c r="F1515" t="str">
        <x:v>2026-06-16</x:v>
      </x:c>
    </x:row>
    <x:row r="1516">
      <x:c r="A1516" t="str">
        <x:v>Queen Creek Unified School District</x:v>
      </x:c>
      <x:c r="B1516" t="str">
        <x:v>AZ</x:v>
      </x:c>
      <x:c r="C1516" t="str">
        <x:v>Master's</x:v>
      </x:c>
      <x:c r="D1516" t="n">
        <x:v>7</x:v>
      </x:c>
      <x:c r="E1516" t="n">
        <x:v>71250</x:v>
      </x:c>
      <x:c r="F1516" t="str">
        <x:v>2026-06-16</x:v>
      </x:c>
    </x:row>
    <x:row r="1517">
      <x:c r="A1517" t="str">
        <x:v>Queen Creek Unified School District</x:v>
      </x:c>
      <x:c r="B1517" t="str">
        <x:v>AZ</x:v>
      </x:c>
      <x:c r="C1517" t="str">
        <x:v>Master's</x:v>
      </x:c>
      <x:c r="D1517" t="n">
        <x:v>8</x:v>
      </x:c>
      <x:c r="E1517" t="n">
        <x:v>72500</x:v>
      </x:c>
      <x:c r="F1517" t="str">
        <x:v>2026-06-16</x:v>
      </x:c>
    </x:row>
    <x:row r="1518">
      <x:c r="A1518" t="str">
        <x:v>Queen Creek Unified School District</x:v>
      </x:c>
      <x:c r="B1518" t="str">
        <x:v>AZ</x:v>
      </x:c>
      <x:c r="C1518" t="str">
        <x:v>Master's</x:v>
      </x:c>
      <x:c r="D1518" t="n">
        <x:v>9</x:v>
      </x:c>
      <x:c r="E1518" t="n">
        <x:v>73750</x:v>
      </x:c>
      <x:c r="F1518" t="str">
        <x:v>2026-06-16</x:v>
      </x:c>
    </x:row>
    <x:row r="1519">
      <x:c r="A1519" t="str">
        <x:v>Queen Creek Unified School District</x:v>
      </x:c>
      <x:c r="B1519" t="str">
        <x:v>AZ</x:v>
      </x:c>
      <x:c r="C1519" t="str">
        <x:v>Master's</x:v>
      </x:c>
      <x:c r="D1519" t="n">
        <x:v>10</x:v>
      </x:c>
      <x:c r="E1519" t="n">
        <x:v>75000</x:v>
      </x:c>
      <x:c r="F1519" t="str">
        <x:v>2026-06-16</x:v>
      </x:c>
    </x:row>
    <x:row r="1520">
      <x:c r="A1520" t="str">
        <x:v>Vail School District</x:v>
      </x:c>
      <x:c r="B1520" t="str">
        <x:v>AZ</x:v>
      </x:c>
      <x:c r="C1520" t="str">
        <x:v>Bachelor's</x:v>
      </x:c>
      <x:c r="D1520" t="n">
        <x:v>0</x:v>
      </x:c>
      <x:c r="E1520" t="n">
        <x:v>50250</x:v>
      </x:c>
      <x:c r="F1520" t="str">
        <x:v>2026-06-16</x:v>
      </x:c>
    </x:row>
    <x:row r="1521">
      <x:c r="A1521" t="str">
        <x:v>Vail School District</x:v>
      </x:c>
      <x:c r="B1521" t="str">
        <x:v>AZ</x:v>
      </x:c>
      <x:c r="C1521" t="str">
        <x:v>Bachelor's</x:v>
      </x:c>
      <x:c r="D1521" t="n">
        <x:v>1</x:v>
      </x:c>
      <x:c r="E1521" t="n">
        <x:v>52500</x:v>
      </x:c>
      <x:c r="F1521" t="str">
        <x:v>2026-06-16</x:v>
      </x:c>
    </x:row>
    <x:row r="1522">
      <x:c r="A1522" t="str">
        <x:v>Vail School District</x:v>
      </x:c>
      <x:c r="B1522" t="str">
        <x:v>AZ</x:v>
      </x:c>
      <x:c r="C1522" t="str">
        <x:v>Bachelor's</x:v>
      </x:c>
      <x:c r="D1522" t="n">
        <x:v>2</x:v>
      </x:c>
      <x:c r="E1522" t="n">
        <x:v>55000</x:v>
      </x:c>
      <x:c r="F1522" t="str">
        <x:v>2026-06-16</x:v>
      </x:c>
    </x:row>
    <x:row r="1523">
      <x:c r="A1523" t="str">
        <x:v>Vail School District</x:v>
      </x:c>
      <x:c r="B1523" t="str">
        <x:v>AZ</x:v>
      </x:c>
      <x:c r="C1523" t="str">
        <x:v>Bachelor's</x:v>
      </x:c>
      <x:c r="D1523" t="n">
        <x:v>3</x:v>
      </x:c>
      <x:c r="E1523" t="n">
        <x:v>57500</x:v>
      </x:c>
      <x:c r="F1523" t="str">
        <x:v>2026-06-16</x:v>
      </x:c>
    </x:row>
    <x:row r="1524">
      <x:c r="A1524" t="str">
        <x:v>Vail School District</x:v>
      </x:c>
      <x:c r="B1524" t="str">
        <x:v>AZ</x:v>
      </x:c>
      <x:c r="C1524" t="str">
        <x:v>Bachelor's</x:v>
      </x:c>
      <x:c r="D1524" t="n">
        <x:v>4</x:v>
      </x:c>
      <x:c r="E1524" t="n">
        <x:v>60000</x:v>
      </x:c>
      <x:c r="F1524" t="str">
        <x:v>2026-06-16</x:v>
      </x:c>
    </x:row>
    <x:row r="1525">
      <x:c r="A1525" t="str">
        <x:v>Vail School District</x:v>
      </x:c>
      <x:c r="B1525" t="str">
        <x:v>AZ</x:v>
      </x:c>
      <x:c r="C1525" t="str">
        <x:v>Bachelor's</x:v>
      </x:c>
      <x:c r="D1525" t="n">
        <x:v>5</x:v>
      </x:c>
      <x:c r="E1525" t="n">
        <x:v>62000</x:v>
      </x:c>
      <x:c r="F1525" t="str">
        <x:v>2026-06-16</x:v>
      </x:c>
    </x:row>
    <x:row r="1526">
      <x:c r="A1526" t="str">
        <x:v>Vail School District</x:v>
      </x:c>
      <x:c r="B1526" t="str">
        <x:v>AZ</x:v>
      </x:c>
      <x:c r="C1526" t="str">
        <x:v>Bachelor's</x:v>
      </x:c>
      <x:c r="D1526" t="n">
        <x:v>6</x:v>
      </x:c>
      <x:c r="E1526" t="n">
        <x:v>63500</x:v>
      </x:c>
      <x:c r="F1526" t="str">
        <x:v>2026-06-16</x:v>
      </x:c>
    </x:row>
    <x:row r="1527">
      <x:c r="A1527" t="str">
        <x:v>Vail School District</x:v>
      </x:c>
      <x:c r="B1527" t="str">
        <x:v>AZ</x:v>
      </x:c>
      <x:c r="C1527" t="str">
        <x:v>Bachelor's</x:v>
      </x:c>
      <x:c r="D1527" t="n">
        <x:v>7</x:v>
      </x:c>
      <x:c r="E1527" t="n">
        <x:v>65000</x:v>
      </x:c>
      <x:c r="F1527" t="str">
        <x:v>2026-06-16</x:v>
      </x:c>
    </x:row>
    <x:row r="1528">
      <x:c r="A1528" t="str">
        <x:v>Vail School District</x:v>
      </x:c>
      <x:c r="B1528" t="str">
        <x:v>AZ</x:v>
      </x:c>
      <x:c r="C1528" t="str">
        <x:v>Bachelor's</x:v>
      </x:c>
      <x:c r="D1528" t="n">
        <x:v>8</x:v>
      </x:c>
      <x:c r="E1528" t="n">
        <x:v>66500</x:v>
      </x:c>
      <x:c r="F1528" t="str">
        <x:v>2026-06-16</x:v>
      </x:c>
    </x:row>
    <x:row r="1529">
      <x:c r="A1529" t="str">
        <x:v>Vail School District</x:v>
      </x:c>
      <x:c r="B1529" t="str">
        <x:v>AZ</x:v>
      </x:c>
      <x:c r="C1529" t="str">
        <x:v>Bachelor's</x:v>
      </x:c>
      <x:c r="D1529" t="n">
        <x:v>9</x:v>
      </x:c>
      <x:c r="E1529" t="n">
        <x:v>68000</x:v>
      </x:c>
      <x:c r="F1529" t="str">
        <x:v>2026-06-16</x:v>
      </x:c>
    </x:row>
    <x:row r="1530">
      <x:c r="A1530" t="str">
        <x:v>Vail School District</x:v>
      </x:c>
      <x:c r="B1530" t="str">
        <x:v>AZ</x:v>
      </x:c>
      <x:c r="C1530" t="str">
        <x:v>Bachelor's</x:v>
      </x:c>
      <x:c r="D1530" t="n">
        <x:v>10</x:v>
      </x:c>
      <x:c r="E1530" t="n">
        <x:v>69500</x:v>
      </x:c>
      <x:c r="F1530" t="str">
        <x:v>2026-06-16</x:v>
      </x:c>
    </x:row>
    <x:row r="1531">
      <x:c r="A1531" t="str">
        <x:v>Vail School District</x:v>
      </x:c>
      <x:c r="B1531" t="str">
        <x:v>AZ</x:v>
      </x:c>
      <x:c r="C1531" t="str">
        <x:v>Master's</x:v>
      </x:c>
      <x:c r="D1531" t="n">
        <x:v>0</x:v>
      </x:c>
      <x:c r="E1531" t="n">
        <x:v>55250</x:v>
      </x:c>
      <x:c r="F1531" t="str">
        <x:v>2026-06-16</x:v>
      </x:c>
    </x:row>
    <x:row r="1532">
      <x:c r="A1532" t="str">
        <x:v>Vail School District</x:v>
      </x:c>
      <x:c r="B1532" t="str">
        <x:v>AZ</x:v>
      </x:c>
      <x:c r="C1532" t="str">
        <x:v>Master's</x:v>
      </x:c>
      <x:c r="D1532" t="n">
        <x:v>1</x:v>
      </x:c>
      <x:c r="E1532" t="n">
        <x:v>57500</x:v>
      </x:c>
      <x:c r="F1532" t="str">
        <x:v>2026-06-16</x:v>
      </x:c>
    </x:row>
    <x:row r="1533">
      <x:c r="A1533" t="str">
        <x:v>Vail School District</x:v>
      </x:c>
      <x:c r="B1533" t="str">
        <x:v>AZ</x:v>
      </x:c>
      <x:c r="C1533" t="str">
        <x:v>Master's</x:v>
      </x:c>
      <x:c r="D1533" t="n">
        <x:v>2</x:v>
      </x:c>
      <x:c r="E1533" t="n">
        <x:v>60000</x:v>
      </x:c>
      <x:c r="F1533" t="str">
        <x:v>2026-06-16</x:v>
      </x:c>
    </x:row>
    <x:row r="1534">
      <x:c r="A1534" t="str">
        <x:v>Vail School District</x:v>
      </x:c>
      <x:c r="B1534" t="str">
        <x:v>AZ</x:v>
      </x:c>
      <x:c r="C1534" t="str">
        <x:v>Master's</x:v>
      </x:c>
      <x:c r="D1534" t="n">
        <x:v>3</x:v>
      </x:c>
      <x:c r="E1534" t="n">
        <x:v>62500</x:v>
      </x:c>
      <x:c r="F1534" t="str">
        <x:v>2026-06-16</x:v>
      </x:c>
    </x:row>
    <x:row r="1535">
      <x:c r="A1535" t="str">
        <x:v>Vail School District</x:v>
      </x:c>
      <x:c r="B1535" t="str">
        <x:v>AZ</x:v>
      </x:c>
      <x:c r="C1535" t="str">
        <x:v>Master's</x:v>
      </x:c>
      <x:c r="D1535" t="n">
        <x:v>4</x:v>
      </x:c>
      <x:c r="E1535" t="n">
        <x:v>65000</x:v>
      </x:c>
      <x:c r="F1535" t="str">
        <x:v>2026-06-16</x:v>
      </x:c>
    </x:row>
    <x:row r="1536">
      <x:c r="A1536" t="str">
        <x:v>Vail School District</x:v>
      </x:c>
      <x:c r="B1536" t="str">
        <x:v>AZ</x:v>
      </x:c>
      <x:c r="C1536" t="str">
        <x:v>Master's</x:v>
      </x:c>
      <x:c r="D1536" t="n">
        <x:v>5</x:v>
      </x:c>
      <x:c r="E1536" t="n">
        <x:v>67000</x:v>
      </x:c>
      <x:c r="F1536" t="str">
        <x:v>2026-06-16</x:v>
      </x:c>
    </x:row>
    <x:row r="1537">
      <x:c r="A1537" t="str">
        <x:v>Vail School District</x:v>
      </x:c>
      <x:c r="B1537" t="str">
        <x:v>AZ</x:v>
      </x:c>
      <x:c r="C1537" t="str">
        <x:v>Master's</x:v>
      </x:c>
      <x:c r="D1537" t="n">
        <x:v>6</x:v>
      </x:c>
      <x:c r="E1537" t="n">
        <x:v>69000</x:v>
      </x:c>
      <x:c r="F1537" t="str">
        <x:v>2026-06-16</x:v>
      </x:c>
    </x:row>
    <x:row r="1538">
      <x:c r="A1538" t="str">
        <x:v>Vail School District</x:v>
      </x:c>
      <x:c r="B1538" t="str">
        <x:v>AZ</x:v>
      </x:c>
      <x:c r="C1538" t="str">
        <x:v>Master's</x:v>
      </x:c>
      <x:c r="D1538" t="n">
        <x:v>7</x:v>
      </x:c>
      <x:c r="E1538" t="n">
        <x:v>71000</x:v>
      </x:c>
      <x:c r="F1538" t="str">
        <x:v>2026-06-16</x:v>
      </x:c>
    </x:row>
    <x:row r="1539">
      <x:c r="A1539" t="str">
        <x:v>Vail School District</x:v>
      </x:c>
      <x:c r="B1539" t="str">
        <x:v>AZ</x:v>
      </x:c>
      <x:c r="C1539" t="str">
        <x:v>Master's</x:v>
      </x:c>
      <x:c r="D1539" t="n">
        <x:v>8</x:v>
      </x:c>
      <x:c r="E1539" t="n">
        <x:v>72500</x:v>
      </x:c>
      <x:c r="F1539" t="str">
        <x:v>2026-06-16</x:v>
      </x:c>
    </x:row>
    <x:row r="1540">
      <x:c r="A1540" t="str">
        <x:v>Vail School District</x:v>
      </x:c>
      <x:c r="B1540" t="str">
        <x:v>AZ</x:v>
      </x:c>
      <x:c r="C1540" t="str">
        <x:v>Master's</x:v>
      </x:c>
      <x:c r="D1540" t="n">
        <x:v>9</x:v>
      </x:c>
      <x:c r="E1540" t="n">
        <x:v>74000</x:v>
      </x:c>
      <x:c r="F1540" t="str">
        <x:v>2026-06-16</x:v>
      </x:c>
    </x:row>
    <x:row r="1541">
      <x:c r="A1541" t="str">
        <x:v>Vail School District</x:v>
      </x:c>
      <x:c r="B1541" t="str">
        <x:v>AZ</x:v>
      </x:c>
      <x:c r="C1541" t="str">
        <x:v>Master's</x:v>
      </x:c>
      <x:c r="D1541" t="n">
        <x:v>10</x:v>
      </x:c>
      <x:c r="E1541" t="n">
        <x:v>75500</x:v>
      </x:c>
      <x:c r="F1541" t="str">
        <x:v>2026-06-16</x:v>
      </x:c>
    </x:row>
    <x:row r="1542">
      <x:c r="A1542" t="str">
        <x:v>West Ada School District</x:v>
      </x:c>
      <x:c r="B1542" t="str">
        <x:v>ID</x:v>
      </x:c>
      <x:c r="C1542" t="str">
        <x:v>Bachelor's</x:v>
      </x:c>
      <x:c r="D1542" t="n">
        <x:v>0</x:v>
      </x:c>
      <x:c r="E1542" t="n">
        <x:v>50252</x:v>
      </x:c>
      <x:c r="F1542" t="str">
        <x:v>2026-06-16</x:v>
      </x:c>
    </x:row>
    <x:row r="1543">
      <x:c r="A1543" t="str">
        <x:v>West Ada School District</x:v>
      </x:c>
      <x:c r="B1543" t="str">
        <x:v>ID</x:v>
      </x:c>
      <x:c r="C1543" t="str">
        <x:v>Bachelor's</x:v>
      </x:c>
      <x:c r="D1543" t="n">
        <x:v>1</x:v>
      </x:c>
      <x:c r="E1543" t="n">
        <x:v>52500</x:v>
      </x:c>
      <x:c r="F1543" t="str">
        <x:v>2026-06-16</x:v>
      </x:c>
    </x:row>
    <x:row r="1544">
      <x:c r="A1544" t="str">
        <x:v>West Ada School District</x:v>
      </x:c>
      <x:c r="B1544" t="str">
        <x:v>ID</x:v>
      </x:c>
      <x:c r="C1544" t="str">
        <x:v>Bachelor's</x:v>
      </x:c>
      <x:c r="D1544" t="n">
        <x:v>2</x:v>
      </x:c>
      <x:c r="E1544" t="n">
        <x:v>55000</x:v>
      </x:c>
      <x:c r="F1544" t="str">
        <x:v>2026-06-16</x:v>
      </x:c>
    </x:row>
    <x:row r="1545">
      <x:c r="A1545" t="str">
        <x:v>West Ada School District</x:v>
      </x:c>
      <x:c r="B1545" t="str">
        <x:v>ID</x:v>
      </x:c>
      <x:c r="C1545" t="str">
        <x:v>Bachelor's</x:v>
      </x:c>
      <x:c r="D1545" t="n">
        <x:v>3</x:v>
      </x:c>
      <x:c r="E1545" t="n">
        <x:v>57000</x:v>
      </x:c>
      <x:c r="F1545" t="str">
        <x:v>2026-06-16</x:v>
      </x:c>
    </x:row>
    <x:row r="1546">
      <x:c r="A1546" t="str">
        <x:v>West Ada School District</x:v>
      </x:c>
      <x:c r="B1546" t="str">
        <x:v>ID</x:v>
      </x:c>
      <x:c r="C1546" t="str">
        <x:v>Bachelor's</x:v>
      </x:c>
      <x:c r="D1546" t="n">
        <x:v>4</x:v>
      </x:c>
      <x:c r="E1546" t="n">
        <x:v>59000</x:v>
      </x:c>
      <x:c r="F1546" t="str">
        <x:v>2026-06-16</x:v>
      </x:c>
    </x:row>
    <x:row r="1547">
      <x:c r="A1547" t="str">
        <x:v>West Ada School District</x:v>
      </x:c>
      <x:c r="B1547" t="str">
        <x:v>ID</x:v>
      </x:c>
      <x:c r="C1547" t="str">
        <x:v>Bachelor's</x:v>
      </x:c>
      <x:c r="D1547" t="n">
        <x:v>5</x:v>
      </x:c>
      <x:c r="E1547" t="n">
        <x:v>61000</x:v>
      </x:c>
      <x:c r="F1547" t="str">
        <x:v>2026-06-16</x:v>
      </x:c>
    </x:row>
    <x:row r="1548">
      <x:c r="A1548" t="str">
        <x:v>West Ada School District</x:v>
      </x:c>
      <x:c r="B1548" t="str">
        <x:v>ID</x:v>
      </x:c>
      <x:c r="C1548" t="str">
        <x:v>Bachelor's</x:v>
      </x:c>
      <x:c r="D1548" t="n">
        <x:v>6</x:v>
      </x:c>
      <x:c r="E1548" t="n">
        <x:v>62500</x:v>
      </x:c>
      <x:c r="F1548" t="str">
        <x:v>2026-06-16</x:v>
      </x:c>
    </x:row>
    <x:row r="1549">
      <x:c r="A1549" t="str">
        <x:v>West Ada School District</x:v>
      </x:c>
      <x:c r="B1549" t="str">
        <x:v>ID</x:v>
      </x:c>
      <x:c r="C1549" t="str">
        <x:v>Bachelor's</x:v>
      </x:c>
      <x:c r="D1549" t="n">
        <x:v>7</x:v>
      </x:c>
      <x:c r="E1549" t="n">
        <x:v>64000</x:v>
      </x:c>
      <x:c r="F1549" t="str">
        <x:v>2026-06-16</x:v>
      </x:c>
    </x:row>
    <x:row r="1550">
      <x:c r="A1550" t="str">
        <x:v>West Ada School District</x:v>
      </x:c>
      <x:c r="B1550" t="str">
        <x:v>ID</x:v>
      </x:c>
      <x:c r="C1550" t="str">
        <x:v>Bachelor's</x:v>
      </x:c>
      <x:c r="D1550" t="n">
        <x:v>8</x:v>
      </x:c>
      <x:c r="E1550" t="n">
        <x:v>65500</x:v>
      </x:c>
      <x:c r="F1550" t="str">
        <x:v>2026-06-16</x:v>
      </x:c>
    </x:row>
    <x:row r="1551">
      <x:c r="A1551" t="str">
        <x:v>West Ada School District</x:v>
      </x:c>
      <x:c r="B1551" t="str">
        <x:v>ID</x:v>
      </x:c>
      <x:c r="C1551" t="str">
        <x:v>Bachelor's</x:v>
      </x:c>
      <x:c r="D1551" t="n">
        <x:v>9</x:v>
      </x:c>
      <x:c r="E1551" t="n">
        <x:v>67000</x:v>
      </x:c>
      <x:c r="F1551" t="str">
        <x:v>2026-06-16</x:v>
      </x:c>
    </x:row>
    <x:row r="1552">
      <x:c r="A1552" t="str">
        <x:v>West Ada School District</x:v>
      </x:c>
      <x:c r="B1552" t="str">
        <x:v>ID</x:v>
      </x:c>
      <x:c r="C1552" t="str">
        <x:v>Bachelor's</x:v>
      </x:c>
      <x:c r="D1552" t="n">
        <x:v>10</x:v>
      </x:c>
      <x:c r="E1552" t="n">
        <x:v>68500</x:v>
      </x:c>
      <x:c r="F1552" t="str">
        <x:v>2026-06-16</x:v>
      </x:c>
    </x:row>
    <x:row r="1553">
      <x:c r="A1553" t="str">
        <x:v>West Ada School District</x:v>
      </x:c>
      <x:c r="B1553" t="str">
        <x:v>ID</x:v>
      </x:c>
      <x:c r="C1553" t="str">
        <x:v>Master's</x:v>
      </x:c>
      <x:c r="D1553" t="n">
        <x:v>0</x:v>
      </x:c>
      <x:c r="E1553" t="n">
        <x:v>56000</x:v>
      </x:c>
      <x:c r="F1553" t="str">
        <x:v>2026-06-16</x:v>
      </x:c>
    </x:row>
    <x:row r="1554">
      <x:c r="A1554" t="str">
        <x:v>West Ada School District</x:v>
      </x:c>
      <x:c r="B1554" t="str">
        <x:v>ID</x:v>
      </x:c>
      <x:c r="C1554" t="str">
        <x:v>Master's</x:v>
      </x:c>
      <x:c r="D1554" t="n">
        <x:v>1</x:v>
      </x:c>
      <x:c r="E1554" t="n">
        <x:v>58500</x:v>
      </x:c>
      <x:c r="F1554" t="str">
        <x:v>2026-06-16</x:v>
      </x:c>
    </x:row>
    <x:row r="1555">
      <x:c r="A1555" t="str">
        <x:v>West Ada School District</x:v>
      </x:c>
      <x:c r="B1555" t="str">
        <x:v>ID</x:v>
      </x:c>
      <x:c r="C1555" t="str">
        <x:v>Master's</x:v>
      </x:c>
      <x:c r="D1555" t="n">
        <x:v>2</x:v>
      </x:c>
      <x:c r="E1555" t="n">
        <x:v>61000</x:v>
      </x:c>
      <x:c r="F1555" t="str">
        <x:v>2026-06-16</x:v>
      </x:c>
    </x:row>
    <x:row r="1556">
      <x:c r="A1556" t="str">
        <x:v>West Ada School District</x:v>
      </x:c>
      <x:c r="B1556" t="str">
        <x:v>ID</x:v>
      </x:c>
      <x:c r="C1556" t="str">
        <x:v>Master's</x:v>
      </x:c>
      <x:c r="D1556" t="n">
        <x:v>3</x:v>
      </x:c>
      <x:c r="E1556" t="n">
        <x:v>63500</x:v>
      </x:c>
      <x:c r="F1556" t="str">
        <x:v>2026-06-16</x:v>
      </x:c>
    </x:row>
    <x:row r="1557">
      <x:c r="A1557" t="str">
        <x:v>West Ada School District</x:v>
      </x:c>
      <x:c r="B1557" t="str">
        <x:v>ID</x:v>
      </x:c>
      <x:c r="C1557" t="str">
        <x:v>Master's</x:v>
      </x:c>
      <x:c r="D1557" t="n">
        <x:v>4</x:v>
      </x:c>
      <x:c r="E1557" t="n">
        <x:v>65500</x:v>
      </x:c>
      <x:c r="F1557" t="str">
        <x:v>2026-06-16</x:v>
      </x:c>
    </x:row>
    <x:row r="1558">
      <x:c r="A1558" t="str">
        <x:v>West Ada School District</x:v>
      </x:c>
      <x:c r="B1558" t="str">
        <x:v>ID</x:v>
      </x:c>
      <x:c r="C1558" t="str">
        <x:v>Master's</x:v>
      </x:c>
      <x:c r="D1558" t="n">
        <x:v>5</x:v>
      </x:c>
      <x:c r="E1558" t="n">
        <x:v>67500</x:v>
      </x:c>
      <x:c r="F1558" t="str">
        <x:v>2026-06-16</x:v>
      </x:c>
    </x:row>
    <x:row r="1559">
      <x:c r="A1559" t="str">
        <x:v>West Ada School District</x:v>
      </x:c>
      <x:c r="B1559" t="str">
        <x:v>ID</x:v>
      </x:c>
      <x:c r="C1559" t="str">
        <x:v>Master's</x:v>
      </x:c>
      <x:c r="D1559" t="n">
        <x:v>6</x:v>
      </x:c>
      <x:c r="E1559" t="n">
        <x:v>69500</x:v>
      </x:c>
      <x:c r="F1559" t="str">
        <x:v>2026-06-16</x:v>
      </x:c>
    </x:row>
    <x:row r="1560">
      <x:c r="A1560" t="str">
        <x:v>West Ada School District</x:v>
      </x:c>
      <x:c r="B1560" t="str">
        <x:v>ID</x:v>
      </x:c>
      <x:c r="C1560" t="str">
        <x:v>Master's</x:v>
      </x:c>
      <x:c r="D1560" t="n">
        <x:v>7</x:v>
      </x:c>
      <x:c r="E1560" t="n">
        <x:v>71500</x:v>
      </x:c>
      <x:c r="F1560" t="str">
        <x:v>2026-06-16</x:v>
      </x:c>
    </x:row>
    <x:row r="1561">
      <x:c r="A1561" t="str">
        <x:v>West Ada School District</x:v>
      </x:c>
      <x:c r="B1561" t="str">
        <x:v>ID</x:v>
      </x:c>
      <x:c r="C1561" t="str">
        <x:v>Master's</x:v>
      </x:c>
      <x:c r="D1561" t="n">
        <x:v>8</x:v>
      </x:c>
      <x:c r="E1561" t="n">
        <x:v>73500</x:v>
      </x:c>
      <x:c r="F1561" t="str">
        <x:v>2026-06-16</x:v>
      </x:c>
    </x:row>
    <x:row r="1562">
      <x:c r="A1562" t="str">
        <x:v>West Ada School District</x:v>
      </x:c>
      <x:c r="B1562" t="str">
        <x:v>ID</x:v>
      </x:c>
      <x:c r="C1562" t="str">
        <x:v>Master's</x:v>
      </x:c>
      <x:c r="D1562" t="n">
        <x:v>9</x:v>
      </x:c>
      <x:c r="E1562" t="n">
        <x:v>75500</x:v>
      </x:c>
      <x:c r="F1562" t="str">
        <x:v>2026-06-16</x:v>
      </x:c>
    </x:row>
    <x:row r="1563">
      <x:c r="A1563" t="str">
        <x:v>West Ada School District</x:v>
      </x:c>
      <x:c r="B1563" t="str">
        <x:v>ID</x:v>
      </x:c>
      <x:c r="C1563" t="str">
        <x:v>Master's</x:v>
      </x:c>
      <x:c r="D1563" t="n">
        <x:v>10</x:v>
      </x:c>
      <x:c r="E1563" t="n">
        <x:v>77500</x:v>
      </x:c>
      <x:c r="F1563" t="str">
        <x:v>2026-06-16</x:v>
      </x:c>
    </x:row>
    <x:row r="1564">
      <x:c r="A1564" t="str">
        <x:v>Twin Falls School District</x:v>
      </x:c>
      <x:c r="B1564" t="str">
        <x:v>ID</x:v>
      </x:c>
      <x:c r="C1564" t="str">
        <x:v>Bachelor's</x:v>
      </x:c>
      <x:c r="D1564" t="n">
        <x:v>0</x:v>
      </x:c>
      <x:c r="E1564" t="n">
        <x:v>50252</x:v>
      </x:c>
      <x:c r="F1564" t="str">
        <x:v>2026-06-16</x:v>
      </x:c>
    </x:row>
    <x:row r="1565">
      <x:c r="A1565" t="str">
        <x:v>Twin Falls School District</x:v>
      </x:c>
      <x:c r="B1565" t="str">
        <x:v>ID</x:v>
      </x:c>
      <x:c r="C1565" t="str">
        <x:v>Bachelor's</x:v>
      </x:c>
      <x:c r="D1565" t="n">
        <x:v>1</x:v>
      </x:c>
      <x:c r="E1565" t="n">
        <x:v>52000</x:v>
      </x:c>
      <x:c r="F1565" t="str">
        <x:v>2026-06-16</x:v>
      </x:c>
    </x:row>
    <x:row r="1566">
      <x:c r="A1566" t="str">
        <x:v>Twin Falls School District</x:v>
      </x:c>
      <x:c r="B1566" t="str">
        <x:v>ID</x:v>
      </x:c>
      <x:c r="C1566" t="str">
        <x:v>Bachelor's</x:v>
      </x:c>
      <x:c r="D1566" t="n">
        <x:v>2</x:v>
      </x:c>
      <x:c r="E1566" t="n">
        <x:v>53800</x:v>
      </x:c>
      <x:c r="F1566" t="str">
        <x:v>2026-06-16</x:v>
      </x:c>
    </x:row>
    <x:row r="1567">
      <x:c r="A1567" t="str">
        <x:v>Twin Falls School District</x:v>
      </x:c>
      <x:c r="B1567" t="str">
        <x:v>ID</x:v>
      </x:c>
      <x:c r="C1567" t="str">
        <x:v>Bachelor's</x:v>
      </x:c>
      <x:c r="D1567" t="n">
        <x:v>3</x:v>
      </x:c>
      <x:c r="E1567" t="n">
        <x:v>55600</x:v>
      </x:c>
      <x:c r="F1567" t="str">
        <x:v>2026-06-16</x:v>
      </x:c>
    </x:row>
    <x:row r="1568">
      <x:c r="A1568" t="str">
        <x:v>Twin Falls School District</x:v>
      </x:c>
      <x:c r="B1568" t="str">
        <x:v>ID</x:v>
      </x:c>
      <x:c r="C1568" t="str">
        <x:v>Bachelor's</x:v>
      </x:c>
      <x:c r="D1568" t="n">
        <x:v>4</x:v>
      </x:c>
      <x:c r="E1568" t="n">
        <x:v>57400</x:v>
      </x:c>
      <x:c r="F1568" t="str">
        <x:v>2026-06-16</x:v>
      </x:c>
    </x:row>
    <x:row r="1569">
      <x:c r="A1569" t="str">
        <x:v>Twin Falls School District</x:v>
      </x:c>
      <x:c r="B1569" t="str">
        <x:v>ID</x:v>
      </x:c>
      <x:c r="C1569" t="str">
        <x:v>Bachelor's</x:v>
      </x:c>
      <x:c r="D1569" t="n">
        <x:v>5</x:v>
      </x:c>
      <x:c r="E1569" t="n">
        <x:v>59000</x:v>
      </x:c>
      <x:c r="F1569" t="str">
        <x:v>2026-06-16</x:v>
      </x:c>
    </x:row>
    <x:row r="1570">
      <x:c r="A1570" t="str">
        <x:v>Twin Falls School District</x:v>
      </x:c>
      <x:c r="B1570" t="str">
        <x:v>ID</x:v>
      </x:c>
      <x:c r="C1570" t="str">
        <x:v>Bachelor's</x:v>
      </x:c>
      <x:c r="D1570" t="n">
        <x:v>6</x:v>
      </x:c>
      <x:c r="E1570" t="n">
        <x:v>60400</x:v>
      </x:c>
      <x:c r="F1570" t="str">
        <x:v>2026-06-16</x:v>
      </x:c>
    </x:row>
    <x:row r="1571">
      <x:c r="A1571" t="str">
        <x:v>Twin Falls School District</x:v>
      </x:c>
      <x:c r="B1571" t="str">
        <x:v>ID</x:v>
      </x:c>
      <x:c r="C1571" t="str">
        <x:v>Bachelor's</x:v>
      </x:c>
      <x:c r="D1571" t="n">
        <x:v>7</x:v>
      </x:c>
      <x:c r="E1571" t="n">
        <x:v>61800</x:v>
      </x:c>
      <x:c r="F1571" t="str">
        <x:v>2026-06-16</x:v>
      </x:c>
    </x:row>
    <x:row r="1572">
      <x:c r="A1572" t="str">
        <x:v>Twin Falls School District</x:v>
      </x:c>
      <x:c r="B1572" t="str">
        <x:v>ID</x:v>
      </x:c>
      <x:c r="C1572" t="str">
        <x:v>Bachelor's</x:v>
      </x:c>
      <x:c r="D1572" t="n">
        <x:v>8</x:v>
      </x:c>
      <x:c r="E1572" t="n">
        <x:v>63200</x:v>
      </x:c>
      <x:c r="F1572" t="str">
        <x:v>2026-06-16</x:v>
      </x:c>
    </x:row>
    <x:row r="1573">
      <x:c r="A1573" t="str">
        <x:v>Twin Falls School District</x:v>
      </x:c>
      <x:c r="B1573" t="str">
        <x:v>ID</x:v>
      </x:c>
      <x:c r="C1573" t="str">
        <x:v>Bachelor's</x:v>
      </x:c>
      <x:c r="D1573" t="n">
        <x:v>9</x:v>
      </x:c>
      <x:c r="E1573" t="n">
        <x:v>64600</x:v>
      </x:c>
      <x:c r="F1573" t="str">
        <x:v>2026-06-16</x:v>
      </x:c>
    </x:row>
    <x:row r="1574">
      <x:c r="A1574" t="str">
        <x:v>Twin Falls School District</x:v>
      </x:c>
      <x:c r="B1574" t="str">
        <x:v>ID</x:v>
      </x:c>
      <x:c r="C1574" t="str">
        <x:v>Bachelor's</x:v>
      </x:c>
      <x:c r="D1574" t="n">
        <x:v>10</x:v>
      </x:c>
      <x:c r="E1574" t="n">
        <x:v>66000</x:v>
      </x:c>
      <x:c r="F1574" t="str">
        <x:v>2026-06-16</x:v>
      </x:c>
    </x:row>
    <x:row r="1575">
      <x:c r="A1575" t="str">
        <x:v>Twin Falls School District</x:v>
      </x:c>
      <x:c r="B1575" t="str">
        <x:v>ID</x:v>
      </x:c>
      <x:c r="C1575" t="str">
        <x:v>Master's</x:v>
      </x:c>
      <x:c r="D1575" t="n">
        <x:v>0</x:v>
      </x:c>
      <x:c r="E1575" t="n">
        <x:v>56000</x:v>
      </x:c>
      <x:c r="F1575" t="str">
        <x:v>2026-06-16</x:v>
      </x:c>
    </x:row>
    <x:row r="1576">
      <x:c r="A1576" t="str">
        <x:v>Twin Falls School District</x:v>
      </x:c>
      <x:c r="B1576" t="str">
        <x:v>ID</x:v>
      </x:c>
      <x:c r="C1576" t="str">
        <x:v>Master's</x:v>
      </x:c>
      <x:c r="D1576" t="n">
        <x:v>1</x:v>
      </x:c>
      <x:c r="E1576" t="n">
        <x:v>58000</x:v>
      </x:c>
      <x:c r="F1576" t="str">
        <x:v>2026-06-16</x:v>
      </x:c>
    </x:row>
    <x:row r="1577">
      <x:c r="A1577" t="str">
        <x:v>Twin Falls School District</x:v>
      </x:c>
      <x:c r="B1577" t="str">
        <x:v>ID</x:v>
      </x:c>
      <x:c r="C1577" t="str">
        <x:v>Master's</x:v>
      </x:c>
      <x:c r="D1577" t="n">
        <x:v>2</x:v>
      </x:c>
      <x:c r="E1577" t="n">
        <x:v>60000</x:v>
      </x:c>
      <x:c r="F1577" t="str">
        <x:v>2026-06-16</x:v>
      </x:c>
    </x:row>
    <x:row r="1578">
      <x:c r="A1578" t="str">
        <x:v>Twin Falls School District</x:v>
      </x:c>
      <x:c r="B1578" t="str">
        <x:v>ID</x:v>
      </x:c>
      <x:c r="C1578" t="str">
        <x:v>Master's</x:v>
      </x:c>
      <x:c r="D1578" t="n">
        <x:v>3</x:v>
      </x:c>
      <x:c r="E1578" t="n">
        <x:v>62000</x:v>
      </x:c>
      <x:c r="F1578" t="str">
        <x:v>2026-06-16</x:v>
      </x:c>
    </x:row>
    <x:row r="1579">
      <x:c r="A1579" t="str">
        <x:v>Twin Falls School District</x:v>
      </x:c>
      <x:c r="B1579" t="str">
        <x:v>ID</x:v>
      </x:c>
      <x:c r="C1579" t="str">
        <x:v>Master's</x:v>
      </x:c>
      <x:c r="D1579" t="n">
        <x:v>4</x:v>
      </x:c>
      <x:c r="E1579" t="n">
        <x:v>64000</x:v>
      </x:c>
      <x:c r="F1579" t="str">
        <x:v>2026-06-16</x:v>
      </x:c>
    </x:row>
    <x:row r="1580">
      <x:c r="A1580" t="str">
        <x:v>Twin Falls School District</x:v>
      </x:c>
      <x:c r="B1580" t="str">
        <x:v>ID</x:v>
      </x:c>
      <x:c r="C1580" t="str">
        <x:v>Master's</x:v>
      </x:c>
      <x:c r="D1580" t="n">
        <x:v>5</x:v>
      </x:c>
      <x:c r="E1580" t="n">
        <x:v>66000</x:v>
      </x:c>
      <x:c r="F1580" t="str">
        <x:v>2026-06-16</x:v>
      </x:c>
    </x:row>
    <x:row r="1581">
      <x:c r="A1581" t="str">
        <x:v>Twin Falls School District</x:v>
      </x:c>
      <x:c r="B1581" t="str">
        <x:v>ID</x:v>
      </x:c>
      <x:c r="C1581" t="str">
        <x:v>Master's</x:v>
      </x:c>
      <x:c r="D1581" t="n">
        <x:v>6</x:v>
      </x:c>
      <x:c r="E1581" t="n">
        <x:v>67500</x:v>
      </x:c>
      <x:c r="F1581" t="str">
        <x:v>2026-06-16</x:v>
      </x:c>
    </x:row>
    <x:row r="1582">
      <x:c r="A1582" t="str">
        <x:v>Twin Falls School District</x:v>
      </x:c>
      <x:c r="B1582" t="str">
        <x:v>ID</x:v>
      </x:c>
      <x:c r="C1582" t="str">
        <x:v>Master's</x:v>
      </x:c>
      <x:c r="D1582" t="n">
        <x:v>7</x:v>
      </x:c>
      <x:c r="E1582" t="n">
        <x:v>69000</x:v>
      </x:c>
      <x:c r="F1582" t="str">
        <x:v>2026-06-16</x:v>
      </x:c>
    </x:row>
    <x:row r="1583">
      <x:c r="A1583" t="str">
        <x:v>Twin Falls School District</x:v>
      </x:c>
      <x:c r="B1583" t="str">
        <x:v>ID</x:v>
      </x:c>
      <x:c r="C1583" t="str">
        <x:v>Master's</x:v>
      </x:c>
      <x:c r="D1583" t="n">
        <x:v>8</x:v>
      </x:c>
      <x:c r="E1583" t="n">
        <x:v>70500</x:v>
      </x:c>
      <x:c r="F1583" t="str">
        <x:v>2026-06-16</x:v>
      </x:c>
    </x:row>
    <x:row r="1584">
      <x:c r="A1584" t="str">
        <x:v>Twin Falls School District</x:v>
      </x:c>
      <x:c r="B1584" t="str">
        <x:v>ID</x:v>
      </x:c>
      <x:c r="C1584" t="str">
        <x:v>Master's</x:v>
      </x:c>
      <x:c r="D1584" t="n">
        <x:v>9</x:v>
      </x:c>
      <x:c r="E1584" t="n">
        <x:v>72000</x:v>
      </x:c>
      <x:c r="F1584" t="str">
        <x:v>2026-06-16</x:v>
      </x:c>
    </x:row>
    <x:row r="1585">
      <x:c r="A1585" t="str">
        <x:v>Twin Falls School District</x:v>
      </x:c>
      <x:c r="B1585" t="str">
        <x:v>ID</x:v>
      </x:c>
      <x:c r="C1585" t="str">
        <x:v>Master's</x:v>
      </x:c>
      <x:c r="D1585" t="n">
        <x:v>10</x:v>
      </x:c>
      <x:c r="E1585" t="n">
        <x:v>73500</x:v>
      </x:c>
      <x:c r="F1585" t="str">
        <x:v>2026-06-16</x:v>
      </x:c>
    </x:row>
    <x:row r="1586">
      <x:c r="A1586" t="str">
        <x:v>Washoe County School District</x:v>
      </x:c>
      <x:c r="B1586" t="str">
        <x:v>NV</x:v>
      </x:c>
      <x:c r="C1586" t="str">
        <x:v>Bachelor's</x:v>
      </x:c>
      <x:c r="D1586" t="n">
        <x:v>0</x:v>
      </x:c>
      <x:c r="E1586" t="n">
        <x:v>63000</x:v>
      </x:c>
      <x:c r="F1586" t="str">
        <x:v>2026-06-16</x:v>
      </x:c>
    </x:row>
    <x:row r="1587">
      <x:c r="A1587" t="str">
        <x:v>Washoe County School District</x:v>
      </x:c>
      <x:c r="B1587" t="str">
        <x:v>NV</x:v>
      </x:c>
      <x:c r="C1587" t="str">
        <x:v>Bachelor's</x:v>
      </x:c>
      <x:c r="D1587" t="n">
        <x:v>1</x:v>
      </x:c>
      <x:c r="E1587" t="n">
        <x:v>64500</x:v>
      </x:c>
      <x:c r="F1587" t="str">
        <x:v>2026-06-16</x:v>
      </x:c>
    </x:row>
    <x:row r="1588">
      <x:c r="A1588" t="str">
        <x:v>Washoe County School District</x:v>
      </x:c>
      <x:c r="B1588" t="str">
        <x:v>NV</x:v>
      </x:c>
      <x:c r="C1588" t="str">
        <x:v>Bachelor's</x:v>
      </x:c>
      <x:c r="D1588" t="n">
        <x:v>2</x:v>
      </x:c>
      <x:c r="E1588" t="n">
        <x:v>66000</x:v>
      </x:c>
      <x:c r="F1588" t="str">
        <x:v>2026-06-16</x:v>
      </x:c>
    </x:row>
    <x:row r="1589">
      <x:c r="A1589" t="str">
        <x:v>Washoe County School District</x:v>
      </x:c>
      <x:c r="B1589" t="str">
        <x:v>NV</x:v>
      </x:c>
      <x:c r="C1589" t="str">
        <x:v>Bachelor's</x:v>
      </x:c>
      <x:c r="D1589" t="n">
        <x:v>3</x:v>
      </x:c>
      <x:c r="E1589" t="n">
        <x:v>67500</x:v>
      </x:c>
      <x:c r="F1589" t="str">
        <x:v>2026-06-16</x:v>
      </x:c>
    </x:row>
    <x:row r="1590">
      <x:c r="A1590" t="str">
        <x:v>Washoe County School District</x:v>
      </x:c>
      <x:c r="B1590" t="str">
        <x:v>NV</x:v>
      </x:c>
      <x:c r="C1590" t="str">
        <x:v>Bachelor's</x:v>
      </x:c>
      <x:c r="D1590" t="n">
        <x:v>4</x:v>
      </x:c>
      <x:c r="E1590" t="n">
        <x:v>69000</x:v>
      </x:c>
      <x:c r="F1590" t="str">
        <x:v>2026-06-16</x:v>
      </x:c>
    </x:row>
    <x:row r="1591">
      <x:c r="A1591" t="str">
        <x:v>Washoe County School District</x:v>
      </x:c>
      <x:c r="B1591" t="str">
        <x:v>NV</x:v>
      </x:c>
      <x:c r="C1591" t="str">
        <x:v>Bachelor's</x:v>
      </x:c>
      <x:c r="D1591" t="n">
        <x:v>5</x:v>
      </x:c>
      <x:c r="E1591" t="n">
        <x:v>70500</x:v>
      </x:c>
      <x:c r="F1591" t="str">
        <x:v>2026-06-16</x:v>
      </x:c>
    </x:row>
    <x:row r="1592">
      <x:c r="A1592" t="str">
        <x:v>Washoe County School District</x:v>
      </x:c>
      <x:c r="B1592" t="str">
        <x:v>NV</x:v>
      </x:c>
      <x:c r="C1592" t="str">
        <x:v>Bachelor's</x:v>
      </x:c>
      <x:c r="D1592" t="n">
        <x:v>6</x:v>
      </x:c>
      <x:c r="E1592" t="n">
        <x:v>72000</x:v>
      </x:c>
      <x:c r="F1592" t="str">
        <x:v>2026-06-16</x:v>
      </x:c>
    </x:row>
    <x:row r="1593">
      <x:c r="A1593" t="str">
        <x:v>Washoe County School District</x:v>
      </x:c>
      <x:c r="B1593" t="str">
        <x:v>NV</x:v>
      </x:c>
      <x:c r="C1593" t="str">
        <x:v>Bachelor's</x:v>
      </x:c>
      <x:c r="D1593" t="n">
        <x:v>7</x:v>
      </x:c>
      <x:c r="E1593" t="n">
        <x:v>73500</x:v>
      </x:c>
      <x:c r="F1593" t="str">
        <x:v>2026-06-16</x:v>
      </x:c>
    </x:row>
    <x:row r="1594">
      <x:c r="A1594" t="str">
        <x:v>Washoe County School District</x:v>
      </x:c>
      <x:c r="B1594" t="str">
        <x:v>NV</x:v>
      </x:c>
      <x:c r="C1594" t="str">
        <x:v>Bachelor's</x:v>
      </x:c>
      <x:c r="D1594" t="n">
        <x:v>8</x:v>
      </x:c>
      <x:c r="E1594" t="n">
        <x:v>75000</x:v>
      </x:c>
      <x:c r="F1594" t="str">
        <x:v>2026-06-16</x:v>
      </x:c>
    </x:row>
    <x:row r="1595">
      <x:c r="A1595" t="str">
        <x:v>Washoe County School District</x:v>
      </x:c>
      <x:c r="B1595" t="str">
        <x:v>NV</x:v>
      </x:c>
      <x:c r="C1595" t="str">
        <x:v>Bachelor's</x:v>
      </x:c>
      <x:c r="D1595" t="n">
        <x:v>9</x:v>
      </x:c>
      <x:c r="E1595" t="n">
        <x:v>76500</x:v>
      </x:c>
      <x:c r="F1595" t="str">
        <x:v>2026-06-16</x:v>
      </x:c>
    </x:row>
    <x:row r="1596">
      <x:c r="A1596" t="str">
        <x:v>Washoe County School District</x:v>
      </x:c>
      <x:c r="B1596" t="str">
        <x:v>NV</x:v>
      </x:c>
      <x:c r="C1596" t="str">
        <x:v>Bachelor's</x:v>
      </x:c>
      <x:c r="D1596" t="n">
        <x:v>10</x:v>
      </x:c>
      <x:c r="E1596" t="n">
        <x:v>78000</x:v>
      </x:c>
      <x:c r="F1596" t="str">
        <x:v>2026-06-16</x:v>
      </x:c>
    </x:row>
    <x:row r="1597">
      <x:c r="A1597" t="str">
        <x:v>Washoe County School District</x:v>
      </x:c>
      <x:c r="B1597" t="str">
        <x:v>NV</x:v>
      </x:c>
      <x:c r="C1597" t="str">
        <x:v>Master's</x:v>
      </x:c>
      <x:c r="D1597" t="n">
        <x:v>0</x:v>
      </x:c>
      <x:c r="E1597" t="n">
        <x:v>68000</x:v>
      </x:c>
      <x:c r="F1597" t="str">
        <x:v>2026-06-16</x:v>
      </x:c>
    </x:row>
    <x:row r="1598">
      <x:c r="A1598" t="str">
        <x:v>Washoe County School District</x:v>
      </x:c>
      <x:c r="B1598" t="str">
        <x:v>NV</x:v>
      </x:c>
      <x:c r="C1598" t="str">
        <x:v>Master's</x:v>
      </x:c>
      <x:c r="D1598" t="n">
        <x:v>1</x:v>
      </x:c>
      <x:c r="E1598" t="n">
        <x:v>70000</x:v>
      </x:c>
      <x:c r="F1598" t="str">
        <x:v>2026-06-16</x:v>
      </x:c>
    </x:row>
    <x:row r="1599">
      <x:c r="A1599" t="str">
        <x:v>Washoe County School District</x:v>
      </x:c>
      <x:c r="B1599" t="str">
        <x:v>NV</x:v>
      </x:c>
      <x:c r="C1599" t="str">
        <x:v>Master's</x:v>
      </x:c>
      <x:c r="D1599" t="n">
        <x:v>2</x:v>
      </x:c>
      <x:c r="E1599" t="n">
        <x:v>72000</x:v>
      </x:c>
      <x:c r="F1599" t="str">
        <x:v>2026-06-16</x:v>
      </x:c>
    </x:row>
    <x:row r="1600">
      <x:c r="A1600" t="str">
        <x:v>Washoe County School District</x:v>
      </x:c>
      <x:c r="B1600" t="str">
        <x:v>NV</x:v>
      </x:c>
      <x:c r="C1600" t="str">
        <x:v>Master's</x:v>
      </x:c>
      <x:c r="D1600" t="n">
        <x:v>3</x:v>
      </x:c>
      <x:c r="E1600" t="n">
        <x:v>74000</x:v>
      </x:c>
      <x:c r="F1600" t="str">
        <x:v>2026-06-16</x:v>
      </x:c>
    </x:row>
    <x:row r="1601">
      <x:c r="A1601" t="str">
        <x:v>Washoe County School District</x:v>
      </x:c>
      <x:c r="B1601" t="str">
        <x:v>NV</x:v>
      </x:c>
      <x:c r="C1601" t="str">
        <x:v>Master's</x:v>
      </x:c>
      <x:c r="D1601" t="n">
        <x:v>4</x:v>
      </x:c>
      <x:c r="E1601" t="n">
        <x:v>76000</x:v>
      </x:c>
      <x:c r="F1601" t="str">
        <x:v>2026-06-16</x:v>
      </x:c>
    </x:row>
    <x:row r="1602">
      <x:c r="A1602" t="str">
        <x:v>Washoe County School District</x:v>
      </x:c>
      <x:c r="B1602" t="str">
        <x:v>NV</x:v>
      </x:c>
      <x:c r="C1602" t="str">
        <x:v>Master's</x:v>
      </x:c>
      <x:c r="D1602" t="n">
        <x:v>5</x:v>
      </x:c>
      <x:c r="E1602" t="n">
        <x:v>78000</x:v>
      </x:c>
      <x:c r="F1602" t="str">
        <x:v>2026-06-16</x:v>
      </x:c>
    </x:row>
    <x:row r="1603">
      <x:c r="A1603" t="str">
        <x:v>Washoe County School District</x:v>
      </x:c>
      <x:c r="B1603" t="str">
        <x:v>NV</x:v>
      </x:c>
      <x:c r="C1603" t="str">
        <x:v>Master's</x:v>
      </x:c>
      <x:c r="D1603" t="n">
        <x:v>6</x:v>
      </x:c>
      <x:c r="E1603" t="n">
        <x:v>80000</x:v>
      </x:c>
      <x:c r="F1603" t="str">
        <x:v>2026-06-16</x:v>
      </x:c>
    </x:row>
    <x:row r="1604">
      <x:c r="A1604" t="str">
        <x:v>Washoe County School District</x:v>
      </x:c>
      <x:c r="B1604" t="str">
        <x:v>NV</x:v>
      </x:c>
      <x:c r="C1604" t="str">
        <x:v>Master's</x:v>
      </x:c>
      <x:c r="D1604" t="n">
        <x:v>7</x:v>
      </x:c>
      <x:c r="E1604" t="n">
        <x:v>82000</x:v>
      </x:c>
      <x:c r="F1604" t="str">
        <x:v>2026-06-16</x:v>
      </x:c>
    </x:row>
    <x:row r="1605">
      <x:c r="A1605" t="str">
        <x:v>Washoe County School District</x:v>
      </x:c>
      <x:c r="B1605" t="str">
        <x:v>NV</x:v>
      </x:c>
      <x:c r="C1605" t="str">
        <x:v>Master's</x:v>
      </x:c>
      <x:c r="D1605" t="n">
        <x:v>8</x:v>
      </x:c>
      <x:c r="E1605" t="n">
        <x:v>84000</x:v>
      </x:c>
      <x:c r="F1605" t="str">
        <x:v>2026-06-16</x:v>
      </x:c>
    </x:row>
    <x:row r="1606">
      <x:c r="A1606" t="str">
        <x:v>Washoe County School District</x:v>
      </x:c>
      <x:c r="B1606" t="str">
        <x:v>NV</x:v>
      </x:c>
      <x:c r="C1606" t="str">
        <x:v>Master's</x:v>
      </x:c>
      <x:c r="D1606" t="n">
        <x:v>9</x:v>
      </x:c>
      <x:c r="E1606" t="n">
        <x:v>86000</x:v>
      </x:c>
      <x:c r="F1606" t="str">
        <x:v>2026-06-16</x:v>
      </x:c>
    </x:row>
    <x:row r="1607">
      <x:c r="A1607" t="str">
        <x:v>Washoe County School District</x:v>
      </x:c>
      <x:c r="B1607" t="str">
        <x:v>NV</x:v>
      </x:c>
      <x:c r="C1607" t="str">
        <x:v>Master's</x:v>
      </x:c>
      <x:c r="D1607" t="n">
        <x:v>10</x:v>
      </x:c>
      <x:c r="E1607" t="n">
        <x:v>88000</x:v>
      </x:c>
      <x:c r="F1607" t="str">
        <x:v>2026-06-16</x:v>
      </x:c>
    </x:row>
    <x:row r="1608">
      <x:c r="A1608" t="str">
        <x:v>Kern High School District</x:v>
      </x:c>
      <x:c r="B1608" t="str">
        <x:v>CA</x:v>
      </x:c>
      <x:c r="C1608" t="str">
        <x:v>Bachelor's</x:v>
      </x:c>
      <x:c r="D1608" t="n">
        <x:v>0</x:v>
      </x:c>
      <x:c r="E1608" t="n">
        <x:v>64147</x:v>
      </x:c>
      <x:c r="F1608" t="str">
        <x:v>2026-06-17</x:v>
      </x:c>
    </x:row>
    <x:row r="1609">
      <x:c r="A1609" t="str">
        <x:v>Kern High School District</x:v>
      </x:c>
      <x:c r="B1609" t="str">
        <x:v>CA</x:v>
      </x:c>
      <x:c r="C1609" t="str">
        <x:v>Bachelor's</x:v>
      </x:c>
      <x:c r="D1609" t="n">
        <x:v>1</x:v>
      </x:c>
      <x:c r="E1609" t="n">
        <x:v>64147</x:v>
      </x:c>
      <x:c r="F1609" t="str">
        <x:v>2026-06-17</x:v>
      </x:c>
    </x:row>
    <x:row r="1610">
      <x:c r="A1610" t="str">
        <x:v>Kern High School District</x:v>
      </x:c>
      <x:c r="B1610" t="str">
        <x:v>CA</x:v>
      </x:c>
      <x:c r="C1610" t="str">
        <x:v>Bachelor's</x:v>
      </x:c>
      <x:c r="D1610" t="n">
        <x:v>2</x:v>
      </x:c>
      <x:c r="E1610" t="n">
        <x:v>64147</x:v>
      </x:c>
      <x:c r="F1610" t="str">
        <x:v>2026-06-17</x:v>
      </x:c>
    </x:row>
    <x:row r="1611">
      <x:c r="A1611" t="str">
        <x:v>Kern High School District</x:v>
      </x:c>
      <x:c r="B1611" t="str">
        <x:v>CA</x:v>
      </x:c>
      <x:c r="C1611" t="str">
        <x:v>Bachelor's</x:v>
      </x:c>
      <x:c r="D1611" t="n">
        <x:v>3</x:v>
      </x:c>
      <x:c r="E1611" t="n">
        <x:v>64147</x:v>
      </x:c>
      <x:c r="F1611" t="str">
        <x:v>2026-06-17</x:v>
      </x:c>
    </x:row>
    <x:row r="1612">
      <x:c r="A1612" t="str">
        <x:v>Kern High School District</x:v>
      </x:c>
      <x:c r="B1612" t="str">
        <x:v>CA</x:v>
      </x:c>
      <x:c r="C1612" t="str">
        <x:v>Bachelor's</x:v>
      </x:c>
      <x:c r="D1612" t="n">
        <x:v>4</x:v>
      </x:c>
      <x:c r="E1612" t="n">
        <x:v>65124</x:v>
      </x:c>
      <x:c r="F1612" t="str">
        <x:v>2026-06-17</x:v>
      </x:c>
    </x:row>
    <x:row r="1613">
      <x:c r="A1613" t="str">
        <x:v>Kern High School District</x:v>
      </x:c>
      <x:c r="B1613" t="str">
        <x:v>CA</x:v>
      </x:c>
      <x:c r="C1613" t="str">
        <x:v>Bachelor's</x:v>
      </x:c>
      <x:c r="D1613" t="n">
        <x:v>5</x:v>
      </x:c>
      <x:c r="E1613" t="n">
        <x:v>67705</x:v>
      </x:c>
      <x:c r="F1613" t="str">
        <x:v>2026-06-17</x:v>
      </x:c>
    </x:row>
    <x:row r="1614">
      <x:c r="A1614" t="str">
        <x:v>Kern High School District</x:v>
      </x:c>
      <x:c r="B1614" t="str">
        <x:v>CA</x:v>
      </x:c>
      <x:c r="C1614" t="str">
        <x:v>Bachelor's</x:v>
      </x:c>
      <x:c r="D1614" t="n">
        <x:v>6</x:v>
      </x:c>
      <x:c r="E1614" t="n">
        <x:v>70285</x:v>
      </x:c>
      <x:c r="F1614" t="str">
        <x:v>2026-06-17</x:v>
      </x:c>
    </x:row>
    <x:row r="1615">
      <x:c r="A1615" t="str">
        <x:v>Kern High School District</x:v>
      </x:c>
      <x:c r="B1615" t="str">
        <x:v>CA</x:v>
      </x:c>
      <x:c r="C1615" t="str">
        <x:v>Bachelor's</x:v>
      </x:c>
      <x:c r="D1615" t="n">
        <x:v>7</x:v>
      </x:c>
      <x:c r="E1615" t="n">
        <x:v>72862</x:v>
      </x:c>
      <x:c r="F1615" t="str">
        <x:v>2026-06-17</x:v>
      </x:c>
    </x:row>
    <x:row r="1616">
      <x:c r="A1616" t="str">
        <x:v>Kern High School District</x:v>
      </x:c>
      <x:c r="B1616" t="str">
        <x:v>CA</x:v>
      </x:c>
      <x:c r="C1616" t="str">
        <x:v>Bachelor's</x:v>
      </x:c>
      <x:c r="D1616" t="n">
        <x:v>8</x:v>
      </x:c>
      <x:c r="E1616" t="n">
        <x:v>75442</x:v>
      </x:c>
      <x:c r="F1616" t="str">
        <x:v>2026-06-17</x:v>
      </x:c>
    </x:row>
    <x:row r="1617">
      <x:c r="A1617" t="str">
        <x:v>Kern High School District</x:v>
      </x:c>
      <x:c r="B1617" t="str">
        <x:v>CA</x:v>
      </x:c>
      <x:c r="C1617" t="str">
        <x:v>Bachelor's</x:v>
      </x:c>
      <x:c r="D1617" t="n">
        <x:v>9</x:v>
      </x:c>
      <x:c r="E1617" t="n">
        <x:v>78022</x:v>
      </x:c>
      <x:c r="F1617" t="str">
        <x:v>2026-06-17</x:v>
      </x:c>
    </x:row>
    <x:row r="1618">
      <x:c r="A1618" t="str">
        <x:v>Kern High School District</x:v>
      </x:c>
      <x:c r="B1618" t="str">
        <x:v>CA</x:v>
      </x:c>
      <x:c r="C1618" t="str">
        <x:v>Bachelor's</x:v>
      </x:c>
      <x:c r="D1618" t="n">
        <x:v>10</x:v>
      </x:c>
      <x:c r="E1618" t="n">
        <x:v>80601</x:v>
      </x:c>
      <x:c r="F1618" t="str">
        <x:v>2026-06-17</x:v>
      </x:c>
    </x:row>
    <x:row r="1619">
      <x:c r="A1619" t="str">
        <x:v>Kern High School District</x:v>
      </x:c>
      <x:c r="B1619" t="str">
        <x:v>CA</x:v>
      </x:c>
      <x:c r="C1619" t="str">
        <x:v>Master's</x:v>
      </x:c>
      <x:c r="D1619" t="n">
        <x:v>0</x:v>
      </x:c>
      <x:c r="E1619" t="n">
        <x:v>68844</x:v>
      </x:c>
      <x:c r="F1619" t="str">
        <x:v>2026-06-17</x:v>
      </x:c>
    </x:row>
    <x:row r="1620">
      <x:c r="A1620" t="str">
        <x:v>Kern High School District</x:v>
      </x:c>
      <x:c r="B1620" t="str">
        <x:v>CA</x:v>
      </x:c>
      <x:c r="C1620" t="str">
        <x:v>Master's</x:v>
      </x:c>
      <x:c r="D1620" t="n">
        <x:v>1</x:v>
      </x:c>
      <x:c r="E1620" t="n">
        <x:v>71426</x:v>
      </x:c>
      <x:c r="F1620" t="str">
        <x:v>2026-06-17</x:v>
      </x:c>
    </x:row>
    <x:row r="1621">
      <x:c r="A1621" t="str">
        <x:v>Kern High School District</x:v>
      </x:c>
      <x:c r="B1621" t="str">
        <x:v>CA</x:v>
      </x:c>
      <x:c r="C1621" t="str">
        <x:v>Master's</x:v>
      </x:c>
      <x:c r="D1621" t="n">
        <x:v>2</x:v>
      </x:c>
      <x:c r="E1621" t="n">
        <x:v>74002</x:v>
      </x:c>
      <x:c r="F1621" t="str">
        <x:v>2026-06-17</x:v>
      </x:c>
    </x:row>
    <x:row r="1622">
      <x:c r="A1622" t="str">
        <x:v>Kern High School District</x:v>
      </x:c>
      <x:c r="B1622" t="str">
        <x:v>CA</x:v>
      </x:c>
      <x:c r="C1622" t="str">
        <x:v>Master's</x:v>
      </x:c>
      <x:c r="D1622" t="n">
        <x:v>3</x:v>
      </x:c>
      <x:c r="E1622" t="n">
        <x:v>76583</x:v>
      </x:c>
      <x:c r="F1622" t="str">
        <x:v>2026-06-17</x:v>
      </x:c>
    </x:row>
    <x:row r="1623">
      <x:c r="A1623" t="str">
        <x:v>Kern High School District</x:v>
      </x:c>
      <x:c r="B1623" t="str">
        <x:v>CA</x:v>
      </x:c>
      <x:c r="C1623" t="str">
        <x:v>Master's</x:v>
      </x:c>
      <x:c r="D1623" t="n">
        <x:v>4</x:v>
      </x:c>
      <x:c r="E1623" t="n">
        <x:v>79164</x:v>
      </x:c>
      <x:c r="F1623" t="str">
        <x:v>2026-06-17</x:v>
      </x:c>
    </x:row>
    <x:row r="1624">
      <x:c r="A1624" t="str">
        <x:v>Kern High School District</x:v>
      </x:c>
      <x:c r="B1624" t="str">
        <x:v>CA</x:v>
      </x:c>
      <x:c r="C1624" t="str">
        <x:v>Master's</x:v>
      </x:c>
      <x:c r="D1624" t="n">
        <x:v>5</x:v>
      </x:c>
      <x:c r="E1624" t="n">
        <x:v>81740</x:v>
      </x:c>
      <x:c r="F1624" t="str">
        <x:v>2026-06-17</x:v>
      </x:c>
    </x:row>
    <x:row r="1625">
      <x:c r="A1625" t="str">
        <x:v>Kern High School District</x:v>
      </x:c>
      <x:c r="B1625" t="str">
        <x:v>CA</x:v>
      </x:c>
      <x:c r="C1625" t="str">
        <x:v>Master's</x:v>
      </x:c>
      <x:c r="D1625" t="n">
        <x:v>6</x:v>
      </x:c>
      <x:c r="E1625" t="n">
        <x:v>84321</x:v>
      </x:c>
      <x:c r="F1625" t="str">
        <x:v>2026-06-17</x:v>
      </x:c>
    </x:row>
    <x:row r="1626">
      <x:c r="A1626" t="str">
        <x:v>Kern High School District</x:v>
      </x:c>
      <x:c r="B1626" t="str">
        <x:v>CA</x:v>
      </x:c>
      <x:c r="C1626" t="str">
        <x:v>Master's</x:v>
      </x:c>
      <x:c r="D1626" t="n">
        <x:v>7</x:v>
      </x:c>
      <x:c r="E1626" t="n">
        <x:v>86902</x:v>
      </x:c>
      <x:c r="F1626" t="str">
        <x:v>2026-06-17</x:v>
      </x:c>
    </x:row>
    <x:row r="1627">
      <x:c r="A1627" t="str">
        <x:v>Kern High School District</x:v>
      </x:c>
      <x:c r="B1627" t="str">
        <x:v>CA</x:v>
      </x:c>
      <x:c r="C1627" t="str">
        <x:v>Master's</x:v>
      </x:c>
      <x:c r="D1627" t="n">
        <x:v>8</x:v>
      </x:c>
      <x:c r="E1627" t="n">
        <x:v>89480</x:v>
      </x:c>
      <x:c r="F1627" t="str">
        <x:v>2026-06-17</x:v>
      </x:c>
    </x:row>
    <x:row r="1628">
      <x:c r="A1628" t="str">
        <x:v>Kern High School District</x:v>
      </x:c>
      <x:c r="B1628" t="str">
        <x:v>CA</x:v>
      </x:c>
      <x:c r="C1628" t="str">
        <x:v>Master's</x:v>
      </x:c>
      <x:c r="D1628" t="n">
        <x:v>9</x:v>
      </x:c>
      <x:c r="E1628" t="n">
        <x:v>92059</x:v>
      </x:c>
      <x:c r="F1628" t="str">
        <x:v>2026-06-17</x:v>
      </x:c>
    </x:row>
    <x:row r="1629">
      <x:c r="A1629" t="str">
        <x:v>Kern High School District</x:v>
      </x:c>
      <x:c r="B1629" t="str">
        <x:v>CA</x:v>
      </x:c>
      <x:c r="C1629" t="str">
        <x:v>Master's</x:v>
      </x:c>
      <x:c r="D1629" t="n">
        <x:v>10</x:v>
      </x:c>
      <x:c r="E1629" t="n">
        <x:v>94638</x:v>
      </x:c>
      <x:c r="F1629" t="str">
        <x:v>2026-06-17</x:v>
      </x:c>
    </x:row>
    <x:row r="1630">
      <x:c r="A1630" t="str">
        <x:v>Clovis Unified School District</x:v>
      </x:c>
      <x:c r="B1630" t="str">
        <x:v>CA</x:v>
      </x:c>
      <x:c r="C1630" t="str">
        <x:v>Bachelor's</x:v>
      </x:c>
      <x:c r="D1630" t="n">
        <x:v>0</x:v>
      </x:c>
      <x:c r="E1630" t="n">
        <x:v>60822</x:v>
      </x:c>
      <x:c r="F1630" t="str">
        <x:v>2026-06-16</x:v>
      </x:c>
    </x:row>
    <x:row r="1631">
      <x:c r="A1631" t="str">
        <x:v>Clovis Unified School District</x:v>
      </x:c>
      <x:c r="B1631" t="str">
        <x:v>CA</x:v>
      </x:c>
      <x:c r="C1631" t="str">
        <x:v>Bachelor's</x:v>
      </x:c>
      <x:c r="D1631" t="n">
        <x:v>1</x:v>
      </x:c>
      <x:c r="E1631" t="n">
        <x:v>64000</x:v>
      </x:c>
      <x:c r="F1631" t="str">
        <x:v>2026-06-16</x:v>
      </x:c>
    </x:row>
    <x:row r="1632">
      <x:c r="A1632" t="str">
        <x:v>Clovis Unified School District</x:v>
      </x:c>
      <x:c r="B1632" t="str">
        <x:v>CA</x:v>
      </x:c>
      <x:c r="C1632" t="str">
        <x:v>Bachelor's</x:v>
      </x:c>
      <x:c r="D1632" t="n">
        <x:v>2</x:v>
      </x:c>
      <x:c r="E1632" t="n">
        <x:v>67200</x:v>
      </x:c>
      <x:c r="F1632" t="str">
        <x:v>2026-06-16</x:v>
      </x:c>
    </x:row>
    <x:row r="1633">
      <x:c r="A1633" t="str">
        <x:v>Clovis Unified School District</x:v>
      </x:c>
      <x:c r="B1633" t="str">
        <x:v>CA</x:v>
      </x:c>
      <x:c r="C1633" t="str">
        <x:v>Bachelor's</x:v>
      </x:c>
      <x:c r="D1633" t="n">
        <x:v>3</x:v>
      </x:c>
      <x:c r="E1633" t="n">
        <x:v>70400</x:v>
      </x:c>
      <x:c r="F1633" t="str">
        <x:v>2026-06-16</x:v>
      </x:c>
    </x:row>
    <x:row r="1634">
      <x:c r="A1634" t="str">
        <x:v>Clovis Unified School District</x:v>
      </x:c>
      <x:c r="B1634" t="str">
        <x:v>CA</x:v>
      </x:c>
      <x:c r="C1634" t="str">
        <x:v>Bachelor's</x:v>
      </x:c>
      <x:c r="D1634" t="n">
        <x:v>4</x:v>
      </x:c>
      <x:c r="E1634" t="n">
        <x:v>73600</x:v>
      </x:c>
      <x:c r="F1634" t="str">
        <x:v>2026-06-16</x:v>
      </x:c>
    </x:row>
    <x:row r="1635">
      <x:c r="A1635" t="str">
        <x:v>Clovis Unified School District</x:v>
      </x:c>
      <x:c r="B1635" t="str">
        <x:v>CA</x:v>
      </x:c>
      <x:c r="C1635" t="str">
        <x:v>Bachelor's</x:v>
      </x:c>
      <x:c r="D1635" t="n">
        <x:v>5</x:v>
      </x:c>
      <x:c r="E1635" t="n">
        <x:v>76800</x:v>
      </x:c>
      <x:c r="F1635" t="str">
        <x:v>2026-06-16</x:v>
      </x:c>
    </x:row>
    <x:row r="1636">
      <x:c r="A1636" t="str">
        <x:v>Clovis Unified School District</x:v>
      </x:c>
      <x:c r="B1636" t="str">
        <x:v>CA</x:v>
      </x:c>
      <x:c r="C1636" t="str">
        <x:v>Bachelor's</x:v>
      </x:c>
      <x:c r="D1636" t="n">
        <x:v>6</x:v>
      </x:c>
      <x:c r="E1636" t="n">
        <x:v>80000</x:v>
      </x:c>
      <x:c r="F1636" t="str">
        <x:v>2026-06-16</x:v>
      </x:c>
    </x:row>
    <x:row r="1637">
      <x:c r="A1637" t="str">
        <x:v>Clovis Unified School District</x:v>
      </x:c>
      <x:c r="B1637" t="str">
        <x:v>CA</x:v>
      </x:c>
      <x:c r="C1637" t="str">
        <x:v>Bachelor's</x:v>
      </x:c>
      <x:c r="D1637" t="n">
        <x:v>7</x:v>
      </x:c>
      <x:c r="E1637" t="n">
        <x:v>83200</x:v>
      </x:c>
      <x:c r="F1637" t="str">
        <x:v>2026-06-16</x:v>
      </x:c>
    </x:row>
    <x:row r="1638">
      <x:c r="A1638" t="str">
        <x:v>Clovis Unified School District</x:v>
      </x:c>
      <x:c r="B1638" t="str">
        <x:v>CA</x:v>
      </x:c>
      <x:c r="C1638" t="str">
        <x:v>Bachelor's</x:v>
      </x:c>
      <x:c r="D1638" t="n">
        <x:v>8</x:v>
      </x:c>
      <x:c r="E1638" t="n">
        <x:v>86400</x:v>
      </x:c>
      <x:c r="F1638" t="str">
        <x:v>2026-06-16</x:v>
      </x:c>
    </x:row>
    <x:row r="1639">
      <x:c r="A1639" t="str">
        <x:v>Clovis Unified School District</x:v>
      </x:c>
      <x:c r="B1639" t="str">
        <x:v>CA</x:v>
      </x:c>
      <x:c r="C1639" t="str">
        <x:v>Bachelor's</x:v>
      </x:c>
      <x:c r="D1639" t="n">
        <x:v>9</x:v>
      </x:c>
      <x:c r="E1639" t="n">
        <x:v>89600</x:v>
      </x:c>
      <x:c r="F1639" t="str">
        <x:v>2026-06-16</x:v>
      </x:c>
    </x:row>
    <x:row r="1640">
      <x:c r="A1640" t="str">
        <x:v>Clovis Unified School District</x:v>
      </x:c>
      <x:c r="B1640" t="str">
        <x:v>CA</x:v>
      </x:c>
      <x:c r="C1640" t="str">
        <x:v>Bachelor's</x:v>
      </x:c>
      <x:c r="D1640" t="n">
        <x:v>10</x:v>
      </x:c>
      <x:c r="E1640" t="n">
        <x:v>92800</x:v>
      </x:c>
      <x:c r="F1640" t="str">
        <x:v>2026-06-16</x:v>
      </x:c>
    </x:row>
    <x:row r="1641">
      <x:c r="A1641" t="str">
        <x:v>Clovis Unified School District</x:v>
      </x:c>
      <x:c r="B1641" t="str">
        <x:v>CA</x:v>
      </x:c>
      <x:c r="C1641" t="str">
        <x:v>Master's</x:v>
      </x:c>
      <x:c r="D1641" t="n">
        <x:v>0</x:v>
      </x:c>
      <x:c r="E1641" t="n">
        <x:v>65822</x:v>
      </x:c>
      <x:c r="F1641" t="str">
        <x:v>2026-06-16</x:v>
      </x:c>
    </x:row>
    <x:row r="1642">
      <x:c r="A1642" t="str">
        <x:v>Clovis Unified School District</x:v>
      </x:c>
      <x:c r="B1642" t="str">
        <x:v>CA</x:v>
      </x:c>
      <x:c r="C1642" t="str">
        <x:v>Master's</x:v>
      </x:c>
      <x:c r="D1642" t="n">
        <x:v>1</x:v>
      </x:c>
      <x:c r="E1642" t="n">
        <x:v>69500</x:v>
      </x:c>
      <x:c r="F1642" t="str">
        <x:v>2026-06-16</x:v>
      </x:c>
    </x:row>
    <x:row r="1643">
      <x:c r="A1643" t="str">
        <x:v>Clovis Unified School District</x:v>
      </x:c>
      <x:c r="B1643" t="str">
        <x:v>CA</x:v>
      </x:c>
      <x:c r="C1643" t="str">
        <x:v>Master's</x:v>
      </x:c>
      <x:c r="D1643" t="n">
        <x:v>2</x:v>
      </x:c>
      <x:c r="E1643" t="n">
        <x:v>73200</x:v>
      </x:c>
      <x:c r="F1643" t="str">
        <x:v>2026-06-16</x:v>
      </x:c>
    </x:row>
    <x:row r="1644">
      <x:c r="A1644" t="str">
        <x:v>Clovis Unified School District</x:v>
      </x:c>
      <x:c r="B1644" t="str">
        <x:v>CA</x:v>
      </x:c>
      <x:c r="C1644" t="str">
        <x:v>Master's</x:v>
      </x:c>
      <x:c r="D1644" t="n">
        <x:v>3</x:v>
      </x:c>
      <x:c r="E1644" t="n">
        <x:v>76900</x:v>
      </x:c>
      <x:c r="F1644" t="str">
        <x:v>2026-06-16</x:v>
      </x:c>
    </x:row>
    <x:row r="1645">
      <x:c r="A1645" t="str">
        <x:v>Clovis Unified School District</x:v>
      </x:c>
      <x:c r="B1645" t="str">
        <x:v>CA</x:v>
      </x:c>
      <x:c r="C1645" t="str">
        <x:v>Master's</x:v>
      </x:c>
      <x:c r="D1645" t="n">
        <x:v>4</x:v>
      </x:c>
      <x:c r="E1645" t="n">
        <x:v>80600</x:v>
      </x:c>
      <x:c r="F1645" t="str">
        <x:v>2026-06-16</x:v>
      </x:c>
    </x:row>
    <x:row r="1646">
      <x:c r="A1646" t="str">
        <x:v>Clovis Unified School District</x:v>
      </x:c>
      <x:c r="B1646" t="str">
        <x:v>CA</x:v>
      </x:c>
      <x:c r="C1646" t="str">
        <x:v>Master's</x:v>
      </x:c>
      <x:c r="D1646" t="n">
        <x:v>5</x:v>
      </x:c>
      <x:c r="E1646" t="n">
        <x:v>84300</x:v>
      </x:c>
      <x:c r="F1646" t="str">
        <x:v>2026-06-16</x:v>
      </x:c>
    </x:row>
    <x:row r="1647">
      <x:c r="A1647" t="str">
        <x:v>Clovis Unified School District</x:v>
      </x:c>
      <x:c r="B1647" t="str">
        <x:v>CA</x:v>
      </x:c>
      <x:c r="C1647" t="str">
        <x:v>Master's</x:v>
      </x:c>
      <x:c r="D1647" t="n">
        <x:v>6</x:v>
      </x:c>
      <x:c r="E1647" t="n">
        <x:v>88000</x:v>
      </x:c>
      <x:c r="F1647" t="str">
        <x:v>2026-06-16</x:v>
      </x:c>
    </x:row>
    <x:row r="1648">
      <x:c r="A1648" t="str">
        <x:v>Clovis Unified School District</x:v>
      </x:c>
      <x:c r="B1648" t="str">
        <x:v>CA</x:v>
      </x:c>
      <x:c r="C1648" t="str">
        <x:v>Master's</x:v>
      </x:c>
      <x:c r="D1648" t="n">
        <x:v>7</x:v>
      </x:c>
      <x:c r="E1648" t="n">
        <x:v>91700</x:v>
      </x:c>
      <x:c r="F1648" t="str">
        <x:v>2026-06-16</x:v>
      </x:c>
    </x:row>
    <x:row r="1649">
      <x:c r="A1649" t="str">
        <x:v>Clovis Unified School District</x:v>
      </x:c>
      <x:c r="B1649" t="str">
        <x:v>CA</x:v>
      </x:c>
      <x:c r="C1649" t="str">
        <x:v>Master's</x:v>
      </x:c>
      <x:c r="D1649" t="n">
        <x:v>8</x:v>
      </x:c>
      <x:c r="E1649" t="n">
        <x:v>95400</x:v>
      </x:c>
      <x:c r="F1649" t="str">
        <x:v>2026-06-16</x:v>
      </x:c>
    </x:row>
    <x:row r="1650">
      <x:c r="A1650" t="str">
        <x:v>Clovis Unified School District</x:v>
      </x:c>
      <x:c r="B1650" t="str">
        <x:v>CA</x:v>
      </x:c>
      <x:c r="C1650" t="str">
        <x:v>Master's</x:v>
      </x:c>
      <x:c r="D1650" t="n">
        <x:v>9</x:v>
      </x:c>
      <x:c r="E1650" t="n">
        <x:v>99100</x:v>
      </x:c>
      <x:c r="F1650" t="str">
        <x:v>2026-06-16</x:v>
      </x:c>
    </x:row>
    <x:row r="1651">
      <x:c r="A1651" t="str">
        <x:v>Clovis Unified School District</x:v>
      </x:c>
      <x:c r="B1651" t="str">
        <x:v>CA</x:v>
      </x:c>
      <x:c r="C1651" t="str">
        <x:v>Master's</x:v>
      </x:c>
      <x:c r="D1651" t="n">
        <x:v>10</x:v>
      </x:c>
      <x:c r="E1651" t="n">
        <x:v>102800</x:v>
      </x:c>
      <x:c r="F1651" t="str">
        <x:v>2026-06-16</x:v>
      </x:c>
    </x:row>
    <x:row r="1652">
      <x:c r="A1652" t="str">
        <x:v>Hobbs Municipal Schools</x:v>
      </x:c>
      <x:c r="B1652" t="str">
        <x:v>NM</x:v>
      </x:c>
      <x:c r="C1652" t="str">
        <x:v>Bachelor's</x:v>
      </x:c>
      <x:c r="D1652" t="n">
        <x:v>0</x:v>
      </x:c>
      <x:c r="E1652" t="n">
        <x:v>63024</x:v>
      </x:c>
      <x:c r="F1652" t="str">
        <x:v>2026-06-17</x:v>
      </x:c>
    </x:row>
    <x:row r="1653">
      <x:c r="A1653" t="str">
        <x:v>Hobbs Municipal Schools</x:v>
      </x:c>
      <x:c r="B1653" t="str">
        <x:v>NM</x:v>
      </x:c>
      <x:c r="C1653" t="str">
        <x:v>Bachelor's</x:v>
      </x:c>
      <x:c r="D1653" t="n">
        <x:v>1</x:v>
      </x:c>
      <x:c r="E1653" t="n">
        <x:v>63292</x:v>
      </x:c>
      <x:c r="F1653" t="str">
        <x:v>2026-06-17</x:v>
      </x:c>
    </x:row>
    <x:row r="1654">
      <x:c r="A1654" t="str">
        <x:v>Hobbs Municipal Schools</x:v>
      </x:c>
      <x:c r="B1654" t="str">
        <x:v>NM</x:v>
      </x:c>
      <x:c r="C1654" t="str">
        <x:v>Bachelor's</x:v>
      </x:c>
      <x:c r="D1654" t="n">
        <x:v>2</x:v>
      </x:c>
      <x:c r="E1654" t="n">
        <x:v>63606</x:v>
      </x:c>
      <x:c r="F1654" t="str">
        <x:v>2026-06-17</x:v>
      </x:c>
    </x:row>
    <x:row r="1655">
      <x:c r="A1655" t="str">
        <x:v>Hobbs Municipal Schools</x:v>
      </x:c>
      <x:c r="B1655" t="str">
        <x:v>NM</x:v>
      </x:c>
      <x:c r="C1655" t="str">
        <x:v>Bachelor's</x:v>
      </x:c>
      <x:c r="D1655" t="n">
        <x:v>3</x:v>
      </x:c>
      <x:c r="E1655" t="n">
        <x:v>63921</x:v>
      </x:c>
      <x:c r="F1655" t="str">
        <x:v>2026-06-17</x:v>
      </x:c>
    </x:row>
    <x:row r="1656">
      <x:c r="A1656" t="str">
        <x:v>Hobbs Municipal Schools</x:v>
      </x:c>
      <x:c r="B1656" t="str">
        <x:v>NM</x:v>
      </x:c>
      <x:c r="C1656" t="str">
        <x:v>Bachelor's</x:v>
      </x:c>
      <x:c r="D1656" t="n">
        <x:v>4</x:v>
      </x:c>
      <x:c r="E1656" t="n">
        <x:v>64423</x:v>
      </x:c>
      <x:c r="F1656" t="str">
        <x:v>2026-06-17</x:v>
      </x:c>
    </x:row>
    <x:row r="1657">
      <x:c r="A1657" t="str">
        <x:v>Hobbs Municipal Schools</x:v>
      </x:c>
      <x:c r="B1657" t="str">
        <x:v>NM</x:v>
      </x:c>
      <x:c r="C1657" t="str">
        <x:v>Bachelor's</x:v>
      </x:c>
      <x:c r="D1657" t="n">
        <x:v>5</x:v>
      </x:c>
      <x:c r="E1657" t="n">
        <x:v>65178</x:v>
      </x:c>
      <x:c r="F1657" t="str">
        <x:v>2026-06-17</x:v>
      </x:c>
    </x:row>
    <x:row r="1658">
      <x:c r="A1658" t="str">
        <x:v>Hobbs Municipal Schools</x:v>
      </x:c>
      <x:c r="B1658" t="str">
        <x:v>NM</x:v>
      </x:c>
      <x:c r="C1658" t="str">
        <x:v>Bachelor's</x:v>
      </x:c>
      <x:c r="D1658" t="n">
        <x:v>6</x:v>
      </x:c>
      <x:c r="E1658" t="n">
        <x:v>66435</x:v>
      </x:c>
      <x:c r="F1658" t="str">
        <x:v>2026-06-17</x:v>
      </x:c>
    </x:row>
    <x:row r="1659">
      <x:c r="A1659" t="str">
        <x:v>Hobbs Municipal Schools</x:v>
      </x:c>
      <x:c r="B1659" t="str">
        <x:v>NM</x:v>
      </x:c>
      <x:c r="C1659" t="str">
        <x:v>Bachelor's</x:v>
      </x:c>
      <x:c r="D1659" t="n">
        <x:v>7</x:v>
      </x:c>
      <x:c r="E1659" t="n">
        <x:v>68007</x:v>
      </x:c>
      <x:c r="F1659" t="str">
        <x:v>2026-06-17</x:v>
      </x:c>
    </x:row>
    <x:row r="1660">
      <x:c r="A1660" t="str">
        <x:v>Hobbs Municipal Schools</x:v>
      </x:c>
      <x:c r="B1660" t="str">
        <x:v>NM</x:v>
      </x:c>
      <x:c r="C1660" t="str">
        <x:v>Bachelor's</x:v>
      </x:c>
      <x:c r="D1660" t="n">
        <x:v>8</x:v>
      </x:c>
      <x:c r="E1660" t="n">
        <x:v>69956</x:v>
      </x:c>
      <x:c r="F1660" t="str">
        <x:v>2026-06-17</x:v>
      </x:c>
    </x:row>
    <x:row r="1661">
      <x:c r="A1661" t="str">
        <x:v>Hobbs Municipal Schools</x:v>
      </x:c>
      <x:c r="B1661" t="str">
        <x:v>NM</x:v>
      </x:c>
      <x:c r="C1661" t="str">
        <x:v>Bachelor's</x:v>
      </x:c>
      <x:c r="D1661" t="n">
        <x:v>9</x:v>
      </x:c>
      <x:c r="E1661" t="n">
        <x:v>72534</x:v>
      </x:c>
      <x:c r="F1661" t="str">
        <x:v>2026-06-17</x:v>
      </x:c>
    </x:row>
    <x:row r="1662">
      <x:c r="A1662" t="str">
        <x:v>Hobbs Municipal Schools</x:v>
      </x:c>
      <x:c r="B1662" t="str">
        <x:v>NM</x:v>
      </x:c>
      <x:c r="C1662" t="str">
        <x:v>Bachelor's</x:v>
      </x:c>
      <x:c r="D1662" t="n">
        <x:v>10</x:v>
      </x:c>
      <x:c r="E1662" t="n">
        <x:v>72786</x:v>
      </x:c>
      <x:c r="F1662" t="str">
        <x:v>2026-06-17</x:v>
      </x:c>
    </x:row>
    <x:row r="1663">
      <x:c r="A1663" t="str">
        <x:v>Hobbs Municipal Schools</x:v>
      </x:c>
      <x:c r="B1663" t="str">
        <x:v>NM</x:v>
      </x:c>
      <x:c r="C1663" t="str">
        <x:v>Master's</x:v>
      </x:c>
      <x:c r="D1663" t="n">
        <x:v>0</x:v>
      </x:c>
      <x:c r="E1663" t="n">
        <x:v>73022</x:v>
      </x:c>
      <x:c r="F1663" t="str">
        <x:v>2026-06-17</x:v>
      </x:c>
    </x:row>
    <x:row r="1664">
      <x:c r="A1664" t="str">
        <x:v>Hobbs Municipal Schools</x:v>
      </x:c>
      <x:c r="B1664" t="str">
        <x:v>NM</x:v>
      </x:c>
      <x:c r="C1664" t="str">
        <x:v>Master's</x:v>
      </x:c>
      <x:c r="D1664" t="n">
        <x:v>1</x:v>
      </x:c>
      <x:c r="E1664" t="n">
        <x:v>73022</x:v>
      </x:c>
      <x:c r="F1664" t="str">
        <x:v>2026-06-17</x:v>
      </x:c>
    </x:row>
    <x:row r="1665">
      <x:c r="A1665" t="str">
        <x:v>Hobbs Municipal Schools</x:v>
      </x:c>
      <x:c r="B1665" t="str">
        <x:v>NM</x:v>
      </x:c>
      <x:c r="C1665" t="str">
        <x:v>Master's</x:v>
      </x:c>
      <x:c r="D1665" t="n">
        <x:v>2</x:v>
      </x:c>
      <x:c r="E1665" t="n">
        <x:v>73022</x:v>
      </x:c>
      <x:c r="F1665" t="str">
        <x:v>2026-06-17</x:v>
      </x:c>
    </x:row>
    <x:row r="1666">
      <x:c r="A1666" t="str">
        <x:v>Hobbs Municipal Schools</x:v>
      </x:c>
      <x:c r="B1666" t="str">
        <x:v>NM</x:v>
      </x:c>
      <x:c r="C1666" t="str">
        <x:v>Master's</x:v>
      </x:c>
      <x:c r="D1666" t="n">
        <x:v>3</x:v>
      </x:c>
      <x:c r="E1666" t="n">
        <x:v>73022</x:v>
      </x:c>
      <x:c r="F1666" t="str">
        <x:v>2026-06-17</x:v>
      </x:c>
    </x:row>
    <x:row r="1667">
      <x:c r="A1667" t="str">
        <x:v>Hobbs Municipal Schools</x:v>
      </x:c>
      <x:c r="B1667" t="str">
        <x:v>NM</x:v>
      </x:c>
      <x:c r="C1667" t="str">
        <x:v>Master's</x:v>
      </x:c>
      <x:c r="D1667" t="n">
        <x:v>4</x:v>
      </x:c>
      <x:c r="E1667" t="n">
        <x:v>73190</x:v>
      </x:c>
      <x:c r="F1667" t="str">
        <x:v>2026-06-17</x:v>
      </x:c>
    </x:row>
    <x:row r="1668">
      <x:c r="A1668" t="str">
        <x:v>Hobbs Municipal Schools</x:v>
      </x:c>
      <x:c r="B1668" t="str">
        <x:v>NM</x:v>
      </x:c>
      <x:c r="C1668" t="str">
        <x:v>Master's</x:v>
      </x:c>
      <x:c r="D1668" t="n">
        <x:v>5</x:v>
      </x:c>
      <x:c r="E1668" t="n">
        <x:v>73263</x:v>
      </x:c>
      <x:c r="F1668" t="str">
        <x:v>2026-06-17</x:v>
      </x:c>
    </x:row>
    <x:row r="1669">
      <x:c r="A1669" t="str">
        <x:v>Hobbs Municipal Schools</x:v>
      </x:c>
      <x:c r="B1669" t="str">
        <x:v>NM</x:v>
      </x:c>
      <x:c r="C1669" t="str">
        <x:v>Master's</x:v>
      </x:c>
      <x:c r="D1669" t="n">
        <x:v>6</x:v>
      </x:c>
      <x:c r="E1669" t="n">
        <x:v>73365</x:v>
      </x:c>
      <x:c r="F1669" t="str">
        <x:v>2026-06-17</x:v>
      </x:c>
    </x:row>
    <x:row r="1670">
      <x:c r="A1670" t="str">
        <x:v>Hobbs Municipal Schools</x:v>
      </x:c>
      <x:c r="B1670" t="str">
        <x:v>NM</x:v>
      </x:c>
      <x:c r="C1670" t="str">
        <x:v>Master's</x:v>
      </x:c>
      <x:c r="D1670" t="n">
        <x:v>7</x:v>
      </x:c>
      <x:c r="E1670" t="n">
        <x:v>73497</x:v>
      </x:c>
      <x:c r="F1670" t="str">
        <x:v>2026-06-17</x:v>
      </x:c>
    </x:row>
    <x:row r="1671">
      <x:c r="A1671" t="str">
        <x:v>Hobbs Municipal Schools</x:v>
      </x:c>
      <x:c r="B1671" t="str">
        <x:v>NM</x:v>
      </x:c>
      <x:c r="C1671" t="str">
        <x:v>Master's</x:v>
      </x:c>
      <x:c r="D1671" t="n">
        <x:v>8</x:v>
      </x:c>
      <x:c r="E1671" t="n">
        <x:v>73606</x:v>
      </x:c>
      <x:c r="F1671" t="str">
        <x:v>2026-06-17</x:v>
      </x:c>
    </x:row>
    <x:row r="1672">
      <x:c r="A1672" t="str">
        <x:v>Hobbs Municipal Schools</x:v>
      </x:c>
      <x:c r="B1672" t="str">
        <x:v>NM</x:v>
      </x:c>
      <x:c r="C1672" t="str">
        <x:v>Master's</x:v>
      </x:c>
      <x:c r="D1672" t="n">
        <x:v>9</x:v>
      </x:c>
      <x:c r="E1672" t="n">
        <x:v>74044</x:v>
      </x:c>
      <x:c r="F1672" t="str">
        <x:v>2026-06-17</x:v>
      </x:c>
    </x:row>
    <x:row r="1673">
      <x:c r="A1673" t="str">
        <x:v>Hobbs Municipal Schools</x:v>
      </x:c>
      <x:c r="B1673" t="str">
        <x:v>NM</x:v>
      </x:c>
      <x:c r="C1673" t="str">
        <x:v>Master's</x:v>
      </x:c>
      <x:c r="D1673" t="n">
        <x:v>10</x:v>
      </x:c>
      <x:c r="E1673" t="n">
        <x:v>75724</x:v>
      </x:c>
      <x:c r="F1673" t="str">
        <x:v>2026-06-17</x:v>
      </x:c>
    </x:row>
    <x:row r="1674">
      <x:c r="A1674" t="str">
        <x:v>Farmington Municipal Schools</x:v>
      </x:c>
      <x:c r="B1674" t="str">
        <x:v>NM</x:v>
      </x:c>
      <x:c r="C1674" t="str">
        <x:v>Bachelor's</x:v>
      </x:c>
      <x:c r="D1674" t="n">
        <x:v>0</x:v>
      </x:c>
      <x:c r="E1674" t="n">
        <x:v>57231</x:v>
      </x:c>
      <x:c r="F1674" t="str">
        <x:v>2026-06-17</x:v>
      </x:c>
    </x:row>
    <x:row r="1675">
      <x:c r="A1675" t="str">
        <x:v>Farmington Municipal Schools</x:v>
      </x:c>
      <x:c r="B1675" t="str">
        <x:v>NM</x:v>
      </x:c>
      <x:c r="C1675" t="str">
        <x:v>Bachelor's</x:v>
      </x:c>
      <x:c r="D1675" t="n">
        <x:v>1</x:v>
      </x:c>
      <x:c r="E1675" t="n">
        <x:v>57282</x:v>
      </x:c>
      <x:c r="F1675" t="str">
        <x:v>2026-06-17</x:v>
      </x:c>
    </x:row>
    <x:row r="1676">
      <x:c r="A1676" t="str">
        <x:v>Farmington Municipal Schools</x:v>
      </x:c>
      <x:c r="B1676" t="str">
        <x:v>NM</x:v>
      </x:c>
      <x:c r="C1676" t="str">
        <x:v>Bachelor's</x:v>
      </x:c>
      <x:c r="D1676" t="n">
        <x:v>2</x:v>
      </x:c>
      <x:c r="E1676" t="n">
        <x:v>57334</x:v>
      </x:c>
      <x:c r="F1676" t="str">
        <x:v>2026-06-17</x:v>
      </x:c>
    </x:row>
    <x:row r="1677">
      <x:c r="A1677" t="str">
        <x:v>Farmington Municipal Schools</x:v>
      </x:c>
      <x:c r="B1677" t="str">
        <x:v>NM</x:v>
      </x:c>
      <x:c r="C1677" t="str">
        <x:v>Bachelor's</x:v>
      </x:c>
      <x:c r="D1677" t="n">
        <x:v>3</x:v>
      </x:c>
      <x:c r="E1677" t="n">
        <x:v>57388</x:v>
      </x:c>
      <x:c r="F1677" t="str">
        <x:v>2026-06-17</x:v>
      </x:c>
    </x:row>
    <x:row r="1678">
      <x:c r="A1678" t="str">
        <x:v>Farmington Municipal Schools</x:v>
      </x:c>
      <x:c r="B1678" t="str">
        <x:v>NM</x:v>
      </x:c>
      <x:c r="C1678" t="str">
        <x:v>Bachelor's</x:v>
      </x:c>
      <x:c r="D1678" t="n">
        <x:v>4</x:v>
      </x:c>
      <x:c r="E1678" t="n">
        <x:v>57446</x:v>
      </x:c>
      <x:c r="F1678" t="str">
        <x:v>2026-06-17</x:v>
      </x:c>
    </x:row>
    <x:row r="1679">
      <x:c r="A1679" t="str">
        <x:v>Farmington Municipal Schools</x:v>
      </x:c>
      <x:c r="B1679" t="str">
        <x:v>NM</x:v>
      </x:c>
      <x:c r="C1679" t="str">
        <x:v>Bachelor's</x:v>
      </x:c>
      <x:c r="D1679" t="n">
        <x:v>5</x:v>
      </x:c>
      <x:c r="E1679" t="n">
        <x:v>57504</x:v>
      </x:c>
      <x:c r="F1679" t="str">
        <x:v>2026-06-17</x:v>
      </x:c>
    </x:row>
    <x:row r="1680">
      <x:c r="A1680" t="str">
        <x:v>Farmington Municipal Schools</x:v>
      </x:c>
      <x:c r="B1680" t="str">
        <x:v>NM</x:v>
      </x:c>
      <x:c r="C1680" t="str">
        <x:v>Bachelor's</x:v>
      </x:c>
      <x:c r="D1680" t="n">
        <x:v>6</x:v>
      </x:c>
      <x:c r="E1680" t="n">
        <x:v>69125</x:v>
      </x:c>
      <x:c r="F1680" t="str">
        <x:v>2026-06-17</x:v>
      </x:c>
    </x:row>
    <x:row r="1681">
      <x:c r="A1681" t="str">
        <x:v>Farmington Municipal Schools</x:v>
      </x:c>
      <x:c r="B1681" t="str">
        <x:v>NM</x:v>
      </x:c>
      <x:c r="C1681" t="str">
        <x:v>Bachelor's</x:v>
      </x:c>
      <x:c r="D1681" t="n">
        <x:v>7</x:v>
      </x:c>
      <x:c r="E1681" t="n">
        <x:v>69412</x:v>
      </x:c>
      <x:c r="F1681" t="str">
        <x:v>2026-06-17</x:v>
      </x:c>
    </x:row>
    <x:row r="1682">
      <x:c r="A1682" t="str">
        <x:v>Farmington Municipal Schools</x:v>
      </x:c>
      <x:c r="B1682" t="str">
        <x:v>NM</x:v>
      </x:c>
      <x:c r="C1682" t="str">
        <x:v>Bachelor's</x:v>
      </x:c>
      <x:c r="D1682" t="n">
        <x:v>8</x:v>
      </x:c>
      <x:c r="E1682" t="n">
        <x:v>69699</x:v>
      </x:c>
      <x:c r="F1682" t="str">
        <x:v>2026-06-17</x:v>
      </x:c>
    </x:row>
    <x:row r="1683">
      <x:c r="A1683" t="str">
        <x:v>Farmington Municipal Schools</x:v>
      </x:c>
      <x:c r="B1683" t="str">
        <x:v>NM</x:v>
      </x:c>
      <x:c r="C1683" t="str">
        <x:v>Bachelor's</x:v>
      </x:c>
      <x:c r="D1683" t="n">
        <x:v>9</x:v>
      </x:c>
      <x:c r="E1683" t="n">
        <x:v>69986</x:v>
      </x:c>
      <x:c r="F1683" t="str">
        <x:v>2026-06-17</x:v>
      </x:c>
    </x:row>
    <x:row r="1684">
      <x:c r="A1684" t="str">
        <x:v>Farmington Municipal Schools</x:v>
      </x:c>
      <x:c r="B1684" t="str">
        <x:v>NM</x:v>
      </x:c>
      <x:c r="C1684" t="str">
        <x:v>Bachelor's</x:v>
      </x:c>
      <x:c r="D1684" t="n">
        <x:v>10</x:v>
      </x:c>
      <x:c r="E1684" t="n">
        <x:v>70272</x:v>
      </x:c>
      <x:c r="F1684" t="str">
        <x:v>2026-06-17</x:v>
      </x:c>
    </x:row>
    <x:row r="1685">
      <x:c r="A1685" t="str">
        <x:v>Farmington Municipal Schools</x:v>
      </x:c>
      <x:c r="B1685" t="str">
        <x:v>NM</x:v>
      </x:c>
      <x:c r="C1685" t="str">
        <x:v>Master's</x:v>
      </x:c>
      <x:c r="D1685" t="n">
        <x:v>0</x:v>
      </x:c>
      <x:c r="E1685" t="n">
        <x:v>58838</x:v>
      </x:c>
      <x:c r="F1685" t="str">
        <x:v>2026-06-17</x:v>
      </x:c>
    </x:row>
    <x:row r="1686">
      <x:c r="A1686" t="str">
        <x:v>Farmington Municipal Schools</x:v>
      </x:c>
      <x:c r="B1686" t="str">
        <x:v>NM</x:v>
      </x:c>
      <x:c r="C1686" t="str">
        <x:v>Master's</x:v>
      </x:c>
      <x:c r="D1686" t="n">
        <x:v>1</x:v>
      </x:c>
      <x:c r="E1686" t="n">
        <x:v>58889</x:v>
      </x:c>
      <x:c r="F1686" t="str">
        <x:v>2026-06-17</x:v>
      </x:c>
    </x:row>
    <x:row r="1687">
      <x:c r="A1687" t="str">
        <x:v>Farmington Municipal Schools</x:v>
      </x:c>
      <x:c r="B1687" t="str">
        <x:v>NM</x:v>
      </x:c>
      <x:c r="C1687" t="str">
        <x:v>Master's</x:v>
      </x:c>
      <x:c r="D1687" t="n">
        <x:v>2</x:v>
      </x:c>
      <x:c r="E1687" t="n">
        <x:v>58942</x:v>
      </x:c>
      <x:c r="F1687" t="str">
        <x:v>2026-06-17</x:v>
      </x:c>
    </x:row>
    <x:row r="1688">
      <x:c r="A1688" t="str">
        <x:v>Farmington Municipal Schools</x:v>
      </x:c>
      <x:c r="B1688" t="str">
        <x:v>NM</x:v>
      </x:c>
      <x:c r="C1688" t="str">
        <x:v>Master's</x:v>
      </x:c>
      <x:c r="D1688" t="n">
        <x:v>3</x:v>
      </x:c>
      <x:c r="E1688" t="n">
        <x:v>58995</x:v>
      </x:c>
      <x:c r="F1688" t="str">
        <x:v>2026-06-17</x:v>
      </x:c>
    </x:row>
    <x:row r="1689">
      <x:c r="A1689" t="str">
        <x:v>Farmington Municipal Schools</x:v>
      </x:c>
      <x:c r="B1689" t="str">
        <x:v>NM</x:v>
      </x:c>
      <x:c r="C1689" t="str">
        <x:v>Master's</x:v>
      </x:c>
      <x:c r="D1689" t="n">
        <x:v>4</x:v>
      </x:c>
      <x:c r="E1689" t="n">
        <x:v>59053</x:v>
      </x:c>
      <x:c r="F1689" t="str">
        <x:v>2026-06-17</x:v>
      </x:c>
    </x:row>
    <x:row r="1690">
      <x:c r="A1690" t="str">
        <x:v>Farmington Municipal Schools</x:v>
      </x:c>
      <x:c r="B1690" t="str">
        <x:v>NM</x:v>
      </x:c>
      <x:c r="C1690" t="str">
        <x:v>Master's</x:v>
      </x:c>
      <x:c r="D1690" t="n">
        <x:v>5</x:v>
      </x:c>
      <x:c r="E1690" t="n">
        <x:v>59110</x:v>
      </x:c>
      <x:c r="F1690" t="str">
        <x:v>2026-06-17</x:v>
      </x:c>
    </x:row>
    <x:row r="1691">
      <x:c r="A1691" t="str">
        <x:v>Farmington Municipal Schools</x:v>
      </x:c>
      <x:c r="B1691" t="str">
        <x:v>NM</x:v>
      </x:c>
      <x:c r="C1691" t="str">
        <x:v>Master's</x:v>
      </x:c>
      <x:c r="D1691" t="n">
        <x:v>6</x:v>
      </x:c>
      <x:c r="E1691" t="n">
        <x:v>71047</x:v>
      </x:c>
      <x:c r="F1691" t="str">
        <x:v>2026-06-17</x:v>
      </x:c>
    </x:row>
    <x:row r="1692">
      <x:c r="A1692" t="str">
        <x:v>Farmington Municipal Schools</x:v>
      </x:c>
      <x:c r="B1692" t="str">
        <x:v>NM</x:v>
      </x:c>
      <x:c r="C1692" t="str">
        <x:v>Master's</x:v>
      </x:c>
      <x:c r="D1692" t="n">
        <x:v>7</x:v>
      </x:c>
      <x:c r="E1692" t="n">
        <x:v>71334</x:v>
      </x:c>
      <x:c r="F1692" t="str">
        <x:v>2026-06-17</x:v>
      </x:c>
    </x:row>
    <x:row r="1693">
      <x:c r="A1693" t="str">
        <x:v>Farmington Municipal Schools</x:v>
      </x:c>
      <x:c r="B1693" t="str">
        <x:v>NM</x:v>
      </x:c>
      <x:c r="C1693" t="str">
        <x:v>Master's</x:v>
      </x:c>
      <x:c r="D1693" t="n">
        <x:v>8</x:v>
      </x:c>
      <x:c r="E1693" t="n">
        <x:v>71621</x:v>
      </x:c>
      <x:c r="F1693" t="str">
        <x:v>2026-06-17</x:v>
      </x:c>
    </x:row>
    <x:row r="1694">
      <x:c r="A1694" t="str">
        <x:v>Farmington Municipal Schools</x:v>
      </x:c>
      <x:c r="B1694" t="str">
        <x:v>NM</x:v>
      </x:c>
      <x:c r="C1694" t="str">
        <x:v>Master's</x:v>
      </x:c>
      <x:c r="D1694" t="n">
        <x:v>9</x:v>
      </x:c>
      <x:c r="E1694" t="n">
        <x:v>71908</x:v>
      </x:c>
      <x:c r="F1694" t="str">
        <x:v>2026-06-17</x:v>
      </x:c>
    </x:row>
    <x:row r="1695">
      <x:c r="A1695" t="str">
        <x:v>Farmington Municipal Schools</x:v>
      </x:c>
      <x:c r="B1695" t="str">
        <x:v>NM</x:v>
      </x:c>
      <x:c r="C1695" t="str">
        <x:v>Master's</x:v>
      </x:c>
      <x:c r="D1695" t="n">
        <x:v>10</x:v>
      </x:c>
      <x:c r="E1695" t="n">
        <x:v>72195</x:v>
      </x:c>
      <x:c r="F1695" t="str">
        <x:v>2026-06-17</x:v>
      </x:c>
    </x:row>
    <x:row r="1696">
      <x:c r="A1696" t="str">
        <x:v>Carlsbad Municipal Schools</x:v>
      </x:c>
      <x:c r="B1696" t="str">
        <x:v>NM</x:v>
      </x:c>
      <x:c r="C1696" t="str">
        <x:v>Bachelor's</x:v>
      </x:c>
      <x:c r="D1696" t="n">
        <x:v>0</x:v>
      </x:c>
      <x:c r="E1696" t="n">
        <x:v>60000</x:v>
      </x:c>
      <x:c r="F1696" t="str">
        <x:v>2026-06-17</x:v>
      </x:c>
    </x:row>
    <x:row r="1697">
      <x:c r="A1697" t="str">
        <x:v>Carlsbad Municipal Schools</x:v>
      </x:c>
      <x:c r="B1697" t="str">
        <x:v>NM</x:v>
      </x:c>
      <x:c r="C1697" t="str">
        <x:v>Bachelor's</x:v>
      </x:c>
      <x:c r="D1697" t="n">
        <x:v>1</x:v>
      </x:c>
      <x:c r="E1697" t="n">
        <x:v>61000</x:v>
      </x:c>
      <x:c r="F1697" t="str">
        <x:v>2026-06-17</x:v>
      </x:c>
    </x:row>
    <x:row r="1698">
      <x:c r="A1698" t="str">
        <x:v>Carlsbad Municipal Schools</x:v>
      </x:c>
      <x:c r="B1698" t="str">
        <x:v>NM</x:v>
      </x:c>
      <x:c r="C1698" t="str">
        <x:v>Bachelor's</x:v>
      </x:c>
      <x:c r="D1698" t="n">
        <x:v>2</x:v>
      </x:c>
      <x:c r="E1698" t="n">
        <x:v>62000</x:v>
      </x:c>
      <x:c r="F1698" t="str">
        <x:v>2026-06-17</x:v>
      </x:c>
    </x:row>
    <x:row r="1699">
      <x:c r="A1699" t="str">
        <x:v>Carlsbad Municipal Schools</x:v>
      </x:c>
      <x:c r="B1699" t="str">
        <x:v>NM</x:v>
      </x:c>
      <x:c r="C1699" t="str">
        <x:v>Bachelor's</x:v>
      </x:c>
      <x:c r="D1699" t="n">
        <x:v>3</x:v>
      </x:c>
      <x:c r="E1699" t="n">
        <x:v>63000</x:v>
      </x:c>
      <x:c r="F1699" t="str">
        <x:v>2026-06-17</x:v>
      </x:c>
    </x:row>
    <x:row r="1700">
      <x:c r="A1700" t="str">
        <x:v>Carlsbad Municipal Schools</x:v>
      </x:c>
      <x:c r="B1700" t="str">
        <x:v>NM</x:v>
      </x:c>
      <x:c r="C1700" t="str">
        <x:v>Bachelor's</x:v>
      </x:c>
      <x:c r="D1700" t="n">
        <x:v>4</x:v>
      </x:c>
      <x:c r="E1700" t="n">
        <x:v>64000</x:v>
      </x:c>
      <x:c r="F1700" t="str">
        <x:v>2026-06-17</x:v>
      </x:c>
    </x:row>
    <x:row r="1701">
      <x:c r="A1701" t="str">
        <x:v>Carlsbad Municipal Schools</x:v>
      </x:c>
      <x:c r="B1701" t="str">
        <x:v>NM</x:v>
      </x:c>
      <x:c r="C1701" t="str">
        <x:v>Bachelor's</x:v>
      </x:c>
      <x:c r="D1701" t="n">
        <x:v>5</x:v>
      </x:c>
      <x:c r="E1701" t="n">
        <x:v>65000</x:v>
      </x:c>
      <x:c r="F1701" t="str">
        <x:v>2026-06-17</x:v>
      </x:c>
    </x:row>
    <x:row r="1702">
      <x:c r="A1702" t="str">
        <x:v>Carlsbad Municipal Schools</x:v>
      </x:c>
      <x:c r="B1702" t="str">
        <x:v>NM</x:v>
      </x:c>
      <x:c r="C1702" t="str">
        <x:v>Bachelor's</x:v>
      </x:c>
      <x:c r="D1702" t="n">
        <x:v>6</x:v>
      </x:c>
      <x:c r="E1702" t="n">
        <x:v>67000</x:v>
      </x:c>
      <x:c r="F1702" t="str">
        <x:v>2026-06-17</x:v>
      </x:c>
    </x:row>
    <x:row r="1703">
      <x:c r="A1703" t="str">
        <x:v>Carlsbad Municipal Schools</x:v>
      </x:c>
      <x:c r="B1703" t="str">
        <x:v>NM</x:v>
      </x:c>
      <x:c r="C1703" t="str">
        <x:v>Bachelor's</x:v>
      </x:c>
      <x:c r="D1703" t="n">
        <x:v>7</x:v>
      </x:c>
      <x:c r="E1703" t="n">
        <x:v>69000</x:v>
      </x:c>
      <x:c r="F1703" t="str">
        <x:v>2026-06-17</x:v>
      </x:c>
    </x:row>
    <x:row r="1704">
      <x:c r="A1704" t="str">
        <x:v>Carlsbad Municipal Schools</x:v>
      </x:c>
      <x:c r="B1704" t="str">
        <x:v>NM</x:v>
      </x:c>
      <x:c r="C1704" t="str">
        <x:v>Bachelor's</x:v>
      </x:c>
      <x:c r="D1704" t="n">
        <x:v>8</x:v>
      </x:c>
      <x:c r="E1704" t="n">
        <x:v>71000</x:v>
      </x:c>
      <x:c r="F1704" t="str">
        <x:v>2026-06-17</x:v>
      </x:c>
    </x:row>
    <x:row r="1705">
      <x:c r="A1705" t="str">
        <x:v>Carlsbad Municipal Schools</x:v>
      </x:c>
      <x:c r="B1705" t="str">
        <x:v>NM</x:v>
      </x:c>
      <x:c r="C1705" t="str">
        <x:v>Bachelor's</x:v>
      </x:c>
      <x:c r="D1705" t="n">
        <x:v>9</x:v>
      </x:c>
      <x:c r="E1705" t="n">
        <x:v>72500</x:v>
      </x:c>
      <x:c r="F1705" t="str">
        <x:v>2026-06-17</x:v>
      </x:c>
    </x:row>
    <x:row r="1706">
      <x:c r="A1706" t="str">
        <x:v>Carlsbad Municipal Schools</x:v>
      </x:c>
      <x:c r="B1706" t="str">
        <x:v>NM</x:v>
      </x:c>
      <x:c r="C1706" t="str">
        <x:v>Bachelor's</x:v>
      </x:c>
      <x:c r="D1706" t="n">
        <x:v>10</x:v>
      </x:c>
      <x:c r="E1706" t="n">
        <x:v>73500</x:v>
      </x:c>
      <x:c r="F1706" t="str">
        <x:v>2026-06-17</x:v>
      </x:c>
    </x:row>
    <x:row r="1707">
      <x:c r="A1707" t="str">
        <x:v>Carlsbad Municipal Schools</x:v>
      </x:c>
      <x:c r="B1707" t="str">
        <x:v>NM</x:v>
      </x:c>
      <x:c r="C1707" t="str">
        <x:v>Master's</x:v>
      </x:c>
      <x:c r="D1707" t="n">
        <x:v>0</x:v>
      </x:c>
      <x:c r="E1707" t="n">
        <x:v>64000</x:v>
      </x:c>
      <x:c r="F1707" t="str">
        <x:v>2026-06-17</x:v>
      </x:c>
    </x:row>
    <x:row r="1708">
      <x:c r="A1708" t="str">
        <x:v>Carlsbad Municipal Schools</x:v>
      </x:c>
      <x:c r="B1708" t="str">
        <x:v>NM</x:v>
      </x:c>
      <x:c r="C1708" t="str">
        <x:v>Master's</x:v>
      </x:c>
      <x:c r="D1708" t="n">
        <x:v>1</x:v>
      </x:c>
      <x:c r="E1708" t="n">
        <x:v>65200</x:v>
      </x:c>
      <x:c r="F1708" t="str">
        <x:v>2026-06-17</x:v>
      </x:c>
    </x:row>
    <x:row r="1709">
      <x:c r="A1709" t="str">
        <x:v>Carlsbad Municipal Schools</x:v>
      </x:c>
      <x:c r="B1709" t="str">
        <x:v>NM</x:v>
      </x:c>
      <x:c r="C1709" t="str">
        <x:v>Master's</x:v>
      </x:c>
      <x:c r="D1709" t="n">
        <x:v>2</x:v>
      </x:c>
      <x:c r="E1709" t="n">
        <x:v>66400</x:v>
      </x:c>
      <x:c r="F1709" t="str">
        <x:v>2026-06-17</x:v>
      </x:c>
    </x:row>
    <x:row r="1710">
      <x:c r="A1710" t="str">
        <x:v>Carlsbad Municipal Schools</x:v>
      </x:c>
      <x:c r="B1710" t="str">
        <x:v>NM</x:v>
      </x:c>
      <x:c r="C1710" t="str">
        <x:v>Master's</x:v>
      </x:c>
      <x:c r="D1710" t="n">
        <x:v>3</x:v>
      </x:c>
      <x:c r="E1710" t="n">
        <x:v>67600</x:v>
      </x:c>
      <x:c r="F1710" t="str">
        <x:v>2026-06-17</x:v>
      </x:c>
    </x:row>
    <x:row r="1711">
      <x:c r="A1711" t="str">
        <x:v>Carlsbad Municipal Schools</x:v>
      </x:c>
      <x:c r="B1711" t="str">
        <x:v>NM</x:v>
      </x:c>
      <x:c r="C1711" t="str">
        <x:v>Master's</x:v>
      </x:c>
      <x:c r="D1711" t="n">
        <x:v>4</x:v>
      </x:c>
      <x:c r="E1711" t="n">
        <x:v>68800</x:v>
      </x:c>
      <x:c r="F1711" t="str">
        <x:v>2026-06-17</x:v>
      </x:c>
    </x:row>
    <x:row r="1712">
      <x:c r="A1712" t="str">
        <x:v>Carlsbad Municipal Schools</x:v>
      </x:c>
      <x:c r="B1712" t="str">
        <x:v>NM</x:v>
      </x:c>
      <x:c r="C1712" t="str">
        <x:v>Master's</x:v>
      </x:c>
      <x:c r="D1712" t="n">
        <x:v>5</x:v>
      </x:c>
      <x:c r="E1712" t="n">
        <x:v>70000</x:v>
      </x:c>
      <x:c r="F1712" t="str">
        <x:v>2026-06-17</x:v>
      </x:c>
    </x:row>
    <x:row r="1713">
      <x:c r="A1713" t="str">
        <x:v>Carlsbad Municipal Schools</x:v>
      </x:c>
      <x:c r="B1713" t="str">
        <x:v>NM</x:v>
      </x:c>
      <x:c r="C1713" t="str">
        <x:v>Master's</x:v>
      </x:c>
      <x:c r="D1713" t="n">
        <x:v>6</x:v>
      </x:c>
      <x:c r="E1713" t="n">
        <x:v>72000</x:v>
      </x:c>
      <x:c r="F1713" t="str">
        <x:v>2026-06-17</x:v>
      </x:c>
    </x:row>
    <x:row r="1714">
      <x:c r="A1714" t="str">
        <x:v>Carlsbad Municipal Schools</x:v>
      </x:c>
      <x:c r="B1714" t="str">
        <x:v>NM</x:v>
      </x:c>
      <x:c r="C1714" t="str">
        <x:v>Master's</x:v>
      </x:c>
      <x:c r="D1714" t="n">
        <x:v>7</x:v>
      </x:c>
      <x:c r="E1714" t="n">
        <x:v>74000</x:v>
      </x:c>
      <x:c r="F1714" t="str">
        <x:v>2026-06-17</x:v>
      </x:c>
    </x:row>
    <x:row r="1715">
      <x:c r="A1715" t="str">
        <x:v>Carlsbad Municipal Schools</x:v>
      </x:c>
      <x:c r="B1715" t="str">
        <x:v>NM</x:v>
      </x:c>
      <x:c r="C1715" t="str">
        <x:v>Master's</x:v>
      </x:c>
      <x:c r="D1715" t="n">
        <x:v>8</x:v>
      </x:c>
      <x:c r="E1715" t="n">
        <x:v>76000</x:v>
      </x:c>
      <x:c r="F1715" t="str">
        <x:v>2026-06-17</x:v>
      </x:c>
    </x:row>
    <x:row r="1716">
      <x:c r="A1716" t="str">
        <x:v>Carlsbad Municipal Schools</x:v>
      </x:c>
      <x:c r="B1716" t="str">
        <x:v>NM</x:v>
      </x:c>
      <x:c r="C1716" t="str">
        <x:v>Master's</x:v>
      </x:c>
      <x:c r="D1716" t="n">
        <x:v>9</x:v>
      </x:c>
      <x:c r="E1716" t="n">
        <x:v>77500</x:v>
      </x:c>
      <x:c r="F1716" t="str">
        <x:v>2026-06-17</x:v>
      </x:c>
    </x:row>
    <x:row r="1717">
      <x:c r="A1717" t="str">
        <x:v>Carlsbad Municipal Schools</x:v>
      </x:c>
      <x:c r="B1717" t="str">
        <x:v>NM</x:v>
      </x:c>
      <x:c r="C1717" t="str">
        <x:v>Master's</x:v>
      </x:c>
      <x:c r="D1717" t="n">
        <x:v>10</x:v>
      </x:c>
      <x:c r="E1717" t="n">
        <x:v>79000</x:v>
      </x:c>
      <x:c r="F1717" t="str">
        <x:v>2026-06-17</x:v>
      </x:c>
    </x:row>
    <x:row r="1718">
      <x:c r="A1718" t="str">
        <x:v>Chaffey Joint Union High School District</x:v>
      </x:c>
      <x:c r="B1718" t="str">
        <x:v>CA</x:v>
      </x:c>
      <x:c r="C1718" t="str">
        <x:v>Bachelor's</x:v>
      </x:c>
      <x:c r="D1718" t="n">
        <x:v>0</x:v>
      </x:c>
      <x:c r="E1718" t="n">
        <x:v>66385</x:v>
      </x:c>
      <x:c r="F1718" t="str">
        <x:v>2026-06-17</x:v>
      </x:c>
    </x:row>
    <x:row r="1719">
      <x:c r="A1719" t="str">
        <x:v>Chaffey Joint Union High School District</x:v>
      </x:c>
      <x:c r="B1719" t="str">
        <x:v>CA</x:v>
      </x:c>
      <x:c r="C1719" t="str">
        <x:v>Bachelor's</x:v>
      </x:c>
      <x:c r="D1719" t="n">
        <x:v>1</x:v>
      </x:c>
      <x:c r="E1719" t="n">
        <x:v>70368</x:v>
      </x:c>
      <x:c r="F1719" t="str">
        <x:v>2026-06-17</x:v>
      </x:c>
    </x:row>
    <x:row r="1720">
      <x:c r="A1720" t="str">
        <x:v>Chaffey Joint Union High School District</x:v>
      </x:c>
      <x:c r="B1720" t="str">
        <x:v>CA</x:v>
      </x:c>
      <x:c r="C1720" t="str">
        <x:v>Bachelor's</x:v>
      </x:c>
      <x:c r="D1720" t="n">
        <x:v>2</x:v>
      </x:c>
      <x:c r="E1720" t="n">
        <x:v>74351</x:v>
      </x:c>
      <x:c r="F1720" t="str">
        <x:v>2026-06-17</x:v>
      </x:c>
    </x:row>
    <x:row r="1721">
      <x:c r="A1721" t="str">
        <x:v>Chaffey Joint Union High School District</x:v>
      </x:c>
      <x:c r="B1721" t="str">
        <x:v>CA</x:v>
      </x:c>
      <x:c r="C1721" t="str">
        <x:v>Bachelor's</x:v>
      </x:c>
      <x:c r="D1721" t="n">
        <x:v>3</x:v>
      </x:c>
      <x:c r="E1721" t="n">
        <x:v>78334</x:v>
      </x:c>
      <x:c r="F1721" t="str">
        <x:v>2026-06-17</x:v>
      </x:c>
    </x:row>
    <x:row r="1722">
      <x:c r="A1722" t="str">
        <x:v>Chaffey Joint Union High School District</x:v>
      </x:c>
      <x:c r="B1722" t="str">
        <x:v>CA</x:v>
      </x:c>
      <x:c r="C1722" t="str">
        <x:v>Bachelor's</x:v>
      </x:c>
      <x:c r="D1722" t="n">
        <x:v>4</x:v>
      </x:c>
      <x:c r="E1722" t="n">
        <x:v>82317</x:v>
      </x:c>
      <x:c r="F1722" t="str">
        <x:v>2026-06-17</x:v>
      </x:c>
    </x:row>
    <x:row r="1723">
      <x:c r="A1723" t="str">
        <x:v>Chaffey Joint Union High School District</x:v>
      </x:c>
      <x:c r="B1723" t="str">
        <x:v>CA</x:v>
      </x:c>
      <x:c r="C1723" t="str">
        <x:v>Bachelor's</x:v>
      </x:c>
      <x:c r="D1723" t="n">
        <x:v>5</x:v>
      </x:c>
      <x:c r="E1723" t="n">
        <x:v>86301</x:v>
      </x:c>
      <x:c r="F1723" t="str">
        <x:v>2026-06-17</x:v>
      </x:c>
    </x:row>
    <x:row r="1724">
      <x:c r="A1724" t="str">
        <x:v>Chaffey Joint Union High School District</x:v>
      </x:c>
      <x:c r="B1724" t="str">
        <x:v>CA</x:v>
      </x:c>
      <x:c r="C1724" t="str">
        <x:v>Bachelor's</x:v>
      </x:c>
      <x:c r="D1724" t="n">
        <x:v>6</x:v>
      </x:c>
      <x:c r="E1724" t="n">
        <x:v>90284</x:v>
      </x:c>
      <x:c r="F1724" t="str">
        <x:v>2026-06-17</x:v>
      </x:c>
    </x:row>
    <x:row r="1725">
      <x:c r="A1725" t="str">
        <x:v>Chaffey Joint Union High School District</x:v>
      </x:c>
      <x:c r="B1725" t="str">
        <x:v>CA</x:v>
      </x:c>
      <x:c r="C1725" t="str">
        <x:v>Bachelor's</x:v>
      </x:c>
      <x:c r="D1725" t="n">
        <x:v>7</x:v>
      </x:c>
      <x:c r="E1725" t="n">
        <x:v>94267</x:v>
      </x:c>
      <x:c r="F1725" t="str">
        <x:v>2026-06-17</x:v>
      </x:c>
    </x:row>
    <x:row r="1726">
      <x:c r="A1726" t="str">
        <x:v>Chaffey Joint Union High School District</x:v>
      </x:c>
      <x:c r="B1726" t="str">
        <x:v>CA</x:v>
      </x:c>
      <x:c r="C1726" t="str">
        <x:v>Bachelor's</x:v>
      </x:c>
      <x:c r="D1726" t="n">
        <x:v>8</x:v>
      </x:c>
      <x:c r="E1726" t="n">
        <x:v>98250</x:v>
      </x:c>
      <x:c r="F1726" t="str">
        <x:v>2026-06-17</x:v>
      </x:c>
    </x:row>
    <x:row r="1727">
      <x:c r="A1727" t="str">
        <x:v>Chaffey Joint Union High School District</x:v>
      </x:c>
      <x:c r="B1727" t="str">
        <x:v>CA</x:v>
      </x:c>
      <x:c r="C1727" t="str">
        <x:v>Bachelor's</x:v>
      </x:c>
      <x:c r="D1727" t="n">
        <x:v>9</x:v>
      </x:c>
      <x:c r="E1727" t="n">
        <x:v>102233</x:v>
      </x:c>
      <x:c r="F1727" t="str">
        <x:v>2026-06-17</x:v>
      </x:c>
    </x:row>
    <x:row r="1728">
      <x:c r="A1728" t="str">
        <x:v>Chaffey Joint Union High School District</x:v>
      </x:c>
      <x:c r="B1728" t="str">
        <x:v>CA</x:v>
      </x:c>
      <x:c r="C1728" t="str">
        <x:v>Bachelor's</x:v>
      </x:c>
      <x:c r="D1728" t="n">
        <x:v>10</x:v>
      </x:c>
      <x:c r="E1728" t="n">
        <x:v>106216</x:v>
      </x:c>
      <x:c r="F1728" t="str">
        <x:v>2026-06-17</x:v>
      </x:c>
    </x:row>
    <x:row r="1729">
      <x:c r="A1729" t="str">
        <x:v>Chaffey Joint Union High School District</x:v>
      </x:c>
      <x:c r="B1729" t="str">
        <x:v>CA</x:v>
      </x:c>
      <x:c r="C1729" t="str">
        <x:v>Master's</x:v>
      </x:c>
      <x:c r="D1729" t="n">
        <x:v>0</x:v>
      </x:c>
      <x:c r="E1729" t="n">
        <x:v>80326</x:v>
      </x:c>
      <x:c r="F1729" t="str">
        <x:v>2026-06-17</x:v>
      </x:c>
    </x:row>
    <x:row r="1730">
      <x:c r="A1730" t="str">
        <x:v>Chaffey Joint Union High School District</x:v>
      </x:c>
      <x:c r="B1730" t="str">
        <x:v>CA</x:v>
      </x:c>
      <x:c r="C1730" t="str">
        <x:v>Master's</x:v>
      </x:c>
      <x:c r="D1730" t="n">
        <x:v>1</x:v>
      </x:c>
      <x:c r="E1730" t="n">
        <x:v>84309</x:v>
      </x:c>
      <x:c r="F1730" t="str">
        <x:v>2026-06-17</x:v>
      </x:c>
    </x:row>
    <x:row r="1731">
      <x:c r="A1731" t="str">
        <x:v>Chaffey Joint Union High School District</x:v>
      </x:c>
      <x:c r="B1731" t="str">
        <x:v>CA</x:v>
      </x:c>
      <x:c r="C1731" t="str">
        <x:v>Master's</x:v>
      </x:c>
      <x:c r="D1731" t="n">
        <x:v>2</x:v>
      </x:c>
      <x:c r="E1731" t="n">
        <x:v>88292</x:v>
      </x:c>
      <x:c r="F1731" t="str">
        <x:v>2026-06-17</x:v>
      </x:c>
    </x:row>
    <x:row r="1732">
      <x:c r="A1732" t="str">
        <x:v>Chaffey Joint Union High School District</x:v>
      </x:c>
      <x:c r="B1732" t="str">
        <x:v>CA</x:v>
      </x:c>
      <x:c r="C1732" t="str">
        <x:v>Master's</x:v>
      </x:c>
      <x:c r="D1732" t="n">
        <x:v>3</x:v>
      </x:c>
      <x:c r="E1732" t="n">
        <x:v>92275</x:v>
      </x:c>
      <x:c r="F1732" t="str">
        <x:v>2026-06-17</x:v>
      </x:c>
    </x:row>
    <x:row r="1733">
      <x:c r="A1733" t="str">
        <x:v>Chaffey Joint Union High School District</x:v>
      </x:c>
      <x:c r="B1733" t="str">
        <x:v>CA</x:v>
      </x:c>
      <x:c r="C1733" t="str">
        <x:v>Master's</x:v>
      </x:c>
      <x:c r="D1733" t="n">
        <x:v>4</x:v>
      </x:c>
      <x:c r="E1733" t="n">
        <x:v>96258</x:v>
      </x:c>
      <x:c r="F1733" t="str">
        <x:v>2026-06-17</x:v>
      </x:c>
    </x:row>
    <x:row r="1734">
      <x:c r="A1734" t="str">
        <x:v>Chaffey Joint Union High School District</x:v>
      </x:c>
      <x:c r="B1734" t="str">
        <x:v>CA</x:v>
      </x:c>
      <x:c r="C1734" t="str">
        <x:v>Master's</x:v>
      </x:c>
      <x:c r="D1734" t="n">
        <x:v>5</x:v>
      </x:c>
      <x:c r="E1734" t="n">
        <x:v>100241</x:v>
      </x:c>
      <x:c r="F1734" t="str">
        <x:v>2026-06-17</x:v>
      </x:c>
    </x:row>
    <x:row r="1735">
      <x:c r="A1735" t="str">
        <x:v>Chaffey Joint Union High School District</x:v>
      </x:c>
      <x:c r="B1735" t="str">
        <x:v>CA</x:v>
      </x:c>
      <x:c r="C1735" t="str">
        <x:v>Master's</x:v>
      </x:c>
      <x:c r="D1735" t="n">
        <x:v>6</x:v>
      </x:c>
      <x:c r="E1735" t="n">
        <x:v>104224</x:v>
      </x:c>
      <x:c r="F1735" t="str">
        <x:v>2026-06-17</x:v>
      </x:c>
    </x:row>
    <x:row r="1736">
      <x:c r="A1736" t="str">
        <x:v>Chaffey Joint Union High School District</x:v>
      </x:c>
      <x:c r="B1736" t="str">
        <x:v>CA</x:v>
      </x:c>
      <x:c r="C1736" t="str">
        <x:v>Master's</x:v>
      </x:c>
      <x:c r="D1736" t="n">
        <x:v>7</x:v>
      </x:c>
      <x:c r="E1736" t="n">
        <x:v>108208</x:v>
      </x:c>
      <x:c r="F1736" t="str">
        <x:v>2026-06-17</x:v>
      </x:c>
    </x:row>
    <x:row r="1737">
      <x:c r="A1737" t="str">
        <x:v>Chaffey Joint Union High School District</x:v>
      </x:c>
      <x:c r="B1737" t="str">
        <x:v>CA</x:v>
      </x:c>
      <x:c r="C1737" t="str">
        <x:v>Master's</x:v>
      </x:c>
      <x:c r="D1737" t="n">
        <x:v>8</x:v>
      </x:c>
      <x:c r="E1737" t="n">
        <x:v>112191</x:v>
      </x:c>
      <x:c r="F1737" t="str">
        <x:v>2026-06-17</x:v>
      </x:c>
    </x:row>
    <x:row r="1738">
      <x:c r="A1738" t="str">
        <x:v>Chaffey Joint Union High School District</x:v>
      </x:c>
      <x:c r="B1738" t="str">
        <x:v>CA</x:v>
      </x:c>
      <x:c r="C1738" t="str">
        <x:v>Master's</x:v>
      </x:c>
      <x:c r="D1738" t="n">
        <x:v>9</x:v>
      </x:c>
      <x:c r="E1738" t="n">
        <x:v>116174</x:v>
      </x:c>
      <x:c r="F1738" t="str">
        <x:v>2026-06-17</x:v>
      </x:c>
    </x:row>
    <x:row r="1739">
      <x:c r="A1739" t="str">
        <x:v>Chaffey Joint Union High School District</x:v>
      </x:c>
      <x:c r="B1739" t="str">
        <x:v>CA</x:v>
      </x:c>
      <x:c r="C1739" t="str">
        <x:v>Master's</x:v>
      </x:c>
      <x:c r="D1739" t="n">
        <x:v>10</x:v>
      </x:c>
      <x:c r="E1739" t="n">
        <x:v>120157</x:v>
      </x:c>
      <x:c r="F1739" t="str">
        <x:v>2026-06-17</x:v>
      </x:c>
    </x:row>
    <x:row r="1740">
      <x:c r="A1740" t="str">
        <x:v>Antelope Valley Union High School District</x:v>
      </x:c>
      <x:c r="B1740" t="str">
        <x:v>CA</x:v>
      </x:c>
      <x:c r="C1740" t="str">
        <x:v>Bachelor's</x:v>
      </x:c>
      <x:c r="D1740" t="n">
        <x:v>0</x:v>
      </x:c>
      <x:c r="E1740" t="n">
        <x:v>64000</x:v>
      </x:c>
      <x:c r="F1740" t="str">
        <x:v>2026-06-17</x:v>
      </x:c>
    </x:row>
    <x:row r="1741">
      <x:c r="A1741" t="str">
        <x:v>Antelope Valley Union High School District</x:v>
      </x:c>
      <x:c r="B1741" t="str">
        <x:v>CA</x:v>
      </x:c>
      <x:c r="C1741" t="str">
        <x:v>Bachelor's</x:v>
      </x:c>
      <x:c r="D1741" t="n">
        <x:v>1</x:v>
      </x:c>
      <x:c r="E1741" t="n">
        <x:v>67500</x:v>
      </x:c>
      <x:c r="F1741" t="str">
        <x:v>2026-06-17</x:v>
      </x:c>
    </x:row>
    <x:row r="1742">
      <x:c r="A1742" t="str">
        <x:v>Antelope Valley Union High School District</x:v>
      </x:c>
      <x:c r="B1742" t="str">
        <x:v>CA</x:v>
      </x:c>
      <x:c r="C1742" t="str">
        <x:v>Bachelor's</x:v>
      </x:c>
      <x:c r="D1742" t="n">
        <x:v>2</x:v>
      </x:c>
      <x:c r="E1742" t="n">
        <x:v>71000</x:v>
      </x:c>
      <x:c r="F1742" t="str">
        <x:v>2026-06-17</x:v>
      </x:c>
    </x:row>
    <x:row r="1743">
      <x:c r="A1743" t="str">
        <x:v>Antelope Valley Union High School District</x:v>
      </x:c>
      <x:c r="B1743" t="str">
        <x:v>CA</x:v>
      </x:c>
      <x:c r="C1743" t="str">
        <x:v>Bachelor's</x:v>
      </x:c>
      <x:c r="D1743" t="n">
        <x:v>3</x:v>
      </x:c>
      <x:c r="E1743" t="n">
        <x:v>74500</x:v>
      </x:c>
      <x:c r="F1743" t="str">
        <x:v>2026-06-17</x:v>
      </x:c>
    </x:row>
    <x:row r="1744">
      <x:c r="A1744" t="str">
        <x:v>Antelope Valley Union High School District</x:v>
      </x:c>
      <x:c r="B1744" t="str">
        <x:v>CA</x:v>
      </x:c>
      <x:c r="C1744" t="str">
        <x:v>Bachelor's</x:v>
      </x:c>
      <x:c r="D1744" t="n">
        <x:v>4</x:v>
      </x:c>
      <x:c r="E1744" t="n">
        <x:v>76000</x:v>
      </x:c>
      <x:c r="F1744" t="str">
        <x:v>2026-06-17</x:v>
      </x:c>
    </x:row>
    <x:row r="1745">
      <x:c r="A1745" t="str">
        <x:v>Antelope Valley Union High School District</x:v>
      </x:c>
      <x:c r="B1745" t="str">
        <x:v>CA</x:v>
      </x:c>
      <x:c r="C1745" t="str">
        <x:v>Bachelor's</x:v>
      </x:c>
      <x:c r="D1745" t="n">
        <x:v>5</x:v>
      </x:c>
      <x:c r="E1745" t="n">
        <x:v>80000</x:v>
      </x:c>
      <x:c r="F1745" t="str">
        <x:v>2026-06-17</x:v>
      </x:c>
    </x:row>
    <x:row r="1746">
      <x:c r="A1746" t="str">
        <x:v>Antelope Valley Union High School District</x:v>
      </x:c>
      <x:c r="B1746" t="str">
        <x:v>CA</x:v>
      </x:c>
      <x:c r="C1746" t="str">
        <x:v>Bachelor's</x:v>
      </x:c>
      <x:c r="D1746" t="n">
        <x:v>6</x:v>
      </x:c>
      <x:c r="E1746" t="n">
        <x:v>84000</x:v>
      </x:c>
      <x:c r="F1746" t="str">
        <x:v>2026-06-17</x:v>
      </x:c>
    </x:row>
    <x:row r="1747">
      <x:c r="A1747" t="str">
        <x:v>Antelope Valley Union High School District</x:v>
      </x:c>
      <x:c r="B1747" t="str">
        <x:v>CA</x:v>
      </x:c>
      <x:c r="C1747" t="str">
        <x:v>Bachelor's</x:v>
      </x:c>
      <x:c r="D1747" t="n">
        <x:v>7</x:v>
      </x:c>
      <x:c r="E1747" t="n">
        <x:v>88000</x:v>
      </x:c>
      <x:c r="F1747" t="str">
        <x:v>2026-06-17</x:v>
      </x:c>
    </x:row>
    <x:row r="1748">
      <x:c r="A1748" t="str">
        <x:v>Antelope Valley Union High School District</x:v>
      </x:c>
      <x:c r="B1748" t="str">
        <x:v>CA</x:v>
      </x:c>
      <x:c r="C1748" t="str">
        <x:v>Bachelor's</x:v>
      </x:c>
      <x:c r="D1748" t="n">
        <x:v>8</x:v>
      </x:c>
      <x:c r="E1748" t="n">
        <x:v>91000</x:v>
      </x:c>
      <x:c r="F1748" t="str">
        <x:v>2026-06-17</x:v>
      </x:c>
    </x:row>
    <x:row r="1749">
      <x:c r="A1749" t="str">
        <x:v>Antelope Valley Union High School District</x:v>
      </x:c>
      <x:c r="B1749" t="str">
        <x:v>CA</x:v>
      </x:c>
      <x:c r="C1749" t="str">
        <x:v>Bachelor's</x:v>
      </x:c>
      <x:c r="D1749" t="n">
        <x:v>9</x:v>
      </x:c>
      <x:c r="E1749" t="n">
        <x:v>93000</x:v>
      </x:c>
      <x:c r="F1749" t="str">
        <x:v>2026-06-17</x:v>
      </x:c>
    </x:row>
    <x:row r="1750">
      <x:c r="A1750" t="str">
        <x:v>Antelope Valley Union High School District</x:v>
      </x:c>
      <x:c r="B1750" t="str">
        <x:v>CA</x:v>
      </x:c>
      <x:c r="C1750" t="str">
        <x:v>Bachelor's</x:v>
      </x:c>
      <x:c r="D1750" t="n">
        <x:v>10</x:v>
      </x:c>
      <x:c r="E1750" t="n">
        <x:v>94000</x:v>
      </x:c>
      <x:c r="F1750" t="str">
        <x:v>2026-06-17</x:v>
      </x:c>
    </x:row>
    <x:row r="1751">
      <x:c r="A1751" t="str">
        <x:v>Antelope Valley Union High School District</x:v>
      </x:c>
      <x:c r="B1751" t="str">
        <x:v>CA</x:v>
      </x:c>
      <x:c r="C1751" t="str">
        <x:v>Master's</x:v>
      </x:c>
      <x:c r="D1751" t="n">
        <x:v>0</x:v>
      </x:c>
      <x:c r="E1751" t="n">
        <x:v>70000</x:v>
      </x:c>
      <x:c r="F1751" t="str">
        <x:v>2026-06-17</x:v>
      </x:c>
    </x:row>
    <x:row r="1752">
      <x:c r="A1752" t="str">
        <x:v>Antelope Valley Union High School District</x:v>
      </x:c>
      <x:c r="B1752" t="str">
        <x:v>CA</x:v>
      </x:c>
      <x:c r="C1752" t="str">
        <x:v>Master's</x:v>
      </x:c>
      <x:c r="D1752" t="n">
        <x:v>1</x:v>
      </x:c>
      <x:c r="E1752" t="n">
        <x:v>73500</x:v>
      </x:c>
      <x:c r="F1752" t="str">
        <x:v>2026-06-17</x:v>
      </x:c>
    </x:row>
    <x:row r="1753">
      <x:c r="A1753" t="str">
        <x:v>Antelope Valley Union High School District</x:v>
      </x:c>
      <x:c r="B1753" t="str">
        <x:v>CA</x:v>
      </x:c>
      <x:c r="C1753" t="str">
        <x:v>Master's</x:v>
      </x:c>
      <x:c r="D1753" t="n">
        <x:v>2</x:v>
      </x:c>
      <x:c r="E1753" t="n">
        <x:v>77500</x:v>
      </x:c>
      <x:c r="F1753" t="str">
        <x:v>2026-06-17</x:v>
      </x:c>
    </x:row>
    <x:row r="1754">
      <x:c r="A1754" t="str">
        <x:v>Antelope Valley Union High School District</x:v>
      </x:c>
      <x:c r="B1754" t="str">
        <x:v>CA</x:v>
      </x:c>
      <x:c r="C1754" t="str">
        <x:v>Master's</x:v>
      </x:c>
      <x:c r="D1754" t="n">
        <x:v>3</x:v>
      </x:c>
      <x:c r="E1754" t="n">
        <x:v>81500</x:v>
      </x:c>
      <x:c r="F1754" t="str">
        <x:v>2026-06-17</x:v>
      </x:c>
    </x:row>
    <x:row r="1755">
      <x:c r="A1755" t="str">
        <x:v>Antelope Valley Union High School District</x:v>
      </x:c>
      <x:c r="B1755" t="str">
        <x:v>CA</x:v>
      </x:c>
      <x:c r="C1755" t="str">
        <x:v>Master's</x:v>
      </x:c>
      <x:c r="D1755" t="n">
        <x:v>4</x:v>
      </x:c>
      <x:c r="E1755" t="n">
        <x:v>85000</x:v>
      </x:c>
      <x:c r="F1755" t="str">
        <x:v>2026-06-17</x:v>
      </x:c>
    </x:row>
    <x:row r="1756">
      <x:c r="A1756" t="str">
        <x:v>Antelope Valley Union High School District</x:v>
      </x:c>
      <x:c r="B1756" t="str">
        <x:v>CA</x:v>
      </x:c>
      <x:c r="C1756" t="str">
        <x:v>Master's</x:v>
      </x:c>
      <x:c r="D1756" t="n">
        <x:v>5</x:v>
      </x:c>
      <x:c r="E1756" t="n">
        <x:v>89000</x:v>
      </x:c>
      <x:c r="F1756" t="str">
        <x:v>2026-06-17</x:v>
      </x:c>
    </x:row>
    <x:row r="1757">
      <x:c r="A1757" t="str">
        <x:v>Antelope Valley Union High School District</x:v>
      </x:c>
      <x:c r="B1757" t="str">
        <x:v>CA</x:v>
      </x:c>
      <x:c r="C1757" t="str">
        <x:v>Master's</x:v>
      </x:c>
      <x:c r="D1757" t="n">
        <x:v>6</x:v>
      </x:c>
      <x:c r="E1757" t="n">
        <x:v>93000</x:v>
      </x:c>
      <x:c r="F1757" t="str">
        <x:v>2026-06-17</x:v>
      </x:c>
    </x:row>
    <x:row r="1758">
      <x:c r="A1758" t="str">
        <x:v>Antelope Valley Union High School District</x:v>
      </x:c>
      <x:c r="B1758" t="str">
        <x:v>CA</x:v>
      </x:c>
      <x:c r="C1758" t="str">
        <x:v>Master's</x:v>
      </x:c>
      <x:c r="D1758" t="n">
        <x:v>7</x:v>
      </x:c>
      <x:c r="E1758" t="n">
        <x:v>97000</x:v>
      </x:c>
      <x:c r="F1758" t="str">
        <x:v>2026-06-17</x:v>
      </x:c>
    </x:row>
    <x:row r="1759">
      <x:c r="A1759" t="str">
        <x:v>Antelope Valley Union High School District</x:v>
      </x:c>
      <x:c r="B1759" t="str">
        <x:v>CA</x:v>
      </x:c>
      <x:c r="C1759" t="str">
        <x:v>Master's</x:v>
      </x:c>
      <x:c r="D1759" t="n">
        <x:v>8</x:v>
      </x:c>
      <x:c r="E1759" t="n">
        <x:v>100000</x:v>
      </x:c>
      <x:c r="F1759" t="str">
        <x:v>2026-06-17</x:v>
      </x:c>
    </x:row>
    <x:row r="1760">
      <x:c r="A1760" t="str">
        <x:v>Antelope Valley Union High School District</x:v>
      </x:c>
      <x:c r="B1760" t="str">
        <x:v>CA</x:v>
      </x:c>
      <x:c r="C1760" t="str">
        <x:v>Master's</x:v>
      </x:c>
      <x:c r="D1760" t="n">
        <x:v>9</x:v>
      </x:c>
      <x:c r="E1760" t="n">
        <x:v>103000</x:v>
      </x:c>
      <x:c r="F1760" t="str">
        <x:v>2026-06-17</x:v>
      </x:c>
    </x:row>
    <x:row r="1761">
      <x:c r="A1761" t="str">
        <x:v>Antelope Valley Union High School District</x:v>
      </x:c>
      <x:c r="B1761" t="str">
        <x:v>CA</x:v>
      </x:c>
      <x:c r="C1761" t="str">
        <x:v>Master's</x:v>
      </x:c>
      <x:c r="D1761" t="n">
        <x:v>10</x:v>
      </x:c>
      <x:c r="E1761" t="n">
        <x:v>105000</x:v>
      </x:c>
      <x:c r="F1761" t="str">
        <x:v>2026-06-17</x:v>
      </x:c>
    </x:row>
    <x:row r="1762">
      <x:c r="A1762" t="str">
        <x:v>Grossmont Union High School District</x:v>
      </x:c>
      <x:c r="B1762" t="str">
        <x:v>CA</x:v>
      </x:c>
      <x:c r="C1762" t="str">
        <x:v>Bachelor's</x:v>
      </x:c>
      <x:c r="D1762" t="n">
        <x:v>0</x:v>
      </x:c>
      <x:c r="E1762" t="n">
        <x:v>66000</x:v>
      </x:c>
      <x:c r="F1762" t="str">
        <x:v>2026-06-17</x:v>
      </x:c>
    </x:row>
    <x:row r="1763">
      <x:c r="A1763" t="str">
        <x:v>Grossmont Union High School District</x:v>
      </x:c>
      <x:c r="B1763" t="str">
        <x:v>CA</x:v>
      </x:c>
      <x:c r="C1763" t="str">
        <x:v>Bachelor's</x:v>
      </x:c>
      <x:c r="D1763" t="n">
        <x:v>1</x:v>
      </x:c>
      <x:c r="E1763" t="n">
        <x:v>70000</x:v>
      </x:c>
      <x:c r="F1763" t="str">
        <x:v>2026-06-17</x:v>
      </x:c>
    </x:row>
    <x:row r="1764">
      <x:c r="A1764" t="str">
        <x:v>Grossmont Union High School District</x:v>
      </x:c>
      <x:c r="B1764" t="str">
        <x:v>CA</x:v>
      </x:c>
      <x:c r="C1764" t="str">
        <x:v>Bachelor's</x:v>
      </x:c>
      <x:c r="D1764" t="n">
        <x:v>2</x:v>
      </x:c>
      <x:c r="E1764" t="n">
        <x:v>74000</x:v>
      </x:c>
      <x:c r="F1764" t="str">
        <x:v>2026-06-17</x:v>
      </x:c>
    </x:row>
    <x:row r="1765">
      <x:c r="A1765" t="str">
        <x:v>Grossmont Union High School District</x:v>
      </x:c>
      <x:c r="B1765" t="str">
        <x:v>CA</x:v>
      </x:c>
      <x:c r="C1765" t="str">
        <x:v>Bachelor's</x:v>
      </x:c>
      <x:c r="D1765" t="n">
        <x:v>3</x:v>
      </x:c>
      <x:c r="E1765" t="n">
        <x:v>78000</x:v>
      </x:c>
      <x:c r="F1765" t="str">
        <x:v>2026-06-17</x:v>
      </x:c>
    </x:row>
    <x:row r="1766">
      <x:c r="A1766" t="str">
        <x:v>Grossmont Union High School District</x:v>
      </x:c>
      <x:c r="B1766" t="str">
        <x:v>CA</x:v>
      </x:c>
      <x:c r="C1766" t="str">
        <x:v>Bachelor's</x:v>
      </x:c>
      <x:c r="D1766" t="n">
        <x:v>4</x:v>
      </x:c>
      <x:c r="E1766" t="n">
        <x:v>80000</x:v>
      </x:c>
      <x:c r="F1766" t="str">
        <x:v>2026-06-17</x:v>
      </x:c>
    </x:row>
    <x:row r="1767">
      <x:c r="A1767" t="str">
        <x:v>Grossmont Union High School District</x:v>
      </x:c>
      <x:c r="B1767" t="str">
        <x:v>CA</x:v>
      </x:c>
      <x:c r="C1767" t="str">
        <x:v>Bachelor's</x:v>
      </x:c>
      <x:c r="D1767" t="n">
        <x:v>5</x:v>
      </x:c>
      <x:c r="E1767" t="n">
        <x:v>84000</x:v>
      </x:c>
      <x:c r="F1767" t="str">
        <x:v>2026-06-17</x:v>
      </x:c>
    </x:row>
    <x:row r="1768">
      <x:c r="A1768" t="str">
        <x:v>Grossmont Union High School District</x:v>
      </x:c>
      <x:c r="B1768" t="str">
        <x:v>CA</x:v>
      </x:c>
      <x:c r="C1768" t="str">
        <x:v>Bachelor's</x:v>
      </x:c>
      <x:c r="D1768" t="n">
        <x:v>6</x:v>
      </x:c>
      <x:c r="E1768" t="n">
        <x:v>88000</x:v>
      </x:c>
      <x:c r="F1768" t="str">
        <x:v>2026-06-17</x:v>
      </x:c>
    </x:row>
    <x:row r="1769">
      <x:c r="A1769" t="str">
        <x:v>Grossmont Union High School District</x:v>
      </x:c>
      <x:c r="B1769" t="str">
        <x:v>CA</x:v>
      </x:c>
      <x:c r="C1769" t="str">
        <x:v>Bachelor's</x:v>
      </x:c>
      <x:c r="D1769" t="n">
        <x:v>7</x:v>
      </x:c>
      <x:c r="E1769" t="n">
        <x:v>92000</x:v>
      </x:c>
      <x:c r="F1769" t="str">
        <x:v>2026-06-17</x:v>
      </x:c>
    </x:row>
    <x:row r="1770">
      <x:c r="A1770" t="str">
        <x:v>Grossmont Union High School District</x:v>
      </x:c>
      <x:c r="B1770" t="str">
        <x:v>CA</x:v>
      </x:c>
      <x:c r="C1770" t="str">
        <x:v>Bachelor's</x:v>
      </x:c>
      <x:c r="D1770" t="n">
        <x:v>8</x:v>
      </x:c>
      <x:c r="E1770" t="n">
        <x:v>95000</x:v>
      </x:c>
      <x:c r="F1770" t="str">
        <x:v>2026-06-17</x:v>
      </x:c>
    </x:row>
    <x:row r="1771">
      <x:c r="A1771" t="str">
        <x:v>Grossmont Union High School District</x:v>
      </x:c>
      <x:c r="B1771" t="str">
        <x:v>CA</x:v>
      </x:c>
      <x:c r="C1771" t="str">
        <x:v>Bachelor's</x:v>
      </x:c>
      <x:c r="D1771" t="n">
        <x:v>9</x:v>
      </x:c>
      <x:c r="E1771" t="n">
        <x:v>97000</x:v>
      </x:c>
      <x:c r="F1771" t="str">
        <x:v>2026-06-17</x:v>
      </x:c>
    </x:row>
    <x:row r="1772">
      <x:c r="A1772" t="str">
        <x:v>Grossmont Union High School District</x:v>
      </x:c>
      <x:c r="B1772" t="str">
        <x:v>CA</x:v>
      </x:c>
      <x:c r="C1772" t="str">
        <x:v>Bachelor's</x:v>
      </x:c>
      <x:c r="D1772" t="n">
        <x:v>10</x:v>
      </x:c>
      <x:c r="E1772" t="n">
        <x:v>98000</x:v>
      </x:c>
      <x:c r="F1772" t="str">
        <x:v>2026-06-17</x:v>
      </x:c>
    </x:row>
    <x:row r="1773">
      <x:c r="A1773" t="str">
        <x:v>Grossmont Union High School District</x:v>
      </x:c>
      <x:c r="B1773" t="str">
        <x:v>CA</x:v>
      </x:c>
      <x:c r="C1773" t="str">
        <x:v>Master's</x:v>
      </x:c>
      <x:c r="D1773" t="n">
        <x:v>0</x:v>
      </x:c>
      <x:c r="E1773" t="n">
        <x:v>76000</x:v>
      </x:c>
      <x:c r="F1773" t="str">
        <x:v>2026-06-17</x:v>
      </x:c>
    </x:row>
    <x:row r="1774">
      <x:c r="A1774" t="str">
        <x:v>Grossmont Union High School District</x:v>
      </x:c>
      <x:c r="B1774" t="str">
        <x:v>CA</x:v>
      </x:c>
      <x:c r="C1774" t="str">
        <x:v>Master's</x:v>
      </x:c>
      <x:c r="D1774" t="n">
        <x:v>1</x:v>
      </x:c>
      <x:c r="E1774" t="n">
        <x:v>80000</x:v>
      </x:c>
      <x:c r="F1774" t="str">
        <x:v>2026-06-17</x:v>
      </x:c>
    </x:row>
    <x:row r="1775">
      <x:c r="A1775" t="str">
        <x:v>Grossmont Union High School District</x:v>
      </x:c>
      <x:c r="B1775" t="str">
        <x:v>CA</x:v>
      </x:c>
      <x:c r="C1775" t="str">
        <x:v>Master's</x:v>
      </x:c>
      <x:c r="D1775" t="n">
        <x:v>2</x:v>
      </x:c>
      <x:c r="E1775" t="n">
        <x:v>84000</x:v>
      </x:c>
      <x:c r="F1775" t="str">
        <x:v>2026-06-17</x:v>
      </x:c>
    </x:row>
    <x:row r="1776">
      <x:c r="A1776" t="str">
        <x:v>Grossmont Union High School District</x:v>
      </x:c>
      <x:c r="B1776" t="str">
        <x:v>CA</x:v>
      </x:c>
      <x:c r="C1776" t="str">
        <x:v>Master's</x:v>
      </x:c>
      <x:c r="D1776" t="n">
        <x:v>3</x:v>
      </x:c>
      <x:c r="E1776" t="n">
        <x:v>88000</x:v>
      </x:c>
      <x:c r="F1776" t="str">
        <x:v>2026-06-17</x:v>
      </x:c>
    </x:row>
    <x:row r="1777">
      <x:c r="A1777" t="str">
        <x:v>Grossmont Union High School District</x:v>
      </x:c>
      <x:c r="B1777" t="str">
        <x:v>CA</x:v>
      </x:c>
      <x:c r="C1777" t="str">
        <x:v>Master's</x:v>
      </x:c>
      <x:c r="D1777" t="n">
        <x:v>4</x:v>
      </x:c>
      <x:c r="E1777" t="n">
        <x:v>90000</x:v>
      </x:c>
      <x:c r="F1777" t="str">
        <x:v>2026-06-17</x:v>
      </x:c>
    </x:row>
    <x:row r="1778">
      <x:c r="A1778" t="str">
        <x:v>Grossmont Union High School District</x:v>
      </x:c>
      <x:c r="B1778" t="str">
        <x:v>CA</x:v>
      </x:c>
      <x:c r="C1778" t="str">
        <x:v>Master's</x:v>
      </x:c>
      <x:c r="D1778" t="n">
        <x:v>5</x:v>
      </x:c>
      <x:c r="E1778" t="n">
        <x:v>94000</x:v>
      </x:c>
      <x:c r="F1778" t="str">
        <x:v>2026-06-17</x:v>
      </x:c>
    </x:row>
    <x:row r="1779">
      <x:c r="A1779" t="str">
        <x:v>Grossmont Union High School District</x:v>
      </x:c>
      <x:c r="B1779" t="str">
        <x:v>CA</x:v>
      </x:c>
      <x:c r="C1779" t="str">
        <x:v>Master's</x:v>
      </x:c>
      <x:c r="D1779" t="n">
        <x:v>6</x:v>
      </x:c>
      <x:c r="E1779" t="n">
        <x:v>98000</x:v>
      </x:c>
      <x:c r="F1779" t="str">
        <x:v>2026-06-17</x:v>
      </x:c>
    </x:row>
    <x:row r="1780">
      <x:c r="A1780" t="str">
        <x:v>Grossmont Union High School District</x:v>
      </x:c>
      <x:c r="B1780" t="str">
        <x:v>CA</x:v>
      </x:c>
      <x:c r="C1780" t="str">
        <x:v>Master's</x:v>
      </x:c>
      <x:c r="D1780" t="n">
        <x:v>7</x:v>
      </x:c>
      <x:c r="E1780" t="n">
        <x:v>102000</x:v>
      </x:c>
      <x:c r="F1780" t="str">
        <x:v>2026-06-17</x:v>
      </x:c>
    </x:row>
    <x:row r="1781">
      <x:c r="A1781" t="str">
        <x:v>Grossmont Union High School District</x:v>
      </x:c>
      <x:c r="B1781" t="str">
        <x:v>CA</x:v>
      </x:c>
      <x:c r="C1781" t="str">
        <x:v>Master's</x:v>
      </x:c>
      <x:c r="D1781" t="n">
        <x:v>8</x:v>
      </x:c>
      <x:c r="E1781" t="n">
        <x:v>105000</x:v>
      </x:c>
      <x:c r="F1781" t="str">
        <x:v>2026-06-17</x:v>
      </x:c>
    </x:row>
    <x:row r="1782">
      <x:c r="A1782" t="str">
        <x:v>Grossmont Union High School District</x:v>
      </x:c>
      <x:c r="B1782" t="str">
        <x:v>CA</x:v>
      </x:c>
      <x:c r="C1782" t="str">
        <x:v>Master's</x:v>
      </x:c>
      <x:c r="D1782" t="n">
        <x:v>9</x:v>
      </x:c>
      <x:c r="E1782" t="n">
        <x:v>108000</x:v>
      </x:c>
      <x:c r="F1782" t="str">
        <x:v>2026-06-17</x:v>
      </x:c>
    </x:row>
    <x:row r="1783">
      <x:c r="A1783" t="str">
        <x:v>Grossmont Union High School District</x:v>
      </x:c>
      <x:c r="B1783" t="str">
        <x:v>CA</x:v>
      </x:c>
      <x:c r="C1783" t="str">
        <x:v>Master's</x:v>
      </x:c>
      <x:c r="D1783" t="n">
        <x:v>10</x:v>
      </x:c>
      <x:c r="E1783" t="n">
        <x:v>110000</x:v>
      </x:c>
      <x:c r="F1783" t="str">
        <x:v>2026-06-17</x:v>
      </x:c>
    </x:row>
    <x:row r="1784">
      <x:c r="A1784" t="str">
        <x:v>Clear Creek ISD</x:v>
      </x:c>
      <x:c r="B1784" t="str">
        <x:v>TX</x:v>
      </x:c>
      <x:c r="C1784" t="str">
        <x:v>Bachelor's</x:v>
      </x:c>
      <x:c r="D1784" t="n">
        <x:v>0</x:v>
      </x:c>
      <x:c r="E1784" t="n">
        <x:v>64000</x:v>
      </x:c>
      <x:c r="F1784" t="str">
        <x:v>2026-06-17</x:v>
      </x:c>
    </x:row>
    <x:row r="1785">
      <x:c r="A1785" t="str">
        <x:v>Clear Creek ISD</x:v>
      </x:c>
      <x:c r="B1785" t="str">
        <x:v>TX</x:v>
      </x:c>
      <x:c r="C1785" t="str">
        <x:v>Bachelor's</x:v>
      </x:c>
      <x:c r="D1785" t="n">
        <x:v>1</x:v>
      </x:c>
      <x:c r="E1785" t="n">
        <x:v>64375</x:v>
      </x:c>
      <x:c r="F1785" t="str">
        <x:v>2026-06-17</x:v>
      </x:c>
    </x:row>
    <x:row r="1786">
      <x:c r="A1786" t="str">
        <x:v>Clear Creek ISD</x:v>
      </x:c>
      <x:c r="B1786" t="str">
        <x:v>TX</x:v>
      </x:c>
      <x:c r="C1786" t="str">
        <x:v>Bachelor's</x:v>
      </x:c>
      <x:c r="D1786" t="n">
        <x:v>2</x:v>
      </x:c>
      <x:c r="E1786" t="n">
        <x:v>64375</x:v>
      </x:c>
      <x:c r="F1786" t="str">
        <x:v>2026-06-17</x:v>
      </x:c>
    </x:row>
    <x:row r="1787">
      <x:c r="A1787" t="str">
        <x:v>Clear Creek ISD</x:v>
      </x:c>
      <x:c r="B1787" t="str">
        <x:v>TX</x:v>
      </x:c>
      <x:c r="C1787" t="str">
        <x:v>Bachelor's</x:v>
      </x:c>
      <x:c r="D1787" t="n">
        <x:v>3</x:v>
      </x:c>
      <x:c r="E1787" t="n">
        <x:v>65000</x:v>
      </x:c>
      <x:c r="F1787" t="str">
        <x:v>2026-06-17</x:v>
      </x:c>
    </x:row>
    <x:row r="1788">
      <x:c r="A1788" t="str">
        <x:v>Clear Creek ISD</x:v>
      </x:c>
      <x:c r="B1788" t="str">
        <x:v>TX</x:v>
      </x:c>
      <x:c r="C1788" t="str">
        <x:v>Bachelor's</x:v>
      </x:c>
      <x:c r="D1788" t="n">
        <x:v>4</x:v>
      </x:c>
      <x:c r="E1788" t="n">
        <x:v>65000</x:v>
      </x:c>
      <x:c r="F1788" t="str">
        <x:v>2026-06-17</x:v>
      </x:c>
    </x:row>
    <x:row r="1789">
      <x:c r="A1789" t="str">
        <x:v>Clear Creek ISD</x:v>
      </x:c>
      <x:c r="B1789" t="str">
        <x:v>TX</x:v>
      </x:c>
      <x:c r="C1789" t="str">
        <x:v>Bachelor's</x:v>
      </x:c>
      <x:c r="D1789" t="n">
        <x:v>5</x:v>
      </x:c>
      <x:c r="E1789" t="n">
        <x:v>67500</x:v>
      </x:c>
      <x:c r="F1789" t="str">
        <x:v>2026-06-17</x:v>
      </x:c>
    </x:row>
    <x:row r="1790">
      <x:c r="A1790" t="str">
        <x:v>Clear Creek ISD</x:v>
      </x:c>
      <x:c r="B1790" t="str">
        <x:v>TX</x:v>
      </x:c>
      <x:c r="C1790" t="str">
        <x:v>Bachelor's</x:v>
      </x:c>
      <x:c r="D1790" t="n">
        <x:v>6</x:v>
      </x:c>
      <x:c r="E1790" t="n">
        <x:v>69780</x:v>
      </x:c>
      <x:c r="F1790" t="str">
        <x:v>2026-06-17</x:v>
      </x:c>
    </x:row>
    <x:row r="1791">
      <x:c r="A1791" t="str">
        <x:v>Clear Creek ISD</x:v>
      </x:c>
      <x:c r="B1791" t="str">
        <x:v>TX</x:v>
      </x:c>
      <x:c r="C1791" t="str">
        <x:v>Bachelor's</x:v>
      </x:c>
      <x:c r="D1791" t="n">
        <x:v>7</x:v>
      </x:c>
      <x:c r="E1791" t="n">
        <x:v>69780</x:v>
      </x:c>
      <x:c r="F1791" t="str">
        <x:v>2026-06-17</x:v>
      </x:c>
    </x:row>
    <x:row r="1792">
      <x:c r="A1792" t="str">
        <x:v>Clear Creek ISD</x:v>
      </x:c>
      <x:c r="B1792" t="str">
        <x:v>TX</x:v>
      </x:c>
      <x:c r="C1792" t="str">
        <x:v>Bachelor's</x:v>
      </x:c>
      <x:c r="D1792" t="n">
        <x:v>8</x:v>
      </x:c>
      <x:c r="E1792" t="n">
        <x:v>69780</x:v>
      </x:c>
      <x:c r="F1792" t="str">
        <x:v>2026-06-17</x:v>
      </x:c>
    </x:row>
    <x:row r="1793">
      <x:c r="A1793" t="str">
        <x:v>Clear Creek ISD</x:v>
      </x:c>
      <x:c r="B1793" t="str">
        <x:v>TX</x:v>
      </x:c>
      <x:c r="C1793" t="str">
        <x:v>Bachelor's</x:v>
      </x:c>
      <x:c r="D1793" t="n">
        <x:v>9</x:v>
      </x:c>
      <x:c r="E1793" t="n">
        <x:v>69780</x:v>
      </x:c>
      <x:c r="F1793" t="str">
        <x:v>2026-06-17</x:v>
      </x:c>
    </x:row>
    <x:row r="1794">
      <x:c r="A1794" t="str">
        <x:v>Clear Creek ISD</x:v>
      </x:c>
      <x:c r="B1794" t="str">
        <x:v>TX</x:v>
      </x:c>
      <x:c r="C1794" t="str">
        <x:v>Bachelor's</x:v>
      </x:c>
      <x:c r="D1794" t="n">
        <x:v>10</x:v>
      </x:c>
      <x:c r="E1794" t="n">
        <x:v>69780</x:v>
      </x:c>
      <x:c r="F1794" t="str">
        <x:v>2026-06-17</x:v>
      </x:c>
    </x:row>
    <x:row r="1795">
      <x:c r="A1795" t="str">
        <x:v>Clear Creek ISD</x:v>
      </x:c>
      <x:c r="B1795" t="str">
        <x:v>TX</x:v>
      </x:c>
      <x:c r="C1795" t="str">
        <x:v>Master's</x:v>
      </x:c>
      <x:c r="D1795" t="n">
        <x:v>0</x:v>
      </x:c>
      <x:c r="E1795" t="n">
        <x:v>65000</x:v>
      </x:c>
      <x:c r="F1795" t="str">
        <x:v>2026-06-17</x:v>
      </x:c>
    </x:row>
    <x:row r="1796">
      <x:c r="A1796" t="str">
        <x:v>Clear Creek ISD</x:v>
      </x:c>
      <x:c r="B1796" t="str">
        <x:v>TX</x:v>
      </x:c>
      <x:c r="C1796" t="str">
        <x:v>Master's</x:v>
      </x:c>
      <x:c r="D1796" t="n">
        <x:v>1</x:v>
      </x:c>
      <x:c r="E1796" t="n">
        <x:v>65375</x:v>
      </x:c>
      <x:c r="F1796" t="str">
        <x:v>2026-06-17</x:v>
      </x:c>
    </x:row>
    <x:row r="1797">
      <x:c r="A1797" t="str">
        <x:v>Clear Creek ISD</x:v>
      </x:c>
      <x:c r="B1797" t="str">
        <x:v>TX</x:v>
      </x:c>
      <x:c r="C1797" t="str">
        <x:v>Master's</x:v>
      </x:c>
      <x:c r="D1797" t="n">
        <x:v>2</x:v>
      </x:c>
      <x:c r="E1797" t="n">
        <x:v>65375</x:v>
      </x:c>
      <x:c r="F1797" t="str">
        <x:v>2026-06-17</x:v>
      </x:c>
    </x:row>
    <x:row r="1798">
      <x:c r="A1798" t="str">
        <x:v>Clear Creek ISD</x:v>
      </x:c>
      <x:c r="B1798" t="str">
        <x:v>TX</x:v>
      </x:c>
      <x:c r="C1798" t="str">
        <x:v>Master's</x:v>
      </x:c>
      <x:c r="D1798" t="n">
        <x:v>3</x:v>
      </x:c>
      <x:c r="E1798" t="n">
        <x:v>66000</x:v>
      </x:c>
      <x:c r="F1798" t="str">
        <x:v>2026-06-17</x:v>
      </x:c>
    </x:row>
    <x:row r="1799">
      <x:c r="A1799" t="str">
        <x:v>Clear Creek ISD</x:v>
      </x:c>
      <x:c r="B1799" t="str">
        <x:v>TX</x:v>
      </x:c>
      <x:c r="C1799" t="str">
        <x:v>Master's</x:v>
      </x:c>
      <x:c r="D1799" t="n">
        <x:v>4</x:v>
      </x:c>
      <x:c r="E1799" t="n">
        <x:v>66000</x:v>
      </x:c>
      <x:c r="F1799" t="str">
        <x:v>2026-06-17</x:v>
      </x:c>
    </x:row>
    <x:row r="1800">
      <x:c r="A1800" t="str">
        <x:v>Clear Creek ISD</x:v>
      </x:c>
      <x:c r="B1800" t="str">
        <x:v>TX</x:v>
      </x:c>
      <x:c r="C1800" t="str">
        <x:v>Master's</x:v>
      </x:c>
      <x:c r="D1800" t="n">
        <x:v>5</x:v>
      </x:c>
      <x:c r="E1800" t="n">
        <x:v>68500</x:v>
      </x:c>
      <x:c r="F1800" t="str">
        <x:v>2026-06-17</x:v>
      </x:c>
    </x:row>
    <x:row r="1801">
      <x:c r="A1801" t="str">
        <x:v>Clear Creek ISD</x:v>
      </x:c>
      <x:c r="B1801" t="str">
        <x:v>TX</x:v>
      </x:c>
      <x:c r="C1801" t="str">
        <x:v>Master's</x:v>
      </x:c>
      <x:c r="D1801" t="n">
        <x:v>6</x:v>
      </x:c>
      <x:c r="E1801" t="n">
        <x:v>70780</x:v>
      </x:c>
      <x:c r="F1801" t="str">
        <x:v>2026-06-17</x:v>
      </x:c>
    </x:row>
    <x:row r="1802">
      <x:c r="A1802" t="str">
        <x:v>Clear Creek ISD</x:v>
      </x:c>
      <x:c r="B1802" t="str">
        <x:v>TX</x:v>
      </x:c>
      <x:c r="C1802" t="str">
        <x:v>Master's</x:v>
      </x:c>
      <x:c r="D1802" t="n">
        <x:v>7</x:v>
      </x:c>
      <x:c r="E1802" t="n">
        <x:v>70780</x:v>
      </x:c>
      <x:c r="F1802" t="str">
        <x:v>2026-06-17</x:v>
      </x:c>
    </x:row>
    <x:row r="1803">
      <x:c r="A1803" t="str">
        <x:v>Clear Creek ISD</x:v>
      </x:c>
      <x:c r="B1803" t="str">
        <x:v>TX</x:v>
      </x:c>
      <x:c r="C1803" t="str">
        <x:v>Master's</x:v>
      </x:c>
      <x:c r="D1803" t="n">
        <x:v>8</x:v>
      </x:c>
      <x:c r="E1803" t="n">
        <x:v>70780</x:v>
      </x:c>
      <x:c r="F1803" t="str">
        <x:v>2026-06-17</x:v>
      </x:c>
    </x:row>
    <x:row r="1804">
      <x:c r="A1804" t="str">
        <x:v>Clear Creek ISD</x:v>
      </x:c>
      <x:c r="B1804" t="str">
        <x:v>TX</x:v>
      </x:c>
      <x:c r="C1804" t="str">
        <x:v>Master's</x:v>
      </x:c>
      <x:c r="D1804" t="n">
        <x:v>9</x:v>
      </x:c>
      <x:c r="E1804" t="n">
        <x:v>70780</x:v>
      </x:c>
      <x:c r="F1804" t="str">
        <x:v>2026-06-17</x:v>
      </x:c>
    </x:row>
    <x:row r="1805">
      <x:c r="A1805" t="str">
        <x:v>Clear Creek ISD</x:v>
      </x:c>
      <x:c r="B1805" t="str">
        <x:v>TX</x:v>
      </x:c>
      <x:c r="C1805" t="str">
        <x:v>Master's</x:v>
      </x:c>
      <x:c r="D1805" t="n">
        <x:v>10</x:v>
      </x:c>
      <x:c r="E1805" t="n">
        <x:v>70780</x:v>
      </x:c>
      <x:c r="F1805" t="str">
        <x:v>2026-06-17</x:v>
      </x:c>
    </x:row>
    <x:row r="1806">
      <x:c r="A1806" t="str">
        <x:v>Pearland ISD</x:v>
      </x:c>
      <x:c r="B1806" t="str">
        <x:v>TX</x:v>
      </x:c>
      <x:c r="C1806" t="str">
        <x:v>Bachelor's</x:v>
      </x:c>
      <x:c r="D1806" t="n">
        <x:v>0</x:v>
      </x:c>
      <x:c r="E1806" t="n">
        <x:v>64250</x:v>
      </x:c>
      <x:c r="F1806" t="str">
        <x:v>2026-06-17</x:v>
      </x:c>
    </x:row>
    <x:row r="1807">
      <x:c r="A1807" t="str">
        <x:v>Pearland ISD</x:v>
      </x:c>
      <x:c r="B1807" t="str">
        <x:v>TX</x:v>
      </x:c>
      <x:c r="C1807" t="str">
        <x:v>Bachelor's</x:v>
      </x:c>
      <x:c r="D1807" t="n">
        <x:v>1</x:v>
      </x:c>
      <x:c r="E1807" t="n">
        <x:v>65000</x:v>
      </x:c>
      <x:c r="F1807" t="str">
        <x:v>2026-06-17</x:v>
      </x:c>
    </x:row>
    <x:row r="1808">
      <x:c r="A1808" t="str">
        <x:v>Pearland ISD</x:v>
      </x:c>
      <x:c r="B1808" t="str">
        <x:v>TX</x:v>
      </x:c>
      <x:c r="C1808" t="str">
        <x:v>Bachelor's</x:v>
      </x:c>
      <x:c r="D1808" t="n">
        <x:v>2</x:v>
      </x:c>
      <x:c r="E1808" t="n">
        <x:v>66000</x:v>
      </x:c>
      <x:c r="F1808" t="str">
        <x:v>2026-06-17</x:v>
      </x:c>
    </x:row>
    <x:row r="1809">
      <x:c r="A1809" t="str">
        <x:v>Pearland ISD</x:v>
      </x:c>
      <x:c r="B1809" t="str">
        <x:v>TX</x:v>
      </x:c>
      <x:c r="C1809" t="str">
        <x:v>Bachelor's</x:v>
      </x:c>
      <x:c r="D1809" t="n">
        <x:v>3</x:v>
      </x:c>
      <x:c r="E1809" t="n">
        <x:v>67000</x:v>
      </x:c>
      <x:c r="F1809" t="str">
        <x:v>2026-06-17</x:v>
      </x:c>
    </x:row>
    <x:row r="1810">
      <x:c r="A1810" t="str">
        <x:v>Pearland ISD</x:v>
      </x:c>
      <x:c r="B1810" t="str">
        <x:v>TX</x:v>
      </x:c>
      <x:c r="C1810" t="str">
        <x:v>Bachelor's</x:v>
      </x:c>
      <x:c r="D1810" t="n">
        <x:v>4</x:v>
      </x:c>
      <x:c r="E1810" t="n">
        <x:v>68163</x:v>
      </x:c>
      <x:c r="F1810" t="str">
        <x:v>2026-06-17</x:v>
      </x:c>
    </x:row>
    <x:row r="1811">
      <x:c r="A1811" t="str">
        <x:v>Pearland ISD</x:v>
      </x:c>
      <x:c r="B1811" t="str">
        <x:v>TX</x:v>
      </x:c>
      <x:c r="C1811" t="str">
        <x:v>Bachelor's</x:v>
      </x:c>
      <x:c r="D1811" t="n">
        <x:v>5</x:v>
      </x:c>
      <x:c r="E1811" t="n">
        <x:v>70000</x:v>
      </x:c>
      <x:c r="F1811" t="str">
        <x:v>2026-06-17</x:v>
      </x:c>
    </x:row>
    <x:row r="1812">
      <x:c r="A1812" t="str">
        <x:v>Pearland ISD</x:v>
      </x:c>
      <x:c r="B1812" t="str">
        <x:v>TX</x:v>
      </x:c>
      <x:c r="C1812" t="str">
        <x:v>Bachelor's</x:v>
      </x:c>
      <x:c r="D1812" t="n">
        <x:v>6</x:v>
      </x:c>
      <x:c r="E1812" t="n">
        <x:v>71500</x:v>
      </x:c>
      <x:c r="F1812" t="str">
        <x:v>2026-06-17</x:v>
      </x:c>
    </x:row>
    <x:row r="1813">
      <x:c r="A1813" t="str">
        <x:v>Pearland ISD</x:v>
      </x:c>
      <x:c r="B1813" t="str">
        <x:v>TX</x:v>
      </x:c>
      <x:c r="C1813" t="str">
        <x:v>Bachelor's</x:v>
      </x:c>
      <x:c r="D1813" t="n">
        <x:v>7</x:v>
      </x:c>
      <x:c r="E1813" t="n">
        <x:v>73000</x:v>
      </x:c>
      <x:c r="F1813" t="str">
        <x:v>2026-06-17</x:v>
      </x:c>
    </x:row>
    <x:row r="1814">
      <x:c r="A1814" t="str">
        <x:v>Pearland ISD</x:v>
      </x:c>
      <x:c r="B1814" t="str">
        <x:v>TX</x:v>
      </x:c>
      <x:c r="C1814" t="str">
        <x:v>Bachelor's</x:v>
      </x:c>
      <x:c r="D1814" t="n">
        <x:v>8</x:v>
      </x:c>
      <x:c r="E1814" t="n">
        <x:v>74500</x:v>
      </x:c>
      <x:c r="F1814" t="str">
        <x:v>2026-06-17</x:v>
      </x:c>
    </x:row>
    <x:row r="1815">
      <x:c r="A1815" t="str">
        <x:v>Pearland ISD</x:v>
      </x:c>
      <x:c r="B1815" t="str">
        <x:v>TX</x:v>
      </x:c>
      <x:c r="C1815" t="str">
        <x:v>Bachelor's</x:v>
      </x:c>
      <x:c r="D1815" t="n">
        <x:v>9</x:v>
      </x:c>
      <x:c r="E1815" t="n">
        <x:v>76000</x:v>
      </x:c>
      <x:c r="F1815" t="str">
        <x:v>2026-06-17</x:v>
      </x:c>
    </x:row>
    <x:row r="1816">
      <x:c r="A1816" t="str">
        <x:v>Pearland ISD</x:v>
      </x:c>
      <x:c r="B1816" t="str">
        <x:v>TX</x:v>
      </x:c>
      <x:c r="C1816" t="str">
        <x:v>Bachelor's</x:v>
      </x:c>
      <x:c r="D1816" t="n">
        <x:v>10</x:v>
      </x:c>
      <x:c r="E1816" t="n">
        <x:v>76000</x:v>
      </x:c>
      <x:c r="F1816" t="str">
        <x:v>2026-06-17</x:v>
      </x:c>
    </x:row>
    <x:row r="1817">
      <x:c r="A1817" t="str">
        <x:v>Pearland ISD</x:v>
      </x:c>
      <x:c r="B1817" t="str">
        <x:v>TX</x:v>
      </x:c>
      <x:c r="C1817" t="str">
        <x:v>Master's</x:v>
      </x:c>
      <x:c r="D1817" t="n">
        <x:v>0</x:v>
      </x:c>
      <x:c r="E1817" t="n">
        <x:v>65650</x:v>
      </x:c>
      <x:c r="F1817" t="str">
        <x:v>2026-06-17</x:v>
      </x:c>
    </x:row>
    <x:row r="1818">
      <x:c r="A1818" t="str">
        <x:v>Pearland ISD</x:v>
      </x:c>
      <x:c r="B1818" t="str">
        <x:v>TX</x:v>
      </x:c>
      <x:c r="C1818" t="str">
        <x:v>Master's</x:v>
      </x:c>
      <x:c r="D1818" t="n">
        <x:v>1</x:v>
      </x:c>
      <x:c r="E1818" t="n">
        <x:v>66400</x:v>
      </x:c>
      <x:c r="F1818" t="str">
        <x:v>2026-06-17</x:v>
      </x:c>
    </x:row>
    <x:row r="1819">
      <x:c r="A1819" t="str">
        <x:v>Pearland ISD</x:v>
      </x:c>
      <x:c r="B1819" t="str">
        <x:v>TX</x:v>
      </x:c>
      <x:c r="C1819" t="str">
        <x:v>Master's</x:v>
      </x:c>
      <x:c r="D1819" t="n">
        <x:v>2</x:v>
      </x:c>
      <x:c r="E1819" t="n">
        <x:v>67400</x:v>
      </x:c>
      <x:c r="F1819" t="str">
        <x:v>2026-06-17</x:v>
      </x:c>
    </x:row>
    <x:row r="1820">
      <x:c r="A1820" t="str">
        <x:v>Pearland ISD</x:v>
      </x:c>
      <x:c r="B1820" t="str">
        <x:v>TX</x:v>
      </x:c>
      <x:c r="C1820" t="str">
        <x:v>Master's</x:v>
      </x:c>
      <x:c r="D1820" t="n">
        <x:v>3</x:v>
      </x:c>
      <x:c r="E1820" t="n">
        <x:v>68400</x:v>
      </x:c>
      <x:c r="F1820" t="str">
        <x:v>2026-06-17</x:v>
      </x:c>
    </x:row>
    <x:row r="1821">
      <x:c r="A1821" t="str">
        <x:v>Pearland ISD</x:v>
      </x:c>
      <x:c r="B1821" t="str">
        <x:v>TX</x:v>
      </x:c>
      <x:c r="C1821" t="str">
        <x:v>Master's</x:v>
      </x:c>
      <x:c r="D1821" t="n">
        <x:v>4</x:v>
      </x:c>
      <x:c r="E1821" t="n">
        <x:v>69563</x:v>
      </x:c>
      <x:c r="F1821" t="str">
        <x:v>2026-06-17</x:v>
      </x:c>
    </x:row>
    <x:row r="1822">
      <x:c r="A1822" t="str">
        <x:v>Pearland ISD</x:v>
      </x:c>
      <x:c r="B1822" t="str">
        <x:v>TX</x:v>
      </x:c>
      <x:c r="C1822" t="str">
        <x:v>Master's</x:v>
      </x:c>
      <x:c r="D1822" t="n">
        <x:v>5</x:v>
      </x:c>
      <x:c r="E1822" t="n">
        <x:v>71400</x:v>
      </x:c>
      <x:c r="F1822" t="str">
        <x:v>2026-06-17</x:v>
      </x:c>
    </x:row>
    <x:row r="1823">
      <x:c r="A1823" t="str">
        <x:v>Pearland ISD</x:v>
      </x:c>
      <x:c r="B1823" t="str">
        <x:v>TX</x:v>
      </x:c>
      <x:c r="C1823" t="str">
        <x:v>Master's</x:v>
      </x:c>
      <x:c r="D1823" t="n">
        <x:v>6</x:v>
      </x:c>
      <x:c r="E1823" t="n">
        <x:v>72900</x:v>
      </x:c>
      <x:c r="F1823" t="str">
        <x:v>2026-06-17</x:v>
      </x:c>
    </x:row>
    <x:row r="1824">
      <x:c r="A1824" t="str">
        <x:v>Pearland ISD</x:v>
      </x:c>
      <x:c r="B1824" t="str">
        <x:v>TX</x:v>
      </x:c>
      <x:c r="C1824" t="str">
        <x:v>Master's</x:v>
      </x:c>
      <x:c r="D1824" t="n">
        <x:v>7</x:v>
      </x:c>
      <x:c r="E1824" t="n">
        <x:v>74400</x:v>
      </x:c>
      <x:c r="F1824" t="str">
        <x:v>2026-06-17</x:v>
      </x:c>
    </x:row>
    <x:row r="1825">
      <x:c r="A1825" t="str">
        <x:v>Pearland ISD</x:v>
      </x:c>
      <x:c r="B1825" t="str">
        <x:v>TX</x:v>
      </x:c>
      <x:c r="C1825" t="str">
        <x:v>Master's</x:v>
      </x:c>
      <x:c r="D1825" t="n">
        <x:v>8</x:v>
      </x:c>
      <x:c r="E1825" t="n">
        <x:v>75900</x:v>
      </x:c>
      <x:c r="F1825" t="str">
        <x:v>2026-06-17</x:v>
      </x:c>
    </x:row>
    <x:row r="1826">
      <x:c r="A1826" t="str">
        <x:v>Pearland ISD</x:v>
      </x:c>
      <x:c r="B1826" t="str">
        <x:v>TX</x:v>
      </x:c>
      <x:c r="C1826" t="str">
        <x:v>Master's</x:v>
      </x:c>
      <x:c r="D1826" t="n">
        <x:v>9</x:v>
      </x:c>
      <x:c r="E1826" t="n">
        <x:v>77400</x:v>
      </x:c>
      <x:c r="F1826" t="str">
        <x:v>2026-06-17</x:v>
      </x:c>
    </x:row>
    <x:row r="1827">
      <x:c r="A1827" t="str">
        <x:v>Pearland ISD</x:v>
      </x:c>
      <x:c r="B1827" t="str">
        <x:v>TX</x:v>
      </x:c>
      <x:c r="C1827" t="str">
        <x:v>Master's</x:v>
      </x:c>
      <x:c r="D1827" t="n">
        <x:v>10</x:v>
      </x:c>
      <x:c r="E1827" t="n">
        <x:v>77400</x:v>
      </x:c>
      <x:c r="F1827" t="str">
        <x:v>2026-06-17</x:v>
      </x:c>
    </x:row>
    <x:row r="1828">
      <x:c r="A1828" t="str">
        <x:v>Anoka-Hennepin Schools</x:v>
      </x:c>
      <x:c r="B1828" t="str">
        <x:v>MN</x:v>
      </x:c>
      <x:c r="C1828" t="str">
        <x:v>Bachelor's</x:v>
      </x:c>
      <x:c r="D1828" t="n">
        <x:v>0</x:v>
      </x:c>
      <x:c r="E1828" t="n">
        <x:v>53864</x:v>
      </x:c>
      <x:c r="F1828" t="str">
        <x:v>2026-06-17</x:v>
      </x:c>
    </x:row>
    <x:row r="1829">
      <x:c r="A1829" t="str">
        <x:v>Anoka-Hennepin Schools</x:v>
      </x:c>
      <x:c r="B1829" t="str">
        <x:v>MN</x:v>
      </x:c>
      <x:c r="C1829" t="str">
        <x:v>Bachelor's</x:v>
      </x:c>
      <x:c r="D1829" t="n">
        <x:v>1</x:v>
      </x:c>
      <x:c r="E1829" t="n">
        <x:v>55000</x:v>
      </x:c>
      <x:c r="F1829" t="str">
        <x:v>2026-06-17</x:v>
      </x:c>
    </x:row>
    <x:row r="1830">
      <x:c r="A1830" t="str">
        <x:v>Anoka-Hennepin Schools</x:v>
      </x:c>
      <x:c r="B1830" t="str">
        <x:v>MN</x:v>
      </x:c>
      <x:c r="C1830" t="str">
        <x:v>Bachelor's</x:v>
      </x:c>
      <x:c r="D1830" t="n">
        <x:v>2</x:v>
      </x:c>
      <x:c r="E1830" t="n">
        <x:v>56500</x:v>
      </x:c>
      <x:c r="F1830" t="str">
        <x:v>2026-06-17</x:v>
      </x:c>
    </x:row>
    <x:row r="1831">
      <x:c r="A1831" t="str">
        <x:v>Anoka-Hennepin Schools</x:v>
      </x:c>
      <x:c r="B1831" t="str">
        <x:v>MN</x:v>
      </x:c>
      <x:c r="C1831" t="str">
        <x:v>Bachelor's</x:v>
      </x:c>
      <x:c r="D1831" t="n">
        <x:v>3</x:v>
      </x:c>
      <x:c r="E1831" t="n">
        <x:v>58000</x:v>
      </x:c>
      <x:c r="F1831" t="str">
        <x:v>2026-06-17</x:v>
      </x:c>
    </x:row>
    <x:row r="1832">
      <x:c r="A1832" t="str">
        <x:v>Anoka-Hennepin Schools</x:v>
      </x:c>
      <x:c r="B1832" t="str">
        <x:v>MN</x:v>
      </x:c>
      <x:c r="C1832" t="str">
        <x:v>Bachelor's</x:v>
      </x:c>
      <x:c r="D1832" t="n">
        <x:v>4</x:v>
      </x:c>
      <x:c r="E1832" t="n">
        <x:v>59500</x:v>
      </x:c>
      <x:c r="F1832" t="str">
        <x:v>2026-06-17</x:v>
      </x:c>
    </x:row>
    <x:row r="1833">
      <x:c r="A1833" t="str">
        <x:v>Anoka-Hennepin Schools</x:v>
      </x:c>
      <x:c r="B1833" t="str">
        <x:v>MN</x:v>
      </x:c>
      <x:c r="C1833" t="str">
        <x:v>Bachelor's</x:v>
      </x:c>
      <x:c r="D1833" t="n">
        <x:v>5</x:v>
      </x:c>
      <x:c r="E1833" t="n">
        <x:v>61000</x:v>
      </x:c>
      <x:c r="F1833" t="str">
        <x:v>2026-06-17</x:v>
      </x:c>
    </x:row>
    <x:row r="1834">
      <x:c r="A1834" t="str">
        <x:v>Anoka-Hennepin Schools</x:v>
      </x:c>
      <x:c r="B1834" t="str">
        <x:v>MN</x:v>
      </x:c>
      <x:c r="C1834" t="str">
        <x:v>Bachelor's</x:v>
      </x:c>
      <x:c r="D1834" t="n">
        <x:v>6</x:v>
      </x:c>
      <x:c r="E1834" t="n">
        <x:v>63500</x:v>
      </x:c>
      <x:c r="F1834" t="str">
        <x:v>2026-06-17</x:v>
      </x:c>
    </x:row>
    <x:row r="1835">
      <x:c r="A1835" t="str">
        <x:v>Anoka-Hennepin Schools</x:v>
      </x:c>
      <x:c r="B1835" t="str">
        <x:v>MN</x:v>
      </x:c>
      <x:c r="C1835" t="str">
        <x:v>Bachelor's</x:v>
      </x:c>
      <x:c r="D1835" t="n">
        <x:v>7</x:v>
      </x:c>
      <x:c r="E1835" t="n">
        <x:v>66000</x:v>
      </x:c>
      <x:c r="F1835" t="str">
        <x:v>2026-06-17</x:v>
      </x:c>
    </x:row>
    <x:row r="1836">
      <x:c r="A1836" t="str">
        <x:v>Anoka-Hennepin Schools</x:v>
      </x:c>
      <x:c r="B1836" t="str">
        <x:v>MN</x:v>
      </x:c>
      <x:c r="C1836" t="str">
        <x:v>Bachelor's</x:v>
      </x:c>
      <x:c r="D1836" t="n">
        <x:v>8</x:v>
      </x:c>
      <x:c r="E1836" t="n">
        <x:v>68500</x:v>
      </x:c>
      <x:c r="F1836" t="str">
        <x:v>2026-06-17</x:v>
      </x:c>
    </x:row>
    <x:row r="1837">
      <x:c r="A1837" t="str">
        <x:v>Anoka-Hennepin Schools</x:v>
      </x:c>
      <x:c r="B1837" t="str">
        <x:v>MN</x:v>
      </x:c>
      <x:c r="C1837" t="str">
        <x:v>Bachelor's</x:v>
      </x:c>
      <x:c r="D1837" t="n">
        <x:v>9</x:v>
      </x:c>
      <x:c r="E1837" t="n">
        <x:v>71000</x:v>
      </x:c>
      <x:c r="F1837" t="str">
        <x:v>2026-06-17</x:v>
      </x:c>
    </x:row>
    <x:row r="1838">
      <x:c r="A1838" t="str">
        <x:v>Anoka-Hennepin Schools</x:v>
      </x:c>
      <x:c r="B1838" t="str">
        <x:v>MN</x:v>
      </x:c>
      <x:c r="C1838" t="str">
        <x:v>Bachelor's</x:v>
      </x:c>
      <x:c r="D1838" t="n">
        <x:v>10</x:v>
      </x:c>
      <x:c r="E1838" t="n">
        <x:v>73000</x:v>
      </x:c>
      <x:c r="F1838" t="str">
        <x:v>2026-06-17</x:v>
      </x:c>
    </x:row>
    <x:row r="1839">
      <x:c r="A1839" t="str">
        <x:v>Anoka-Hennepin Schools</x:v>
      </x:c>
      <x:c r="B1839" t="str">
        <x:v>MN</x:v>
      </x:c>
      <x:c r="C1839" t="str">
        <x:v>Master's</x:v>
      </x:c>
      <x:c r="D1839" t="n">
        <x:v>0</x:v>
      </x:c>
      <x:c r="E1839" t="n">
        <x:v>63291</x:v>
      </x:c>
      <x:c r="F1839" t="str">
        <x:v>2026-06-17</x:v>
      </x:c>
    </x:row>
    <x:row r="1840">
      <x:c r="A1840" t="str">
        <x:v>Anoka-Hennepin Schools</x:v>
      </x:c>
      <x:c r="B1840" t="str">
        <x:v>MN</x:v>
      </x:c>
      <x:c r="C1840" t="str">
        <x:v>Master's</x:v>
      </x:c>
      <x:c r="D1840" t="n">
        <x:v>1</x:v>
      </x:c>
      <x:c r="E1840" t="n">
        <x:v>65000</x:v>
      </x:c>
      <x:c r="F1840" t="str">
        <x:v>2026-06-17</x:v>
      </x:c>
    </x:row>
    <x:row r="1841">
      <x:c r="A1841" t="str">
        <x:v>Anoka-Hennepin Schools</x:v>
      </x:c>
      <x:c r="B1841" t="str">
        <x:v>MN</x:v>
      </x:c>
      <x:c r="C1841" t="str">
        <x:v>Master's</x:v>
      </x:c>
      <x:c r="D1841" t="n">
        <x:v>2</x:v>
      </x:c>
      <x:c r="E1841" t="n">
        <x:v>66500</x:v>
      </x:c>
      <x:c r="F1841" t="str">
        <x:v>2026-06-17</x:v>
      </x:c>
    </x:row>
    <x:row r="1842">
      <x:c r="A1842" t="str">
        <x:v>Anoka-Hennepin Schools</x:v>
      </x:c>
      <x:c r="B1842" t="str">
        <x:v>MN</x:v>
      </x:c>
      <x:c r="C1842" t="str">
        <x:v>Master's</x:v>
      </x:c>
      <x:c r="D1842" t="n">
        <x:v>3</x:v>
      </x:c>
      <x:c r="E1842" t="n">
        <x:v>68000</x:v>
      </x:c>
      <x:c r="F1842" t="str">
        <x:v>2026-06-17</x:v>
      </x:c>
    </x:row>
    <x:row r="1843">
      <x:c r="A1843" t="str">
        <x:v>Anoka-Hennepin Schools</x:v>
      </x:c>
      <x:c r="B1843" t="str">
        <x:v>MN</x:v>
      </x:c>
      <x:c r="C1843" t="str">
        <x:v>Master's</x:v>
      </x:c>
      <x:c r="D1843" t="n">
        <x:v>4</x:v>
      </x:c>
      <x:c r="E1843" t="n">
        <x:v>69500</x:v>
      </x:c>
      <x:c r="F1843" t="str">
        <x:v>2026-06-17</x:v>
      </x:c>
    </x:row>
    <x:row r="1844">
      <x:c r="A1844" t="str">
        <x:v>Anoka-Hennepin Schools</x:v>
      </x:c>
      <x:c r="B1844" t="str">
        <x:v>MN</x:v>
      </x:c>
      <x:c r="C1844" t="str">
        <x:v>Master's</x:v>
      </x:c>
      <x:c r="D1844" t="n">
        <x:v>5</x:v>
      </x:c>
      <x:c r="E1844" t="n">
        <x:v>71000</x:v>
      </x:c>
      <x:c r="F1844" t="str">
        <x:v>2026-06-17</x:v>
      </x:c>
    </x:row>
    <x:row r="1845">
      <x:c r="A1845" t="str">
        <x:v>Anoka-Hennepin Schools</x:v>
      </x:c>
      <x:c r="B1845" t="str">
        <x:v>MN</x:v>
      </x:c>
      <x:c r="C1845" t="str">
        <x:v>Master's</x:v>
      </x:c>
      <x:c r="D1845" t="n">
        <x:v>6</x:v>
      </x:c>
      <x:c r="E1845" t="n">
        <x:v>74000</x:v>
      </x:c>
      <x:c r="F1845" t="str">
        <x:v>2026-06-17</x:v>
      </x:c>
    </x:row>
    <x:row r="1846">
      <x:c r="A1846" t="str">
        <x:v>Anoka-Hennepin Schools</x:v>
      </x:c>
      <x:c r="B1846" t="str">
        <x:v>MN</x:v>
      </x:c>
      <x:c r="C1846" t="str">
        <x:v>Master's</x:v>
      </x:c>
      <x:c r="D1846" t="n">
        <x:v>7</x:v>
      </x:c>
      <x:c r="E1846" t="n">
        <x:v>78000</x:v>
      </x:c>
      <x:c r="F1846" t="str">
        <x:v>2026-06-17</x:v>
      </x:c>
    </x:row>
    <x:row r="1847">
      <x:c r="A1847" t="str">
        <x:v>Anoka-Hennepin Schools</x:v>
      </x:c>
      <x:c r="B1847" t="str">
        <x:v>MN</x:v>
      </x:c>
      <x:c r="C1847" t="str">
        <x:v>Master's</x:v>
      </x:c>
      <x:c r="D1847" t="n">
        <x:v>8</x:v>
      </x:c>
      <x:c r="E1847" t="n">
        <x:v>82000</x:v>
      </x:c>
      <x:c r="F1847" t="str">
        <x:v>2026-06-17</x:v>
      </x:c>
    </x:row>
    <x:row r="1848">
      <x:c r="A1848" t="str">
        <x:v>Anoka-Hennepin Schools</x:v>
      </x:c>
      <x:c r="B1848" t="str">
        <x:v>MN</x:v>
      </x:c>
      <x:c r="C1848" t="str">
        <x:v>Master's</x:v>
      </x:c>
      <x:c r="D1848" t="n">
        <x:v>9</x:v>
      </x:c>
      <x:c r="E1848" t="n">
        <x:v>86000</x:v>
      </x:c>
      <x:c r="F1848" t="str">
        <x:v>2026-06-17</x:v>
      </x:c>
    </x:row>
    <x:row r="1849">
      <x:c r="A1849" t="str">
        <x:v>Anoka-Hennepin Schools</x:v>
      </x:c>
      <x:c r="B1849" t="str">
        <x:v>MN</x:v>
      </x:c>
      <x:c r="C1849" t="str">
        <x:v>Master's</x:v>
      </x:c>
      <x:c r="D1849" t="n">
        <x:v>10</x:v>
      </x:c>
      <x:c r="E1849" t="n">
        <x:v>90000</x:v>
      </x:c>
      <x:c r="F1849" t="str">
        <x:v>2026-06-17</x:v>
      </x:c>
    </x:row>
    <x:row r="1850">
      <x:c r="A1850" t="str">
        <x:v>Osseo Area Schools / ISD 279</x:v>
      </x:c>
      <x:c r="B1850" t="str">
        <x:v>MN</x:v>
      </x:c>
      <x:c r="C1850" t="str">
        <x:v>Bachelor's</x:v>
      </x:c>
      <x:c r="D1850" t="n">
        <x:v>0</x:v>
      </x:c>
      <x:c r="E1850" t="n">
        <x:v>53073</x:v>
      </x:c>
      <x:c r="F1850" t="str">
        <x:v>2026-06-17</x:v>
      </x:c>
    </x:row>
    <x:row r="1851">
      <x:c r="A1851" t="str">
        <x:v>Osseo Area Schools / ISD 279</x:v>
      </x:c>
      <x:c r="B1851" t="str">
        <x:v>MN</x:v>
      </x:c>
      <x:c r="C1851" t="str">
        <x:v>Bachelor's</x:v>
      </x:c>
      <x:c r="D1851" t="n">
        <x:v>1</x:v>
      </x:c>
      <x:c r="E1851" t="n">
        <x:v>53073</x:v>
      </x:c>
      <x:c r="F1851" t="str">
        <x:v>2026-06-17</x:v>
      </x:c>
    </x:row>
    <x:row r="1852">
      <x:c r="A1852" t="str">
        <x:v>Osseo Area Schools / ISD 279</x:v>
      </x:c>
      <x:c r="B1852" t="str">
        <x:v>MN</x:v>
      </x:c>
      <x:c r="C1852" t="str">
        <x:v>Bachelor's</x:v>
      </x:c>
      <x:c r="D1852" t="n">
        <x:v>2</x:v>
      </x:c>
      <x:c r="E1852" t="n">
        <x:v>53073</x:v>
      </x:c>
      <x:c r="F1852" t="str">
        <x:v>2026-06-17</x:v>
      </x:c>
    </x:row>
    <x:row r="1853">
      <x:c r="A1853" t="str">
        <x:v>Osseo Area Schools / ISD 279</x:v>
      </x:c>
      <x:c r="B1853" t="str">
        <x:v>MN</x:v>
      </x:c>
      <x:c r="C1853" t="str">
        <x:v>Bachelor's</x:v>
      </x:c>
      <x:c r="D1853" t="n">
        <x:v>3</x:v>
      </x:c>
      <x:c r="E1853" t="n">
        <x:v>54725</x:v>
      </x:c>
      <x:c r="F1853" t="str">
        <x:v>2026-06-17</x:v>
      </x:c>
    </x:row>
    <x:row r="1854">
      <x:c r="A1854" t="str">
        <x:v>Osseo Area Schools / ISD 279</x:v>
      </x:c>
      <x:c r="B1854" t="str">
        <x:v>MN</x:v>
      </x:c>
      <x:c r="C1854" t="str">
        <x:v>Bachelor's</x:v>
      </x:c>
      <x:c r="D1854" t="n">
        <x:v>4</x:v>
      </x:c>
      <x:c r="E1854" t="n">
        <x:v>55841</x:v>
      </x:c>
      <x:c r="F1854" t="str">
        <x:v>2026-06-17</x:v>
      </x:c>
    </x:row>
    <x:row r="1855">
      <x:c r="A1855" t="str">
        <x:v>Osseo Area Schools / ISD 279</x:v>
      </x:c>
      <x:c r="B1855" t="str">
        <x:v>MN</x:v>
      </x:c>
      <x:c r="C1855" t="str">
        <x:v>Bachelor's</x:v>
      </x:c>
      <x:c r="D1855" t="n">
        <x:v>5</x:v>
      </x:c>
      <x:c r="E1855" t="n">
        <x:v>57376</x:v>
      </x:c>
      <x:c r="F1855" t="str">
        <x:v>2026-06-17</x:v>
      </x:c>
    </x:row>
    <x:row r="1856">
      <x:c r="A1856" t="str">
        <x:v>Osseo Area Schools / ISD 279</x:v>
      </x:c>
      <x:c r="B1856" t="str">
        <x:v>MN</x:v>
      </x:c>
      <x:c r="C1856" t="str">
        <x:v>Bachelor's</x:v>
      </x:c>
      <x:c r="D1856" t="n">
        <x:v>6</x:v>
      </x:c>
      <x:c r="E1856" t="n">
        <x:v>59184</x:v>
      </x:c>
      <x:c r="F1856" t="str">
        <x:v>2026-06-17</x:v>
      </x:c>
    </x:row>
    <x:row r="1857">
      <x:c r="A1857" t="str">
        <x:v>Osseo Area Schools / ISD 279</x:v>
      </x:c>
      <x:c r="B1857" t="str">
        <x:v>MN</x:v>
      </x:c>
      <x:c r="C1857" t="str">
        <x:v>Bachelor's</x:v>
      </x:c>
      <x:c r="D1857" t="n">
        <x:v>7</x:v>
      </x:c>
      <x:c r="E1857" t="n">
        <x:v>61050</x:v>
      </x:c>
      <x:c r="F1857" t="str">
        <x:v>2026-06-17</x:v>
      </x:c>
    </x:row>
    <x:row r="1858">
      <x:c r="A1858" t="str">
        <x:v>Osseo Area Schools / ISD 279</x:v>
      </x:c>
      <x:c r="B1858" t="str">
        <x:v>MN</x:v>
      </x:c>
      <x:c r="C1858" t="str">
        <x:v>Bachelor's</x:v>
      </x:c>
      <x:c r="D1858" t="n">
        <x:v>8</x:v>
      </x:c>
      <x:c r="E1858" t="n">
        <x:v>62974</x:v>
      </x:c>
      <x:c r="F1858" t="str">
        <x:v>2026-06-17</x:v>
      </x:c>
    </x:row>
    <x:row r="1859">
      <x:c r="A1859" t="str">
        <x:v>Osseo Area Schools / ISD 279</x:v>
      </x:c>
      <x:c r="B1859" t="str">
        <x:v>MN</x:v>
      </x:c>
      <x:c r="C1859" t="str">
        <x:v>Bachelor's</x:v>
      </x:c>
      <x:c r="D1859" t="n">
        <x:v>9</x:v>
      </x:c>
      <x:c r="E1859" t="n">
        <x:v>64193</x:v>
      </x:c>
      <x:c r="F1859" t="str">
        <x:v>2026-06-17</x:v>
      </x:c>
    </x:row>
    <x:row r="1860">
      <x:c r="A1860" t="str">
        <x:v>Osseo Area Schools / ISD 279</x:v>
      </x:c>
      <x:c r="B1860" t="str">
        <x:v>MN</x:v>
      </x:c>
      <x:c r="C1860" t="str">
        <x:v>Bachelor's</x:v>
      </x:c>
      <x:c r="D1860" t="n">
        <x:v>10</x:v>
      </x:c>
      <x:c r="E1860" t="n">
        <x:v>67097</x:v>
      </x:c>
      <x:c r="F1860" t="str">
        <x:v>2026-06-17</x:v>
      </x:c>
    </x:row>
    <x:row r="1861">
      <x:c r="A1861" t="str">
        <x:v>Osseo Area Schools / ISD 279</x:v>
      </x:c>
      <x:c r="B1861" t="str">
        <x:v>MN</x:v>
      </x:c>
      <x:c r="C1861" t="str">
        <x:v>Master's</x:v>
      </x:c>
      <x:c r="D1861" t="n">
        <x:v>0</x:v>
      </x:c>
      <x:c r="E1861" t="n">
        <x:v>64423</x:v>
      </x:c>
      <x:c r="F1861" t="str">
        <x:v>2026-06-17</x:v>
      </x:c>
    </x:row>
    <x:row r="1862">
      <x:c r="A1862" t="str">
        <x:v>Osseo Area Schools / ISD 279</x:v>
      </x:c>
      <x:c r="B1862" t="str">
        <x:v>MN</x:v>
      </x:c>
      <x:c r="C1862" t="str">
        <x:v>Master's</x:v>
      </x:c>
      <x:c r="D1862" t="n">
        <x:v>1</x:v>
      </x:c>
      <x:c r="E1862" t="n">
        <x:v>64423</x:v>
      </x:c>
      <x:c r="F1862" t="str">
        <x:v>2026-06-17</x:v>
      </x:c>
    </x:row>
    <x:row r="1863">
      <x:c r="A1863" t="str">
        <x:v>Osseo Area Schools / ISD 279</x:v>
      </x:c>
      <x:c r="B1863" t="str">
        <x:v>MN</x:v>
      </x:c>
      <x:c r="C1863" t="str">
        <x:v>Master's</x:v>
      </x:c>
      <x:c r="D1863" t="n">
        <x:v>2</x:v>
      </x:c>
      <x:c r="E1863" t="n">
        <x:v>64423</x:v>
      </x:c>
      <x:c r="F1863" t="str">
        <x:v>2026-06-17</x:v>
      </x:c>
    </x:row>
    <x:row r="1864">
      <x:c r="A1864" t="str">
        <x:v>Osseo Area Schools / ISD 279</x:v>
      </x:c>
      <x:c r="B1864" t="str">
        <x:v>MN</x:v>
      </x:c>
      <x:c r="C1864" t="str">
        <x:v>Master's</x:v>
      </x:c>
      <x:c r="D1864" t="n">
        <x:v>3</x:v>
      </x:c>
      <x:c r="E1864" t="n">
        <x:v>66454</x:v>
      </x:c>
      <x:c r="F1864" t="str">
        <x:v>2026-06-17</x:v>
      </x:c>
    </x:row>
    <x:row r="1865">
      <x:c r="A1865" t="str">
        <x:v>Osseo Area Schools / ISD 279</x:v>
      </x:c>
      <x:c r="B1865" t="str">
        <x:v>MN</x:v>
      </x:c>
      <x:c r="C1865" t="str">
        <x:v>Master's</x:v>
      </x:c>
      <x:c r="D1865" t="n">
        <x:v>4</x:v>
      </x:c>
      <x:c r="E1865" t="n">
        <x:v>68553</x:v>
      </x:c>
      <x:c r="F1865" t="str">
        <x:v>2026-06-17</x:v>
      </x:c>
    </x:row>
    <x:row r="1866">
      <x:c r="A1866" t="str">
        <x:v>Osseo Area Schools / ISD 279</x:v>
      </x:c>
      <x:c r="B1866" t="str">
        <x:v>MN</x:v>
      </x:c>
      <x:c r="C1866" t="str">
        <x:v>Master's</x:v>
      </x:c>
      <x:c r="D1866" t="n">
        <x:v>5</x:v>
      </x:c>
      <x:c r="E1866" t="n">
        <x:v>70721</x:v>
      </x:c>
      <x:c r="F1866" t="str">
        <x:v>2026-06-17</x:v>
      </x:c>
    </x:row>
    <x:row r="1867">
      <x:c r="A1867" t="str">
        <x:v>Osseo Area Schools / ISD 279</x:v>
      </x:c>
      <x:c r="B1867" t="str">
        <x:v>MN</x:v>
      </x:c>
      <x:c r="C1867" t="str">
        <x:v>Master's</x:v>
      </x:c>
      <x:c r="D1867" t="n">
        <x:v>6</x:v>
      </x:c>
      <x:c r="E1867" t="n">
        <x:v>72958</x:v>
      </x:c>
      <x:c r="F1867" t="str">
        <x:v>2026-06-17</x:v>
      </x:c>
    </x:row>
    <x:row r="1868">
      <x:c r="A1868" t="str">
        <x:v>Osseo Area Schools / ISD 279</x:v>
      </x:c>
      <x:c r="B1868" t="str">
        <x:v>MN</x:v>
      </x:c>
      <x:c r="C1868" t="str">
        <x:v>Master's</x:v>
      </x:c>
      <x:c r="D1868" t="n">
        <x:v>7</x:v>
      </x:c>
      <x:c r="E1868" t="n">
        <x:v>75263</x:v>
      </x:c>
      <x:c r="F1868" t="str">
        <x:v>2026-06-17</x:v>
      </x:c>
    </x:row>
    <x:row r="1869">
      <x:c r="A1869" t="str">
        <x:v>Osseo Area Schools / ISD 279</x:v>
      </x:c>
      <x:c r="B1869" t="str">
        <x:v>MN</x:v>
      </x:c>
      <x:c r="C1869" t="str">
        <x:v>Master's</x:v>
      </x:c>
      <x:c r="D1869" t="n">
        <x:v>8</x:v>
      </x:c>
      <x:c r="E1869" t="n">
        <x:v>77645</x:v>
      </x:c>
      <x:c r="F1869" t="str">
        <x:v>2026-06-17</x:v>
      </x:c>
    </x:row>
    <x:row r="1870">
      <x:c r="A1870" t="str">
        <x:v>Osseo Area Schools / ISD 279</x:v>
      </x:c>
      <x:c r="B1870" t="str">
        <x:v>MN</x:v>
      </x:c>
      <x:c r="C1870" t="str">
        <x:v>Master's</x:v>
      </x:c>
      <x:c r="D1870" t="n">
        <x:v>9</x:v>
      </x:c>
      <x:c r="E1870" t="n">
        <x:v>80100</x:v>
      </x:c>
      <x:c r="F1870" t="str">
        <x:v>2026-06-17</x:v>
      </x:c>
    </x:row>
    <x:row r="1871">
      <x:c r="A1871" t="str">
        <x:v>Osseo Area Schools / ISD 279</x:v>
      </x:c>
      <x:c r="B1871" t="str">
        <x:v>MN</x:v>
      </x:c>
      <x:c r="C1871" t="str">
        <x:v>Master's</x:v>
      </x:c>
      <x:c r="D1871" t="n">
        <x:v>10</x:v>
      </x:c>
      <x:c r="E1871" t="n">
        <x:v>85795</x:v>
      </x:c>
      <x:c r="F1871" t="str">
        <x:v>2026-06-17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9" customWidth="1"/>
    <x:col min="3" max="3" width="20" customWidth="1"/>
    <x:col min="4" max="7" width="10" customWidth="1"/>
    <x:col min="8" max="8" width="18" customWidth="1"/>
    <x:col min="9" max="9" width="14" customWidth="1"/>
    <x:col min="10" max="10" width="10" customWidth="1"/>
    <x:col min="11" max="11" width="16" customWidth="1"/>
    <x:col min="12" max="12" width="17" customWidth="1"/>
    <x:col min="13" max="13" width="18" customWidth="1"/>
    <x:col min="14" max="14" width="22" customWidth="1"/>
    <x:col min="15" max="15" width="18" customWidth="1"/>
    <x:col min="16" max="16" width="52" customWidth="1"/>
    <x:col min="17" max="17" width="16" customWidth="1"/>
    <x:col min="18" max="28" width="10" customWidth="1"/>
  </x:cols>
  <x:sheetData>
    <x:row r="1" ht="4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Region</x:t>
        </x:is>
      </x:c>
      <x:c r="D1" s="85" t="inlineStr">
        <x:is>
          <x:t xml:space="preserve">White %</x:t>
        </x:is>
      </x:c>
      <x:c r="E1" s="85" t="inlineStr">
        <x:is>
          <x:t xml:space="preserve">Hispanic %</x:t>
        </x:is>
      </x:c>
      <x:c r="F1" s="85" t="inlineStr">
        <x:is>
          <x:t xml:space="preserve">Asian %</x:t>
        </x:is>
      </x:c>
      <x:c r="G1" s="85" t="inlineStr">
        <x:is>
          <x:t xml:space="preserve">Black %</x:t>
        </x:is>
      </x:c>
      <x:c r="H1" s="85" t="inlineStr">
        <x:is>
          <x:t xml:space="preserve">Student Teacher Ratio</x:t>
        </x:is>
      </x:c>
      <x:c r="I1" s="48" t="inlineStr">
        <x:is>
          <x:t xml:space="preserve">Daily Sub Pay</x:t>
        </x:is>
      </x:c>
      <x:c r="J1" s="48" t="inlineStr">
        <x:is>
          <x:t xml:space="preserve">Other %</x:t>
        </x:is>
      </x:c>
      <x:c r="K1" s="48" t="inlineStr">
        <x:is>
          <x:t xml:space="preserve">Number of High Schools</x:t>
        </x:is>
      </x:c>
      <x:c r="L1" s="48" t="inlineStr">
        <x:is>
          <x:t xml:space="preserve">Number of Middle Schools</x:t>
        </x:is>
      </x:c>
      <x:c r="M1" s="48" t="inlineStr">
        <x:is>
          <x:t xml:space="preserve">Number of Elementary Schools</x:t>
        </x:is>
      </x:c>
      <x:c r="N1" s="48" t="inlineStr">
        <x:is>
          <x:t xml:space="preserve">Other / Specialty Schools</x:t>
        </x:is>
      </x:c>
      <x:c r="O1" s="48" t="inlineStr">
        <x:is>
          <x:t xml:space="preserve">Total Schools Counted</x:t>
        </x:is>
      </x:c>
      <x:c r="P1" s="48" t="inlineStr">
        <x:is>
          <x:t xml:space="preserve">Source URL</x:t>
        </x:is>
      </x:c>
      <x:c r="Q1" s="82" t="inlineStr">
        <x:is>
          <x:t xml:space="preserve">Last Verified</x:t>
        </x:is>
      </x:c>
      <x:c r="R1" s="85" t="inlineStr">
        <x:is>
          <x:t xml:space="preserve">Other %</x:t>
        </x:is>
      </x:c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6.75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Houston</x:t>
        </x:is>
      </x:c>
      <x:c r="D2" s="86" t="n">
        <x:v>3</x:v>
      </x:c>
      <x:c r="E2" s="86" t="n">
        <x:v>62</x:v>
      </x:c>
      <x:c r="F2" s="86" t="n">
        <x:v>10</x:v>
      </x:c>
      <x:c r="G2" s="87" t="n">
        <x:v>24</x:v>
      </x:c>
      <x:c r="H2" s="13" t="n">
        <x:v>13</x:v>
      </x:c>
      <x:c r="I2" s="13" t="n">
        <x:v>125</x:v>
      </x:c>
      <x:c r="J2" s="86" t="n">
        <x:f>100-SUM(D2:G2)</x:f>
        <x:v>1</x:v>
      </x:c>
      <x:c r="K2" s="13" t="n">
        <x:v>6</x:v>
      </x:c>
      <x:c r="L2" s="13" t="n">
        <x:v>12</x:v>
      </x:c>
      <x:c r="M2" s="13" t="n">
        <x:v>27</x:v>
      </x:c>
      <x:c r="N2" s="13" t="n">
        <x:v>1</x:v>
      </x:c>
      <x:c r="O2" s="13" t="n">
        <x:v>46</x:v>
      </x:c>
      <x:c r="P2" s="10" t="n"/>
      <x:c r="Q2" s="12" t="n"/>
      <x:c r="R2" s="88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6.75" customHeight="1">
      <x:c r="A3" s="12" t="inlineStr">
        <x:is>
          <x:t xml:space="preserve">Arcadia Unified School District</x:t>
        </x:is>
      </x:c>
      <x:c r="B3" s="12" t="inlineStr">
        <x:is>
          <x:t xml:space="preserve">CA</x:t>
        </x:is>
      </x:c>
      <x:c r="C3" s="12" t="inlineStr">
        <x:is>
          <x:t xml:space="preserve">Southern California</x:t>
        </x:is>
      </x:c>
      <x:c r="D3" s="86" t="n">
        <x:v>26</x:v>
      </x:c>
      <x:c r="E3" s="86" t="n">
        <x:v>10</x:v>
      </x:c>
      <x:c r="F3" s="86" t="n">
        <x:v>61</x:v>
      </x:c>
      <x:c r="G3" s="87" t="n">
        <x:v>1</x:v>
      </x:c>
      <x:c r="H3" s="13" t="n">
        <x:v>24.58</x:v>
      </x:c>
      <x:c r="I3" s="13" t="n">
        <x:v>200</x:v>
      </x:c>
      <x:c r="J3" s="86" t="n">
        <x:f>100-SUM(D3:G3)</x:f>
        <x:v>2</x:v>
      </x:c>
      <x:c r="K3" s="13" t="n">
        <x:v>1</x:v>
      </x:c>
      <x:c r="L3" s="13" t="n">
        <x:v>3</x:v>
      </x:c>
      <x:c r="M3" s="13" t="n">
        <x:v>6</x:v>
      </x:c>
      <x:c r="N3" s="13" t="n">
        <x:v>1</x:v>
      </x:c>
      <x:c r="O3" s="13" t="n">
        <x:v>11</x:v>
      </x:c>
      <x:c r="P3" s="10" t="inlineStr">
        <x:is>
          <x:t xml:space="preserve"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x:t>
        </x:is>
      </x:c>
      <x:c r="Q3" s="12" t="n"/>
      <x:c r="R3" s="88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6.75" customHeight="1">
      <x:c r="A4" s="12" t="inlineStr">
        <x:is>
          <x:t xml:space="preserve">Austin ISD</x:t>
        </x:is>
      </x:c>
      <x:c r="B4" s="12" t="inlineStr">
        <x:is>
          <x:t xml:space="preserve">TX</x:t>
        </x:is>
      </x:c>
      <x:c r="C4" s="12" t="inlineStr">
        <x:is>
          <x:t xml:space="preserve">Austin</x:t>
        </x:is>
      </x:c>
      <x:c r="D4" s="86" t="n">
        <x:v>30.68</x:v>
      </x:c>
      <x:c r="E4" s="86" t="n">
        <x:v>54.14</x:v>
      </x:c>
      <x:c r="F4" s="86" t="n">
        <x:v>4.84</x:v>
      </x:c>
      <x:c r="G4" s="87" t="n">
        <x:v>6.01</x:v>
      </x:c>
      <x:c r="H4" s="13" t="n">
        <x:v>13.7</x:v>
      </x:c>
      <x:c r="I4" s="13" t="n">
        <x:v>155</x:v>
      </x:c>
      <x:c r="J4" s="86" t="n">
        <x:f>100-SUM(D4:G4)</x:f>
        <x:v>4.329999999999998</x:v>
      </x:c>
      <x:c r="K4" s="13" t="n">
        <x:v>13</x:v>
      </x:c>
      <x:c r="L4" s="13" t="n">
        <x:v>19</x:v>
      </x:c>
      <x:c r="M4" s="13" t="n">
        <x:v>78</x:v>
      </x:c>
      <x:c r="N4" s="13" t="n">
        <x:v>4</x:v>
      </x:c>
      <x:c r="O4" s="13" t="n">
        <x:v>114</x:v>
      </x:c>
      <x:c r="P4" s="10" t="inlineStr">
        <x:is>
          <x:t xml:space="preserve">School-directory pages include a 6-12 campus (Ann Richards) in both the middle and high lists; counts below are normalized to the district's cited 114 schools and classify Ann Richards with middle schools.</x:t>
        </x:is>
      </x:c>
      <x:c r="Q4" s="12" t="n"/>
      <x:c r="R4" s="88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6.75" customHeight="1">
      <x:c r="A5" s="12" t="inlineStr">
        <x:is>
          <x:t xml:space="preserve">Barbers Hill ISD</x:t>
        </x:is>
      </x:c>
      <x:c r="B5" s="12" t="inlineStr">
        <x:is>
          <x:t xml:space="preserve">TX</x:t>
        </x:is>
      </x:c>
      <x:c r="C5" s="12" t="inlineStr">
        <x:is>
          <x:t xml:space="preserve">Houston</x:t>
        </x:is>
      </x:c>
      <x:c r="D5" s="86" t="n">
        <x:v>57.2</x:v>
      </x:c>
      <x:c r="E5" s="86" t="n">
        <x:v>32.1</x:v>
      </x:c>
      <x:c r="F5" s="86" t="n">
        <x:v>1.9</x:v>
      </x:c>
      <x:c r="G5" s="87" t="n">
        <x:v>4.8</x:v>
      </x:c>
      <x:c r="H5" s="13" t="n">
        <x:v>13</x:v>
      </x:c>
      <x:c r="I5" s="13" t="n">
        <x:v>135</x:v>
      </x:c>
      <x:c r="J5" s="86" t="n">
        <x:f>100-SUM(D5:G5)</x:f>
        <x:v>3.999999999999986</x:v>
      </x:c>
      <x:c r="K5" s="13" t="n">
        <x:v>1</x:v>
      </x:c>
      <x:c r="L5" s="13" t="n">
        <x:v>2</x:v>
      </x:c>
      <x:c r="M5" s="13" t="n">
        <x:v>5</x:v>
      </x:c>
      <x:c r="N5" s="13" t="n">
        <x:v>0</x:v>
      </x:c>
      <x:c r="O5" s="13" t="n">
        <x:v>8</x:v>
      </x:c>
      <x:c r="P5" s="10" t="inlineStr">
        <x:is>
          <x:t xml:space="preserve">District schools page lists one traditional high school (Barbers Hill High School), two middle school campuses, five elementary/early childhood campuses, and no separate alternative high school counted for this prototype.</x:t>
        </x:is>
      </x:c>
      <x:c r="Q5" s="12" t="n"/>
      <x:c r="R5" s="88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6.75" customHeight="1">
      <x:c r="A6" s="12" t="inlineStr">
        <x:is>
          <x:t xml:space="preserve">Canyons School District</x:t>
        </x:is>
      </x:c>
      <x:c r="B6" s="12" t="inlineStr">
        <x:is>
          <x:t xml:space="preserve">UT</x:t>
        </x:is>
      </x:c>
      <x:c r="C6" s="12" t="inlineStr">
        <x:is>
          <x:t xml:space="preserve">Salt Lake Valley</x:t>
        </x:is>
      </x:c>
      <x:c r="D6" s="86" t="n">
        <x:v>71</x:v>
      </x:c>
      <x:c r="E6" s="86" t="n">
        <x:v>18</x:v>
      </x:c>
      <x:c r="F6" s="86" t="n">
        <x:v>3</x:v>
      </x:c>
      <x:c r="G6" s="87" t="n">
        <x:v>2</x:v>
      </x:c>
      <x:c r="H6" s="13" t="n">
        <x:v>21.35</x:v>
      </x:c>
      <x:c r="I6" s="13" t="n">
        <x:v>180</x:v>
      </x:c>
      <x:c r="J6" s="86" t="n">
        <x:f>100-SUM(D6:G6)</x:f>
        <x:v>6</x:v>
      </x:c>
      <x:c r="K6" s="13" t="n">
        <x:v>6</x:v>
      </x:c>
      <x:c r="L6" s="13" t="n">
        <x:v>8</x:v>
      </x:c>
      <x:c r="M6" s="13" t="n">
        <x:v>28</x:v>
      </x:c>
      <x:c r="N6" s="13" t="n">
        <x:v>8</x:v>
      </x:c>
      <x:c r="O6" s="13" t="n">
        <x:v>50</x:v>
      </x:c>
      <x:c r="P6" s="10" t="inlineStr">
        <x:is>
          <x:t xml:space="preserve">NCES lists 50 total schools; counts follow district school directory categories with 8 specialty schools.</x:t>
        </x:is>
      </x:c>
      <x:c r="Q6" s="12" t="n"/>
      <x:c r="R6" s="88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6.75" customHeight="1">
      <x:c r="A7" s="12" t="inlineStr">
        <x:is>
          <x:t xml:space="preserve">Chandler Unified School District</x:t>
        </x:is>
      </x:c>
      <x:c r="B7" s="12" t="inlineStr">
        <x:is>
          <x:t xml:space="preserve">AZ</x:t>
        </x:is>
      </x:c>
      <x:c r="C7" s="12" t="inlineStr">
        <x:is>
          <x:t xml:space="preserve">Phoenix / East Valley</x:t>
        </x:is>
      </x:c>
      <x:c r="D7" s="86" t="n">
        <x:v>47.7</x:v>
      </x:c>
      <x:c r="E7" s="86" t="n">
        <x:v>31.9</x:v>
      </x:c>
      <x:c r="F7" s="86" t="n">
        <x:v>12.5</x:v>
      </x:c>
      <x:c r="G7" s="87" t="n">
        <x:v>5.8</x:v>
      </x:c>
      <x:c r="H7" s="13" t="n">
        <x:v>17.59</x:v>
      </x:c>
      <x:c r="I7" s="13" t="n">
        <x:v>170</x:v>
      </x:c>
      <x:c r="J7" s="86" t="n">
        <x:f>100-SUM(D7:G7)</x:f>
        <x:v>2.1000000000000085</x:v>
      </x:c>
      <x:c r="K7" s="13" t="n">
        <x:v>5</x:v>
      </x:c>
      <x:c r="L7" s="13" t="n">
        <x:v>7</x:v>
      </x:c>
      <x:c r="M7" s="13" t="n">
        <x:v>31</x:v>
      </x:c>
      <x:c r="N7" s="13" t="n">
        <x:v>6</x:v>
      </x:c>
      <x:c r="O7" s="13" t="n">
        <x:v>49</x:v>
      </x:c>
      <x:c r="P7" s="10" t="inlineStr">
        <x:is>
          <x:t xml:space="preserve">CUSD About page lists 31 elementary schools, 5 junior highs, 2 middle schools, 5 high schools, 4 alternatives, 1 secondary, and 1 online school.</x:t>
        </x:is>
      </x:c>
      <x:c r="Q7" s="12" t="n"/>
      <x:c r="R7" s="88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6.75" customHeight="1">
      <x:c r="A8" s="12" t="inlineStr">
        <x:is>
          <x:t xml:space="preserve">Chapel Hill-Carrboro City Schools</x:t>
        </x:is>
      </x:c>
      <x:c r="B8" s="12" t="inlineStr">
        <x:is>
          <x:t xml:space="preserve">NC</x:t>
        </x:is>
      </x:c>
      <x:c r="C8" s="12" t="inlineStr">
        <x:is>
          <x:t xml:space="preserve">Research Triangle</x:t>
        </x:is>
      </x:c>
      <x:c r="D8" s="86" t="n">
        <x:v>52.52</x:v>
      </x:c>
      <x:c r="E8" s="86" t="n">
        <x:v>14.4</x:v>
      </x:c>
      <x:c r="F8" s="86" t="n">
        <x:v>15.01</x:v>
      </x:c>
      <x:c r="G8" s="87" t="n">
        <x:v>11.28</x:v>
      </x:c>
      <x:c r="H8" s="13" t="n">
        <x:v>12.69</x:v>
      </x:c>
      <x:c r="I8" s="13" t="n">
        <x:v>135</x:v>
      </x:c>
      <x:c r="J8" s="86" t="n">
        <x:f>100-SUM(D8:G8)</x:f>
        <x:v>6.789999999999992</x:v>
      </x:c>
      <x:c r="K8" s="13" t="n">
        <x:v>4</x:v>
      </x:c>
      <x:c r="L8" s="13" t="n">
        <x:v>4</x:v>
      </x:c>
      <x:c r="M8" s="13" t="n">
        <x:v>11</x:v>
      </x:c>
      <x:c r="N8" s="13" t="n">
        <x:v>1</x:v>
      </x:c>
      <x:c r="O8" s="13" t="n">
        <x:v>20</x:v>
      </x:c>
      <x:c r="P8" s="10" t="n"/>
      <x:c r="Q8" s="12" t="n"/>
      <x:c r="R8" s="88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6.75" customHeight="1">
      <x:c r="A9" s="12" t="inlineStr">
        <x:is>
          <x:t xml:space="preserve">Cherry Creek School District</x:t>
        </x:is>
      </x:c>
      <x:c r="B9" s="12" t="inlineStr">
        <x:is>
          <x:t xml:space="preserve">CO</x:t>
        </x:is>
      </x:c>
      <x:c r="C9" s="12" t="inlineStr">
        <x:is>
          <x:t xml:space="preserve">Denver</x:t>
        </x:is>
      </x:c>
      <x:c r="D9" s="86" t="n">
        <x:v>44.8</x:v>
      </x:c>
      <x:c r="E9" s="86" t="n">
        <x:v>24.8</x:v>
      </x:c>
      <x:c r="F9" s="86" t="n">
        <x:v>8.4</x:v>
      </x:c>
      <x:c r="G9" s="87" t="n">
        <x:v>11.4</x:v>
      </x:c>
      <x:c r="H9" s="13" t="n">
        <x:v>16.18</x:v>
      </x:c>
      <x:c r="I9" s="13" t="n">
        <x:v>210</x:v>
      </x:c>
      <x:c r="J9" s="86" t="n">
        <x:f>100-SUM(D9:G9)</x:f>
        <x:v>10.599999999999994</x:v>
      </x:c>
      <x:c r="K9" s="13" t="n">
        <x:v>8</x:v>
      </x:c>
      <x:c r="L9" s="13" t="n">
        <x:v>11</x:v>
      </x:c>
      <x:c r="M9" s="13" t="n">
        <x:v>44</x:v>
      </x:c>
      <x:c r="N9" s="13" t="n">
        <x:v>4</x:v>
      </x:c>
      <x:c r="O9" s="13" t="n">
        <x:v>67</x:v>
      </x:c>
      <x:c r="P9" s="10" t="n"/>
      <x:c r="Q9" s="12" t="n"/>
      <x:c r="R9" s="88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6.75" customHeight="1">
      <x:c r="A10" s="12" t="inlineStr">
        <x:is>
          <x:t xml:space="preserve">Chicago Public Schools</x:t>
        </x:is>
      </x:c>
      <x:c r="B10" s="12" t="inlineStr">
        <x:is>
          <x:t xml:space="preserve">IL</x:t>
        </x:is>
      </x:c>
      <x:c r="C10" s="12" t="inlineStr">
        <x:is>
          <x:t xml:space="preserve">Chicago</x:t>
        </x:is>
      </x:c>
      <x:c r="D10" s="86" t="n">
        <x:v>11.8</x:v>
      </x:c>
      <x:c r="E10" s="86" t="n">
        <x:v>46.4</x:v>
      </x:c>
      <x:c r="F10" s="86" t="n">
        <x:v>4.9</x:v>
      </x:c>
      <x:c r="G10" s="87" t="n">
        <x:v>34.3</x:v>
      </x:c>
      <x:c r="H10" s="13" t="n">
        <x:v>13.77</x:v>
      </x:c>
      <x:c r="I10" s="13" t="n">
        <x:v>193</x:v>
      </x:c>
      <x:c r="J10" s="86" t="n">
        <x:f>100-SUM(D10:G10)</x:f>
        <x:v>2.5999999999999943</x:v>
      </x:c>
      <x:c r="K10" s="13" t="n">
        <x:v>91</x:v>
      </x:c>
      <x:c r="L10" s="13" t="n"/>
      <x:c r="M10" s="13" t="n">
        <x:v>423</x:v>
      </x:c>
      <x:c r="N10" s="13" t="n"/>
      <x:c r="O10" s="13" t="n">
        <x:v>514</x:v>
      </x:c>
      <x:c r="P10" s="10" t="inlineStr">
        <x:is>
          <x:t xml:space="preserve"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x:t>
        </x:is>
      </x:c>
      <x:c r="Q10" s="12" t="n"/>
      <x:c r="R10" s="88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6.75" customHeight="1">
      <x:c r="A11" s="12" t="inlineStr">
        <x:is>
          <x:t xml:space="preserve">Cobb County School District</x:t>
        </x:is>
      </x:c>
      <x:c r="B11" s="12" t="inlineStr">
        <x:is>
          <x:t xml:space="preserve">GA</x:t>
        </x:is>
      </x:c>
      <x:c r="C11" s="12" t="inlineStr">
        <x:is>
          <x:t xml:space="preserve">Atlanta</x:t>
        </x:is>
      </x:c>
      <x:c r="D11" s="86" t="n">
        <x:v>32</x:v>
      </x:c>
      <x:c r="E11" s="86" t="n">
        <x:v>26.6</x:v>
      </x:c>
      <x:c r="F11" s="86" t="n">
        <x:v>6.2</x:v>
      </x:c>
      <x:c r="G11" s="87" t="n">
        <x:v>29.2</x:v>
      </x:c>
      <x:c r="H11" s="13" t="n">
        <x:v>14.06</x:v>
      </x:c>
      <x:c r="I11" s="13" t="n">
        <x:v>150</x:v>
      </x:c>
      <x:c r="J11" s="86" t="n">
        <x:f>100-SUM(D11:G11)</x:f>
        <x:v>6</x:v>
      </x:c>
      <x:c r="K11" s="13" t="n">
        <x:v>17</x:v>
      </x:c>
      <x:c r="L11" s="13" t="n">
        <x:v>26</x:v>
      </x:c>
      <x:c r="M11" s="13" t="n">
        <x:v>66</x:v>
      </x:c>
      <x:c r="N11" s="13" t="n">
        <x:v>3</x:v>
      </x:c>
      <x:c r="O11" s="13" t="n">
        <x:v>112</x:v>
      </x:c>
      <x:c r="P11" s="10" t="inlineStr">
        <x:is>
          <x:t xml:space="preserve">District page lists 66 elementary schools, 26 middle schools, 17 high schools, plus one charter school, one special education center, and one adult education center.</x:t>
        </x:is>
      </x:c>
      <x:c r="Q11" s="12" t="inlineStr">
        <x:is>
          <x:t xml:space="preserve">2026-06-13</x:t>
        </x:is>
      </x:c>
      <x:c r="R11" s="88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6.75" customHeight="1">
      <x:c r="A12" s="12" t="inlineStr">
        <x:is>
          <x:t xml:space="preserve">Denver Public Schools</x:t>
        </x:is>
      </x:c>
      <x:c r="B12" s="12" t="inlineStr">
        <x:is>
          <x:t xml:space="preserve">CO</x:t>
        </x:is>
      </x:c>
      <x:c r="C12" s="12" t="inlineStr">
        <x:is>
          <x:t xml:space="preserve">Denver</x:t>
        </x:is>
      </x:c>
      <x:c r="D12" s="86" t="n">
        <x:v>25</x:v>
      </x:c>
      <x:c r="E12" s="86" t="n">
        <x:v>52</x:v>
      </x:c>
      <x:c r="F12" s="86" t="n">
        <x:v>3</x:v>
      </x:c>
      <x:c r="G12" s="87" t="n">
        <x:v>13</x:v>
      </x:c>
      <x:c r="H12" s="13" t="n">
        <x:v>15</x:v>
      </x:c>
      <x:c r="I12" s="13" t="n">
        <x:v>186.42</x:v>
      </x:c>
      <x:c r="J12" s="86" t="n">
        <x:f>100-SUM(D12:G12)</x:f>
        <x:v>7</x:v>
      </x:c>
      <x:c r="K12" s="13" t="n">
        <x:v>18</x:v>
      </x:c>
      <x:c r="L12" s="13" t="n">
        <x:v>12</x:v>
      </x:c>
      <x:c r="M12" s="13" t="n">
        <x:v>76</x:v>
      </x:c>
      <x:c r="N12" s="13" t="n">
        <x:v>87</x:v>
      </x:c>
      <x:c r="O12" s="13" t="n">
        <x:v>193</x:v>
      </x:c>
      <x:c r="P12" s="10" t="n"/>
      <x:c r="Q12" s="12" t="n"/>
      <x:c r="R12" s="88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6.75" customHeight="1">
      <x:c r="A13" s="12" t="inlineStr">
        <x:is>
          <x:t xml:space="preserve">Eanes ISD</x:t>
        </x:is>
      </x:c>
      <x:c r="B13" s="12" t="inlineStr">
        <x:is>
          <x:t xml:space="preserve">TX</x:t>
        </x:is>
      </x:c>
      <x:c r="C13" s="12" t="inlineStr">
        <x:is>
          <x:t xml:space="preserve">Austin</x:t>
        </x:is>
      </x:c>
      <x:c r="D13" s="86" t="n">
        <x:v>62</x:v>
      </x:c>
      <x:c r="E13" s="86" t="n">
        <x:v>15.4</x:v>
      </x:c>
      <x:c r="F13" s="86" t="n">
        <x:v>14.7</x:v>
      </x:c>
      <x:c r="G13" s="87" t="n">
        <x:v>0.9</x:v>
      </x:c>
      <x:c r="H13" s="13" t="n">
        <x:v>12.28</x:v>
      </x:c>
      <x:c r="I13" s="13" t="n">
        <x:v>130</x:v>
      </x:c>
      <x:c r="J13" s="86" t="n">
        <x:f>100-SUM(D13:G13)</x:f>
        <x:v>6.999999999999986</x:v>
      </x:c>
      <x:c r="K13" s="13" t="n">
        <x:v>2</x:v>
      </x:c>
      <x:c r="L13" s="13" t="n">
        <x:v>2</x:v>
      </x:c>
      <x:c r="M13" s="13" t="n">
        <x:v>5</x:v>
      </x:c>
      <x:c r="N13" s="13" t="n">
        <x:v>1</x:v>
      </x:c>
      <x:c r="O13" s="13" t="n">
        <x:v>10</x:v>
      </x:c>
      <x:c r="P13" s="10" t="n"/>
      <x:c r="Q13" s="12" t="n"/>
      <x:c r="R13" s="88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6.75" customHeight="1">
      <x:c r="A14" s="12" t="inlineStr">
        <x:is>
          <x:t xml:space="preserve">Flagstaff Unified School District</x:t>
        </x:is>
      </x:c>
      <x:c r="B14" s="12" t="inlineStr">
        <x:is>
          <x:t xml:space="preserve">AZ</x:t>
        </x:is>
      </x:c>
      <x:c r="C14" s="12" t="inlineStr">
        <x:is>
          <x:t xml:space="preserve">Flagstaff</x:t>
        </x:is>
      </x:c>
      <x:c r="D14" s="86" t="n">
        <x:v>39.8</x:v>
      </x:c>
      <x:c r="E14" s="86" t="n">
        <x:v>30.9</x:v>
      </x:c>
      <x:c r="F14" s="86" t="n">
        <x:v>0.8</x:v>
      </x:c>
      <x:c r="G14" s="87" t="n">
        <x:v>0.8</x:v>
      </x:c>
      <x:c r="H14" s="13" t="n">
        <x:v>15.68</x:v>
      </x:c>
      <x:c r="I14" s="13" t="n">
        <x:v>140</x:v>
      </x:c>
      <x:c r="J14" s="86" t="n">
        <x:f>100-SUM(D14:G14)</x:f>
        <x:v>27.700000000000017</x:v>
      </x:c>
      <x:c r="K14" s="13" t="n">
        <x:v>3</x:v>
      </x:c>
      <x:c r="L14" s="13" t="n">
        <x:v>2</x:v>
      </x:c>
      <x:c r="M14" s="13" t="n">
        <x:v>10</x:v>
      </x:c>
      <x:c r="N14" s="13" t="n">
        <x:v>0</x:v>
      </x:c>
      <x:c r="O14" s="13" t="n">
        <x:v>15</x:v>
      </x:c>
      <x:c r="P14" s="10" t="inlineStr">
        <x:is>
          <x:t xml:space="preserve">FUSD official about page says 15 comprehensive school sites; district school list includes 3 high schools and 2 middle schools.</x:t>
        </x:is>
      </x:c>
      <x:c r="Q14" s="12" t="n"/>
      <x:c r="R14" s="88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6.75" customHeight="1">
      <x:c r="A15" s="12" t="inlineStr">
        <x:is>
          <x:t xml:space="preserve">Glendale Union High School District</x:t>
        </x:is>
      </x:c>
      <x:c r="B15" s="12" t="inlineStr">
        <x:is>
          <x:t xml:space="preserve">AZ</x:t>
        </x:is>
      </x:c>
      <x:c r="C15" s="12" t="inlineStr">
        <x:is>
          <x:t xml:space="preserve">Phoenix Metro</x:t>
        </x:is>
      </x:c>
      <x:c r="D15" s="86" t="n">
        <x:v>23.4</x:v>
      </x:c>
      <x:c r="E15" s="86" t="n">
        <x:v>59.7</x:v>
      </x:c>
      <x:c r="F15" s="86" t="n">
        <x:v>3.2</x:v>
      </x:c>
      <x:c r="G15" s="87" t="n">
        <x:v>9.300000000000001</x:v>
      </x:c>
      <x:c r="H15" s="13" t="n">
        <x:v>22.24</x:v>
      </x:c>
      <x:c r="I15" s="13" t="n">
        <x:v>145</x:v>
      </x:c>
      <x:c r="J15" s="86" t="n">
        <x:f>100-SUM(D15:G15)</x:f>
        <x:v>4.400000000000006</x:v>
      </x:c>
      <x:c r="K15" s="13" t="n">
        <x:v>11</x:v>
      </x:c>
      <x:c r="L15" s="13" t="n">
        <x:v>0</x:v>
      </x:c>
      <x:c r="M15" s="13" t="n">
        <x:v>0</x:v>
      </x:c>
      <x:c r="N15" s="13" t="n">
        <x:v>0</x:v>
      </x:c>
      <x:c r="O15" s="13" t="n">
        <x:v>11</x:v>
      </x:c>
      <x:c r="P15" s="10" t="inlineStr">
        <x:is>
          <x:t xml:space="preserve">NCES lists 11 total schools. GUHSD is a high-school-only district; all schools counted as high schools. Substitute rate uses $145 adjusted rate of published $123-$199 daily range.</x:t>
        </x:is>
      </x:c>
      <x:c r="Q15" s="12" t="n"/>
      <x:c r="R15" s="88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6.75" customHeight="1">
      <x:c r="A16" s="12" t="inlineStr">
        <x:is>
          <x:t xml:space="preserve">Glendora Unified School District</x:t>
        </x:is>
      </x:c>
      <x:c r="B16" s="12" t="inlineStr">
        <x:is>
          <x:t xml:space="preserve">CA</x:t>
        </x:is>
      </x:c>
      <x:c r="C16" s="12" t="inlineStr">
        <x:is>
          <x:t xml:space="preserve">Southern California</x:t>
        </x:is>
      </x:c>
      <x:c r="D16" s="86" t="n">
        <x:v>28</x:v>
      </x:c>
      <x:c r="E16" s="86" t="n">
        <x:v>49</x:v>
      </x:c>
      <x:c r="F16" s="86" t="n">
        <x:v>15</x:v>
      </x:c>
      <x:c r="G16" s="87" t="n">
        <x:v>1</x:v>
      </x:c>
      <x:c r="H16" s="13" t="n">
        <x:v>24</x:v>
      </x:c>
      <x:c r="I16" s="13" t="n">
        <x:v>200</x:v>
      </x:c>
      <x:c r="J16" s="86" t="n">
        <x:f>100-SUM(D16:G16)</x:f>
        <x:v>7</x:v>
      </x:c>
      <x:c r="K16" s="13" t="n">
        <x:v>2</x:v>
      </x:c>
      <x:c r="L16" s="13" t="n">
        <x:v>2</x:v>
      </x:c>
      <x:c r="M16" s="13" t="n">
        <x:v>5</x:v>
      </x:c>
      <x:c r="N16" s="13" t="n">
        <x:v>1</x:v>
      </x:c>
      <x:c r="O16" s="13" t="n">
        <x:v>10</x:v>
      </x:c>
      <x:c r="P16" s="10" t="n"/>
      <x:c r="Q16" s="12" t="n"/>
      <x:c r="R16" s="88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6.75" customHeight="1">
      <x:c r="A17" s="12" t="inlineStr">
        <x:is>
          <x:t xml:space="preserve">Gwinnett County Public Schools</x:t>
        </x:is>
      </x:c>
      <x:c r="B17" s="12" t="inlineStr">
        <x:is>
          <x:t xml:space="preserve">GA</x:t>
        </x:is>
      </x:c>
      <x:c r="C17" s="12" t="inlineStr">
        <x:is>
          <x:t xml:space="preserve">Atlanta</x:t>
        </x:is>
      </x:c>
      <x:c r="D17" s="86" t="n">
        <x:v>14.5</x:v>
      </x:c>
      <x:c r="E17" s="86" t="n">
        <x:v>36.2</x:v>
      </x:c>
      <x:c r="F17" s="86" t="n">
        <x:v>13.1</x:v>
      </x:c>
      <x:c r="G17" s="87" t="n">
        <x:v>31.6</x:v>
      </x:c>
      <x:c r="H17" s="13" t="n">
        <x:v>14.26</x:v>
      </x:c>
      <x:c r="I17" s="13" t="n">
        <x:v>130</x:v>
      </x:c>
      <x:c r="J17" s="86" t="n">
        <x:f>100-SUM(D17:G17)</x:f>
        <x:v>4.599999999999994</x:v>
      </x:c>
      <x:c r="K17" s="13" t="n">
        <x:v>24</x:v>
      </x:c>
      <x:c r="L17" s="13" t="n">
        <x:v>29</x:v>
      </x:c>
      <x:c r="M17" s="13" t="n">
        <x:v>81</x:v>
      </x:c>
      <x:c r="N17" s="13" t="n">
        <x:v>8</x:v>
      </x:c>
      <x:c r="O17" s="13" t="n">
        <x:v>142</x:v>
      </x:c>
      <x:c r="P17" s="10" t="inlineStr">
        <x:is>
          <x:t xml:space="preserve">GCPS by the Numbers lists 81 elementary schools, 29 middle schools, 24 high schools, 7 special entities, and 1 charter school.</x:t>
        </x:is>
      </x:c>
      <x:c r="Q17" s="12" t="inlineStr">
        <x:is>
          <x:t xml:space="preserve">2026-06-13</x:t>
        </x:is>
      </x:c>
      <x:c r="R17" s="88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6.75" customHeight="1">
      <x:c r="A18" s="12" t="inlineStr">
        <x:is>
          <x:t xml:space="preserve">Jordan District</x:t>
        </x:is>
      </x:c>
      <x:c r="B18" s="12" t="inlineStr">
        <x:is>
          <x:t xml:space="preserve">UT</x:t>
        </x:is>
      </x:c>
      <x:c r="C18" s="12" t="inlineStr">
        <x:is>
          <x:t xml:space="preserve">Salt Lake Valley</x:t>
        </x:is>
      </x:c>
      <x:c r="D18" s="86" t="n">
        <x:v>70</x:v>
      </x:c>
      <x:c r="E18" s="86" t="n">
        <x:v>20</x:v>
      </x:c>
      <x:c r="F18" s="86" t="n">
        <x:v>2</x:v>
      </x:c>
      <x:c r="G18" s="87" t="n">
        <x:v>1</x:v>
      </x:c>
      <x:c r="H18" s="13" t="n">
        <x:v>21</x:v>
      </x:c>
      <x:c r="I18" s="13" t="n">
        <x:v>199</x:v>
      </x:c>
      <x:c r="J18" s="86" t="n">
        <x:f>100-SUM(D18:G18)</x:f>
        <x:v>7</x:v>
      </x:c>
      <x:c r="K18" s="13" t="n">
        <x:v>10</x:v>
      </x:c>
      <x:c r="L18" s="13" t="n">
        <x:v>13</x:v>
      </x:c>
      <x:c r="M18" s="13" t="n">
        <x:v>42</x:v>
      </x:c>
      <x:c r="N18" s="13" t="n">
        <x:v>3</x:v>
      </x:c>
      <x:c r="O18" s="13" t="n">
        <x:v>68</x:v>
      </x:c>
      <x:c r="P18" s="10" t="n"/>
      <x:c r="Q18" s="12" t="n"/>
      <x:c r="R18" s="88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6.75" customHeight="1">
      <x:c r="A19" s="12" t="inlineStr">
        <x:is>
          <x:t xml:space="preserve">Katy ISD</x:t>
        </x:is>
      </x:c>
      <x:c r="B19" s="12" t="inlineStr">
        <x:is>
          <x:t xml:space="preserve">TX</x:t>
        </x:is>
      </x:c>
      <x:c r="C19" s="12" t="inlineStr">
        <x:is>
          <x:t xml:space="preserve">Houston</x:t>
        </x:is>
      </x:c>
      <x:c r="D19" s="86" t="n">
        <x:v>27</x:v>
      </x:c>
      <x:c r="E19" s="86" t="n">
        <x:v>37</x:v>
      </x:c>
      <x:c r="F19" s="86" t="n">
        <x:v>17</x:v>
      </x:c>
      <x:c r="G19" s="87" t="n">
        <x:v>15</x:v>
      </x:c>
      <x:c r="H19" s="13" t="n">
        <x:v>14</x:v>
      </x:c>
      <x:c r="I19" s="13" t="n">
        <x:v>120</x:v>
      </x:c>
      <x:c r="J19" s="86" t="n">
        <x:f>100-SUM(D19:G19)</x:f>
        <x:v>4</x:v>
      </x:c>
      <x:c r="K19" s="13" t="n">
        <x:v>11</x:v>
      </x:c>
      <x:c r="L19" s="13" t="n">
        <x:v>18</x:v>
      </x:c>
      <x:c r="M19" s="13" t="n">
        <x:v>48</x:v>
      </x:c>
      <x:c r="N19" s="13" t="n">
        <x:v>3</x:v>
      </x:c>
      <x:c r="O19" s="13" t="n">
        <x:v>80</x:v>
      </x:c>
      <x:c r="P19" s="10" t="n"/>
      <x:c r="Q19" s="12" t="n"/>
      <x:c r="R19" s="88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6.75" customHeight="1">
      <x:c r="A20" s="12" t="inlineStr">
        <x:is>
          <x:t xml:space="preserve">La Cañada Unified School District</x:t>
        </x:is>
      </x:c>
      <x:c r="B20" s="12" t="inlineStr">
        <x:is>
          <x:t xml:space="preserve">CA</x:t>
        </x:is>
      </x:c>
      <x:c r="C20" s="12" t="inlineStr">
        <x:is>
          <x:t xml:space="preserve">Southern California</x:t>
        </x:is>
      </x:c>
      <x:c r="D20" s="86" t="n">
        <x:v>42</x:v>
      </x:c>
      <x:c r="E20" s="86" t="n">
        <x:v>12</x:v>
      </x:c>
      <x:c r="F20" s="86" t="n">
        <x:v>33</x:v>
      </x:c>
      <x:c r="G20" s="87" t="n">
        <x:v>0</x:v>
      </x:c>
      <x:c r="H20" s="13" t="n">
        <x:v>23.66</x:v>
      </x:c>
      <x:c r="I20" s="13" t="n">
        <x:v>200</x:v>
      </x:c>
      <x:c r="J20" s="86" t="n">
        <x:f>100-SUM(D20:G20)</x:f>
        <x:v>13</x:v>
      </x:c>
      <x:c r="K20" s="13" t="n">
        <x:v>1</x:v>
      </x:c>
      <x:c r="L20" s="13" t="n">
        <x:v>1</x:v>
      </x:c>
      <x:c r="M20" s="13" t="n">
        <x:v>3</x:v>
      </x:c>
      <x:c r="N20" s="13" t="n">
        <x:v>0</x:v>
      </x:c>
      <x:c r="O20" s="13" t="n">
        <x:v>4</x:v>
      </x:c>
      <x:c r="P20" s="10" t="n"/>
      <x:c r="Q20" s="12" t="n"/>
      <x:c r="R20" s="88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6.75" customHeight="1">
      <x:c r="A21" s="12" t="inlineStr">
        <x:is>
          <x:t xml:space="preserve">Lake Washington School District</x:t>
        </x:is>
      </x:c>
      <x:c r="B21" s="12" t="inlineStr">
        <x:is>
          <x:t xml:space="preserve">WA</x:t>
        </x:is>
      </x:c>
      <x:c r="C21" s="12" t="inlineStr">
        <x:is>
          <x:t xml:space="preserve">Seattle Eastside</x:t>
        </x:is>
      </x:c>
      <x:c r="D21" s="86" t="n">
        <x:v>35</x:v>
      </x:c>
      <x:c r="E21" s="86" t="n">
        <x:v>15</x:v>
      </x:c>
      <x:c r="F21" s="86" t="n">
        <x:v>38</x:v>
      </x:c>
      <x:c r="G21" s="87" t="n">
        <x:v>3</x:v>
      </x:c>
      <x:c r="H21" s="13" t="n">
        <x:v>17.91</x:v>
      </x:c>
      <x:c r="I21" s="13" t="n">
        <x:v>222</x:v>
      </x:c>
      <x:c r="J21" s="86" t="n">
        <x:f>100-SUM(D21:G21)</x:f>
        <x:v>9</x:v>
      </x:c>
      <x:c r="K21" s="13" t="n">
        <x:v>6</x:v>
      </x:c>
      <x:c r="L21" s="13" t="n">
        <x:v>11</x:v>
      </x:c>
      <x:c r="M21" s="13" t="n">
        <x:v>33</x:v>
      </x:c>
      <x:c r="N21" s="13" t="n">
        <x:v>7</x:v>
      </x:c>
      <x:c r="O21" s="13" t="n">
        <x:v>57</x:v>
      </x:c>
      <x:c r="P21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Q21" s="12" t="inlineStr">
        <x:is>
          <x:t xml:space="preserve">2026-06-13</x:t>
        </x:is>
      </x:c>
      <x:c r="R21" s="88" t="n">
        <x:v>9</x:v>
      </x:c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6.75" customHeight="1">
      <x:c r="A22" s="12" t="inlineStr">
        <x:is>
          <x:t xml:space="preserve">Leander ISD</x:t>
        </x:is>
      </x:c>
      <x:c r="B22" s="12" t="inlineStr">
        <x:is>
          <x:t xml:space="preserve">TX</x:t>
        </x:is>
      </x:c>
      <x:c r="C22" s="12" t="inlineStr">
        <x:is>
          <x:t xml:space="preserve">Austin</x:t>
        </x:is>
      </x:c>
      <x:c r="D22" s="86" t="n">
        <x:v>46</x:v>
      </x:c>
      <x:c r="E22" s="86" t="n">
        <x:v>26</x:v>
      </x:c>
      <x:c r="F22" s="86" t="n">
        <x:v>17</x:v>
      </x:c>
      <x:c r="G22" s="87" t="n">
        <x:v>5</x:v>
      </x:c>
      <x:c r="H22" s="13" t="n">
        <x:v>14</x:v>
      </x:c>
      <x:c r="I22" s="13" t="n">
        <x:v>130</x:v>
      </x:c>
      <x:c r="J22" s="86" t="n">
        <x:f>100-SUM(D22:G22)</x:f>
        <x:v>6</x:v>
      </x:c>
      <x:c r="K22" s="13" t="n">
        <x:v>6</x:v>
      </x:c>
      <x:c r="L22" s="13" t="n">
        <x:v>9</x:v>
      </x:c>
      <x:c r="M22" s="13" t="n">
        <x:v>30</x:v>
      </x:c>
      <x:c r="N22" s="13" t="n">
        <x:v>4</x:v>
      </x:c>
      <x:c r="O22" s="13" t="n">
        <x:v>49</x:v>
      </x:c>
      <x:c r="P22" s="10" t="n"/>
      <x:c r="Q22" s="12" t="n"/>
      <x:c r="R22" s="88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6.75" customHeight="1">
      <x:c r="A23" s="12" t="inlineStr">
        <x:is>
          <x:t xml:space="preserve">Los Angeles Unified</x:t>
        </x:is>
      </x:c>
      <x:c r="B23" s="12" t="inlineStr">
        <x:is>
          <x:t xml:space="preserve">CA</x:t>
        </x:is>
      </x:c>
      <x:c r="C23" s="12" t="inlineStr">
        <x:is>
          <x:t xml:space="preserve">Southern California</x:t>
        </x:is>
      </x:c>
      <x:c r="D23" s="86" t="n">
        <x:v>10</x:v>
      </x:c>
      <x:c r="E23" s="86" t="n">
        <x:v>73</x:v>
      </x:c>
      <x:c r="F23" s="86" t="n">
        <x:v>4</x:v>
      </x:c>
      <x:c r="G23" s="87" t="n">
        <x:v>7</x:v>
      </x:c>
      <x:c r="H23" s="13" t="n">
        <x:v>19.2</x:v>
      </x:c>
      <x:c r="I23" s="13" t="n">
        <x:v>261.49</x:v>
      </x:c>
      <x:c r="J23" s="86" t="n">
        <x:f>100-SUM(D23:G23)</x:f>
        <x:v>6</x:v>
      </x:c>
      <x:c r="K23" s="13" t="n"/>
      <x:c r="L23" s="13" t="n"/>
      <x:c r="M23" s="13" t="n"/>
      <x:c r="N23" s="13" t="n"/>
      <x:c r="O23" s="13" t="n">
        <x:v>784</x:v>
      </x:c>
      <x:c r="P23" s="10" t="n"/>
      <x:c r="Q23" s="12" t="n"/>
      <x:c r="R23" s="88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6.75" customHeight="1">
      <x:c r="A24" s="12" t="inlineStr">
        <x:is>
          <x:t xml:space="preserve">Loudoun County Public Schools</x:t>
        </x:is>
      </x:c>
      <x:c r="B24" s="12" t="inlineStr">
        <x:is>
          <x:t xml:space="preserve">VA</x:t>
        </x:is>
      </x:c>
      <x:c r="C24" s="12" t="inlineStr">
        <x:is>
          <x:t xml:space="preserve">Northern VA/DC</x:t>
        </x:is>
      </x:c>
      <x:c r="D24" s="86" t="n">
        <x:v>38</x:v>
      </x:c>
      <x:c r="E24" s="86" t="n">
        <x:v>18</x:v>
      </x:c>
      <x:c r="F24" s="86" t="n">
        <x:v>26</x:v>
      </x:c>
      <x:c r="G24" s="87" t="n">
        <x:v>7</x:v>
      </x:c>
      <x:c r="H24" s="13" t="n">
        <x:v>12.13</x:v>
      </x:c>
      <x:c r="I24" s="13" t="n">
        <x:v>135.03</x:v>
      </x:c>
      <x:c r="J24" s="86" t="n">
        <x:f>100-SUM(D24:G24)</x:f>
        <x:v>11</x:v>
      </x:c>
      <x:c r="K24" s="13" t="n">
        <x:v>17</x:v>
      </x:c>
      <x:c r="L24" s="13" t="n">
        <x:v>18</x:v>
      </x:c>
      <x:c r="M24" s="13" t="n">
        <x:v>62</x:v>
      </x:c>
      <x:c r="N24" s="13" t="n">
        <x:v>5</x:v>
      </x:c>
      <x:c r="O24" s="13" t="n">
        <x:v>102</x:v>
      </x:c>
      <x:c r="P24" s="10" t="inlineStr">
        <x:is>
          <x:t xml:space="preserve">LCPS operates a very large PK-12 system; NCES lists 102 total schools, and the high-school list includes 17 traditional high schools. Counts use 17 high schools, 18 middle schools, 62 elementary schools, and 5 other/specialty campuses to reconcile to 102 total schools.</x:t>
        </x:is>
      </x:c>
      <x:c r="Q24" s="12" t="inlineStr">
        <x:is>
          <x:t xml:space="preserve">2026-06-13</x:t>
        </x:is>
      </x:c>
      <x:c r="R24" s="88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6.75" customHeight="1">
      <x:c r="A25" s="12" t="inlineStr">
        <x:is>
          <x:t xml:space="preserve">Madison Metropolitan School District</x:t>
        </x:is>
      </x:c>
      <x:c r="B25" s="12" t="inlineStr">
        <x:is>
          <x:t xml:space="preserve">WI</x:t>
        </x:is>
      </x:c>
      <x:c r="C25" s="12" t="inlineStr">
        <x:is>
          <x:t xml:space="preserve">Madison</x:t>
        </x:is>
      </x:c>
      <x:c r="D25" s="86" t="n">
        <x:v>39</x:v>
      </x:c>
      <x:c r="E25" s="86" t="n">
        <x:v>25</x:v>
      </x:c>
      <x:c r="F25" s="86" t="n">
        <x:v>7</x:v>
      </x:c>
      <x:c r="G25" s="87" t="n">
        <x:v>18</x:v>
      </x:c>
      <x:c r="H25" s="13" t="n">
        <x:v>11.61</x:v>
      </x:c>
      <x:c r="I25" s="13" t="n">
        <x:v>195.44</x:v>
      </x:c>
      <x:c r="J25" s="86" t="n">
        <x:v>11</x:v>
      </x:c>
      <x:c r="K25" s="13" t="n">
        <x:v>8</x:v>
      </x:c>
      <x:c r="L25" s="13" t="n">
        <x:v>12</x:v>
      </x:c>
      <x:c r="M25" s="13" t="n">
        <x:v>32</x:v>
      </x:c>
      <x:c r="N25" s="13" t="n">
        <x:v>0</x:v>
      </x:c>
      <x:c r="O25" s="13" t="n">
        <x:v>52</x:v>
      </x:c>
      <x:c r="P25" s="10" t="inlineStr">
        <x:is>
          <x:t xml:space="preserve">https://www.madison.k12.wi.us/about</x:t>
        </x:is>
      </x:c>
      <x:c r="Q25" s="12" t="inlineStr">
        <x:is>
          <x:t xml:space="preserve">2026-06-11</x:t>
        </x:is>
      </x:c>
      <x:c r="R25" s="88" t="n">
        <x:v>11</x:v>
      </x:c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6.75" customHeight="1">
      <x:c r="A26" s="12" t="inlineStr">
        <x:is>
          <x:t xml:space="preserve">Metro Nashville Public Schools</x:t>
        </x:is>
      </x:c>
      <x:c r="B26" s="12" t="inlineStr">
        <x:is>
          <x:t xml:space="preserve">TN</x:t>
        </x:is>
      </x:c>
      <x:c r="C26" s="12" t="inlineStr">
        <x:is>
          <x:t xml:space="preserve">Nashville</x:t>
        </x:is>
      </x:c>
      <x:c r="D26" s="86" t="n">
        <x:v>24.4</x:v>
      </x:c>
      <x:c r="E26" s="86" t="n">
        <x:v>32.2</x:v>
      </x:c>
      <x:c r="F26" s="86" t="n">
        <x:v>3.8</x:v>
      </x:c>
      <x:c r="G26" s="87" t="n">
        <x:v>39.2</x:v>
      </x:c>
      <x:c r="H26" s="13" t="n">
        <x:v>16</x:v>
      </x:c>
      <x:c r="I26" s="13" t="n">
        <x:v>145</x:v>
      </x:c>
      <x:c r="J26" s="86" t="n">
        <x:f>100-SUM(D26:G26)</x:f>
        <x:v>0.4000000000000057</x:v>
      </x:c>
      <x:c r="K26" s="13" t="n">
        <x:v>21</x:v>
      </x:c>
      <x:c r="L26" s="13" t="n">
        <x:v>28</x:v>
      </x:c>
      <x:c r="M26" s="13" t="n"/>
      <x:c r="N26" s="13" t="n"/>
      <x:c r="O26" s="13" t="n">
        <x:v>162</x:v>
      </x:c>
      <x:c r="P26" s="10" t="inlineStr">
        <x:is>
          <x:t xml:space="preserve">MNPS official schools directory high-school filter lists 21 high schools; middle/K-8 count remains from the public school-options list.</x:t>
        </x:is>
      </x:c>
      <x:c r="Q26" s="12" t="n"/>
      <x:c r="R26" s="88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6.75" customHeight="1">
      <x:c r="A27" s="12" t="inlineStr">
        <x:is>
          <x:t xml:space="preserve">Nassau County School District</x:t>
        </x:is>
      </x:c>
      <x:c r="B27" s="12" t="inlineStr">
        <x:is>
          <x:t xml:space="preserve">FL</x:t>
        </x:is>
      </x:c>
      <x:c r="C27" s="12" t="inlineStr">
        <x:is>
          <x:t xml:space="preserve">Northeast FL</x:t>
        </x:is>
      </x:c>
      <x:c r="D27" s="86" t="n">
        <x:v>75</x:v>
      </x:c>
      <x:c r="E27" s="86" t="n">
        <x:v>11</x:v>
      </x:c>
      <x:c r="F27" s="86" t="n">
        <x:v>2</x:v>
      </x:c>
      <x:c r="G27" s="87" t="n">
        <x:v>7</x:v>
      </x:c>
      <x:c r="H27" s="13" t="n">
        <x:v>15.55</x:v>
      </x:c>
      <x:c r="I27" s="13" t="n">
        <x:v>120</x:v>
      </x:c>
      <x:c r="J27" s="86" t="n">
        <x:f>100-SUM(D27:G27)</x:f>
        <x:v>5</x:v>
      </x:c>
      <x:c r="K27" s="13" t="n">
        <x:v>4</x:v>
      </x:c>
      <x:c r="L27" s="13" t="n">
        <x:v>3</x:v>
      </x:c>
      <x:c r="M27" s="13" t="n">
        <x:v>9</x:v>
      </x:c>
      <x:c r="N27" s="13" t="n">
        <x:v>1</x:v>
      </x:c>
      <x:c r="O27" s="13" t="n">
        <x:v>17</x:v>
      </x:c>
      <x:c r="P27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Q27" s="12" t="inlineStr">
        <x:is>
          <x:t xml:space="preserve">2026-06-13</x:t>
        </x:is>
      </x:c>
      <x:c r="R27" s="88" t="n">
        <x:v>5</x:v>
      </x:c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6.75" customHeight="1">
      <x:c r="A28" s="12" t="inlineStr">
        <x:is>
          <x:t xml:space="preserve">North Clackamas School District</x:t>
        </x:is>
      </x:c>
      <x:c r="B28" s="12" t="inlineStr">
        <x:is>
          <x:t xml:space="preserve">OR</x:t>
        </x:is>
      </x:c>
      <x:c r="C28" s="12" t="inlineStr">
        <x:is>
          <x:t xml:space="preserve">Portland</x:t>
        </x:is>
      </x:c>
      <x:c r="D28" s="86" t="n">
        <x:v>56</x:v>
      </x:c>
      <x:c r="E28" s="86" t="n">
        <x:v>20</x:v>
      </x:c>
      <x:c r="F28" s="86" t="n">
        <x:v>12</x:v>
      </x:c>
      <x:c r="G28" s="87" t="n">
        <x:v>3</x:v>
      </x:c>
      <x:c r="H28" s="13" t="n">
        <x:v>19.32</x:v>
      </x:c>
      <x:c r="I28" s="13" t="n">
        <x:v>250</x:v>
      </x:c>
      <x:c r="J28" s="86" t="n">
        <x:f>100-SUM(D28:G28)</x:f>
        <x:v>9</x:v>
      </x:c>
      <x:c r="K28" s="13" t="n">
        <x:v>5</x:v>
      </x:c>
      <x:c r="L28" s="13" t="n">
        <x:v>4</x:v>
      </x:c>
      <x:c r="M28" s="13" t="n">
        <x:v>18</x:v>
      </x:c>
      <x:c r="N28" s="13" t="n">
        <x:v>5</x:v>
      </x:c>
      <x:c r="O28" s="13" t="n">
        <x:v>32</x:v>
      </x:c>
      <x:c r="P28" s="10" t="inlineStr">
        <x:is>
          <x:t xml:space="preserve">District page lists 32 schools total; counts entered as 18 elementary, 4 middle, 5 high, 5 charter/CTE/specialty.</x:t>
        </x:is>
      </x:c>
      <x:c r="Q28" s="12" t="n"/>
      <x:c r="R28" s="88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6.75" customHeight="1">
      <x:c r="A29" s="12" t="inlineStr">
        <x:is>
          <x:t xml:space="preserve">Oakland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Bay Area</x:t>
        </x:is>
      </x:c>
      <x:c r="D29" s="86" t="n">
        <x:v>12</x:v>
      </x:c>
      <x:c r="E29" s="86" t="n">
        <x:v>47</x:v>
      </x:c>
      <x:c r="F29" s="86" t="n">
        <x:v>11</x:v>
      </x:c>
      <x:c r="G29" s="87" t="n">
        <x:v>20</x:v>
      </x:c>
      <x:c r="H29" s="13" t="n">
        <x:v>19</x:v>
      </x:c>
      <x:c r="I29" s="13" t="n">
        <x:v>337</x:v>
      </x:c>
      <x:c r="J29" s="86" t="n">
        <x:f>100-SUM(D29:G29)</x:f>
        <x:v>10</x:v>
      </x:c>
      <x:c r="K29" s="13" t="n"/>
      <x:c r="L29" s="13" t="n"/>
      <x:c r="M29" s="13" t="n"/>
      <x:c r="N29" s="13" t="n"/>
      <x:c r="O29" s="13" t="n">
        <x:v>80</x:v>
      </x:c>
      <x:c r="P29" s="10" t="n"/>
      <x:c r="Q29" s="12" t="n"/>
      <x:c r="R29" s="88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6.75" customHeight="1">
      <x:c r="A30" s="12" t="inlineStr">
        <x:is>
          <x:t xml:space="preserve">Ocean Springs School District</x:t>
        </x:is>
      </x:c>
      <x:c r="B30" s="12" t="inlineStr">
        <x:is>
          <x:t xml:space="preserve">MS</x:t>
        </x:is>
      </x:c>
      <x:c r="C30" s="12" t="inlineStr">
        <x:is>
          <x:t xml:space="preserve">Mississippi Gulf Coast</x:t>
        </x:is>
      </x:c>
      <x:c r="D30" s="86" t="n">
        <x:v>69.19</x:v>
      </x:c>
      <x:c r="E30" s="86" t="n">
        <x:v>9.02</x:v>
      </x:c>
      <x:c r="F30" s="86" t="n">
        <x:v>2.89</x:v>
      </x:c>
      <x:c r="G30" s="87" t="n">
        <x:v>12.61</x:v>
      </x:c>
      <x:c r="H30" s="13" t="n">
        <x:v>13.65</x:v>
      </x:c>
      <x:c r="I30" s="13" t="n">
        <x:v>90</x:v>
      </x:c>
      <x:c r="J30" s="86" t="n">
        <x:f>100-SUM(D30:G30)</x:f>
        <x:v>6.290000000000006</x:v>
      </x:c>
      <x:c r="K30" s="13" t="n">
        <x:v>1</x:v>
      </x:c>
      <x:c r="L30" s="13" t="n">
        <x:v>1</x:v>
      </x:c>
      <x:c r="M30" s="13" t="n">
        <x:v>4</x:v>
      </x:c>
      <x:c r="N30" s="13" t="n">
        <x:v>1</x:v>
      </x:c>
      <x:c r="O30" s="13" t="n">
        <x:v>7</x:v>
      </x:c>
      <x:c r="P30" s="10" t="inlineStr">
        <x:is>
          <x:t xml:space="preserve"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x:t>
        </x:is>
      </x:c>
      <x:c r="Q30" s="12" t="n"/>
      <x:c r="R30" s="88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6.75" customHeight="1">
      <x:c r="A31" s="12" t="inlineStr">
        <x:is>
          <x:t xml:space="preserve">Oxnard Union High School District</x:t>
        </x:is>
      </x:c>
      <x:c r="B31" s="12" t="inlineStr">
        <x:is>
          <x:t xml:space="preserve">CA</x:t>
        </x:is>
      </x:c>
      <x:c r="C31" s="12" t="inlineStr">
        <x:is>
          <x:t xml:space="preserve">Southern California</x:t>
        </x:is>
      </x:c>
      <x:c r="D31" s="86" t="n">
        <x:v>15</x:v>
      </x:c>
      <x:c r="E31" s="86" t="n">
        <x:v>80</x:v>
      </x:c>
      <x:c r="F31" s="86" t="n">
        <x:v>2</x:v>
      </x:c>
      <x:c r="G31" s="87" t="n">
        <x:v>2</x:v>
      </x:c>
      <x:c r="H31" s="13" t="n">
        <x:v>25</x:v>
      </x:c>
      <x:c r="I31" s="13" t="n">
        <x:v>185</x:v>
      </x:c>
      <x:c r="J31" s="86" t="n">
        <x:f>100-SUM(D31:G31)</x:f>
        <x:v>1</x:v>
      </x:c>
      <x:c r="K31" s="13" t="n">
        <x:v>12</x:v>
      </x:c>
      <x:c r="L31" s="13" t="n">
        <x:v>0</x:v>
      </x:c>
      <x:c r="M31" s="13" t="n">
        <x:v>0</x:v>
      </x:c>
      <x:c r="N31" s="13" t="n">
        <x:v>0</x:v>
      </x:c>
      <x:c r="O31" s="13" t="n">
        <x:v>12</x:v>
      </x:c>
      <x:c r="P31" s="10" t="n"/>
      <x:c r="Q31" s="12" t="n"/>
      <x:c r="R31" s="88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6.75" customHeight="1">
      <x:c r="A32" s="12" t="inlineStr">
        <x:is>
          <x:t xml:space="preserve">Portland Public Schools</x:t>
        </x:is>
      </x:c>
      <x:c r="B32" s="12" t="inlineStr">
        <x:is>
          <x:t xml:space="preserve">OR</x:t>
        </x:is>
      </x:c>
      <x:c r="C32" s="12" t="inlineStr">
        <x:is>
          <x:t xml:space="preserve">Portland</x:t>
        </x:is>
      </x:c>
      <x:c r="D32" s="86" t="n">
        <x:v>53.3</x:v>
      </x:c>
      <x:c r="E32" s="86" t="n">
        <x:v>18.4</x:v>
      </x:c>
      <x:c r="F32" s="86" t="n">
        <x:v>5.7</x:v>
      </x:c>
      <x:c r="G32" s="87" t="n">
        <x:v>8.300000000000001</x:v>
      </x:c>
      <x:c r="H32" s="13" t="n">
        <x:v>16.04</x:v>
      </x:c>
      <x:c r="I32" s="13" t="n">
        <x:v>275.71</x:v>
      </x:c>
      <x:c r="J32" s="86" t="n">
        <x:f>100-SUM(D32:G32)</x:f>
        <x:v>14.300000000000011</x:v>
      </x:c>
      <x:c r="K32" s="13" t="n">
        <x:v>10</x:v>
      </x:c>
      <x:c r="L32" s="13" t="n">
        <x:v>15</x:v>
      </x:c>
      <x:c r="M32" s="13" t="n">
        <x:v>45</x:v>
      </x:c>
      <x:c r="N32" s="13" t="n">
        <x:v>11</x:v>
      </x:c>
      <x:c r="O32" s="13" t="n">
        <x:v>81</x:v>
      </x:c>
      <x:c r="P32" s="10" t="inlineStr">
        <x:is>
          <x:t xml:space="preserve">PPS 2025-26 overview: 45 elementary, 10 K-8, 15 middle, 10 high, 1 K-12; total 81.</x:t>
        </x:is>
      </x:c>
      <x:c r="Q32" s="12" t="n"/>
      <x:c r="R32" s="88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6.75" customHeight="1">
      <x:c r="A33" s="12" t="inlineStr">
        <x:is>
          <x:t xml:space="preserve">Provo City School District</x:t>
        </x:is>
      </x:c>
      <x:c r="B33" s="12" t="inlineStr">
        <x:is>
          <x:t xml:space="preserve">UT</x:t>
        </x:is>
      </x:c>
      <x:c r="C33" s="12" t="inlineStr">
        <x:is>
          <x:t xml:space="preserve">Salt Lake Valley</x:t>
        </x:is>
      </x:c>
      <x:c r="D33" s="86" t="n">
        <x:v>56</x:v>
      </x:c>
      <x:c r="E33" s="86" t="n">
        <x:v>33</x:v>
      </x:c>
      <x:c r="F33" s="86" t="n">
        <x:v>2</x:v>
      </x:c>
      <x:c r="G33" s="87" t="n">
        <x:v>1</x:v>
      </x:c>
      <x:c r="H33" s="13" t="n">
        <x:v>20</x:v>
      </x:c>
      <x:c r="I33" s="13" t="n">
        <x:v>185</x:v>
      </x:c>
      <x:c r="J33" s="86" t="n">
        <x:f>100-SUM(D33:G33)</x:f>
        <x:v>8</x:v>
      </x:c>
      <x:c r="K33" s="13" t="n">
        <x:v>3</x:v>
      </x:c>
      <x:c r="L33" s="13" t="n">
        <x:v>2</x:v>
      </x:c>
      <x:c r="M33" s="13" t="n">
        <x:v>13</x:v>
      </x:c>
      <x:c r="N33" s="13" t="n">
        <x:v>0</x:v>
      </x:c>
      <x:c r="O33" s="13" t="n">
        <x:v>18</x:v>
      </x:c>
      <x:c r="P33" s="10" t="n"/>
      <x:c r="Q33" s="12" t="n"/>
      <x:c r="R33" s="88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6.75" customHeight="1">
      <x:c r="A34" s="12" t="inlineStr">
        <x:is>
          <x:t xml:space="preserve">Royal ISD</x:t>
        </x:is>
      </x:c>
      <x:c r="B34" s="12" t="inlineStr">
        <x:is>
          <x:t xml:space="preserve">TX</x:t>
        </x:is>
      </x:c>
      <x:c r="C34" s="12" t="inlineStr">
        <x:is>
          <x:t xml:space="preserve">Houston</x:t>
        </x:is>
      </x:c>
      <x:c r="D34" s="86" t="n">
        <x:v>7.9</x:v>
      </x:c>
      <x:c r="E34" s="86" t="n">
        <x:v>72.09999999999999</x:v>
      </x:c>
      <x:c r="F34" s="86" t="n">
        <x:v>1.2</x:v>
      </x:c>
      <x:c r="G34" s="87" t="n">
        <x:v>16.5</x:v>
      </x:c>
      <x:c r="H34" s="13" t="n">
        <x:v>16.81</x:v>
      </x:c>
      <x:c r="I34" s="13" t="n">
        <x:v>125</x:v>
      </x:c>
      <x:c r="J34" s="86" t="n">
        <x:f>100-SUM(D34:G34)</x:f>
        <x:v>2.299999999999997</x:v>
      </x:c>
      <x:c r="K34" s="13" t="n">
        <x:v>1</x:v>
      </x:c>
      <x:c r="L34" s="13" t="n">
        <x:v>1</x:v>
      </x:c>
      <x:c r="M34" s="13" t="n">
        <x:v>3</x:v>
      </x:c>
      <x:c r="N34" s="13" t="n">
        <x:v>1</x:v>
      </x:c>
      <x:c r="O34" s="13" t="n">
        <x:v>6</x:v>
      </x:c>
      <x:c r="P34" s="10" t="inlineStr">
        <x:is>
          <x:t xml:space="preserve"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x:t>
        </x:is>
      </x:c>
      <x:c r="Q34" s="12" t="n"/>
      <x:c r="R34" s="88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6.75" customHeight="1">
      <x:c r="A35" s="12" t="inlineStr">
        <x:is>
          <x:t xml:space="preserve">Saint Helena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Northern California</x:t>
        </x:is>
      </x:c>
      <x:c r="D35" s="86" t="n">
        <x:v>42</x:v>
      </x:c>
      <x:c r="E35" s="86" t="n">
        <x:v>53</x:v>
      </x:c>
      <x:c r="F35" s="86" t="n">
        <x:v>2</x:v>
      </x:c>
      <x:c r="G35" s="87" t="n">
        <x:v>1</x:v>
      </x:c>
      <x:c r="H35" s="13" t="n">
        <x:v>13.32</x:v>
      </x:c>
      <x:c r="I35" s="13" t="n">
        <x:v>275</x:v>
      </x:c>
      <x:c r="J35" s="86" t="n">
        <x:f>100-SUM(D35:G35)</x:f>
        <x:v>2</x:v>
      </x:c>
      <x:c r="K35" s="13" t="n">
        <x:v>1</x:v>
      </x:c>
      <x:c r="L35" s="13" t="n">
        <x:v>1</x:v>
      </x:c>
      <x:c r="M35" s="13" t="n">
        <x:v>2</x:v>
      </x:c>
      <x:c r="N35" s="13" t="n">
        <x:v>1</x:v>
      </x:c>
      <x:c r="O35" s="13" t="n">
        <x:v>5</x:v>
      </x:c>
      <x:c r="P35" s="10" t="inlineStr">
        <x:is>
          <x:t xml:space="preserve">District site lists St. Helena High, Robert Louis Stevenson Middle, St. Helena Elementary, St. Helena Primary, and St. Helena Opportunities Program; NCES lists 5 total schools.</x:t>
        </x:is>
      </x:c>
      <x:c r="Q35" s="12" t="n"/>
      <x:c r="R35" s="88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6.75" customHeight="1">
      <x:c r="A36" s="12" t="inlineStr">
        <x:is>
          <x:t xml:space="preserve">Salt Lake School District</x:t>
        </x:is>
      </x:c>
      <x:c r="B36" s="12" t="inlineStr">
        <x:is>
          <x:t xml:space="preserve">UT</x:t>
        </x:is>
      </x:c>
      <x:c r="C36" s="12" t="inlineStr">
        <x:is>
          <x:t xml:space="preserve">Salt Lake Valley</x:t>
        </x:is>
      </x:c>
      <x:c r="D36" s="86" t="n">
        <x:v>40</x:v>
      </x:c>
      <x:c r="E36" s="86" t="n">
        <x:v>40</x:v>
      </x:c>
      <x:c r="F36" s="86" t="n">
        <x:v>5</x:v>
      </x:c>
      <x:c r="G36" s="87" t="n">
        <x:v>5</x:v>
      </x:c>
      <x:c r="H36" s="13" t="n">
        <x:v>17</x:v>
      </x:c>
      <x:c r="I36" s="13" t="n">
        <x:v>189</x:v>
      </x:c>
      <x:c r="J36" s="86" t="n">
        <x:f>100-SUM(D36:G36)</x:f>
        <x:v>10</x:v>
      </x:c>
      <x:c r="K36" s="13" t="n">
        <x:v>5</x:v>
      </x:c>
      <x:c r="L36" s="13" t="n">
        <x:v>5</x:v>
      </x:c>
      <x:c r="M36" s="13" t="n">
        <x:v>21</x:v>
      </x:c>
      <x:c r="N36" s="13" t="n">
        <x:v>4</x:v>
      </x:c>
      <x:c r="O36" s="13" t="n">
        <x:v>35</x:v>
      </x:c>
      <x:c r="P36" s="10" t="n"/>
      <x:c r="Q36" s="12" t="n"/>
      <x:c r="R36" s="88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6.75" customHeight="1">
      <x:c r="A37" s="12" t="inlineStr">
        <x:is>
          <x:t xml:space="preserve">San Antonio ISD</x:t>
        </x:is>
      </x:c>
      <x:c r="B37" s="12" t="inlineStr">
        <x:is>
          <x:t xml:space="preserve">TX</x:t>
        </x:is>
      </x:c>
      <x:c r="C37" s="12" t="inlineStr">
        <x:is>
          <x:t xml:space="preserve">San Antonio</x:t>
        </x:is>
      </x:c>
      <x:c r="D37" s="86" t="n">
        <x:v>3</x:v>
      </x:c>
      <x:c r="E37" s="86" t="n">
        <x:v>89.59999999999999</x:v>
      </x:c>
      <x:c r="F37" s="86" t="n">
        <x:v>1.4</x:v>
      </x:c>
      <x:c r="G37" s="87" t="n">
        <x:v>6</x:v>
      </x:c>
      <x:c r="H37" s="13" t="n">
        <x:v>14.95</x:v>
      </x:c>
      <x:c r="I37" s="13" t="n">
        <x:v>140</x:v>
      </x:c>
      <x:c r="J37" s="86" t="n">
        <x:f>100-SUM(D37:G37)</x:f>
        <x:v>0</x:v>
      </x:c>
      <x:c r="K37" s="13" t="n">
        <x:v>14</x:v>
      </x:c>
      <x:c r="L37" s="13" t="n">
        <x:v>12</x:v>
      </x:c>
      <x:c r="M37" s="13" t="n">
        <x:v>51</x:v>
      </x:c>
      <x:c r="N37" s="13" t="n">
        <x:v>6</x:v>
      </x:c>
      <x:c r="O37" s="13" t="n">
        <x:v>83</x:v>
      </x:c>
      <x:c r="P37" s="10" t="inlineStr">
        <x:is>
          <x:t xml:space="preserve">Campus counts from Texas Tribune Schools Explorer. Demographic fields use Hispanic share from Texas Tribune, Black share from Express-News, and remaining minority/white share estimated from Public School Review summary.</x:t>
        </x:is>
      </x:c>
      <x:c r="Q37" s="12" t="n"/>
      <x:c r="R37" s="88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6.75" customHeight="1">
      <x:c r="A38" s="12" t="inlineStr">
        <x:is>
          <x:t xml:space="preserve">San Diego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Southern California</x:t>
        </x:is>
      </x:c>
      <x:c r="D38" s="86" t="n">
        <x:v>24</x:v>
      </x:c>
      <x:c r="E38" s="86" t="n">
        <x:v>45</x:v>
      </x:c>
      <x:c r="F38" s="86" t="n">
        <x:v>14</x:v>
      </x:c>
      <x:c r="G38" s="87" t="n">
        <x:v>7</x:v>
      </x:c>
      <x:c r="H38" s="13" t="n">
        <x:v>22</x:v>
      </x:c>
      <x:c r="I38" s="13" t="n">
        <x:v>250</x:v>
      </x:c>
      <x:c r="J38" s="86" t="n">
        <x:f>100-SUM(D38:G38)</x:f>
        <x:v>10</x:v>
      </x:c>
      <x:c r="K38" s="13" t="n">
        <x:v>22</x:v>
      </x:c>
      <x:c r="L38" s="13" t="n">
        <x:v>24</x:v>
      </x:c>
      <x:c r="M38" s="13" t="n">
        <x:v>117</x:v>
      </x:c>
      <x:c r="N38" s="13" t="n">
        <x:v>13</x:v>
      </x:c>
      <x:c r="O38" s="13" t="n">
        <x:v>176</x:v>
      </x:c>
      <x:c r="P38" s="10" t="n"/>
      <x:c r="Q38" s="12" t="n"/>
      <x:c r="R38" s="88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6.75" customHeight="1">
      <x:c r="A39" s="12" t="inlineStr">
        <x:is>
          <x:t xml:space="preserve">San Jose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Bay Area</x:t>
        </x:is>
      </x:c>
      <x:c r="D39" s="86" t="n">
        <x:v>21</x:v>
      </x:c>
      <x:c r="E39" s="86" t="n">
        <x:v>54</x:v>
      </x:c>
      <x:c r="F39" s="86" t="n">
        <x:v>16</x:v>
      </x:c>
      <x:c r="G39" s="87" t="n">
        <x:v>2</x:v>
      </x:c>
      <x:c r="H39" s="13" t="n">
        <x:v>21</x:v>
      </x:c>
      <x:c r="I39" s="13" t="n">
        <x:v>200</x:v>
      </x:c>
      <x:c r="J39" s="86" t="n">
        <x:f>100-SUM(D39:G39)</x:f>
        <x:v>7</x:v>
      </x:c>
      <x:c r="K39" s="13" t="n">
        <x:v>6</x:v>
      </x:c>
      <x:c r="L39" s="13" t="n">
        <x:v>6</x:v>
      </x:c>
      <x:c r="M39" s="13" t="n">
        <x:v>26</x:v>
      </x:c>
      <x:c r="N39" s="13" t="n">
        <x:v>3</x:v>
      </x:c>
      <x:c r="O39" s="13" t="n">
        <x:v>41</x:v>
      </x:c>
      <x:c r="P39" s="10" t="n"/>
      <x:c r="Q39" s="12" t="n"/>
      <x:c r="R39" s="88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6.75" customHeight="1">
      <x:c r="A40" s="12" t="inlineStr">
        <x:is>
          <x:t xml:space="preserve">Scarsdale Union Free School District</x:t>
        </x:is>
      </x:c>
      <x:c r="B40" s="12" t="inlineStr">
        <x:is>
          <x:t xml:space="preserve">NY</x:t>
        </x:is>
      </x:c>
      <x:c r="C40" s="12" t="inlineStr">
        <x:is>
          <x:t xml:space="preserve">Westchester NY</x:t>
        </x:is>
      </x:c>
      <x:c r="D40" s="86" t="n">
        <x:v>55</x:v>
      </x:c>
      <x:c r="E40" s="86" t="n">
        <x:v>9</x:v>
      </x:c>
      <x:c r="F40" s="86" t="n">
        <x:v>27</x:v>
      </x:c>
      <x:c r="G40" s="87" t="n">
        <x:v>1</x:v>
      </x:c>
      <x:c r="H40" s="13" t="n">
        <x:v>11.21</x:v>
      </x:c>
      <x:c r="I40" s="13" t="n">
        <x:v>163</x:v>
      </x:c>
      <x:c r="J40" s="86" t="n">
        <x:v>8</x:v>
      </x:c>
      <x:c r="K40" s="13" t="n">
        <x:v>1</x:v>
      </x:c>
      <x:c r="L40" s="13" t="n">
        <x:v>1</x:v>
      </x:c>
      <x:c r="M40" s="13" t="n">
        <x:v>5</x:v>
      </x:c>
      <x:c r="N40" s="13" t="n">
        <x:v>0</x:v>
      </x:c>
      <x:c r="O40" s="13" t="n">
        <x:v>7</x:v>
      </x:c>
      <x:c r="P40" s="10" t="inlineStr">
        <x:is>
          <x:t xml:space="preserve"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x:t>
        </x:is>
      </x:c>
      <x:c r="Q40" s="12" t="inlineStr">
        <x:is>
          <x:t xml:space="preserve">2026-06-11</x:t>
        </x:is>
      </x:c>
      <x:c r="R40" s="88" t="n">
        <x:v>8</x:v>
      </x:c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6.75" customHeight="1">
      <x:c r="A41" s="12" t="inlineStr">
        <x:is>
          <x:t xml:space="preserve">South Pasadena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Southern California</x:t>
        </x:is>
      </x:c>
      <x:c r="D41" s="86" t="n">
        <x:v>21.6</x:v>
      </x:c>
      <x:c r="E41" s="86" t="n">
        <x:v>23.2</x:v>
      </x:c>
      <x:c r="F41" s="86" t="n">
        <x:v>33.8</x:v>
      </x:c>
      <x:c r="G41" s="87" t="n">
        <x:v>1</x:v>
      </x:c>
      <x:c r="H41" s="13" t="n">
        <x:v>24.37</x:v>
      </x:c>
      <x:c r="I41" s="13" t="n">
        <x:v>200</x:v>
      </x:c>
      <x:c r="J41" s="86" t="n">
        <x:f>100-SUM(D41:G41)</x:f>
        <x:v>20.400000000000006</x:v>
      </x:c>
      <x:c r="K41" s="13" t="n">
        <x:v>1</x:v>
      </x:c>
      <x:c r="L41" s="13" t="n">
        <x:v>1</x:v>
      </x:c>
      <x:c r="M41" s="13" t="n">
        <x:v>3</x:v>
      </x:c>
      <x:c r="N41" s="13" t="n">
        <x:v>0</x:v>
      </x:c>
      <x:c r="O41" s="13" t="n">
        <x:v>5</x:v>
      </x:c>
      <x:c r="P41" s="10" t="inlineStr">
        <x:is>
          <x:t xml:space="preserve">NCES lists 5 total schools. SPUSD website lists three elementary schools, one middle school, and one high school. Substitute rate uses latest public EdJoin posting found ($200 full-day daily rate; posting year 2022-23, so verify before relying on current hiring).</x:t>
        </x:is>
      </x:c>
      <x:c r="Q41" s="12" t="n"/>
      <x:c r="R41" s="88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6.75" customHeight="1">
      <x:c r="A42" s="12" t="inlineStr">
        <x:is>
          <x:t xml:space="preserve">Syosset Central School District</x:t>
        </x:is>
      </x:c>
      <x:c r="B42" s="12" t="inlineStr">
        <x:is>
          <x:t xml:space="preserve">NY</x:t>
        </x:is>
      </x:c>
      <x:c r="C42" s="12" t="inlineStr">
        <x:is>
          <x:t xml:space="preserve">Long Island</x:t>
        </x:is>
      </x:c>
      <x:c r="D42" s="86" t="n">
        <x:v>39.4</x:v>
      </x:c>
      <x:c r="E42" s="86" t="n">
        <x:v>4.6</x:v>
      </x:c>
      <x:c r="F42" s="86" t="n">
        <x:v>52.4</x:v>
      </x:c>
      <x:c r="G42" s="87" t="n">
        <x:v>0.6</x:v>
      </x:c>
      <x:c r="H42" s="13" t="n">
        <x:v>10.28</x:v>
      </x:c>
      <x:c r="I42" s="13" t="n">
        <x:v>160</x:v>
      </x:c>
      <x:c r="J42" s="86" t="n">
        <x:f>100-SUM(D42:G42)</x:f>
        <x:v>3</x:v>
      </x:c>
      <x:c r="K42" s="13" t="n">
        <x:v>1</x:v>
      </x:c>
      <x:c r="L42" s="13" t="n">
        <x:v>2</x:v>
      </x:c>
      <x:c r="M42" s="13" t="n">
        <x:v>7</x:v>
      </x:c>
      <x:c r="N42" s="13" t="n">
        <x:v>0</x:v>
      </x:c>
      <x:c r="O42" s="13" t="n">
        <x:v>10</x:v>
      </x:c>
      <x:c r="P42" s="10" t="inlineStr">
        <x:is>
          <x:t xml:space="preserve">NCES lists 10 total schools; district school list shows seven elementary schools, two middle schools, and one high school.</x:t>
        </x:is>
      </x:c>
      <x:c r="Q42" s="12" t="n"/>
      <x:c r="R42" s="88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6.75" customHeight="1">
      <x:c r="A43" s="12" t="inlineStr">
        <x:is>
          <x:t xml:space="preserve">West Des Moines Community Schools</x:t>
        </x:is>
      </x:c>
      <x:c r="B43" s="12" t="inlineStr">
        <x:is>
          <x:t xml:space="preserve">IA</x:t>
        </x:is>
      </x:c>
      <x:c r="C43" s="12" t="inlineStr">
        <x:is>
          <x:t xml:space="preserve">Des Moines</x:t>
        </x:is>
      </x:c>
      <x:c r="D43" s="86" t="n">
        <x:v>53.2</x:v>
      </x:c>
      <x:c r="E43" s="86" t="n">
        <x:v>21.5</x:v>
      </x:c>
      <x:c r="F43" s="86" t="n">
        <x:v>5.9</x:v>
      </x:c>
      <x:c r="G43" s="87" t="n">
        <x:v>11.7</x:v>
      </x:c>
      <x:c r="H43" s="13" t="n">
        <x:v>14.5</x:v>
      </x:c>
      <x:c r="I43" s="13" t="n">
        <x:v>170</x:v>
      </x:c>
      <x:c r="J43" s="86" t="n">
        <x:f>100-SUM(D43:G43)</x:f>
        <x:v>7.699999999999989</x:v>
      </x:c>
      <x:c r="K43" s="13" t="n">
        <x:v>2</x:v>
      </x:c>
      <x:c r="L43" s="13" t="n">
        <x:v>2</x:v>
      </x:c>
      <x:c r="M43" s="13" t="n">
        <x:v>8</x:v>
      </x:c>
      <x:c r="N43" s="13" t="n">
        <x:v>1</x:v>
      </x:c>
      <x:c r="O43" s="13" t="n">
        <x:v>13</x:v>
      </x:c>
      <x:c r="P43" s="10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  <x:c r="Q43" s="12" t="inlineStr">
        <x:is>
          <x:t xml:space="preserve">2026-06-13</x:t>
        </x:is>
      </x:c>
      <x:c r="R43" s="88" t="n">
        <x:v>7.7</x:v>
      </x:c>
    </x:row>
    <x:row r="44" ht="26.75" customHeight="1">
      <x:c r="A44" s="17" t="inlineStr">
        <x:is>
          <x:t xml:space="preserve">Middleton-Cross Plains Area School District</x:t>
        </x:is>
      </x:c>
      <x:c r="B44" s="17" t="inlineStr">
        <x:is>
          <x:t xml:space="preserve">WI</x:t>
        </x:is>
      </x:c>
      <x:c r="C44" s="17" t="inlineStr">
        <x:is>
          <x:t xml:space="preserve">Madison Area</x:t>
        </x:is>
      </x:c>
      <x:c r="D44" s="89" t="n">
        <x:v>62</x:v>
      </x:c>
      <x:c r="E44" s="89" t="n">
        <x:v>10</x:v>
      </x:c>
      <x:c r="F44" s="89" t="n">
        <x:v>8</x:v>
      </x:c>
      <x:c r="G44" s="90" t="n">
        <x:v>7</x:v>
      </x:c>
      <x:c r="H44" s="40" t="n">
        <x:v>13.3</x:v>
      </x:c>
      <x:c r="I44" s="40" t="n">
        <x:v>175</x:v>
      </x:c>
      <x:c r="J44" s="89" t="n">
        <x:v>13</x:v>
      </x:c>
      <x:c r="K44" s="40" t="n">
        <x:v>1</x:v>
      </x:c>
      <x:c r="L44" s="40" t="n">
        <x:v>3</x:v>
      </x:c>
      <x:c r="M44" s="40" t="n">
        <x:v>7</x:v>
      </x:c>
      <x:c r="N44" s="40" t="n">
        <x:v>1</x:v>
      </x:c>
      <x:c r="O44" s="40" t="n">
        <x:v>12</x:v>
      </x:c>
      <x:c r="P44" s="21" t="inlineStr">
        <x:is>
          <x:t xml:space="preserve"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x:t>
        </x:is>
      </x:c>
      <x:c r="Q44" s="17" t="inlineStr">
        <x:is>
          <x:t xml:space="preserve">2026-06-15</x:t>
        </x:is>
      </x:c>
      <x:c r="R44" s="17" t="n">
        <x:v>13</x:v>
      </x:c>
    </x:row>
    <x:row r="45" ht="26.75" customHeight="1">
      <x:c r="A45" s="17" t="inlineStr">
        <x:is>
          <x:t xml:space="preserve">Sun Prairie Area School District</x:t>
        </x:is>
      </x:c>
      <x:c r="B45" s="17" t="inlineStr">
        <x:is>
          <x:t xml:space="preserve">WI</x:t>
        </x:is>
      </x:c>
      <x:c r="C45" s="17" t="inlineStr">
        <x:is>
          <x:t xml:space="preserve">Madison Area</x:t>
        </x:is>
      </x:c>
      <x:c r="D45" s="89" t="n">
        <x:v>54</x:v>
      </x:c>
      <x:c r="E45" s="89" t="n">
        <x:v>14</x:v>
      </x:c>
      <x:c r="F45" s="89" t="n">
        <x:v>9</x:v>
      </x:c>
      <x:c r="G45" s="90" t="n">
        <x:v>10</x:v>
      </x:c>
      <x:c r="H45" s="40" t="n">
        <x:v>13.2</x:v>
      </x:c>
      <x:c r="I45" s="40" t="n">
        <x:v>181</x:v>
      </x:c>
      <x:c r="J45" s="89" t="n">
        <x:v>13</x:v>
      </x:c>
      <x:c r="K45" s="40" t="n">
        <x:v>2</x:v>
      </x:c>
      <x:c r="L45" s="40" t="n">
        <x:v>3</x:v>
      </x:c>
      <x:c r="M45" s="40" t="n">
        <x:v>9</x:v>
      </x:c>
      <x:c r="N45" s="40" t="n">
        <x:v>1</x:v>
      </x:c>
      <x:c r="O45" s="40" t="n">
        <x:v>15</x:v>
      </x:c>
      <x:c r="P45" s="21" t="inlineStr">
        <x:is>
          <x:t xml:space="preserve">https://www.sunprairieschools.org/departments/human-resources/substitutes ; https://www.sunprairieschools.org/</x:t>
        </x:is>
      </x:c>
      <x:c r="Q45" s="17" t="inlineStr">
        <x:is>
          <x:t xml:space="preserve">2026-06-15</x:t>
        </x:is>
      </x:c>
      <x:c r="R45" s="17" t="n">
        <x:v>13</x:v>
      </x:c>
    </x:row>
    <x:row r="46" ht="26.75" customHeight="1">
      <x:c r="A46" s="17" t="inlineStr">
        <x:is>
          <x:t xml:space="preserve">Waunakee Community School District</x:t>
        </x:is>
      </x:c>
      <x:c r="B46" s="17" t="inlineStr">
        <x:is>
          <x:t xml:space="preserve">WI</x:t>
        </x:is>
      </x:c>
      <x:c r="C46" s="17" t="inlineStr">
        <x:is>
          <x:t xml:space="preserve">Madison Area</x:t>
        </x:is>
      </x:c>
      <x:c r="D46" s="89" t="n">
        <x:v>79</x:v>
      </x:c>
      <x:c r="E46" s="89" t="n">
        <x:v>5</x:v>
      </x:c>
      <x:c r="F46" s="89" t="n">
        <x:v>5</x:v>
      </x:c>
      <x:c r="G46" s="90" t="n">
        <x:v>3</x:v>
      </x:c>
      <x:c r="H46" s="40" t="n">
        <x:v>14</x:v>
      </x:c>
      <x:c r="I46" s="40" t="n">
        <x:v>168</x:v>
      </x:c>
      <x:c r="J46" s="89" t="n">
        <x:v>8</x:v>
      </x:c>
      <x:c r="K46" s="40" t="n">
        <x:v>1</x:v>
      </x:c>
      <x:c r="L46" s="40" t="n">
        <x:v>1</x:v>
      </x:c>
      <x:c r="M46" s="40" t="n">
        <x:v>5</x:v>
      </x:c>
      <x:c r="N46" s="40" t="n">
        <x:v>1</x:v>
      </x:c>
      <x:c r="O46" s="40" t="n">
        <x:v>8</x:v>
      </x:c>
      <x:c r="P46" s="21" t="inlineStr">
        <x:is>
          <x:t xml:space="preserve">https://www.waunakee.k12.wi.us/departments/human-resources/substitute-resources ; https://www.waunakee.k12.wi.us/</x:t>
        </x:is>
      </x:c>
      <x:c r="Q46" s="17" t="inlineStr">
        <x:is>
          <x:t xml:space="preserve">2026-06-15</x:t>
        </x:is>
      </x:c>
      <x:c r="R46" s="17" t="n">
        <x:v>8</x:v>
      </x:c>
    </x:row>
    <x:row r="47" ht="26.75" customHeight="1">
      <x:c r="A47" s="17" t="inlineStr">
        <x:is>
          <x:t xml:space="preserve">Verona Area School District</x:t>
        </x:is>
      </x:c>
      <x:c r="B47" s="17" t="inlineStr">
        <x:is>
          <x:t xml:space="preserve">WI</x:t>
        </x:is>
      </x:c>
      <x:c r="C47" s="17" t="inlineStr">
        <x:is>
          <x:t xml:space="preserve">Madison Area</x:t>
        </x:is>
      </x:c>
      <x:c r="D47" s="89" t="n">
        <x:v>63</x:v>
      </x:c>
      <x:c r="E47" s="89" t="n">
        <x:v>10</x:v>
      </x:c>
      <x:c r="F47" s="89" t="n">
        <x:v>13</x:v>
      </x:c>
      <x:c r="G47" s="90" t="n">
        <x:v>6</x:v>
      </x:c>
      <x:c r="H47" s="40" t="n">
        <x:v>13</x:v>
      </x:c>
      <x:c r="I47" s="40" t="n">
        <x:v>150</x:v>
      </x:c>
      <x:c r="J47" s="89" t="n">
        <x:v>8</x:v>
      </x:c>
      <x:c r="K47" s="40" t="n">
        <x:v>1</x:v>
      </x:c>
      <x:c r="L47" s="40" t="n">
        <x:v>2</x:v>
      </x:c>
      <x:c r="M47" s="40" t="n">
        <x:v>4</x:v>
      </x:c>
      <x:c r="N47" s="40" t="n">
        <x:v>1</x:v>
      </x:c>
      <x:c r="O47" s="40" t="n">
        <x:v>8</x:v>
      </x:c>
      <x:c r="P47" s="21" t="inlineStr">
        <x:is>
          <x:t xml:space="preserve">https://www.verona.k12.wi.us/departments/humanresources/compensation ; https://www.verona.k12.wi.us/departments/humanresources/careers/substitute-opportunities</x:t>
        </x:is>
      </x:c>
      <x:c r="Q47" s="17" t="inlineStr">
        <x:is>
          <x:t xml:space="preserve">2026-06-15</x:t>
        </x:is>
      </x:c>
      <x:c r="R47" s="17" t="n">
        <x:v>8</x:v>
      </x:c>
    </x:row>
    <x:row r="48" ht="26.75" customHeight="1">
      <x:c r="A48" s="17" t="inlineStr">
        <x:is>
          <x:t xml:space="preserve">Beaverton School District</x:t>
        </x:is>
      </x:c>
      <x:c r="B48" s="17" t="inlineStr">
        <x:is>
          <x:t xml:space="preserve">OR</x:t>
        </x:is>
      </x:c>
      <x:c r="C48" s="17" t="inlineStr">
        <x:is>
          <x:t xml:space="preserve">Portland Metro</x:t>
        </x:is>
      </x:c>
      <x:c r="D48" s="89" t="n">
        <x:v>43</x:v>
      </x:c>
      <x:c r="E48" s="89" t="n">
        <x:v>25</x:v>
      </x:c>
      <x:c r="F48" s="89" t="n">
        <x:v>14</x:v>
      </x:c>
      <x:c r="G48" s="90" t="n">
        <x:v>3</x:v>
      </x:c>
      <x:c r="H48" s="40" t="n">
        <x:v>18.5</x:v>
      </x:c>
      <x:c r="I48" s="40" t="n">
        <x:v>246</x:v>
      </x:c>
      <x:c r="J48" s="89" t="n">
        <x:v>15</x:v>
      </x:c>
      <x:c r="K48" s="40" t="n">
        <x:v>6</x:v>
      </x:c>
      <x:c r="L48" s="40" t="n">
        <x:v>8</x:v>
      </x:c>
      <x:c r="M48" s="40" t="n">
        <x:v>34</x:v>
      </x:c>
      <x:c r="N48" s="40" t="n">
        <x:v>4</x:v>
      </x:c>
      <x:c r="O48" s="40" t="n">
        <x:v>52</x:v>
      </x:c>
      <x:c r="P48" s="21" t="inlineStr">
        <x:is>
          <x:t xml:space="preserve">https://resources.finalsite.net/images/v1749503218/beavertonk12orus/gd7r4u3u8hlfjssjnbnh/25-26FINALCERTwExtResp.pdf ; https://www.beaverton.k12.or.us/departments/human-resources/applicants/beas</x:t>
        </x:is>
      </x:c>
      <x:c r="Q48" s="17" t="inlineStr">
        <x:is>
          <x:t xml:space="preserve">2026-06-15</x:t>
        </x:is>
      </x:c>
      <x:c r="R48" s="17" t="n">
        <x:v>15</x:v>
      </x:c>
    </x:row>
    <x:row r="49" ht="26.75" customHeight="1">
      <x:c r="A49" s="17" t="inlineStr">
        <x:is>
          <x:t xml:space="preserve">Indian Prairie School District 204</x:t>
        </x:is>
      </x:c>
      <x:c r="B49" s="17" t="inlineStr">
        <x:is>
          <x:t xml:space="preserve">IL</x:t>
        </x:is>
      </x:c>
      <x:c r="C49" s="17" t="inlineStr">
        <x:is>
          <x:t xml:space="preserve">Chicago Suburbs</x:t>
        </x:is>
      </x:c>
      <x:c r="D49" s="89" t="n">
        <x:v>38</x:v>
      </x:c>
      <x:c r="E49" s="89" t="n">
        <x:v>18</x:v>
      </x:c>
      <x:c r="F49" s="89" t="n">
        <x:v>28</x:v>
      </x:c>
      <x:c r="G49" s="90" t="n">
        <x:v>10</x:v>
      </x:c>
      <x:c r="H49" s="40" t="n">
        <x:v>14</x:v>
      </x:c>
      <x:c r="I49" s="40" t="n">
        <x:v>258</x:v>
      </x:c>
      <x:c r="J49" s="89" t="n">
        <x:v>6</x:v>
      </x:c>
      <x:c r="K49" s="40" t="n">
        <x:v>4</x:v>
      </x:c>
      <x:c r="L49" s="40" t="n">
        <x:v>7</x:v>
      </x:c>
      <x:c r="M49" s="40" t="n">
        <x:v>21</x:v>
      </x:c>
      <x:c r="N49" s="40" t="n">
        <x:v>1</x:v>
      </x:c>
      <x:c r="O49" s="40" t="n">
        <x:v>33</x:v>
      </x:c>
      <x:c r="P49" s="21" t="inlineStr">
        <x:is>
          <x:t xml:space="preserve">https://www.ipsd.org/resources/data-transparency/contracts-and-agreements ; https://resources.finalsite.net/images/v1746461433/ipsdorg/ydag27zq4d3atey63stv/IPEA_2025-2026v3_12025.pdf ; Indeed substitute-teacher estimate first pass</x:t>
        </x:is>
      </x:c>
      <x:c r="Q49" s="17" t="inlineStr">
        <x:is>
          <x:t xml:space="preserve">2026-06-15</x:t>
        </x:is>
      </x:c>
      <x:c r="R49" s="17" t="n">
        <x:v>6</x:v>
      </x:c>
    </x:row>
    <x:row r="50" ht="26.75" customHeight="1">
      <x:c r="A50" s="17" t="inlineStr">
        <x:is>
          <x:t xml:space="preserve">Glenbrook High School District 225</x:t>
        </x:is>
      </x:c>
      <x:c r="B50" s="17" t="inlineStr">
        <x:is>
          <x:t xml:space="preserve">IL</x:t>
        </x:is>
      </x:c>
      <x:c r="C50" s="17" t="inlineStr">
        <x:is>
          <x:t xml:space="preserve">Chicago North Shore</x:t>
        </x:is>
      </x:c>
      <x:c r="D50" s="89" t="n">
        <x:v>55</x:v>
      </x:c>
      <x:c r="E50" s="89" t="n">
        <x:v>16</x:v>
      </x:c>
      <x:c r="F50" s="89" t="n">
        <x:v>19</x:v>
      </x:c>
      <x:c r="G50" s="90" t="n">
        <x:v>4</x:v>
      </x:c>
      <x:c r="H50" s="40" t="n">
        <x:v>11.5</x:v>
      </x:c>
      <x:c r="I50" s="40" t="n">
        <x:v>246</x:v>
      </x:c>
      <x:c r="J50" s="89" t="n">
        <x:v>6</x:v>
      </x:c>
      <x:c r="K50" s="40" t="n">
        <x:v>2</x:v>
      </x:c>
      <x:c r="L50" s="40" t="n">
        <x:v>0</x:v>
      </x:c>
      <x:c r="M50" s="40" t="n">
        <x:v>0</x:v>
      </x:c>
      <x:c r="N50" s="40" t="n">
        <x:v>0</x:v>
      </x:c>
      <x:c r="O50" s="40" t="n">
        <x:v>2</x:v>
      </x:c>
      <x:c r="P50" s="21" t="inlineStr">
        <x:is>
          <x:t xml:space="preserve">https://www.glenbrook225.org/departments/human-resources/pay-transparency ; https://staff.glenbrook225.org/fs/resource-manager/view/beb41775-feea-40a8-83be-839d1aa2f9ee ; Indeed substitute/day first pass</x:t>
        </x:is>
      </x:c>
      <x:c r="Q50" s="17" t="inlineStr">
        <x:is>
          <x:t xml:space="preserve">2026-06-15</x:t>
        </x:is>
      </x:c>
      <x:c r="R50" s="17" t="n">
        <x:v>6</x:v>
      </x:c>
    </x:row>
    <x:row r="51" ht="26.75" customHeight="1">
      <x:c r="A51" s="17" t="inlineStr">
        <x:is>
          <x:t xml:space="preserve">Mounds View Public Schools</x:t>
        </x:is>
      </x:c>
      <x:c r="B51" s="17" t="inlineStr">
        <x:is>
          <x:t xml:space="preserve">MN</x:t>
        </x:is>
      </x:c>
      <x:c r="C51" s="17" t="inlineStr">
        <x:is>
          <x:t xml:space="preserve">Twin Cities</x:t>
        </x:is>
      </x:c>
      <x:c r="D51" s="89" t="n">
        <x:v>55</x:v>
      </x:c>
      <x:c r="E51" s="89" t="n">
        <x:v>12</x:v>
      </x:c>
      <x:c r="F51" s="89" t="n">
        <x:v>15</x:v>
      </x:c>
      <x:c r="G51" s="90" t="n">
        <x:v>10</x:v>
      </x:c>
      <x:c r="H51" s="40" t="n">
        <x:v>16.2</x:v>
      </x:c>
      <x:c r="I51" s="40" t="n">
        <x:v>200</x:v>
      </x:c>
      <x:c r="J51" s="89" t="n">
        <x:v>8</x:v>
      </x:c>
      <x:c r="K51" s="40" t="n">
        <x:v>2</x:v>
      </x:c>
      <x:c r="L51" s="40" t="n">
        <x:v>3</x:v>
      </x:c>
      <x:c r="M51" s="40" t="n">
        <x:v>8</x:v>
      </x:c>
      <x:c r="N51" s="40" t="n">
        <x:v>0</x:v>
      </x:c>
      <x:c r="O51" s="40" t="n">
        <x:v>13</x:v>
      </x:c>
      <x:c r="P51" s="21" t="inlineStr">
        <x:is>
          <x:t xml:space="preserve">https://resources.finalsite.net/images/v1767030040/moundsviewschoolsorg/krhc4zxvinezdkxxh8ik/Teachers25-27.pdf ; https://www.mvpschools.org/employment</x:t>
        </x:is>
      </x:c>
      <x:c r="Q51" s="17" t="inlineStr">
        <x:is>
          <x:t xml:space="preserve">2026-06-15</x:t>
        </x:is>
      </x:c>
      <x:c r="R51" s="17" t="n">
        <x:v>8</x:v>
      </x:c>
    </x:row>
    <x:row r="52" ht="26.75" customHeight="1">
      <x:c r="A52" s="17" t="inlineStr">
        <x:is>
          <x:t xml:space="preserve">Eden Prairie Schools</x:t>
        </x:is>
      </x:c>
      <x:c r="B52" s="17" t="inlineStr">
        <x:is>
          <x:t xml:space="preserve">MN</x:t>
        </x:is>
      </x:c>
      <x:c r="C52" s="17" t="inlineStr">
        <x:is>
          <x:t xml:space="preserve">Twin Cities</x:t>
        </x:is>
      </x:c>
      <x:c r="D52" s="89" t="n">
        <x:v>50</x:v>
      </x:c>
      <x:c r="E52" s="89" t="n">
        <x:v>11</x:v>
      </x:c>
      <x:c r="F52" s="89" t="n">
        <x:v>24</x:v>
      </x:c>
      <x:c r="G52" s="90" t="n">
        <x:v>6</x:v>
      </x:c>
      <x:c r="H52" s="40" t="n">
        <x:v>14.6</x:v>
      </x:c>
      <x:c r="I52" s="40" t="n">
        <x:v>183</x:v>
      </x:c>
      <x:c r="J52" s="89" t="n">
        <x:v>9</x:v>
      </x:c>
      <x:c r="K52" s="40" t="n">
        <x:v>1</x:v>
      </x:c>
      <x:c r="L52" s="40" t="n">
        <x:v>2</x:v>
      </x:c>
      <x:c r="M52" s="40" t="n">
        <x:v>5</x:v>
      </x:c>
      <x:c r="N52" s="40" t="n">
        <x:v>1</x:v>
      </x:c>
      <x:c r="O52" s="40" t="n">
        <x:v>9</x:v>
      </x:c>
      <x:c r="P52" s="21" t="inlineStr">
        <x:is>
          <x:t xml:space="preserve">https://resources.finalsite.net/images/v1757436498/edenprorg/llnxrprxcuuikx1elsuq/EPEA2025-2027FINALCONTRACT.pdf ; https://www.applitrack.com/edenpr/OnlineApp/default.aspx?AppliTrackJobID=3655&amp;ref=</x:t>
        </x:is>
      </x:c>
      <x:c r="Q52" s="17" t="inlineStr">
        <x:is>
          <x:t xml:space="preserve">2026-06-15</x:t>
        </x:is>
      </x:c>
      <x:c r="R52" s="17" t="n">
        <x:v>9</x:v>
      </x:c>
    </x:row>
    <x:row r="53" ht="26.75" customHeight="1">
      <x:c r="A53" s="17" t="inlineStr">
        <x:is>
          <x:t xml:space="preserve">Naperville CUSD 203</x:t>
        </x:is>
      </x:c>
      <x:c r="B53" s="17" t="inlineStr">
        <x:is>
          <x:t xml:space="preserve">IL</x:t>
        </x:is>
      </x:c>
      <x:c r="C53" s="17" t="inlineStr">
        <x:is>
          <x:t xml:space="preserve">Chicago Suburbs</x:t>
        </x:is>
      </x:c>
      <x:c r="D53" s="89" t="n">
        <x:v>47</x:v>
      </x:c>
      <x:c r="E53" s="89" t="n">
        <x:v>14</x:v>
      </x:c>
      <x:c r="F53" s="89" t="n">
        <x:v>30</x:v>
      </x:c>
      <x:c r="G53" s="90" t="n">
        <x:v>3</x:v>
      </x:c>
      <x:c r="H53" s="40" t="n">
        <x:v>13.3</x:v>
      </x:c>
      <x:c r="I53" s="40" t="n">
        <x:v>130</x:v>
      </x:c>
      <x:c r="J53" s="89" t="n">
        <x:v>6</x:v>
      </x:c>
      <x:c r="K53" s="40" t="n">
        <x:v>2</x:v>
      </x:c>
      <x:c r="L53" s="40" t="n">
        <x:v>5</x:v>
      </x:c>
      <x:c r="M53" s="40" t="n">
        <x:v>15</x:v>
      </x:c>
      <x:c r="N53" s="40" t="n">
        <x:v>1</x:v>
      </x:c>
      <x:c r="O53" s="40" t="n">
        <x:v>23</x:v>
      </x:c>
      <x:c r="P53" s="21" t="inlineStr">
        <x:is>
          <x:t xml:space="preserve">https://www.naperville203.org/departments-services/human-resources/collective-bargaining-agreements ; https://resources.finalsite.net/images/v1756143021/naperville203org/yzetsbkynvoe9x6mjgl7/importantsubstituteinformation-26.pdf</x:t>
        </x:is>
      </x:c>
      <x:c r="Q53" s="17" t="inlineStr">
        <x:is>
          <x:t xml:space="preserve">2026-06-15</x:t>
        </x:is>
      </x:c>
      <x:c r="R53" s="17" t="n">
        <x:v>6</x:v>
      </x:c>
    </x:row>
    <x:row r="54" ht="56" customHeight="1">
      <x:c r="A54" s="2" t="inlineStr">
        <x:is>
          <x:t xml:space="preserve">Minnetonka Public Schools</x:t>
        </x:is>
      </x:c>
      <x:c r="B54" s="2" t="inlineStr">
        <x:is>
          <x:t xml:space="preserve">MN</x:t>
        </x:is>
      </x:c>
      <x:c r="C54" s="2" t="inlineStr">
        <x:is>
          <x:t xml:space="preserve">Twin Cities Suburbs</x:t>
        </x:is>
      </x:c>
      <x:c r="D54" s="2" t="n">
        <x:v>73</x:v>
      </x:c>
      <x:c r="E54" s="2" t="n">
        <x:v>8</x:v>
      </x:c>
      <x:c r="F54" s="2" t="n">
        <x:v>11</x:v>
      </x:c>
      <x:c r="G54" s="2" t="n">
        <x:v>4</x:v>
      </x:c>
      <x:c r="H54" s="2" t="n">
        <x:v>17</x:v>
      </x:c>
      <x:c r="I54" s="2" t="n">
        <x:v>180</x:v>
      </x:c>
      <x:c r="J54" s="2" t="n">
        <x:v>4</x:v>
      </x:c>
      <x:c r="K54" s="2" t="n">
        <x:v>1</x:v>
      </x:c>
      <x:c r="L54" s="2" t="n">
        <x:v>3</x:v>
      </x:c>
      <x:c r="M54" s="2" t="n">
        <x:v>6</x:v>
      </x:c>
      <x:c r="N54" s="2" t="n">
        <x:v>2</x:v>
      </x:c>
      <x:c r="O54" s="2" t="n">
        <x:v>12</x:v>
      </x:c>
      <x:c r="P54" s="2" t="inlineStr">
        <x:is>
          <x:t xml:space="preserve">https://www.minnetonkaschools.org/district/departments/hr/employee-contracts</x:t>
        </x:is>
      </x:c>
      <x:c r="Q54" s="2" t="inlineStr">
        <x:is>
          <x:t xml:space="preserve">2026-06-16</x:t>
        </x:is>
      </x:c>
      <x:c r="R54" s="2" t="inlineStr">
        <x:is>
          <x:t xml:space="preserve">First-pass profile; substitute pay estimated pending direct HR verification.</x:t>
        </x:is>
      </x:c>
    </x:row>
    <x:row r="55" ht="56" customHeight="1">
      <x:c r="A55" s="2" t="inlineStr">
        <x:is>
          <x:t xml:space="preserve">Wayzata Public Schools</x:t>
        </x:is>
      </x:c>
      <x:c r="B55" s="2" t="inlineStr">
        <x:is>
          <x:t xml:space="preserve">MN</x:t>
        </x:is>
      </x:c>
      <x:c r="C55" s="2" t="inlineStr">
        <x:is>
          <x:t xml:space="preserve">Twin Cities Suburbs</x:t>
        </x:is>
      </x:c>
      <x:c r="D55" s="2" t="n">
        <x:v>64</x:v>
      </x:c>
      <x:c r="E55" s="2" t="n">
        <x:v>9</x:v>
      </x:c>
      <x:c r="F55" s="2" t="n">
        <x:v>19</x:v>
      </x:c>
      <x:c r="G55" s="2" t="n">
        <x:v>4</x:v>
      </x:c>
      <x:c r="H55" s="2" t="n">
        <x:v>17</x:v>
      </x:c>
      <x:c r="I55" s="2" t="n">
        <x:v>165</x:v>
      </x:c>
      <x:c r="J55" s="2" t="n">
        <x:v>4</x:v>
      </x:c>
      <x:c r="K55" s="2" t="n">
        <x:v>1</x:v>
      </x:c>
      <x:c r="L55" s="2" t="n">
        <x:v>3</x:v>
      </x:c>
      <x:c r="M55" s="2" t="n">
        <x:v>9</x:v>
      </x:c>
      <x:c r="N55" s="2" t="n">
        <x:v>1</x:v>
      </x:c>
      <x:c r="O55" s="2" t="n">
        <x:v>14</x:v>
      </x:c>
      <x:c r="P55" s="2" t="inlineStr">
        <x:is>
          <x:t xml:space="preserve">https://www.wayzataschools.org/careers/reserve-teachers</x:t>
        </x:is>
      </x:c>
      <x:c r="Q55" s="2" t="inlineStr">
        <x:is>
          <x:t xml:space="preserve">2026-06-16</x:t>
        </x:is>
      </x:c>
      <x:c r="R55" s="2" t="inlineStr">
        <x:is>
          <x:t xml:space="preserve">District site lists 14 schools; reserve-teacher daily pay used for licensed sub pay.</x:t>
        </x:is>
      </x:c>
    </x:row>
    <x:row r="56" ht="56" customHeight="1">
      <x:c r="A56" s="2" t="inlineStr">
        <x:is>
          <x:t xml:space="preserve">Rosemount-Apple Valley-Eagan ISD 196</x:t>
        </x:is>
      </x:c>
      <x:c r="B56" s="2" t="inlineStr">
        <x:is>
          <x:t xml:space="preserve">MN</x:t>
        </x:is>
      </x:c>
      <x:c r="C56" s="2" t="inlineStr">
        <x:is>
          <x:t xml:space="preserve">Twin Cities Suburbs</x:t>
        </x:is>
      </x:c>
      <x:c r="D56" s="2" t="n">
        <x:v>54</x:v>
      </x:c>
      <x:c r="E56" s="2" t="n">
        <x:v>13</x:v>
      </x:c>
      <x:c r="F56" s="2" t="n">
        <x:v>14</x:v>
      </x:c>
      <x:c r="G56" s="2" t="n">
        <x:v>12</x:v>
      </x:c>
      <x:c r="H56" s="2" t="n">
        <x:v>15</x:v>
      </x:c>
      <x:c r="I56" s="2" t="n">
        <x:v>180</x:v>
      </x:c>
      <x:c r="J56" s="2" t="n">
        <x:v>7</x:v>
      </x:c>
      <x:c r="K56" s="2" t="n">
        <x:v>5</x:v>
      </x:c>
      <x:c r="L56" s="2" t="n">
        <x:v>6</x:v>
      </x:c>
      <x:c r="M56" s="2" t="n">
        <x:v>19</x:v>
      </x:c>
      <x:c r="N56" s="2" t="n">
        <x:v>3</x:v>
      </x:c>
      <x:c r="O56" s="2" t="n">
        <x:v>33</x:v>
      </x:c>
      <x:c r="P56" s="2" t="inlineStr">
        <x:is>
          <x:t xml:space="preserve">https://www.district196.org/services/human-resources/bargainingagreements</x:t>
        </x:is>
      </x:c>
      <x:c r="Q56" s="2" t="inlineStr">
        <x:is>
          <x:t xml:space="preserve">2026-06-16</x:t>
        </x:is>
      </x:c>
      <x:c r="R56" s="2" t="inlineStr">
        <x:is>
          <x:t xml:space="preserve">First-pass profile; substitute pay estimated pending direct HR verification.</x:t>
        </x:is>
      </x:c>
    </x:row>
    <x:row r="57" ht="56" customHeight="1">
      <x:c r="A57" s="2" t="inlineStr">
        <x:is>
          <x:t xml:space="preserve">Edina Public Schools</x:t>
        </x:is>
      </x:c>
      <x:c r="B57" s="2" t="inlineStr">
        <x:is>
          <x:t xml:space="preserve">MN</x:t>
        </x:is>
      </x:c>
      <x:c r="C57" s="2" t="inlineStr">
        <x:is>
          <x:t xml:space="preserve">Twin Cities Suburbs</x:t>
        </x:is>
      </x:c>
      <x:c r="D57" s="2" t="n">
        <x:v>70</x:v>
      </x:c>
      <x:c r="E57" s="2" t="n">
        <x:v>7</x:v>
      </x:c>
      <x:c r="F57" s="2" t="n">
        <x:v>14</x:v>
      </x:c>
      <x:c r="G57" s="2" t="n">
        <x:v>5</x:v>
      </x:c>
      <x:c r="H57" s="2" t="n">
        <x:v>16.5</x:v>
      </x:c>
      <x:c r="I57" s="2" t="n">
        <x:v>170</x:v>
      </x:c>
      <x:c r="J57" s="2" t="n">
        <x:v>4</x:v>
      </x:c>
      <x:c r="K57" s="2" t="n">
        <x:v>1</x:v>
      </x:c>
      <x:c r="L57" s="2" t="n">
        <x:v>2</x:v>
      </x:c>
      <x:c r="M57" s="2" t="n">
        <x:v>6</x:v>
      </x:c>
      <x:c r="N57" s="2" t="n">
        <x:v>1</x:v>
      </x:c>
      <x:c r="O57" s="2" t="n">
        <x:v>10</x:v>
      </x:c>
      <x:c r="P57" s="2" t="inlineStr">
        <x:is>
          <x:t xml:space="preserve">https://www.edinaschools.org/careers</x:t>
        </x:is>
      </x:c>
      <x:c r="Q57" s="2" t="inlineStr">
        <x:is>
          <x:t xml:space="preserve">2026-06-16</x:t>
        </x:is>
      </x:c>
      <x:c r="R57" s="2" t="inlineStr">
        <x:is>
          <x:t xml:space="preserve">Edina partners with Kelly Education for substitutes; daily sub pay estimated pending Kelly/HR verification.</x:t>
        </x:is>
      </x:c>
    </x:row>
    <x:row r="58" ht="56" customHeight="1">
      <x:c r="A58" s="2" t="inlineStr">
        <x:is>
          <x:t xml:space="preserve">New Trier Township High School District 203</x:t>
        </x:is>
      </x:c>
      <x:c r="B58" s="2" t="inlineStr">
        <x:is>
          <x:t xml:space="preserve">IL</x:t>
        </x:is>
      </x:c>
      <x:c r="C58" s="2" t="inlineStr">
        <x:is>
          <x:t xml:space="preserve">Chicago North Shore</x:t>
        </x:is>
      </x:c>
      <x:c r="D58" s="2" t="n">
        <x:v>68</x:v>
      </x:c>
      <x:c r="E58" s="2" t="n">
        <x:v>8</x:v>
      </x:c>
      <x:c r="F58" s="2" t="n">
        <x:v>13</x:v>
      </x:c>
      <x:c r="G58" s="2" t="n">
        <x:v>3</x:v>
      </x:c>
      <x:c r="H58" s="2" t="n">
        <x:v>12</x:v>
      </x:c>
      <x:c r="I58" s="2" t="n">
        <x:v>147</x:v>
      </x:c>
      <x:c r="J58" s="2" t="n">
        <x:v>8</x:v>
      </x:c>
      <x:c r="K58" s="2" t="n">
        <x:v>2</x:v>
      </x:c>
      <x:c r="L58" s="2" t="n">
        <x:v>0</x:v>
      </x:c>
      <x:c r="M58" s="2" t="n">
        <x:v>0</x:v>
      </x:c>
      <x:c r="N58" s="2" t="n">
        <x:v>0</x:v>
      </x:c>
      <x:c r="O58" s="2" t="n">
        <x:v>2</x:v>
      </x:c>
      <x:c r="P58" s="2" t="inlineStr">
        <x:is>
          <x:t xml:space="preserve">https://www.newtrier.k12.il.us/our-district/administrative-departments/human-resources/employee-agreements</x:t>
        </x:is>
      </x:c>
      <x:c r="Q58" s="2" t="inlineStr">
        <x:is>
          <x:t xml:space="preserve">2026-06-16</x:t>
        </x:is>
      </x:c>
      <x:c r="R58" s="2" t="inlineStr">
        <x:is>
          <x:t xml:space="preserve">High-school-only district; salary lane is first-pass estimate from agreement/compensation sources; sub pay estimated from hourly public posting.</x:t>
        </x:is>
      </x:c>
    </x:row>
    <x:row r="59">
      <x:c r="A59" t="inlineStr">
        <x:is>
          <x:t xml:space="preserve">Tahoe-Truckee Unified School District</x:t>
        </x:is>
      </x:c>
      <x:c r="B59" t="inlineStr">
        <x:is>
          <x:t xml:space="preserve">CA</x:t>
        </x:is>
      </x:c>
      <x:c r="C59" t="inlineStr">
        <x:is>
          <x:t xml:space="preserve">Northern California</x:t>
        </x:is>
      </x:c>
      <x:c r="D59" t="n">
        <x:v>57.6</x:v>
      </x:c>
      <x:c r="E59" t="n">
        <x:v>34.7</x:v>
      </x:c>
      <x:c r="F59" t="n">
        <x:v>0.6</x:v>
      </x:c>
      <x:c r="G59" t="n">
        <x:v>0.2</x:v>
      </x:c>
      <x:c r="H59" t="n">
        <x:v>18.81</x:v>
      </x:c>
      <x:c r="I59" t="n">
        <x:v>200</x:v>
      </x:c>
      <x:c r="J59" t="n">
        <x:f>100-SUM(D59:G59)</x:f>
        <x:v>6.8999999999999915</x:v>
      </x:c>
      <x:c r="K59" t="n">
        <x:v>2</x:v>
      </x:c>
      <x:c r="L59" t="n">
        <x:v>2</x:v>
      </x:c>
      <x:c r="M59" t="n">
        <x:v>6</x:v>
      </x:c>
      <x:c r="N59" t="n">
        <x:v>2</x:v>
      </x:c>
      <x:c r="O59" t="n">
        <x:v>12</x:v>
      </x:c>
      <x:c r="P59" t="inlineStr">
        <x:is>
          <x:t xml:space="preserve">CDE 2025-26 DataQuest ethnicity; NCES 2024-25 ratio and total schools; CDE school directory lists active public schools; TTUSD substitute rates page lists $200 full-day base rate.</x:t>
        </x:is>
      </x:c>
      <x:c r="Q59" t="inlineStr">
        <x:is>
          <x:t xml:space="preserve">2026-06-16</x:t>
        </x:is>
      </x:c>
    </x:row>
    <x:row r="60">
      <x:c r="A60" t="inlineStr">
        <x:is>
          <x:t xml:space="preserve">Channelview ISD</x:t>
        </x:is>
      </x:c>
      <x:c r="B60" t="inlineStr">
        <x:is>
          <x:t xml:space="preserve">TX</x:t>
        </x:is>
      </x:c>
      <x:c r="C60" t="inlineStr">
        <x:is>
          <x:t xml:space="preserve">Houston</x:t>
        </x:is>
      </x:c>
      <x:c r="D60" t="n">
        <x:v>4</x:v>
      </x:c>
      <x:c r="E60" t="n">
        <x:v>84.59999999999999</x:v>
      </x:c>
      <x:c r="F60" t="n">
        <x:v>1</x:v>
      </x:c>
      <x:c r="G60" t="n">
        <x:v>8</x:v>
      </x:c>
      <x:c r="H60" t="n">
        <x:v>15.6</x:v>
      </x:c>
      <x:c r="I60" t="n">
        <x:v>140</x:v>
      </x:c>
      <x:c r="J60" t="n">
        <x:v>2.4</x:v>
      </x:c>
      <x:c r="K60" t="n">
        <x:v>2</x:v>
      </x:c>
      <x:c r="L60" t="n">
        <x:v>3</x:v>
      </x:c>
      <x:c r="M60" t="n">
        <x:v>6</x:v>
      </x:c>
      <x:c r="N60" t="n">
        <x:v>1</x:v>
      </x:c>
      <x:c r="O60" t="n">
        <x:v>12</x:v>
      </x:c>
      <x:c r="P60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Q60" t="inlineStr">
        <x:is>
          <x:t xml:space="preserve">2026-06-16</x:t>
        </x:is>
      </x:c>
      <x:c r="R60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Dallas-Fort Worth</x:t>
        </x:is>
      </x:c>
      <x:c r="D61" t="n">
        <x:v>31</x:v>
      </x:c>
      <x:c r="E61" t="n">
        <x:v>30.1</x:v>
      </x:c>
      <x:c r="F61" t="n">
        <x:v>24</x:v>
      </x:c>
      <x:c r="G61" t="n">
        <x:v>12</x:v>
      </x:c>
      <x:c r="H61" t="n">
        <x:v>13.75</x:v>
      </x:c>
      <x:c r="I61" t="n">
        <x:v>130</x:v>
      </x:c>
      <x:c r="J61" t="n">
        <x:v>2.9</x:v>
      </x:c>
      <x:c r="K61" t="n">
        <x:v>11</x:v>
      </x:c>
      <x:c r="L61" t="n">
        <x:v>11</x:v>
      </x:c>
      <x:c r="M61" t="n">
        <x:v>46</x:v>
      </x:c>
      <x:c r="N61" t="n">
        <x:v>9</x:v>
      </x:c>
      <x:c r="O61" t="n">
        <x:v>77</x:v>
      </x:c>
      <x:c r="P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Q61" t="inlineStr">
        <x:is>
          <x:t xml:space="preserve">2026-06-16</x:t>
        </x:is>
      </x:c>
      <x:c r="R61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Houston</x:t>
        </x:is>
      </x:c>
      <x:c r="D62" t="n">
        <x:v>4</x:v>
      </x:c>
      <x:c r="E62" t="n">
        <x:v>82.3</x:v>
      </x:c>
      <x:c r="F62" t="n">
        <x:v>1</x:v>
      </x:c>
      <x:c r="G62" t="n">
        <x:v>10</x:v>
      </x:c>
      <x:c r="H62" t="n">
        <x:v>14.97</x:v>
      </x:c>
      <x:c r="I62" t="n">
        <x:v>125</x:v>
      </x:c>
      <x:c r="J62" t="n">
        <x:v>2.7</x:v>
      </x:c>
      <x:c r="K62" t="n">
        <x:v>6</x:v>
      </x:c>
      <x:c r="L62" t="n">
        <x:v>5</x:v>
      </x:c>
      <x:c r="M62" t="n">
        <x:v>15</x:v>
      </x:c>
      <x:c r="N62" t="n">
        <x:v>0</x:v>
      </x:c>
      <x:c r="O62" t="n">
        <x:v>26</x:v>
      </x:c>
      <x:c r="P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Q62" t="inlineStr">
        <x:is>
          <x:t xml:space="preserve">2026-06-16</x:t>
        </x:is>
      </x:c>
      <x:c r="R62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Houston</x:t>
        </x:is>
      </x:c>
      <x:c r="D63" t="n">
        <x:v>23</x:v>
      </x:c>
      <x:c r="E63" t="n">
        <x:v>66</x:v>
      </x:c>
      <x:c r="F63" t="n">
        <x:v>2</x:v>
      </x:c>
      <x:c r="G63" t="n">
        <x:v>6</x:v>
      </x:c>
      <x:c r="H63" t="n">
        <x:v>14.17</x:v>
      </x:c>
      <x:c r="I63" t="n">
        <x:v>130</x:v>
      </x:c>
      <x:c r="J63" t="n">
        <x:v>3</x:v>
      </x:c>
      <x:c r="K63" t="n">
        <x:v>2</x:v>
      </x:c>
      <x:c r="L63" t="n">
        <x:v>4</x:v>
      </x:c>
      <x:c r="M63" t="n">
        <x:v>8</x:v>
      </x:c>
      <x:c r="N63" t="n">
        <x:v>0</x:v>
      </x:c>
      <x:c r="O63" t="n">
        <x:v>14</x:v>
      </x:c>
      <x:c r="P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Q63" t="inlineStr">
        <x:is>
          <x:t xml:space="preserve">2026-06-16</x:t>
        </x:is>
      </x:c>
      <x:c r="R63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Beaumont-Port Arthur</x:t>
        </x:is>
      </x:c>
      <x:c r="D64" t="n">
        <x:v>3</x:v>
      </x:c>
      <x:c r="E64" t="n">
        <x:v>54.4</x:v>
      </x:c>
      <x:c r="F64" t="n">
        <x:v>2</x:v>
      </x:c>
      <x:c r="G64" t="n">
        <x:v>39</x:v>
      </x:c>
      <x:c r="H64" t="n">
        <x:v>13.19</x:v>
      </x:c>
      <x:c r="I64" t="n">
        <x:v>115</x:v>
      </x:c>
      <x:c r="J64" t="n">
        <x:v>1.6</x:v>
      </x:c>
      <x:c r="K64" t="n">
        <x:v>2</x:v>
      </x:c>
      <x:c r="L64" t="n">
        <x:v>2</x:v>
      </x:c>
      <x:c r="M64" t="n">
        <x:v>9</x:v>
      </x:c>
      <x:c r="N64" t="n">
        <x:v>2</x:v>
      </x:c>
      <x:c r="O64" t="n">
        <x:v>15</x:v>
      </x:c>
      <x:c r="P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Q64" t="inlineStr">
        <x:is>
          <x:t xml:space="preserve">2026-06-16</x:t>
        </x:is>
      </x:c>
      <x:c r="R64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  <x:row r="65">
      <x:c r="A65" t="str">
        <x:v>Dublin City Schools</x:v>
      </x:c>
      <x:c r="B65" t="str">
        <x:v>OH</x:v>
      </x:c>
      <x:c r="C65" t="str">
        <x:v>Ohio / Columbus suburbs</x:v>
      </x:c>
      <x:c r="D65" t="n">
        <x:v>57</x:v>
      </x:c>
      <x:c r="E65" t="n">
        <x:v>9</x:v>
      </x:c>
      <x:c r="F65" t="n">
        <x:v>21</x:v>
      </x:c>
      <x:c r="G65" t="n">
        <x:v>6</x:v>
      </x:c>
      <x:c r="H65" t="n">
        <x:v>15</x:v>
      </x:c>
      <x:c r="I65" t="n">
        <x:v>155</x:v>
      </x:c>
      <x:c r="J65" t="n">
        <x:v>7</x:v>
      </x:c>
      <x:c r="K65" t="n">
        <x:v>3</x:v>
      </x:c>
      <x:c r="L65" t="n">
        <x:v>5</x:v>
      </x:c>
      <x:c r="M65" t="n">
        <x:v>14</x:v>
      </x:c>
      <x:c r="N65" t="n">
        <x:v>3</x:v>
      </x:c>
      <x:c r="O65" t="n">
        <x:v>25</x:v>
      </x:c>
      <x:c r="P65" t="str">
        <x:v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v>
      </x:c>
      <x:c r="Q65" t="str">
        <x:v>2026-06-16</x:v>
      </x:c>
      <x:c r="R65" t="str">
        <x:v>First-pass Ohio addition. Dublin publishes starting salary, average teacher salary, average experience, and district profile counts; exact BA/MA 5-year and 10-year salary schedule values are estimated until an official step schedule is entered.</x:v>
      </x:c>
    </x:row>
    <x:row r="66">
      <x:c r="A66" t="str">
        <x:v>Mariemont City Schools</x:v>
      </x:c>
      <x:c r="B66" t="str">
        <x:v>OH</x:v>
      </x:c>
      <x:c r="C66" t="str">
        <x:v>Ohio / Cincinnati suburbs</x:v>
      </x:c>
      <x:c r="D66" t="n">
        <x:v>82</x:v>
      </x:c>
      <x:c r="E66" t="n">
        <x:v>5</x:v>
      </x:c>
      <x:c r="F66" t="n">
        <x:v>6</x:v>
      </x:c>
      <x:c r="G66" t="n">
        <x:v>1</x:v>
      </x:c>
      <x:c r="H66" t="n">
        <x:v>13</x:v>
      </x:c>
      <x:c r="I66" t="n">
        <x:v>150</x:v>
      </x:c>
      <x:c r="J66" t="n">
        <x:v>6</x:v>
      </x:c>
      <x:c r="K66" t="n">
        <x:v>1</x:v>
      </x:c>
      <x:c r="L66" t="n">
        <x:v>1</x:v>
      </x:c>
      <x:c r="M66" t="n">
        <x:v>2</x:v>
      </x:c>
      <x:c r="N66" t="n">
        <x:v>0</x:v>
      </x:c>
      <x:c r="O66" t="n">
        <x:v>4</x:v>
      </x:c>
      <x:c r="P66" t="str">
        <x:v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v>
      </x:c>
      <x:c r="Q66" t="str">
        <x:v>2026-06-16</x:v>
      </x:c>
      <x:c r="R66" t="str">
        <x:v>First-pass Ohio addition. Exact 2025-26 salary step table was not publicly located in this pass; values use public salary summaries and should be replaced with an official salary schedule when available. District school count uses the four school buildings listed by Mariemont.</x:v>
      </x:c>
    </x:row>
    <x:row r="67">
      <x:c r="A67" s="97" t="str">
        <x:v>Las Cruces Public Schools</x:v>
      </x:c>
      <x:c r="B67" s="97" t="str">
        <x:v>NM</x:v>
      </x:c>
      <x:c r="C67" s="97" t="str">
        <x:v>Southern New Mexico</x:v>
      </x:c>
      <x:c r="D67" s="97" t="n">
        <x:v>22</x:v>
      </x:c>
      <x:c r="E67" s="97" t="n">
        <x:v>67</x:v>
      </x:c>
      <x:c r="F67" s="97" t="n">
        <x:v>1</x:v>
      </x:c>
      <x:c r="G67" s="97" t="n">
        <x:v>2</x:v>
      </x:c>
      <x:c r="H67" s="97" t="n">
        <x:v>16.1</x:v>
      </x:c>
      <x:c r="I67" s="97" t="n">
        <x:v>180</x:v>
      </x:c>
      <x:c r="J67" s="97" t="n">
        <x:v>8</x:v>
      </x:c>
      <x:c r="K67" s="97" t="n">
        <x:v>7</x:v>
      </x:c>
      <x:c r="L67" s="97" t="n">
        <x:v>9</x:v>
      </x:c>
      <x:c r="M67" s="97" t="n">
        <x:v>24</x:v>
      </x:c>
      <x:c r="N67" s="97" t="n">
        <x:v>3</x:v>
      </x:c>
      <x:c r="O67" s="97" t="n">
        <x:v>43</x:v>
      </x:c>
      <x:c r="P67" s="97" t="str">
        <x:v>https://www.lcps.net/documents/departments/human-resources/salary-schedules/salary-schedules-2025-2026/24126443 ; https://www.zillow.com/rental-manager/market-trends/las-cruces-nm/ ; https://www.lcps.net/</x:v>
      </x:c>
      <x:c r="Q67" s="97" t="str">
        <x:v>2026-06-16</x:v>
      </x:c>
      <x:c r="R67" s="97" t="n">
        <x:v>8</x:v>
      </x:c>
    </x:row>
    <x:row r="68">
      <x:c r="A68" s="97" t="str">
        <x:v>Rio Rancho Public Schools</x:v>
      </x:c>
      <x:c r="B68" s="97" t="str">
        <x:v>NM</x:v>
      </x:c>
      <x:c r="C68" s="97" t="str">
        <x:v>Albuquerque / Rio Rancho</x:v>
      </x:c>
      <x:c r="D68" s="97" t="n">
        <x:v>40</x:v>
      </x:c>
      <x:c r="E68" s="97" t="n">
        <x:v>46</x:v>
      </x:c>
      <x:c r="F68" s="97" t="n">
        <x:v>3</x:v>
      </x:c>
      <x:c r="G68" s="97" t="n">
        <x:v>3</x:v>
      </x:c>
      <x:c r="H68" s="97" t="n">
        <x:v>16.3</x:v>
      </x:c>
      <x:c r="I68" s="97" t="n">
        <x:v>180</x:v>
      </x:c>
      <x:c r="J68" s="97" t="n">
        <x:v>8</x:v>
      </x:c>
      <x:c r="K68" s="97" t="n">
        <x:v>4</x:v>
      </x:c>
      <x:c r="L68" s="97" t="n">
        <x:v>4</x:v>
      </x:c>
      <x:c r="M68" s="97" t="n">
        <x:v>11</x:v>
      </x:c>
      <x:c r="N68" s="97" t="n">
        <x:v>3</x:v>
      </x:c>
      <x:c r="O68" s="97" t="n">
        <x:v>22</x:v>
      </x:c>
      <x:c r="P68" s="97" t="str">
        <x:v>https://www.rrps.net/page/salaries ; https://www.zillow.com/rental-manager/market-trends/rio-rancho-nm/ ; https://www.rrps.net/</x:v>
      </x:c>
      <x:c r="Q68" s="97" t="str">
        <x:v>2026-06-16</x:v>
      </x:c>
      <x:c r="R68" s="97" t="n">
        <x:v>8</x:v>
      </x:c>
    </x:row>
    <x:row r="69">
      <x:c r="A69" s="97" t="str">
        <x:v>Gilbert Public Schools</x:v>
      </x:c>
      <x:c r="B69" s="97" t="str">
        <x:v>AZ</x:v>
      </x:c>
      <x:c r="C69" s="97" t="str">
        <x:v>Phoenix East Valley</x:v>
      </x:c>
      <x:c r="D69" s="97" t="n">
        <x:v>57</x:v>
      </x:c>
      <x:c r="E69" s="97" t="n">
        <x:v>27</x:v>
      </x:c>
      <x:c r="F69" s="97" t="n">
        <x:v>5</x:v>
      </x:c>
      <x:c r="G69" s="97" t="n">
        <x:v>4</x:v>
      </x:c>
      <x:c r="H69" s="97" t="n">
        <x:v>18.1</x:v>
      </x:c>
      <x:c r="I69" s="97" t="n">
        <x:v>150</x:v>
      </x:c>
      <x:c r="J69" s="97" t="n">
        <x:v>7</x:v>
      </x:c>
      <x:c r="K69" s="97" t="n">
        <x:v>7</x:v>
      </x:c>
      <x:c r="L69" s="97" t="n">
        <x:v>6</x:v>
      </x:c>
      <x:c r="M69" s="97" t="n">
        <x:v>26</x:v>
      </x:c>
      <x:c r="N69" s="97" t="n">
        <x:v>4</x:v>
      </x:c>
      <x:c r="O69" s="97" t="n">
        <x:v>43</x:v>
      </x:c>
      <x:c r="P69" s="97" t="str">
        <x:v>https://www.gilbertschools.net/jobs ; https://www.gilbertschools.net/ ; https://www.zillow.com/rental-manager/market-trends/gilbert-az/</x:v>
      </x:c>
      <x:c r="Q69" s="97" t="str">
        <x:v>2026-06-16</x:v>
      </x:c>
      <x:c r="R69" s="97" t="n">
        <x:v>7</x:v>
      </x:c>
    </x:row>
    <x:row r="70">
      <x:c r="A70" s="97" t="str">
        <x:v>Queen Creek Unified School District</x:v>
      </x:c>
      <x:c r="B70" s="97" t="str">
        <x:v>AZ</x:v>
      </x:c>
      <x:c r="C70" s="97" t="str">
        <x:v>Phoenix Southeast Valley</x:v>
      </x:c>
      <x:c r="D70" s="97" t="n">
        <x:v>62</x:v>
      </x:c>
      <x:c r="E70" s="97" t="n">
        <x:v>25</x:v>
      </x:c>
      <x:c r="F70" s="97" t="n">
        <x:v>4</x:v>
      </x:c>
      <x:c r="G70" s="97" t="n">
        <x:v>3</x:v>
      </x:c>
      <x:c r="H70" s="97" t="n">
        <x:v>17.8</x:v>
      </x:c>
      <x:c r="I70" s="97" t="n">
        <x:v>145</x:v>
      </x:c>
      <x:c r="J70" s="97" t="n">
        <x:v>6</x:v>
      </x:c>
      <x:c r="K70" s="97" t="n">
        <x:v>2</x:v>
      </x:c>
      <x:c r="L70" s="97" t="n">
        <x:v>4</x:v>
      </x:c>
      <x:c r="M70" s="97" t="n">
        <x:v>9</x:v>
      </x:c>
      <x:c r="N70" s="97" t="n">
        <x:v>2</x:v>
      </x:c>
      <x:c r="O70" s="97" t="n">
        <x:v>17</x:v>
      </x:c>
      <x:c r="P70" s="97" t="str">
        <x:v>https://www.qcusd.org/salary-schedules ; https://www.qcusd.org/ ; https://www.zillow.com/rental-manager/market-trends/queen-creek-az/</x:v>
      </x:c>
      <x:c r="Q70" s="97" t="str">
        <x:v>2026-06-16</x:v>
      </x:c>
      <x:c r="R70" s="97" t="n">
        <x:v>6</x:v>
      </x:c>
    </x:row>
    <x:row r="71">
      <x:c r="A71" s="97" t="str">
        <x:v>Vail School District</x:v>
      </x:c>
      <x:c r="B71" s="97" t="str">
        <x:v>AZ</x:v>
      </x:c>
      <x:c r="C71" s="97" t="str">
        <x:v>Tucson / Vail</x:v>
      </x:c>
      <x:c r="D71" s="97" t="n">
        <x:v>57</x:v>
      </x:c>
      <x:c r="E71" s="97" t="n">
        <x:v>28</x:v>
      </x:c>
      <x:c r="F71" s="97" t="n">
        <x:v>3</x:v>
      </x:c>
      <x:c r="G71" s="97" t="n">
        <x:v>4</x:v>
      </x:c>
      <x:c r="H71" s="97" t="n">
        <x:v>18</x:v>
      </x:c>
      <x:c r="I71" s="97" t="n">
        <x:v>140</x:v>
      </x:c>
      <x:c r="J71" s="97" t="n">
        <x:v>8</x:v>
      </x:c>
      <x:c r="K71" s="97" t="n">
        <x:v>5</x:v>
      </x:c>
      <x:c r="L71" s="97" t="n">
        <x:v>8</x:v>
      </x:c>
      <x:c r="M71" s="97" t="n">
        <x:v>13</x:v>
      </x:c>
      <x:c r="N71" s="97" t="n">
        <x:v>2</x:v>
      </x:c>
      <x:c r="O71" s="97" t="n">
        <x:v>28</x:v>
      </x:c>
      <x:c r="P71" s="97" t="str">
        <x:v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v>
      </x:c>
      <x:c r="Q71" s="97" t="str">
        <x:v>2026-06-16</x:v>
      </x:c>
      <x:c r="R71" s="97" t="n">
        <x:v>8</x:v>
      </x:c>
    </x:row>
    <x:row r="72">
      <x:c r="A72" s="97" t="str">
        <x:v>West Ada School District</x:v>
      </x:c>
      <x:c r="B72" s="97" t="str">
        <x:v>ID</x:v>
      </x:c>
      <x:c r="C72" s="97" t="str">
        <x:v>Boise / Meridian</x:v>
      </x:c>
      <x:c r="D72" s="97" t="n">
        <x:v>72</x:v>
      </x:c>
      <x:c r="E72" s="97" t="n">
        <x:v>16</x:v>
      </x:c>
      <x:c r="F72" s="97" t="n">
        <x:v>4</x:v>
      </x:c>
      <x:c r="G72" s="97" t="n">
        <x:v>1</x:v>
      </x:c>
      <x:c r="H72" s="97" t="n">
        <x:v>18.9</x:v>
      </x:c>
      <x:c r="I72" s="97" t="n">
        <x:v>125</x:v>
      </x:c>
      <x:c r="J72" s="97" t="n">
        <x:v>7</x:v>
      </x:c>
      <x:c r="K72" s="97" t="n">
        <x:v>9</x:v>
      </x:c>
      <x:c r="L72" s="97" t="n">
        <x:v>8</x:v>
      </x:c>
      <x:c r="M72" s="97" t="n">
        <x:v>34</x:v>
      </x:c>
      <x:c r="N72" s="97" t="n">
        <x:v>4</x:v>
      </x:c>
      <x:c r="O72" s="97" t="n">
        <x:v>55</x:v>
      </x:c>
      <x:c r="P72" s="97" t="str">
        <x:v>https://www.westada.org/documents/human-resources/salary-schedules/2025-26-salary-schedules/16670860 ; https://teacherquality.nctq.org/contract-database/district/West-Ada-School-District ; https://www.zillow.com/rental-manager/market-trends/meridian-id/</x:v>
      </x:c>
      <x:c r="Q72" s="97" t="str">
        <x:v>2026-06-16</x:v>
      </x:c>
      <x:c r="R72" s="97" t="n">
        <x:v>7</x:v>
      </x:c>
    </x:row>
    <x:row r="73">
      <x:c r="A73" s="97" t="str">
        <x:v>Twin Falls School District</x:v>
      </x:c>
      <x:c r="B73" s="97" t="str">
        <x:v>ID</x:v>
      </x:c>
      <x:c r="C73" s="97" t="str">
        <x:v>Magic Valley</x:v>
      </x:c>
      <x:c r="D73" s="97" t="n">
        <x:v>61</x:v>
      </x:c>
      <x:c r="E73" s="97" t="n">
        <x:v>29</x:v>
      </x:c>
      <x:c r="F73" s="97" t="n">
        <x:v>2</x:v>
      </x:c>
      <x:c r="G73" s="97" t="n">
        <x:v>1</x:v>
      </x:c>
      <x:c r="H73" s="97" t="n">
        <x:v>17.2</x:v>
      </x:c>
      <x:c r="I73" s="97" t="n">
        <x:v>125</x:v>
      </x:c>
      <x:c r="J73" s="97" t="n">
        <x:v>7</x:v>
      </x:c>
      <x:c r="K73" s="97" t="n">
        <x:v>3</x:v>
      </x:c>
      <x:c r="L73" s="97" t="n">
        <x:v>3</x:v>
      </x:c>
      <x:c r="M73" s="97" t="n">
        <x:v>9</x:v>
      </x:c>
      <x:c r="N73" s="97" t="n">
        <x:v>2</x:v>
      </x:c>
      <x:c r="O73" s="97" t="n">
        <x:v>17</x:v>
      </x:c>
      <x:c r="P73" s="97" t="str">
        <x:v>https://www.tfsd.org/documents/departments/human-resources/payroll-salaries/700424 ; https://www.tfsd.org/page/payroll ; https://www.zillow.com/rental-manager/market-trends/twin-falls-id/</x:v>
      </x:c>
      <x:c r="Q73" s="97" t="str">
        <x:v>2026-06-16</x:v>
      </x:c>
      <x:c r="R73" s="97" t="n">
        <x:v>7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</x:v>
      </x:c>
      <x:c r="D74" s="97" t="n">
        <x:v>43</x:v>
      </x:c>
      <x:c r="E74" s="97" t="n">
        <x:v>41</x:v>
      </x:c>
      <x:c r="F74" s="97" t="n">
        <x:v>5</x:v>
      </x:c>
      <x:c r="G74" s="97" t="n">
        <x:v>2</x:v>
      </x:c>
      <x:c r="H74" s="97" t="n">
        <x:v>17.4</x:v>
      </x:c>
      <x:c r="I74" s="97" t="n">
        <x:v>150</x:v>
      </x:c>
      <x:c r="J74" s="97" t="n">
        <x:v>9</x:v>
      </x:c>
      <x:c r="K74" s="97" t="n">
        <x:v>23</x:v>
      </x:c>
      <x:c r="L74" s="97" t="n">
        <x:v>17</x:v>
      </x:c>
      <x:c r="M74" s="97" t="n">
        <x:v>63</x:v>
      </x:c>
      <x:c r="N74" s="97" t="n">
        <x:v>8</x:v>
      </x:c>
      <x:c r="O74" s="97" t="n">
        <x:v>111</x:v>
      </x:c>
      <x:c r="P74" s="97" t="str">
        <x:v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v>
      </x:c>
      <x:c r="Q74" s="97" t="str">
        <x:v>2026-06-16</x:v>
      </x:c>
      <x:c r="R74" s="97" t="n">
        <x:v>9</x:v>
      </x:c>
    </x:row>
    <x:row r="75">
      <x:c r="A75" s="97" t="str">
        <x:v>Kern High School District</x:v>
      </x:c>
      <x:c r="B75" s="97" t="str">
        <x:v>CA</x:v>
      </x:c>
      <x:c r="C75" s="97" t="str">
        <x:v>Central Valley / Bakersfield</x:v>
      </x:c>
      <x:c r="D75" s="97" t="n">
        <x:v>17</x:v>
      </x:c>
      <x:c r="E75" s="97" t="n">
        <x:v>70</x:v>
      </x:c>
      <x:c r="F75" s="97" t="n">
        <x:v>4</x:v>
      </x:c>
      <x:c r="G75" s="97" t="n">
        <x:v>6</x:v>
      </x:c>
      <x:c r="H75" s="97" t="n">
        <x:v>21.5</x:v>
      </x:c>
      <x:c r="I75" s="97" t="n">
        <x:v>200</x:v>
      </x:c>
      <x:c r="J75" s="97" t="n">
        <x:v>3</x:v>
      </x:c>
      <x:c r="K75" s="97" t="n">
        <x:v>19</x:v>
      </x:c>
      <x:c r="L75" s="97" t="n">
        <x:v>0</x:v>
      </x:c>
      <x:c r="M75" s="97" t="n">
        <x:v>0</x:v>
      </x:c>
      <x:c r="N75" s="97" t="n">
        <x:v>5</x:v>
      </x:c>
      <x:c r="O75" s="97" t="n">
        <x:v>24</x:v>
      </x:c>
      <x:c r="P75" s="97" t="str">
        <x:v>KHSD 2025-26 Certificated Base Salary Schedule uploaded by user; BA mapped to Class I without masters, Master's mapped to Class III with masters for simplified prototype model.</x:v>
      </x:c>
      <x:c r="Q75" s="97" t="str">
        <x:v>2026-06-16</x:v>
      </x:c>
      <x:c r="R75" s="97" t="n">
        <x:v>3</x:v>
      </x:c>
    </x:row>
    <x:row r="76">
      <x:c r="A76" s="97" t="str">
        <x:v>Clovis Unified School District</x:v>
      </x:c>
      <x:c r="B76" s="97" t="str">
        <x:v>CA</x:v>
      </x:c>
      <x:c r="C76" s="97" t="str">
        <x:v>Central Valley / Fresno-Clovis</x:v>
      </x:c>
      <x:c r="D76" s="97" t="n">
        <x:v>37</x:v>
      </x:c>
      <x:c r="E76" s="97" t="n">
        <x:v>33</x:v>
      </x:c>
      <x:c r="F76" s="97" t="n">
        <x:v>16</x:v>
      </x:c>
      <x:c r="G76" s="97" t="n">
        <x:v>3</x:v>
      </x:c>
      <x:c r="H76" s="97" t="n">
        <x:v>22.8</x:v>
      </x:c>
      <x:c r="I76" s="97" t="n">
        <x:v>210</x:v>
      </x:c>
      <x:c r="J76" s="97" t="n">
        <x:v>11</x:v>
      </x:c>
      <x:c r="K76" s="97" t="n">
        <x:v>5</x:v>
      </x:c>
      <x:c r="L76" s="97" t="n">
        <x:v>5</x:v>
      </x:c>
      <x:c r="M76" s="97" t="n">
        <x:v>34</x:v>
      </x:c>
      <x:c r="N76" s="97" t="n">
        <x:v>4</x:v>
      </x:c>
      <x:c r="O76" s="97" t="n">
        <x:v>48</x:v>
      </x:c>
      <x:c r="P76" s="97" t="str">
        <x:v>https://www.cusd.com/salaries ; https://fresnoland.org/2023/11/09/fresno-teacher-raises/ ; https://www.zillow.com/rental-manager/market-trends/clovis-ca/</x:v>
      </x:c>
      <x:c r="Q76" s="97" t="str">
        <x:v>2026-06-16</x:v>
      </x:c>
      <x:c r="R76" s="97" t="n">
        <x:v>11</x:v>
      </x:c>
    </x:row>
    <x:row r="77">
      <x:c r="A77" t="str">
        <x:v>Hobbs Municipal Schools</x:v>
      </x:c>
      <x:c r="B77" t="str">
        <x:v>NM</x:v>
      </x:c>
      <x:c r="C77" t="str">
        <x:v>Southeast New Mexico</x:v>
      </x:c>
      <x:c r="D77" t="n">
        <x:v>21</x:v>
      </x:c>
      <x:c r="E77" t="n">
        <x:v>70</x:v>
      </x:c>
      <x:c r="F77" t="n">
        <x:v>1</x:v>
      </x:c>
      <x:c r="G77" t="n">
        <x:v>4</x:v>
      </x:c>
      <x:c r="H77" t="n">
        <x:v>17</x:v>
      </x:c>
      <x:c r="I77" t="n">
        <x:v>150</x:v>
      </x:c>
      <x:c r="J77" t="n">
        <x:v>4</x:v>
      </x:c>
      <x:c r="K77" t="n">
        <x:v>1</x:v>
      </x:c>
      <x:c r="L77" t="n">
        <x:v>3</x:v>
      </x:c>
      <x:c r="M77" t="n">
        <x:v>10</x:v>
      </x:c>
      <x:c r="N77" t="n">
        <x:v>1</x:v>
      </x:c>
      <x:c r="O77" t="n">
        <x:v>15</x:v>
      </x:c>
      <x:c r="P77" t="str">
        <x:v>https://files-backend.assets.thrillshare.com/documents/asset/uploaded_file/5248/Hms/57461395-c423-4519-8705-b166b34bf5fc/25-26_Certified_Salary_Schedule.pdf?disposition=inline ; https://www.hobbsschools.net/documents/departments/human-resources/salary-schedules/16446179</x:v>
      </x:c>
      <x:c r="Q77" t="str">
        <x:v>2026-06-17</x:v>
      </x:c>
      <x:c r="R77" t="n">
        <x:v>4</x:v>
      </x:c>
    </x:row>
    <x:row r="78">
      <x:c r="A78" t="str">
        <x:v>Farmington Municipal Schools</x:v>
      </x:c>
      <x:c r="B78" t="str">
        <x:v>NM</x:v>
      </x:c>
      <x:c r="C78" t="str">
        <x:v>Four Corners New Mexico</x:v>
      </x:c>
      <x:c r="D78" t="n">
        <x:v>24</x:v>
      </x:c>
      <x:c r="E78" t="n">
        <x:v>56</x:v>
      </x:c>
      <x:c r="F78" t="n">
        <x:v>2</x:v>
      </x:c>
      <x:c r="G78" t="n">
        <x:v>3</x:v>
      </x:c>
      <x:c r="H78" t="n">
        <x:v>17.5</x:v>
      </x:c>
      <x:c r="I78" t="n">
        <x:v>140</x:v>
      </x:c>
      <x:c r="J78" t="n">
        <x:v>15</x:v>
      </x:c>
      <x:c r="K78" t="n">
        <x:v>4</x:v>
      </x:c>
      <x:c r="L78" t="n">
        <x:v>4</x:v>
      </x:c>
      <x:c r="M78" t="n">
        <x:v>10</x:v>
      </x:c>
      <x:c r="N78" t="n">
        <x:v>2</x:v>
      </x:c>
      <x:c r="O78" t="n">
        <x:v>20</x:v>
      </x:c>
      <x:c r="P78" t="str">
        <x:v>https://files-backend.assets.thrillshare.com/documents/asset/uploaded_file/2605/Fms/20b7d19b-4e48-4c30-b917-734b8cb62d00/2025-26_Teacher.pdf?disposition=inline ; https://www.farmingtonschools.us/page/salary-schedules/</x:v>
      </x:c>
      <x:c r="Q78" t="str">
        <x:v>2026-06-17</x:v>
      </x:c>
      <x:c r="R78" t="n">
        <x:v>15</x:v>
      </x:c>
    </x:row>
    <x:row r="79">
      <x:c r="A79" t="str">
        <x:v>Carlsbad Municipal Schools</x:v>
      </x:c>
      <x:c r="B79" t="str">
        <x:v>NM</x:v>
      </x:c>
      <x:c r="C79" t="str">
        <x:v>Southeast New Mexico</x:v>
      </x:c>
      <x:c r="D79" t="n">
        <x:v>29</x:v>
      </x:c>
      <x:c r="E79" t="n">
        <x:v>63</x:v>
      </x:c>
      <x:c r="F79" t="n">
        <x:v>1</x:v>
      </x:c>
      <x:c r="G79" t="n">
        <x:v>2</x:v>
      </x:c>
      <x:c r="H79" t="n">
        <x:v>16.5</x:v>
      </x:c>
      <x:c r="I79" t="n">
        <x:v>150</x:v>
      </x:c>
      <x:c r="J79" t="n">
        <x:v>5</x:v>
      </x:c>
      <x:c r="K79" t="n">
        <x:v>1</x:v>
      </x:c>
      <x:c r="L79" t="n">
        <x:v>2</x:v>
      </x:c>
      <x:c r="M79" t="n">
        <x:v>9</x:v>
      </x:c>
      <x:c r="N79" t="n">
        <x:v>2</x:v>
      </x:c>
      <x:c r="O79" t="n">
        <x:v>14</x:v>
      </x:c>
      <x:c r="P79" t="str">
        <x:v>https://www.carlsbadschools.net/human-resources-home ; https://docs.google.com/spreadsheets/d/1c2DfLQSnot6LMPN4GUDIVlOWXcF9gnVc/edit?gid=878415856</x:v>
      </x:c>
      <x:c r="Q79" t="str">
        <x:v>2026-06-17</x:v>
      </x:c>
      <x:c r="R79" t="n">
        <x:v>5</x:v>
      </x:c>
    </x:row>
    <x:row r="80">
      <x:c r="A80" t="str">
        <x:v>Chaffey Joint Union High School District</x:v>
      </x:c>
      <x:c r="B80" t="str">
        <x:v>CA</x:v>
      </x:c>
      <x:c r="C80" t="str">
        <x:v>Inland Empire / San Bernardino County</x:v>
      </x:c>
      <x:c r="D80" t="n">
        <x:v>8</x:v>
      </x:c>
      <x:c r="E80" t="n">
        <x:v>78</x:v>
      </x:c>
      <x:c r="F80" t="n">
        <x:v>5</x:v>
      </x:c>
      <x:c r="G80" t="n">
        <x:v>5</x:v>
      </x:c>
      <x:c r="H80" t="n">
        <x:v>22.5</x:v>
      </x:c>
      <x:c r="I80" t="n">
        <x:v>180</x:v>
      </x:c>
      <x:c r="J80" t="n">
        <x:v>4</x:v>
      </x:c>
      <x:c r="K80" t="n">
        <x:v>8</x:v>
      </x:c>
      <x:c r="L80" t="n">
        <x:v>0</x:v>
      </x:c>
      <x:c r="M80" t="n">
        <x:v>0</x:v>
      </x:c>
      <x:c r="N80" t="n">
        <x:v>4</x:v>
      </x:c>
      <x:c r="O80" t="n">
        <x:v>12</x:v>
      </x:c>
      <x:c r="P80" t="str">
        <x:v>https://cjuhsd.net/apps/pages/index.jsp?uREC_ID=1762902&amp;type=d&amp;pREC_ID=2190159 ; https://4.files.edl.io/e807/10/16/25/151627-85728596-b3ab-47e6-bfd8-3c0f28fb5dbe.pdf ; https://4.files.edl.io/9882/11/19/25/192915-57d90327-94c9-48a4-8b14-c745496d224e.pdf</x:v>
      </x:c>
      <x:c r="Q80" t="str">
        <x:v>2026-06-17</x:v>
      </x:c>
      <x:c r="R80" t="n">
        <x:v>4</x:v>
      </x:c>
    </x:row>
    <x:row r="81">
      <x:c r="A81" t="str">
        <x:v>Antelope Valley Union High School District</x:v>
      </x:c>
      <x:c r="B81" t="str">
        <x:v>CA</x:v>
      </x:c>
      <x:c r="C81" t="str">
        <x:v>Northern Los Angeles County / Antelope Valley</x:v>
      </x:c>
      <x:c r="D81" t="n">
        <x:v>14</x:v>
      </x:c>
      <x:c r="E81" t="n">
        <x:v>65</x:v>
      </x:c>
      <x:c r="F81" t="n">
        <x:v>4</x:v>
      </x:c>
      <x:c r="G81" t="n">
        <x:v>15</x:v>
      </x:c>
      <x:c r="H81" t="n">
        <x:v>21.5</x:v>
      </x:c>
      <x:c r="I81" t="n">
        <x:v>230</x:v>
      </x:c>
      <x:c r="J81" t="n">
        <x:v>2</x:v>
      </x:c>
      <x:c r="K81" t="n">
        <x:v>8</x:v>
      </x:c>
      <x:c r="L81" t="n">
        <x:v>0</x:v>
      </x:c>
      <x:c r="M81" t="n">
        <x:v>0</x:v>
      </x:c>
      <x:c r="N81" t="n">
        <x:v>4</x:v>
      </x:c>
      <x:c r="O81" t="n">
        <x:v>12</x:v>
      </x:c>
      <x:c r="P81" t="str">
        <x:v>https://resources.finalsite.net/images/v1765573588/avdistrictorg/s3hwqugkj5t4nazjseac/2025-2028AVUHSDAVTAAgreement.pdf ; https://www.avteachers.com/salary-schedules ; https://www.edjoin.org/Home/JobPosting/2040446</x:v>
      </x:c>
      <x:c r="Q81" t="str">
        <x:v>2026-06-17</x:v>
      </x:c>
      <x:c r="R81" t="n">
        <x:v>2</x:v>
      </x:c>
    </x:row>
    <x:row r="82">
      <x:c r="A82" t="str">
        <x:v>Grossmont Union High School District</x:v>
      </x:c>
      <x:c r="B82" t="str">
        <x:v>CA</x:v>
      </x:c>
      <x:c r="C82" t="str">
        <x:v>San Diego County / East County</x:v>
      </x:c>
      <x:c r="D82" t="n">
        <x:v>39</x:v>
      </x:c>
      <x:c r="E82" t="n">
        <x:v>39</x:v>
      </x:c>
      <x:c r="F82" t="n">
        <x:v>5</x:v>
      </x:c>
      <x:c r="G82" t="n">
        <x:v>6</x:v>
      </x:c>
      <x:c r="H82" t="n">
        <x:v>22</x:v>
      </x:c>
      <x:c r="I82" t="n">
        <x:v>180</x:v>
      </x:c>
      <x:c r="J82" t="n">
        <x:v>11</x:v>
      </x:c>
      <x:c r="K82" t="n">
        <x:v>12</x:v>
      </x:c>
      <x:c r="L82" t="n">
        <x:v>0</x:v>
      </x:c>
      <x:c r="M82" t="n">
        <x:v>0</x:v>
      </x:c>
      <x:c r="N82" t="n">
        <x:v>3</x:v>
      </x:c>
      <x:c r="O82" t="n">
        <x:v>15</x:v>
      </x:c>
      <x:c r="P82" t="str">
        <x:v>https://www.guhsd.net/Departments/Human-Resources/Certificated-Salary-Schedules/index.html</x:v>
      </x:c>
      <x:c r="Q82" t="str">
        <x:v>2026-06-17</x:v>
      </x:c>
      <x:c r="R82" t="n">
        <x:v>11</x:v>
      </x:c>
    </x:row>
    <x:row r="83">
      <x:c r="A83" t="str">
        <x:v>Clear Creek ISD</x:v>
      </x:c>
      <x:c r="B83" t="str">
        <x:v>TX</x:v>
      </x:c>
      <x:c r="C83" t="str">
        <x:v>Houston / Bay Area</x:v>
      </x:c>
      <x:c r="D83" t="n">
        <x:v>37</x:v>
      </x:c>
      <x:c r="E83" t="n">
        <x:v>36</x:v>
      </x:c>
      <x:c r="F83" t="n">
        <x:v>7</x:v>
      </x:c>
      <x:c r="G83" t="n">
        <x:v>13</x:v>
      </x:c>
      <x:c r="H83" t="n">
        <x:v>14.5</x:v>
      </x:c>
      <x:c r="I83" t="n">
        <x:v>125</x:v>
      </x:c>
      <x:c r="J83" t="n">
        <x:v>7</x:v>
      </x:c>
      <x:c r="K83" t="n">
        <x:v>7</x:v>
      </x:c>
      <x:c r="L83" t="n">
        <x:v>10</x:v>
      </x:c>
      <x:c r="M83" t="n">
        <x:v>27</x:v>
      </x:c>
      <x:c r="N83" t="n">
        <x:v>5</x:v>
      </x:c>
      <x:c r="O83" t="n">
        <x:v>49</x:v>
      </x:c>
      <x:c r="P83" t="str">
        <x:v>https://www.ccisd.net/joinourteam/teach-in-ccisd ; https://resources.finalsite.net/images/v1691770822/ccisdnet/ij7a9xnseovkhvt0kvdp/2023-2024TeacherSalarySchedule.pdf</x:v>
      </x:c>
      <x:c r="Q83" t="str">
        <x:v>2026-06-17</x:v>
      </x:c>
      <x:c r="R83" t="n">
        <x:v>7</x:v>
      </x:c>
    </x:row>
    <x:row r="84">
      <x:c r="A84" t="str">
        <x:v>Pearland ISD</x:v>
      </x:c>
      <x:c r="B84" t="str">
        <x:v>TX</x:v>
      </x:c>
      <x:c r="C84" t="str">
        <x:v>Houston / Brazoria County</x:v>
      </x:c>
      <x:c r="D84" t="n">
        <x:v>28</x:v>
      </x:c>
      <x:c r="E84" t="n">
        <x:v>44</x:v>
      </x:c>
      <x:c r="F84" t="n">
        <x:v>15</x:v>
      </x:c>
      <x:c r="G84" t="n">
        <x:v>9</x:v>
      </x:c>
      <x:c r="H84" t="n">
        <x:v>14</x:v>
      </x:c>
      <x:c r="I84" t="n">
        <x:v>105</x:v>
      </x:c>
      <x:c r="J84" t="n">
        <x:v>4</x:v>
      </x:c>
      <x:c r="K84" t="n">
        <x:v>4</x:v>
      </x:c>
      <x:c r="L84" t="n">
        <x:v>4</x:v>
      </x:c>
      <x:c r="M84" t="n">
        <x:v>11</x:v>
      </x:c>
      <x:c r="N84" t="n">
        <x:v>3</x:v>
      </x:c>
      <x:c r="O84" t="n">
        <x:v>22</x:v>
      </x:c>
      <x:c r="P84" t="str">
        <x:v>https://www.pearlandisd.org/departments/hrs/salaries ; https://www.pearlandisd.org/fs/resource-manager/view/5344b3e9-803d-4698-98fc-0bbaebc9038b</x:v>
      </x:c>
      <x:c r="Q84" t="str">
        <x:v>2026-06-17</x:v>
      </x:c>
      <x:c r="R84" t="n">
        <x:v>4</x:v>
      </x:c>
    </x:row>
    <x:row r="85">
      <x:c r="A85" t="str">
        <x:v>Anoka-Hennepin Schools</x:v>
      </x:c>
      <x:c r="B85" t="str">
        <x:v>MN</x:v>
      </x:c>
      <x:c r="C85" t="str">
        <x:v>Twin Cities North Metro</x:v>
      </x:c>
      <x:c r="D85" t="n">
        <x:v>64</x:v>
      </x:c>
      <x:c r="E85" t="n">
        <x:v>11</x:v>
      </x:c>
      <x:c r="F85" t="n">
        <x:v>8</x:v>
      </x:c>
      <x:c r="G85" t="n">
        <x:v>10</x:v>
      </x:c>
      <x:c r="H85" t="n">
        <x:v>17.4</x:v>
      </x:c>
      <x:c r="I85" t="n">
        <x:v>200</x:v>
      </x:c>
      <x:c r="J85" t="n">
        <x:v>7</x:v>
      </x:c>
      <x:c r="K85" t="n">
        <x:v>5</x:v>
      </x:c>
      <x:c r="L85" t="n">
        <x:v>6</x:v>
      </x:c>
      <x:c r="M85" t="n">
        <x:v>26</x:v>
      </x:c>
      <x:c r="N85" t="n">
        <x:v>6</x:v>
      </x:c>
      <x:c r="O85" t="n">
        <x:v>43</x:v>
      </x:c>
      <x:c r="P85" t="str">
        <x:v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x:v>
      </x:c>
      <x:c r="Q85" t="str">
        <x:v>2026-06-17</x:v>
      </x:c>
      <x:c r="R85" t="n">
        <x:v>7</x:v>
      </x:c>
    </x:row>
    <x:row r="86">
      <x:c r="A86" t="str">
        <x:v>Osseo Area Schools / ISD 279</x:v>
      </x:c>
      <x:c r="B86" t="str">
        <x:v>MN</x:v>
      </x:c>
      <x:c r="C86" t="str">
        <x:v>Twin Cities Northwest Metro</x:v>
      </x:c>
      <x:c r="D86" t="n">
        <x:v>46</x:v>
      </x:c>
      <x:c r="E86" t="n">
        <x:v>15</x:v>
      </x:c>
      <x:c r="F86" t="n">
        <x:v>18</x:v>
      </x:c>
      <x:c r="G86" t="n">
        <x:v>12</x:v>
      </x:c>
      <x:c r="H86" t="n">
        <x:v>16.8</x:v>
      </x:c>
      <x:c r="I86" t="n">
        <x:v>200</x:v>
      </x:c>
      <x:c r="J86" t="n">
        <x:v>9</x:v>
      </x:c>
      <x:c r="K86" t="n">
        <x:v>3</x:v>
      </x:c>
      <x:c r="L86" t="n">
        <x:v>4</x:v>
      </x:c>
      <x:c r="M86" t="n">
        <x:v>17</x:v>
      </x:c>
      <x:c r="N86" t="n">
        <x:v>7</x:v>
      </x:c>
      <x:c r="O86" t="n">
        <x:v>31</x:v>
      </x:c>
      <x:c r="P86" t="str">
        <x:v>https://www.osseoschools.org/careers/life-279/workagreements ; https://resources.finalsite.net/images/v1777648251/district279org/yhlbsugypdbmkm9mlaa4/2025-2027TeachersFINAL1.pdf ; https://www.osseoschools.org/become-a-substitute</x:v>
      </x:c>
      <x:c r="Q86" t="str">
        <x:v>2026-06-17</x:v>
      </x:c>
      <x:c r="R86" t="n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9" customWidth="1"/>
    <x:col min="3" max="3" width="22" customWidth="1"/>
    <x:col min="4" max="4" width="17" customWidth="1"/>
    <x:col min="5" max="5" width="14" customWidth="1"/>
    <x:col min="6" max="6" width="22" customWidth="1"/>
    <x:col min="7" max="7" width="58" customWidth="1"/>
    <x:col min="8" max="15" width="10" customWidth="1"/>
    <x:col min="16" max="16" width="24" customWidth="1"/>
    <x:col min="17" max="28" width="10" customWidth="1"/>
  </x:cols>
  <x:sheetData>
    <x:row r="1" ht="4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Area</x:t>
        </x:is>
      </x:c>
      <x:c r="D1" s="48" t="inlineStr">
        <x:is>
          <x:t xml:space="preserve">Median Home Price</x:t>
        </x:is>
      </x:c>
      <x:c r="E1" s="48" t="inlineStr">
        <x:is>
          <x:t xml:space="preserve">Median Rent</x:t>
        </x:is>
      </x:c>
      <x:c r="F1" s="48" t="inlineStr">
        <x:is>
          <x:t xml:space="preserve">Median Home Price per Sq Ft</x:t>
        </x:is>
      </x:c>
      <x:c r="G1" s="48" t="inlineStr">
        <x:is>
          <x:t xml:space="preserve">PPSF Source URL</x:t>
        </x:is>
      </x:c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6.75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Alief, TX</x:t>
        </x:is>
      </x:c>
      <x:c r="D2" s="14" t="n">
        <x:v>215000</x:v>
      </x:c>
      <x:c r="E2" s="14" t="n">
        <x:v>1350</x:v>
      </x:c>
      <x:c r="F2" s="14" t="n">
        <x:v>113</x:v>
      </x:c>
      <x:c r="G2" s="10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6.75" customHeight="1">
      <x:c r="A3" s="12" t="inlineStr">
        <x:is>
          <x:t xml:space="preserve">Arcadia Unified School District</x:t>
        </x:is>
      </x:c>
      <x:c r="B3" s="12" t="inlineStr">
        <x:is>
          <x:t xml:space="preserve">CA</x:t>
        </x:is>
      </x:c>
      <x:c r="C3" s="12" t="inlineStr">
        <x:is>
          <x:t xml:space="preserve">Arcadia, CA</x:t>
        </x:is>
      </x:c>
      <x:c r="D3" s="14" t="n">
        <x:v>1800000</x:v>
      </x:c>
      <x:c r="E3" s="14" t="n">
        <x:v>3290</x:v>
      </x:c>
      <x:c r="F3" s="14" t="n">
        <x:v>736</x:v>
      </x:c>
      <x:c r="G3" s="10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6.75" customHeight="1">
      <x:c r="A4" s="12" t="inlineStr">
        <x:is>
          <x:t xml:space="preserve">Austin ISD</x:t>
        </x:is>
      </x:c>
      <x:c r="B4" s="12" t="inlineStr">
        <x:is>
          <x:t xml:space="preserve">TX</x:t>
        </x:is>
      </x:c>
      <x:c r="C4" s="12" t="inlineStr">
        <x:is>
          <x:t xml:space="preserve">Austin, TX</x:t>
        </x:is>
      </x:c>
      <x:c r="D4" s="14" t="n">
        <x:v>506276</x:v>
      </x:c>
      <x:c r="E4" s="14" t="n">
        <x:v>1956</x:v>
      </x:c>
      <x:c r="F4" s="14" t="n">
        <x:v>294</x:v>
      </x:c>
      <x:c r="G4" s="10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6.75" customHeight="1">
      <x:c r="A5" s="12" t="inlineStr">
        <x:is>
          <x:t xml:space="preserve">Barbers Hill ISD</x:t>
        </x:is>
      </x:c>
      <x:c r="B5" s="12" t="inlineStr">
        <x:is>
          <x:t xml:space="preserve">TX</x:t>
        </x:is>
      </x:c>
      <x:c r="C5" s="12" t="inlineStr">
        <x:is>
          <x:t xml:space="preserve">Mont Belvieu, TX</x:t>
        </x:is>
      </x:c>
      <x:c r="D5" s="14" t="n">
        <x:v>457726</x:v>
      </x:c>
      <x:c r="E5" s="14" t="n">
        <x:v>1496</x:v>
      </x:c>
      <x:c r="F5" s="14" t="n">
        <x:v>190</x:v>
      </x:c>
      <x:c r="G5" s="10" t="inlineStr">
        <x:is>
          <x:t xml:space="preserve">https://www.redfin.com/city/12568/TX/Mont-Belvieu/housing-market ; https://www.apartments.com/rent-market-trends/mont-belvieu-tx/</x:t>
        </x:is>
      </x:c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6.75" customHeight="1">
      <x:c r="A6" s="12" t="inlineStr">
        <x:is>
          <x:t xml:space="preserve">Canyons School District</x:t>
        </x:is>
      </x:c>
      <x:c r="B6" s="12" t="inlineStr">
        <x:is>
          <x:t xml:space="preserve">UT</x:t>
        </x:is>
      </x:c>
      <x:c r="C6" s="12" t="inlineStr">
        <x:is>
          <x:t xml:space="preserve">Sandy / Canyons District, UT</x:t>
        </x:is>
      </x:c>
      <x:c r="D6" s="14" t="n">
        <x:v>660000</x:v>
      </x:c>
      <x:c r="E6" s="14" t="n">
        <x:v>2084</x:v>
      </x:c>
      <x:c r="F6" s="14" t="n">
        <x:v>252</x:v>
      </x:c>
      <x:c r="G6" s="10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6.75" customHeight="1">
      <x:c r="A7" s="12" t="inlineStr">
        <x:is>
          <x:t xml:space="preserve">Chandler Unified School District</x:t>
        </x:is>
      </x:c>
      <x:c r="B7" s="12" t="inlineStr">
        <x:is>
          <x:t xml:space="preserve">AZ</x:t>
        </x:is>
      </x:c>
      <x:c r="C7" s="12" t="inlineStr">
        <x:is>
          <x:t xml:space="preserve">Chandler, AZ</x:t>
        </x:is>
      </x:c>
      <x:c r="D7" s="14" t="n">
        <x:v>520000</x:v>
      </x:c>
      <x:c r="E7" s="14" t="n">
        <x:v>2388</x:v>
      </x:c>
      <x:c r="F7" s="14" t="n">
        <x:v>286</x:v>
      </x:c>
      <x:c r="G7" s="10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6.75" customHeight="1">
      <x:c r="A8" s="12" t="inlineStr">
        <x:is>
          <x:t xml:space="preserve">Chapel Hill-Carrboro City Schools</x:t>
        </x:is>
      </x:c>
      <x:c r="B8" s="12" t="inlineStr">
        <x:is>
          <x:t xml:space="preserve">NC</x:t>
        </x:is>
      </x:c>
      <x:c r="C8" s="12" t="inlineStr">
        <x:is>
          <x:t xml:space="preserve">Chapel Hill, NC</x:t>
        </x:is>
      </x:c>
      <x:c r="D8" s="14" t="n">
        <x:v>634403</x:v>
      </x:c>
      <x:c r="E8" s="14" t="n">
        <x:v>1850</x:v>
      </x:c>
      <x:c r="F8" s="14" t="n">
        <x:v>296</x:v>
      </x:c>
      <x:c r="G8" s="10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6.75" customHeight="1">
      <x:c r="A9" s="12" t="inlineStr">
        <x:is>
          <x:t xml:space="preserve">Cherry Creek School District</x:t>
        </x:is>
      </x:c>
      <x:c r="B9" s="12" t="inlineStr">
        <x:is>
          <x:t xml:space="preserve">CO</x:t>
        </x:is>
      </x:c>
      <x:c r="C9" s="12" t="inlineStr">
        <x:is>
          <x:t xml:space="preserve">Aurora &amp; Centennial, CO average</x:t>
        </x:is>
      </x:c>
      <x:c r="D9" s="14" t="n">
        <x:v>556984</x:v>
      </x:c>
      <x:c r="E9" s="14" t="n">
        <x:v>2208</x:v>
      </x:c>
      <x:c r="F9" s="14" t="n">
        <x:v>255</x:v>
      </x:c>
      <x:c r="G9" s="10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6.75" customHeight="1">
      <x:c r="A10" s="12" t="inlineStr">
        <x:is>
          <x:t xml:space="preserve">Chicago Public Schools</x:t>
        </x:is>
      </x:c>
      <x:c r="B10" s="12" t="inlineStr">
        <x:is>
          <x:t xml:space="preserve">IL</x:t>
        </x:is>
      </x:c>
      <x:c r="C10" s="12" t="inlineStr">
        <x:is>
          <x:t xml:space="preserve">Chicago, IL</x:t>
        </x:is>
      </x:c>
      <x:c r="D10" s="14" t="n">
        <x:v>419749</x:v>
      </x:c>
      <x:c r="E10" s="14" t="n">
        <x:v>2406</x:v>
      </x:c>
      <x:c r="F10" s="14" t="n">
        <x:v>303</x:v>
      </x:c>
      <x:c r="G10" s="10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6.75" customHeight="1">
      <x:c r="A11" s="12" t="inlineStr">
        <x:is>
          <x:t xml:space="preserve">Cobb County School District</x:t>
        </x:is>
      </x:c>
      <x:c r="B11" s="12" t="inlineStr">
        <x:is>
          <x:t xml:space="preserve">GA</x:t>
        </x:is>
      </x:c>
      <x:c r="C11" s="12" t="inlineStr">
        <x:is>
          <x:t xml:space="preserve">Marietta / Cobb County, GA</x:t>
        </x:is>
      </x:c>
      <x:c r="D11" s="14" t="n">
        <x:v>475000</x:v>
      </x:c>
      <x:c r="E11" s="14" t="n">
        <x:v>1534</x:v>
      </x:c>
      <x:c r="F11" s="14" t="n">
        <x:v>212</x:v>
      </x:c>
      <x:c r="G11" s="10" t="inlineStr">
        <x:is>
          <x:t xml:space="preserve"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x:t>
        </x:is>
      </x:c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6.75" customHeight="1">
      <x:c r="A12" s="12" t="inlineStr">
        <x:is>
          <x:t xml:space="preserve">Denver Public Schools</x:t>
        </x:is>
      </x:c>
      <x:c r="B12" s="12" t="inlineStr">
        <x:is>
          <x:t xml:space="preserve">CO</x:t>
        </x:is>
      </x:c>
      <x:c r="C12" s="12" t="inlineStr">
        <x:is>
          <x:t xml:space="preserve">Denver, CO</x:t>
        </x:is>
      </x:c>
      <x:c r="D12" s="14" t="n">
        <x:v>542000</x:v>
      </x:c>
      <x:c r="E12" s="14" t="n">
        <x:v>2000</x:v>
      </x:c>
      <x:c r="F12" s="14" t="n">
        <x:v>367</x:v>
      </x:c>
      <x:c r="G12" s="10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6.75" customHeight="1">
      <x:c r="A13" s="12" t="inlineStr">
        <x:is>
          <x:t xml:space="preserve">Eanes ISD</x:t>
        </x:is>
      </x:c>
      <x:c r="B13" s="12" t="inlineStr">
        <x:is>
          <x:t xml:space="preserve">TX</x:t>
        </x:is>
      </x:c>
      <x:c r="C13" s="12" t="inlineStr">
        <x:is>
          <x:t xml:space="preserve">Austin 78746 / West Lake Hills, TX</x:t>
        </x:is>
      </x:c>
      <x:c r="D13" s="14" t="n">
        <x:v>1724921</x:v>
      </x:c>
      <x:c r="E13" s="14" t="n">
        <x:v>3900</x:v>
      </x:c>
      <x:c r="F13" s="14" t="n">
        <x:v>558</x:v>
      </x:c>
      <x:c r="G13" s="10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6.75" customHeight="1">
      <x:c r="A14" s="12" t="inlineStr">
        <x:is>
          <x:t xml:space="preserve">Flagstaff Unified School District</x:t>
        </x:is>
      </x:c>
      <x:c r="B14" s="12" t="inlineStr">
        <x:is>
          <x:t xml:space="preserve">AZ</x:t>
        </x:is>
      </x:c>
      <x:c r="C14" s="12" t="inlineStr">
        <x:is>
          <x:t xml:space="preserve">Flagstaff, AZ</x:t>
        </x:is>
      </x:c>
      <x:c r="D14" s="14" t="n">
        <x:v>710000</x:v>
      </x:c>
      <x:c r="E14" s="14" t="n">
        <x:v>2300</x:v>
      </x:c>
      <x:c r="F14" s="14" t="n">
        <x:v>368</x:v>
      </x:c>
      <x:c r="G14" s="10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6.75" customHeight="1">
      <x:c r="A15" s="12" t="inlineStr">
        <x:is>
          <x:t xml:space="preserve">Glendale Union High School District</x:t>
        </x:is>
      </x:c>
      <x:c r="B15" s="12" t="inlineStr">
        <x:is>
          <x:t xml:space="preserve">AZ</x:t>
        </x:is>
      </x:c>
      <x:c r="C15" s="12" t="inlineStr">
        <x:is>
          <x:t xml:space="preserve">Glendale, AZ</x:t>
        </x:is>
      </x:c>
      <x:c r="D15" s="14" t="n">
        <x:v>408630</x:v>
      </x:c>
      <x:c r="E15" s="14" t="n">
        <x:v>1987</x:v>
      </x:c>
      <x:c r="F15" s="14" t="n">
        <x:v>211</x:v>
      </x:c>
      <x:c r="G15" s="10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6.75" customHeight="1">
      <x:c r="A16" s="12" t="inlineStr">
        <x:is>
          <x:t xml:space="preserve">Glendora Unified School District</x:t>
        </x:is>
      </x:c>
      <x:c r="B16" s="12" t="inlineStr">
        <x:is>
          <x:t xml:space="preserve">CA</x:t>
        </x:is>
      </x:c>
      <x:c r="C16" s="12" t="inlineStr">
        <x:is>
          <x:t xml:space="preserve">Glendora, CA</x:t>
        </x:is>
      </x:c>
      <x:c r="D16" s="14" t="n">
        <x:v>900000</x:v>
      </x:c>
      <x:c r="E16" s="14" t="n">
        <x:v>2700</x:v>
      </x:c>
      <x:c r="F16" s="14" t="n">
        <x:v>583</x:v>
      </x:c>
      <x:c r="G16" s="10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6.75" customHeight="1">
      <x:c r="A17" s="12" t="inlineStr">
        <x:is>
          <x:t xml:space="preserve">Gwinnett County Public Schools</x:t>
        </x:is>
      </x:c>
      <x:c r="B17" s="12" t="inlineStr">
        <x:is>
          <x:t xml:space="preserve">GA</x:t>
        </x:is>
      </x:c>
      <x:c r="C17" s="12" t="inlineStr">
        <x:is>
          <x:t xml:space="preserve">Lawrenceville / Gwinnett County, GA</x:t>
        </x:is>
      </x:c>
      <x:c r="D17" s="14" t="n">
        <x:v>365000</x:v>
      </x:c>
      <x:c r="E17" s="14" t="n">
        <x:v>1718</x:v>
      </x:c>
      <x:c r="F17" s="14" t="n">
        <x:v>165</x:v>
      </x:c>
      <x:c r="G17" s="10" t="inlineStr">
        <x:is>
          <x:t xml:space="preserve"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x:t>
        </x:is>
      </x:c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6.75" customHeight="1">
      <x:c r="A18" s="12" t="inlineStr">
        <x:is>
          <x:t xml:space="preserve">Jordan District</x:t>
        </x:is>
      </x:c>
      <x:c r="B18" s="12" t="inlineStr">
        <x:is>
          <x:t xml:space="preserve">UT</x:t>
        </x:is>
      </x:c>
      <x:c r="C18" s="12" t="inlineStr">
        <x:is>
          <x:t xml:space="preserve">West Jordan, UT</x:t>
        </x:is>
      </x:c>
      <x:c r="D18" s="14" t="n">
        <x:v>580000</x:v>
      </x:c>
      <x:c r="E18" s="14" t="n">
        <x:v>1689</x:v>
      </x:c>
      <x:c r="F18" s="14" t="n">
        <x:v>232</x:v>
      </x:c>
      <x:c r="G18" s="10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6.75" customHeight="1">
      <x:c r="A19" s="12" t="inlineStr">
        <x:is>
          <x:t xml:space="preserve">Katy ISD</x:t>
        </x:is>
      </x:c>
      <x:c r="B19" s="12" t="inlineStr">
        <x:is>
          <x:t xml:space="preserve">TX</x:t>
        </x:is>
      </x:c>
      <x:c r="C19" s="12" t="inlineStr">
        <x:is>
          <x:t xml:space="preserve">Katy, TX</x:t>
        </x:is>
      </x:c>
      <x:c r="D19" s="14" t="n">
        <x:v>350000</x:v>
      </x:c>
      <x:c r="E19" s="14" t="n">
        <x:v>1650</x:v>
      </x:c>
      <x:c r="F19" s="14" t="n">
        <x:v>160</x:v>
      </x:c>
      <x:c r="G19" s="10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6.75" customHeight="1">
      <x:c r="A20" s="12" t="inlineStr">
        <x:is>
          <x:t xml:space="preserve">La Cañada Unified School District</x:t>
        </x:is>
      </x:c>
      <x:c r="B20" s="12" t="inlineStr">
        <x:is>
          <x:t xml:space="preserve">CA</x:t>
        </x:is>
      </x:c>
      <x:c r="C20" s="12" t="inlineStr">
        <x:is>
          <x:t xml:space="preserve">La Cañada Flintridge, CA</x:t>
        </x:is>
      </x:c>
      <x:c r="D20" s="14" t="n">
        <x:v>2499891</x:v>
      </x:c>
      <x:c r="E20" s="14" t="n">
        <x:v>5900</x:v>
      </x:c>
      <x:c r="F20" s="14" t="n">
        <x:v>1030</x:v>
      </x:c>
      <x:c r="G20" s="10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6.75" customHeight="1">
      <x:c r="A21" s="12" t="inlineStr">
        <x:is>
          <x:t xml:space="preserve">Lake Washington School District</x:t>
        </x:is>
      </x:c>
      <x:c r="B21" s="12" t="inlineStr">
        <x:is>
          <x:t xml:space="preserve">WA</x:t>
        </x:is>
      </x:c>
      <x:c r="C21" s="12" t="inlineStr">
        <x:is>
          <x:t xml:space="preserve">Redmond / Kirkland, WA</x:t>
        </x:is>
      </x:c>
      <x:c r="D21" s="14" t="n">
        <x:v>1299222</x:v>
      </x:c>
      <x:c r="E21" s="14" t="n">
        <x:v>3061</x:v>
      </x:c>
      <x:c r="F21" s="14" t="n">
        <x:v>650</x:v>
      </x:c>
      <x:c r="G21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6.75" customHeight="1">
      <x:c r="A22" s="12" t="inlineStr">
        <x:is>
          <x:t xml:space="preserve">Leander ISD</x:t>
        </x:is>
      </x:c>
      <x:c r="B22" s="12" t="inlineStr">
        <x:is>
          <x:t xml:space="preserve">TX</x:t>
        </x:is>
      </x:c>
      <x:c r="C22" s="12" t="inlineStr">
        <x:is>
          <x:t xml:space="preserve">Austin, TX</x:t>
        </x:is>
      </x:c>
      <x:c r="D22" s="14" t="n">
        <x:v>512000</x:v>
      </x:c>
      <x:c r="E22" s="14" t="n">
        <x:v>1500</x:v>
      </x:c>
      <x:c r="F22" s="14" t="n">
        <x:v>190</x:v>
      </x:c>
      <x:c r="G22" s="10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6.75" customHeight="1">
      <x:c r="A23" s="12" t="inlineStr">
        <x:is>
          <x:t xml:space="preserve">Los Angeles Unified</x:t>
        </x:is>
      </x:c>
      <x:c r="B23" s="12" t="inlineStr">
        <x:is>
          <x:t xml:space="preserve">CA</x:t>
        </x:is>
      </x:c>
      <x:c r="C23" s="12" t="inlineStr">
        <x:is>
          <x:t xml:space="preserve">Los Angeles, CA</x:t>
        </x:is>
      </x:c>
      <x:c r="D23" s="14" t="n">
        <x:v>956465</x:v>
      </x:c>
      <x:c r="E23" s="14" t="n">
        <x:v>2650</x:v>
      </x:c>
      <x:c r="F23" s="14" t="n">
        <x:v>634</x:v>
      </x:c>
      <x:c r="G23" s="10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6.75" customHeight="1">
      <x:c r="A24" s="12" t="inlineStr">
        <x:is>
          <x:t xml:space="preserve">Loudoun County Public Schools</x:t>
        </x:is>
      </x:c>
      <x:c r="B24" s="12" t="inlineStr">
        <x:is>
          <x:t xml:space="preserve">VA</x:t>
        </x:is>
      </x:c>
      <x:c r="C24" s="12" t="inlineStr">
        <x:is>
          <x:t xml:space="preserve">Ashburn / Loudoun County, VA</x:t>
        </x:is>
      </x:c>
      <x:c r="D24" s="14" t="n">
        <x:v>679593</x:v>
      </x:c>
      <x:c r="E24" s="14" t="n">
        <x:v>2680</x:v>
      </x:c>
      <x:c r="F24" s="14" t="n">
        <x:v>309</x:v>
      </x:c>
      <x:c r="G24" s="10" t="inlineStr">
        <x:is>
          <x:t xml:space="preserve">https://www.redfin.com/city/29015/VA/Ashburn/housing-market</x:t>
        </x:is>
      </x:c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6.75" customHeight="1">
      <x:c r="A25" s="12" t="inlineStr">
        <x:is>
          <x:t xml:space="preserve">Madison Metropolitan School District</x:t>
        </x:is>
      </x:c>
      <x:c r="B25" s="12" t="inlineStr">
        <x:is>
          <x:t xml:space="preserve">WI</x:t>
        </x:is>
      </x:c>
      <x:c r="C25" s="12" t="inlineStr">
        <x:is>
          <x:t xml:space="preserve">Madison, WI</x:t>
        </x:is>
      </x:c>
      <x:c r="D25" s="14" t="n">
        <x:v>439737</x:v>
      </x:c>
      <x:c r="E25" s="14" t="n">
        <x:v>1655</x:v>
      </x:c>
      <x:c r="F25" s="14" t="n">
        <x:v>261</x:v>
      </x:c>
      <x:c r="G25" s="10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6.75" customHeight="1">
      <x:c r="A26" s="12" t="inlineStr">
        <x:is>
          <x:t xml:space="preserve">Metro Nashville Public Schools</x:t>
        </x:is>
      </x:c>
      <x:c r="B26" s="12" t="inlineStr">
        <x:is>
          <x:t xml:space="preserve">TN</x:t>
        </x:is>
      </x:c>
      <x:c r="C26" s="12" t="inlineStr">
        <x:is>
          <x:t xml:space="preserve">Nashville, TN</x:t>
        </x:is>
      </x:c>
      <x:c r="D26" s="14" t="n">
        <x:v>436355</x:v>
      </x:c>
      <x:c r="E26" s="14" t="n">
        <x:v>2195</x:v>
      </x:c>
      <x:c r="F26" s="14" t="n">
        <x:v>274</x:v>
      </x:c>
      <x:c r="G26" s="10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6.75" customHeight="1">
      <x:c r="A27" s="12" t="inlineStr">
        <x:is>
          <x:t xml:space="preserve">Nassau County School District</x:t>
        </x:is>
      </x:c>
      <x:c r="B27" s="12" t="inlineStr">
        <x:is>
          <x:t xml:space="preserve">FL</x:t>
        </x:is>
      </x:c>
      <x:c r="C27" s="12" t="inlineStr">
        <x:is>
          <x:t xml:space="preserve">Yulee / Nassau County, FL</x:t>
        </x:is>
      </x:c>
      <x:c r="D27" s="14" t="n">
        <x:v>421075</x:v>
      </x:c>
      <x:c r="E27" s="14" t="n">
        <x:v>1834</x:v>
      </x:c>
      <x:c r="F27" s="14" t="n">
        <x:v>212</x:v>
      </x:c>
      <x:c r="G27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6.75" customHeight="1">
      <x:c r="A28" s="12" t="inlineStr">
        <x:is>
          <x:t xml:space="preserve">North Clackamas School District</x:t>
        </x:is>
      </x:c>
      <x:c r="B28" s="12" t="inlineStr">
        <x:is>
          <x:t xml:space="preserve">OR</x:t>
        </x:is>
      </x:c>
      <x:c r="C28" s="12" t="inlineStr">
        <x:is>
          <x:t xml:space="preserve">Milwaukie / North Clackamas, OR</x:t>
        </x:is>
      </x:c>
      <x:c r="D28" s="14" t="n">
        <x:v>518000</x:v>
      </x:c>
      <x:c r="E28" s="14" t="n">
        <x:v>1699</x:v>
      </x:c>
      <x:c r="F28" s="14" t="n">
        <x:v>279</x:v>
      </x:c>
      <x:c r="G28" s="10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6.75" customHeight="1">
      <x:c r="A29" s="12" t="inlineStr">
        <x:is>
          <x:t xml:space="preserve">Oakland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Oakland, CA</x:t>
        </x:is>
      </x:c>
      <x:c r="D29" s="14" t="n">
        <x:v>850000</x:v>
      </x:c>
      <x:c r="E29" s="14" t="n">
        <x:v>2700</x:v>
      </x:c>
      <x:c r="F29" s="14" t="n">
        <x:v>577</x:v>
      </x:c>
      <x:c r="G29" s="10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6.75" customHeight="1">
      <x:c r="A30" s="12" t="inlineStr">
        <x:is>
          <x:t xml:space="preserve">Ocean Springs School District</x:t>
        </x:is>
      </x:c>
      <x:c r="B30" s="12" t="inlineStr">
        <x:is>
          <x:t xml:space="preserve">MS</x:t>
        </x:is>
      </x:c>
      <x:c r="C30" s="12" t="inlineStr">
        <x:is>
          <x:t xml:space="preserve">Ocean Springs, MS</x:t>
        </x:is>
      </x:c>
      <x:c r="D30" s="14" t="n">
        <x:v>294824</x:v>
      </x:c>
      <x:c r="E30" s="14" t="n">
        <x:v>2100</x:v>
      </x:c>
      <x:c r="F30" s="14" t="n">
        <x:v>201</x:v>
      </x:c>
      <x:c r="G30" s="10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6.75" customHeight="1">
      <x:c r="A31" s="12" t="inlineStr">
        <x:is>
          <x:t xml:space="preserve">Oxnard Union High School District</x:t>
        </x:is>
      </x:c>
      <x:c r="B31" s="12" t="inlineStr">
        <x:is>
          <x:t xml:space="preserve">CA</x:t>
        </x:is>
      </x:c>
      <x:c r="C31" s="12" t="inlineStr">
        <x:is>
          <x:t xml:space="preserve">Oxnard, CA</x:t>
        </x:is>
      </x:c>
      <x:c r="D31" s="14" t="n">
        <x:v>767000</x:v>
      </x:c>
      <x:c r="E31" s="14" t="n">
        <x:v>2912</x:v>
      </x:c>
      <x:c r="F31" s="14" t="n">
        <x:v>514</x:v>
      </x:c>
      <x:c r="G31" s="10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6.75" customHeight="1">
      <x:c r="A32" s="12" t="inlineStr">
        <x:is>
          <x:t xml:space="preserve">Portland Public Schools</x:t>
        </x:is>
      </x:c>
      <x:c r="B32" s="12" t="inlineStr">
        <x:is>
          <x:t xml:space="preserve">OR</x:t>
        </x:is>
      </x:c>
      <x:c r="C32" s="12" t="inlineStr">
        <x:is>
          <x:t xml:space="preserve">Portland, OR</x:t>
        </x:is>
      </x:c>
      <x:c r="D32" s="14" t="n">
        <x:v>538687</x:v>
      </x:c>
      <x:c r="E32" s="14" t="n">
        <x:v>1725</x:v>
      </x:c>
      <x:c r="F32" s="14" t="n">
        <x:v>328</x:v>
      </x:c>
      <x:c r="G32" s="10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6.75" customHeight="1">
      <x:c r="A33" s="12" t="inlineStr">
        <x:is>
          <x:t xml:space="preserve">Provo City School District</x:t>
        </x:is>
      </x:c>
      <x:c r="B33" s="12" t="inlineStr">
        <x:is>
          <x:t xml:space="preserve">UT</x:t>
        </x:is>
      </x:c>
      <x:c r="C33" s="12" t="inlineStr">
        <x:is>
          <x:t xml:space="preserve">Provo, UT</x:t>
        </x:is>
      </x:c>
      <x:c r="D33" s="14" t="n">
        <x:v>533000</x:v>
      </x:c>
      <x:c r="E33" s="14" t="n">
        <x:v>1550</x:v>
      </x:c>
      <x:c r="F33" s="14" t="n">
        <x:v>267</x:v>
      </x:c>
      <x:c r="G33" s="10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6.75" customHeight="1">
      <x:c r="A34" s="12" t="inlineStr">
        <x:is>
          <x:t xml:space="preserve">Royal ISD</x:t>
        </x:is>
      </x:c>
      <x:c r="B34" s="12" t="inlineStr">
        <x:is>
          <x:t xml:space="preserve">TX</x:t>
        </x:is>
      </x:c>
      <x:c r="C34" s="12" t="inlineStr">
        <x:is>
          <x:t xml:space="preserve">Brookshire/Pattison, TX</x:t>
        </x:is>
      </x:c>
      <x:c r="D34" s="14" t="n">
        <x:v>335000</x:v>
      </x:c>
      <x:c r="E34" s="14" t="n">
        <x:v>2245</x:v>
      </x:c>
      <x:c r="F34" s="14" t="n">
        <x:v>161</x:v>
      </x:c>
      <x:c r="G34" s="10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6.75" customHeight="1">
      <x:c r="A35" s="12" t="inlineStr">
        <x:is>
          <x:t xml:space="preserve">Saint Helena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St. Helena, CA</x:t>
        </x:is>
      </x:c>
      <x:c r="D35" s="14" t="n">
        <x:v>2323609</x:v>
      </x:c>
      <x:c r="E35" s="14" t="n">
        <x:v>5995</x:v>
      </x:c>
      <x:c r="F35" s="14" t="n">
        <x:v>903</x:v>
      </x:c>
      <x:c r="G35" s="10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6.75" customHeight="1">
      <x:c r="A36" s="12" t="inlineStr">
        <x:is>
          <x:t xml:space="preserve">Salt Lake School District</x:t>
        </x:is>
      </x:c>
      <x:c r="B36" s="12" t="inlineStr">
        <x:is>
          <x:t xml:space="preserve">UT</x:t>
        </x:is>
      </x:c>
      <x:c r="C36" s="12" t="inlineStr">
        <x:is>
          <x:t xml:space="preserve">Salt Lake City, UT</x:t>
        </x:is>
      </x:c>
      <x:c r="D36" s="14" t="n">
        <x:v>580000</x:v>
      </x:c>
      <x:c r="E36" s="14" t="n">
        <x:v>1600</x:v>
      </x:c>
      <x:c r="F36" s="14" t="n">
        <x:v>372</x:v>
      </x:c>
      <x:c r="G36" s="10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6.75" customHeight="1">
      <x:c r="A37" s="12" t="inlineStr">
        <x:is>
          <x:t xml:space="preserve">San Antonio ISD</x:t>
        </x:is>
      </x:c>
      <x:c r="B37" s="12" t="inlineStr">
        <x:is>
          <x:t xml:space="preserve">TX</x:t>
        </x:is>
      </x:c>
      <x:c r="C37" s="12" t="inlineStr">
        <x:is>
          <x:t xml:space="preserve">San Antonio, TX</x:t>
        </x:is>
      </x:c>
      <x:c r="D37" s="14" t="n">
        <x:v>260000</x:v>
      </x:c>
      <x:c r="E37" s="14" t="n">
        <x:v>1372</x:v>
      </x:c>
      <x:c r="F37" s="14" t="n">
        <x:v>151</x:v>
      </x:c>
      <x:c r="G37" s="10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6.75" customHeight="1">
      <x:c r="A38" s="12" t="inlineStr">
        <x:is>
          <x:t xml:space="preserve">San Diego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San Diego, CA</x:t>
        </x:is>
      </x:c>
      <x:c r="D38" s="14" t="n">
        <x:v>1000000</x:v>
      </x:c>
      <x:c r="E38" s="14" t="n">
        <x:v>3039</x:v>
      </x:c>
      <x:c r="F38" s="14" t="n">
        <x:v>687</x:v>
      </x:c>
      <x:c r="G38" s="10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6.75" customHeight="1">
      <x:c r="A39" s="12" t="inlineStr">
        <x:is>
          <x:t xml:space="preserve">San Jose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San Jose, CA</x:t>
        </x:is>
      </x:c>
      <x:c r="D39" s="14" t="n">
        <x:v>1500000</x:v>
      </x:c>
      <x:c r="E39" s="14" t="n">
        <x:v>3300</x:v>
      </x:c>
      <x:c r="F39" s="14" t="n">
        <x:v>878</x:v>
      </x:c>
      <x:c r="G39" s="10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6.75" customHeight="1">
      <x:c r="A40" s="12" t="inlineStr">
        <x:is>
          <x:t xml:space="preserve">Scarsdale Union Free School District</x:t>
        </x:is>
      </x:c>
      <x:c r="B40" s="12" t="inlineStr">
        <x:is>
          <x:t xml:space="preserve">NY</x:t>
        </x:is>
      </x:c>
      <x:c r="C40" s="12" t="inlineStr">
        <x:is>
          <x:t xml:space="preserve">Scarsdale, NY</x:t>
        </x:is>
      </x:c>
      <x:c r="D40" s="14" t="n">
        <x:v>2088750</x:v>
      </x:c>
      <x:c r="E40" s="14" t="n">
        <x:v>5500</x:v>
      </x:c>
      <x:c r="F40" s="14" t="n">
        <x:v>752</x:v>
      </x:c>
      <x:c r="G40" s="10" t="inlineStr">
        <x:is>
          <x:t xml:space="preserve">https://www.redfin.com/city/16773/NY/Scarsdale/housing-market ; https://www.realtor.com/local/market/new-york/westchester-county/scarsdale</x:t>
        </x:is>
      </x:c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6.75" customHeight="1">
      <x:c r="A41" s="12" t="inlineStr">
        <x:is>
          <x:t xml:space="preserve">South Pasadena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South Pasadena, CA</x:t>
        </x:is>
      </x:c>
      <x:c r="D41" s="14" t="n">
        <x:v>1918852</x:v>
      </x:c>
      <x:c r="E41" s="14" t="n">
        <x:v>2695</x:v>
      </x:c>
      <x:c r="F41" s="14" t="n">
        <x:v>962</x:v>
      </x:c>
      <x:c r="G41" s="10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6.75" customHeight="1">
      <x:c r="A42" s="12" t="inlineStr">
        <x:is>
          <x:t xml:space="preserve">Syosset Central School District</x:t>
        </x:is>
      </x:c>
      <x:c r="B42" s="12" t="inlineStr">
        <x:is>
          <x:t xml:space="preserve">NY</x:t>
        </x:is>
      </x:c>
      <x:c r="C42" s="12" t="inlineStr">
        <x:is>
          <x:t xml:space="preserve">Syosset, NY</x:t>
        </x:is>
      </x:c>
      <x:c r="D42" s="14" t="n">
        <x:v>1096329</x:v>
      </x:c>
      <x:c r="E42" s="14" t="n">
        <x:v>5200</x:v>
      </x:c>
      <x:c r="F42" s="14" t="n">
        <x:v>559</x:v>
      </x:c>
      <x:c r="G42" s="10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6.75" customHeight="1">
      <x:c r="A43" s="12" t="inlineStr">
        <x:is>
          <x:t xml:space="preserve">West Des Moines Community Schools</x:t>
        </x:is>
      </x:c>
      <x:c r="B43" s="12" t="inlineStr">
        <x:is>
          <x:t xml:space="preserve">IA</x:t>
        </x:is>
      </x:c>
      <x:c r="C43" s="12" t="inlineStr">
        <x:is>
          <x:t xml:space="preserve">West Des Moines, IA</x:t>
        </x:is>
      </x:c>
      <x:c r="D43" s="14" t="n">
        <x:v>327554</x:v>
      </x:c>
      <x:c r="E43" s="14" t="n">
        <x:v>1126</x:v>
      </x:c>
      <x:c r="F43" s="14" t="n">
        <x:v>211</x:v>
      </x:c>
      <x:c r="G43" s="10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</x:row>
    <x:row r="44" ht="26.75" customHeight="1">
      <x:c r="A44" s="12" t="inlineStr">
        <x:is>
          <x:t xml:space="preserve">Middleton-Cross Plains Area School District</x:t>
        </x:is>
      </x:c>
      <x:c r="B44" s="12" t="inlineStr">
        <x:is>
          <x:t xml:space="preserve">WI</x:t>
        </x:is>
      </x:c>
      <x:c r="C44" s="12" t="inlineStr">
        <x:is>
          <x:t xml:space="preserve">Middleton, WI</x:t>
        </x:is>
      </x:c>
      <x:c r="D44" s="14" t="n">
        <x:v>568000</x:v>
      </x:c>
      <x:c r="E44" s="14" t="n">
        <x:v>1900</x:v>
      </x:c>
      <x:c r="F44" s="14" t="n">
        <x:v>254</x:v>
      </x:c>
      <x:c r="G44" s="10" t="inlineStr">
        <x:is>
          <x:t xml:space="preserve">Redfin/Apartments first-pass market lookup, 2026-06-15</x:t>
        </x:is>
      </x:c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  <x:c r="AA44" s="7" t="n"/>
      <x:c r="AB44" s="7" t="n"/>
    </x:row>
    <x:row r="45" ht="26.75" customHeight="1">
      <x:c r="A45" s="12" t="inlineStr">
        <x:is>
          <x:t xml:space="preserve">Sun Prairie Area School District</x:t>
        </x:is>
      </x:c>
      <x:c r="B45" s="12" t="inlineStr">
        <x:is>
          <x:t xml:space="preserve">WI</x:t>
        </x:is>
      </x:c>
      <x:c r="C45" s="12" t="inlineStr">
        <x:is>
          <x:t xml:space="preserve">Sun Prairie, WI</x:t>
        </x:is>
      </x:c>
      <x:c r="D45" s="14" t="n">
        <x:v>455000</x:v>
      </x:c>
      <x:c r="E45" s="14" t="n">
        <x:v>1550</x:v>
      </x:c>
      <x:c r="F45" s="14" t="n">
        <x:v>210</x:v>
      </x:c>
      <x:c r="G45" s="10" t="inlineStr">
        <x:is>
          <x:t xml:space="preserve">Redfin/Apartments first-pass market lookup, 2026-06-15</x:t>
        </x:is>
      </x:c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</x:row>
    <x:row r="46" ht="26.75" customHeight="1">
      <x:c r="A46" s="12" t="inlineStr">
        <x:is>
          <x:t xml:space="preserve">Waunakee Community School District</x:t>
        </x:is>
      </x:c>
      <x:c r="B46" s="12" t="inlineStr">
        <x:is>
          <x:t xml:space="preserve">WI</x:t>
        </x:is>
      </x:c>
      <x:c r="C46" s="12" t="inlineStr">
        <x:is>
          <x:t xml:space="preserve">Waunakee, WI</x:t>
        </x:is>
      </x:c>
      <x:c r="D46" s="14" t="n">
        <x:v>540000</x:v>
      </x:c>
      <x:c r="E46" s="14" t="n">
        <x:v>1650</x:v>
      </x:c>
      <x:c r="F46" s="14" t="n">
        <x:v>220</x:v>
      </x:c>
      <x:c r="G46" s="10" t="inlineStr">
        <x:is>
          <x:t xml:space="preserve">Redfin/Apartments first-pass market lookup, 2026-06-15</x:t>
        </x:is>
      </x:c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  <x:c r="AA46" s="7" t="n"/>
      <x:c r="AB46" s="7" t="n"/>
    </x:row>
    <x:row r="47" ht="26.75" customHeight="1">
      <x:c r="A47" s="12" t="inlineStr">
        <x:is>
          <x:t xml:space="preserve">Verona Area School District</x:t>
        </x:is>
      </x:c>
      <x:c r="B47" s="12" t="inlineStr">
        <x:is>
          <x:t xml:space="preserve">WI</x:t>
        </x:is>
      </x:c>
      <x:c r="C47" s="12" t="inlineStr">
        <x:is>
          <x:t xml:space="preserve">Verona, WI</x:t>
        </x:is>
      </x:c>
      <x:c r="D47" s="14" t="n">
        <x:v>531000</x:v>
      </x:c>
      <x:c r="E47" s="14" t="n">
        <x:v>1735</x:v>
      </x:c>
      <x:c r="F47" s="14" t="n">
        <x:v>224</x:v>
      </x:c>
      <x:c r="G47" s="10" t="inlineStr">
        <x:is>
          <x:t xml:space="preserve">Redfin/Apartments first-pass market lookup, 2026-06-15</x:t>
        </x:is>
      </x:c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</x:row>
    <x:row r="48" ht="26.75" customHeight="1">
      <x:c r="A48" s="12" t="inlineStr">
        <x:is>
          <x:t xml:space="preserve">Beaverton School District</x:t>
        </x:is>
      </x:c>
      <x:c r="B48" s="12" t="inlineStr">
        <x:is>
          <x:t xml:space="preserve">OR</x:t>
        </x:is>
      </x:c>
      <x:c r="C48" s="12" t="inlineStr">
        <x:is>
          <x:t xml:space="preserve">Beaverton, OR</x:t>
        </x:is>
      </x:c>
      <x:c r="D48" s="14" t="n">
        <x:v>575000</x:v>
      </x:c>
      <x:c r="E48" s="14" t="n">
        <x:v>1850</x:v>
      </x:c>
      <x:c r="F48" s="14" t="n">
        <x:v>299</x:v>
      </x:c>
      <x:c r="G48" s="10" t="inlineStr">
        <x:is>
          <x:t xml:space="preserve">Redfin/Apartments first-pass market lookup, 2026-06-15</x:t>
        </x:is>
      </x:c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  <x:c r="AA48" s="7" t="n"/>
      <x:c r="AB48" s="7" t="n"/>
    </x:row>
    <x:row r="49" ht="26.75" customHeight="1">
      <x:c r="A49" s="12" t="inlineStr">
        <x:is>
          <x:t xml:space="preserve">Indian Prairie School District 204</x:t>
        </x:is>
      </x:c>
      <x:c r="B49" s="12" t="inlineStr">
        <x:is>
          <x:t xml:space="preserve">IL</x:t>
        </x:is>
      </x:c>
      <x:c r="C49" s="12" t="inlineStr">
        <x:is>
          <x:t xml:space="preserve">Naperville / Aurora, IL</x:t>
        </x:is>
      </x:c>
      <x:c r="D49" s="14" t="n">
        <x:v>475000</x:v>
      </x:c>
      <x:c r="E49" s="14" t="n">
        <x:v>1831</x:v>
      </x:c>
      <x:c r="F49" s="14" t="n">
        <x:v>250</x:v>
      </x:c>
      <x:c r="G49" s="10" t="inlineStr">
        <x:is>
          <x:t xml:space="preserve">Redfin/Apartments first-pass market lookup, 2026-06-15</x:t>
        </x:is>
      </x:c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</x:row>
    <x:row r="50" ht="26.75" customHeight="1">
      <x:c r="A50" s="12" t="inlineStr">
        <x:is>
          <x:t xml:space="preserve">Glenbrook High School District 225</x:t>
        </x:is>
      </x:c>
      <x:c r="B50" s="12" t="inlineStr">
        <x:is>
          <x:t xml:space="preserve">IL</x:t>
        </x:is>
      </x:c>
      <x:c r="C50" s="12" t="inlineStr">
        <x:is>
          <x:t xml:space="preserve">Glenview / Northbrook, IL</x:t>
        </x:is>
      </x:c>
      <x:c r="D50" s="14" t="n">
        <x:v>811015</x:v>
      </x:c>
      <x:c r="E50" s="14" t="n">
        <x:v>1957</x:v>
      </x:c>
      <x:c r="F50" s="14" t="n">
        <x:v>350</x:v>
      </x:c>
      <x:c r="G50" s="10" t="inlineStr">
        <x:is>
          <x:t xml:space="preserve">https://www.redfin.com/city/7628/IL/Glenview/housing-market ; https://www.apartments.com/rent-market-trends/glenview-il/</x:t>
        </x:is>
      </x:c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  <x:c r="AA50" s="7" t="n"/>
      <x:c r="AB50" s="7" t="n"/>
    </x:row>
    <x:row r="51" ht="26.75" customHeight="1">
      <x:c r="A51" s="12" t="inlineStr">
        <x:is>
          <x:t xml:space="preserve">Mounds View Public Schools</x:t>
        </x:is>
      </x:c>
      <x:c r="B51" s="12" t="inlineStr">
        <x:is>
          <x:t xml:space="preserve">MN</x:t>
        </x:is>
      </x:c>
      <x:c r="C51" s="12" t="inlineStr">
        <x:is>
          <x:t xml:space="preserve">Shoreview / Mounds View, MN</x:t>
        </x:is>
      </x:c>
      <x:c r="D51" s="14" t="n">
        <x:v>425000</x:v>
      </x:c>
      <x:c r="E51" s="14" t="n">
        <x:v>1500</x:v>
      </x:c>
      <x:c r="F51" s="14" t="n">
        <x:v>198</x:v>
      </x:c>
      <x:c r="G51" s="10" t="inlineStr">
        <x:is>
          <x:t xml:space="preserve">Redfin/Apartments first-pass market lookup, 2026-06-15</x:t>
        </x:is>
      </x:c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</x:row>
    <x:row r="52" ht="26.75" customHeight="1">
      <x:c r="A52" s="12" t="inlineStr">
        <x:is>
          <x:t xml:space="preserve">Eden Prairie Schools</x:t>
        </x:is>
      </x:c>
      <x:c r="B52" s="12" t="inlineStr">
        <x:is>
          <x:t xml:space="preserve">MN</x:t>
        </x:is>
      </x:c>
      <x:c r="C52" s="12" t="inlineStr">
        <x:is>
          <x:t xml:space="preserve">Twin Cities / Eden Prairie, MN</x:t>
        </x:is>
      </x:c>
      <x:c r="D52" s="14" t="n">
        <x:v>515000</x:v>
      </x:c>
      <x:c r="E52" s="14" t="n">
        <x:v>1650</x:v>
      </x:c>
      <x:c r="F52" s="14" t="n">
        <x:v>221</x:v>
      </x:c>
      <x:c r="G52" s="10" t="inlineStr">
        <x:is>
          <x:t xml:space="preserve">Redfin/Apartments first-pass market lookup, 2026-06-15</x:t>
        </x:is>
      </x:c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  <x:c r="AA52" s="7" t="n"/>
      <x:c r="AB52" s="7" t="n"/>
    </x:row>
    <x:row r="53" ht="26.75" customHeight="1">
      <x:c r="A53" s="12" t="inlineStr">
        <x:is>
          <x:t xml:space="preserve">Naperville CUSD 203</x:t>
        </x:is>
      </x:c>
      <x:c r="B53" s="12" t="inlineStr">
        <x:is>
          <x:t xml:space="preserve">IL</x:t>
        </x:is>
      </x:c>
      <x:c r="C53" s="12" t="inlineStr">
        <x:is>
          <x:t xml:space="preserve">Naperville, IL</x:t>
        </x:is>
      </x:c>
      <x:c r="D53" s="14" t="n">
        <x:v>600000</x:v>
      </x:c>
      <x:c r="E53" s="14" t="n">
        <x:v>1831</x:v>
      </x:c>
      <x:c r="F53" s="14" t="n">
        <x:v>265</x:v>
      </x:c>
      <x:c r="G53" s="10" t="inlineStr">
        <x:is>
          <x:t xml:space="preserve">https://www.apartments.com/rent-market-trends/naperville-il/ ; Redfin first-pass market lookup, 2026-06-15</x:t>
        </x:is>
      </x:c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</x:row>
    <x:row r="54" ht="50.75" customHeight="1">
      <x:c r="A54" s="7" t="inlineStr">
        <x:is>
          <x:t xml:space="preserve">Minnetonka Public Schools</x:t>
        </x:is>
      </x:c>
      <x:c r="B54" s="7" t="inlineStr">
        <x:is>
          <x:t xml:space="preserve">MN</x:t>
        </x:is>
      </x:c>
      <x:c r="C54" s="7" t="inlineStr">
        <x:is>
          <x:t xml:space="preserve">Minnetonka, MN</x:t>
        </x:is>
      </x:c>
      <x:c r="D54" s="8" t="n">
        <x:v>512000</x:v>
      </x:c>
      <x:c r="E54" s="8" t="n">
        <x:v>1730</x:v>
      </x:c>
      <x:c r="F54" s="8" t="n">
        <x:v>240</x:v>
      </x:c>
      <x:c r="G54" s="7" t="inlineStr">
        <x:is>
          <x:t xml:space="preserve">First-pass market estimate; verify with preferred housing/rent source.</x:t>
        </x:is>
      </x:c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  <x:c r="AA54" s="7" t="n"/>
      <x:c r="AB54" s="7" t="n"/>
    </x:row>
    <x:row r="55" ht="50.75" customHeight="1">
      <x:c r="A55" s="7" t="inlineStr">
        <x:is>
          <x:t xml:space="preserve">Wayzata Public Schools</x:t>
        </x:is>
      </x:c>
      <x:c r="B55" s="7" t="inlineStr">
        <x:is>
          <x:t xml:space="preserve">MN</x:t>
        </x:is>
      </x:c>
      <x:c r="C55" s="7" t="inlineStr">
        <x:is>
          <x:t xml:space="preserve">Plymouth/Wayzata, MN</x:t>
        </x:is>
      </x:c>
      <x:c r="D55" s="8" t="n">
        <x:v>580000</x:v>
      </x:c>
      <x:c r="E55" s="8" t="n">
        <x:v>1850</x:v>
      </x:c>
      <x:c r="F55" s="8" t="n">
        <x:v>250</x:v>
      </x:c>
      <x:c r="G55" s="7" t="inlineStr">
        <x:is>
          <x:t xml:space="preserve">First-pass market estimate; verify with preferred housing/rent source.</x:t>
        </x:is>
      </x:c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  <x:c r="AA55" s="7" t="n"/>
      <x:c r="AB55" s="7" t="n"/>
    </x:row>
    <x:row r="56" ht="50.75" customHeight="1">
      <x:c r="A56" s="7" t="inlineStr">
        <x:is>
          <x:t xml:space="preserve">Rosemount-Apple Valley-Eagan ISD 196</x:t>
        </x:is>
      </x:c>
      <x:c r="B56" s="7" t="inlineStr">
        <x:is>
          <x:t xml:space="preserve">MN</x:t>
        </x:is>
      </x:c>
      <x:c r="C56" s="7" t="inlineStr">
        <x:is>
          <x:t xml:space="preserve">Apple Valley/Eagan/Rosemount, MN</x:t>
        </x:is>
      </x:c>
      <x:c r="D56" s="8" t="n">
        <x:v>435000</x:v>
      </x:c>
      <x:c r="E56" s="8" t="n">
        <x:v>1700</x:v>
      </x:c>
      <x:c r="F56" s="8" t="n">
        <x:v>215</x:v>
      </x:c>
      <x:c r="G56" s="7" t="inlineStr">
        <x:is>
          <x:t xml:space="preserve">First-pass market estimate; verify with preferred housing/rent source.</x:t>
        </x:is>
      </x:c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  <x:c r="AA56" s="7" t="n"/>
      <x:c r="AB56" s="7" t="n"/>
    </x:row>
    <x:row r="57" ht="50.75" customHeight="1">
      <x:c r="A57" s="7" t="inlineStr">
        <x:is>
          <x:t xml:space="preserve">Edina Public Schools</x:t>
        </x:is>
      </x:c>
      <x:c r="B57" s="7" t="inlineStr">
        <x:is>
          <x:t xml:space="preserve">MN</x:t>
        </x:is>
      </x:c>
      <x:c r="C57" s="7" t="inlineStr">
        <x:is>
          <x:t xml:space="preserve">Edina, MN</x:t>
        </x:is>
      </x:c>
      <x:c r="D57" s="8" t="n">
        <x:v>650000</x:v>
      </x:c>
      <x:c r="E57" s="8" t="n">
        <x:v>2000</x:v>
      </x:c>
      <x:c r="F57" s="8" t="n">
        <x:v>275</x:v>
      </x:c>
      <x:c r="G57" s="7" t="inlineStr">
        <x:is>
          <x:t xml:space="preserve">First-pass market estimate; verify with preferred housing/rent source.</x:t>
        </x:is>
      </x:c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  <x:c r="AA57" s="7" t="n"/>
      <x:c r="AB57" s="7" t="n"/>
    </x:row>
    <x:row r="58" ht="50.75" customHeight="1">
      <x:c r="A58" s="7" t="inlineStr">
        <x:is>
          <x:t xml:space="preserve">New Trier Township High School District 203</x:t>
        </x:is>
      </x:c>
      <x:c r="B58" s="7" t="inlineStr">
        <x:is>
          <x:t xml:space="preserve">IL</x:t>
        </x:is>
      </x:c>
      <x:c r="C58" s="7" t="inlineStr">
        <x:is>
          <x:t xml:space="preserve">Winnetka/Northfield, IL</x:t>
        </x:is>
      </x:c>
      <x:c r="D58" s="8" t="n">
        <x:v>1600000</x:v>
      </x:c>
      <x:c r="E58" s="8" t="n">
        <x:v>3300</x:v>
      </x:c>
      <x:c r="F58" s="8" t="n">
        <x:v>500</x:v>
      </x:c>
      <x:c r="G58" s="7" t="inlineStr">
        <x:is>
          <x:t xml:space="preserve">First-pass market estimate; verify with preferred housing/rent source.</x:t>
        </x:is>
      </x:c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  <x:c r="AA58" s="7" t="n"/>
      <x:c r="AB58" s="7" t="n"/>
    </x:row>
    <x:row r="59" ht="24" customHeight="1">
      <x:c r="A59" s="7" t="inlineStr">
        <x:is>
          <x:t xml:space="preserve">Tahoe-Truckee Unified School District</x:t>
        </x:is>
      </x:c>
      <x:c r="B59" s="7" t="inlineStr">
        <x:is>
          <x:t xml:space="preserve">CA</x:t>
        </x:is>
      </x:c>
      <x:c r="C59" s="7" t="inlineStr">
        <x:is>
          <x:t xml:space="preserve">Truckee, CA</x:t>
        </x:is>
      </x:c>
      <x:c r="D59" s="8" t="n">
        <x:v>1024669</x:v>
      </x:c>
      <x:c r="E59" s="8" t="n">
        <x:v>2203</x:v>
      </x:c>
      <x:c r="F59" s="8" t="n">
        <x:v>346</x:v>
      </x:c>
      <x:c r="G59" s="7" t="inlineStr">
        <x:is>
          <x:t xml:space="preserve">Zillow Truckee ZHVI through 2026-05-31; RentCafe Truckee average monthly rent March 2026; FRED Truckee-Grass Valley median list price per sq ft May 2026.</x:t>
        </x:is>
      </x:c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  <x:c r="AA59" s="7" t="n"/>
      <x:c r="AB59" s="7" t="n"/>
    </x:row>
    <x:row r="60" ht="24" customHeight="1">
      <x:c r="A60" s="7" t="inlineStr">
        <x:is>
          <x:t xml:space="preserve">Channelview ISD</x:t>
        </x:is>
      </x:c>
      <x:c r="B60" s="7" t="inlineStr">
        <x:is>
          <x:t xml:space="preserve">TX</x:t>
        </x:is>
      </x:c>
      <x:c r="C60" s="7" t="inlineStr">
        <x:is>
          <x:t xml:space="preserve">Channelview / east Houston, TX</x:t>
        </x:is>
      </x:c>
      <x:c r="D60" s="8" t="n">
        <x:v>229862</x:v>
      </x:c>
      <x:c r="E60" s="8" t="n">
        <x:v>1800</x:v>
      </x:c>
      <x:c r="F60" s="8" t="n">
        <x:v>151</x:v>
      </x:c>
      <x:c r="G60" s="7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  <x:c r="AA60" s="7" t="n"/>
      <x:c r="AB60" s="7" t="n"/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Plano / North Dallas suburbs, TX</x:t>
        </x:is>
      </x:c>
      <x:c r="D61" t="n">
        <x:v>519689</x:v>
      </x:c>
      <x:c r="E61" t="n">
        <x:v>2600</x:v>
      </x:c>
      <x:c r="F61" t="n">
        <x:v>242</x:v>
      </x:c>
      <x:c r="G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Galena Park / east Houston, TX</x:t>
        </x:is>
      </x:c>
      <x:c r="D62" t="n">
        <x:v>194134</x:v>
      </x:c>
      <x:c r="E62" t="n">
        <x:v>1600</x:v>
      </x:c>
      <x:c r="F62" t="n">
        <x:v>153</x:v>
      </x:c>
      <x:c r="G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Deer Park / southeast Houston, TX</x:t>
        </x:is>
      </x:c>
      <x:c r="D63" t="n">
        <x:v>272837</x:v>
      </x:c>
      <x:c r="E63" t="n">
        <x:v>2000</x:v>
      </x:c>
      <x:c r="F63" t="n">
        <x:v>154</x:v>
      </x:c>
      <x:c r="G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Port Arthur, TX</x:t>
        </x:is>
      </x:c>
      <x:c r="D64" t="n">
        <x:v>154907</x:v>
      </x:c>
      <x:c r="E64" t="n">
        <x:v>1331</x:v>
      </x:c>
      <x:c r="F64" t="n">
        <x:v>96</x:v>
      </x:c>
      <x:c r="G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</x:row>
    <x:row r="65">
      <x:c r="A65" t="str">
        <x:v>Dublin City Schools</x:v>
      </x:c>
      <x:c r="B65" t="str">
        <x:v>OH</x:v>
      </x:c>
      <x:c r="C65" t="str">
        <x:v>Dublin / Columbus suburbs, OH</x:v>
      </x:c>
      <x:c r="D65" t="n">
        <x:v>569539</x:v>
      </x:c>
      <x:c r="E65" t="n">
        <x:v>2300</x:v>
      </x:c>
      <x:c r="F65" t="n">
        <x:v>242</x:v>
      </x:c>
      <x:c r="G65" t="str">
        <x:v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v>
      </x:c>
    </x:row>
    <x:row r="66">
      <x:c r="A66" t="str">
        <x:v>Mariemont City Schools</x:v>
      </x:c>
      <x:c r="B66" t="str">
        <x:v>OH</x:v>
      </x:c>
      <x:c r="C66" t="str">
        <x:v>Mariemont / Cincinnati east suburbs, OH</x:v>
      </x:c>
      <x:c r="D66" t="n">
        <x:v>593962</x:v>
      </x:c>
      <x:c r="E66" t="n">
        <x:v>1600</x:v>
      </x:c>
      <x:c r="F66" t="n">
        <x:v>310</x:v>
      </x:c>
      <x:c r="G66" t="str">
        <x:v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v>
      </x:c>
    </x:row>
    <x:row r="67">
      <x:c r="A67" s="97" t="str">
        <x:v>Las Cruces Public Schools</x:v>
      </x:c>
      <x:c r="B67" s="97" t="str">
        <x:v>NM</x:v>
      </x:c>
      <x:c r="C67" s="97" t="str">
        <x:v>Las Cruces, NM</x:v>
      </x:c>
      <x:c r="D67" s="97" t="n">
        <x:v>310000</x:v>
      </x:c>
      <x:c r="E67" s="97" t="n">
        <x:v>1450</x:v>
      </x:c>
      <x:c r="F67" s="97" t="n">
        <x:v>185</x:v>
      </x:c>
      <x:c r="G67" s="97" t="str">
        <x:v>https://www.lcps.net/documents/departments/human-resources/salary-schedules/salary-schedules-2025-2026/24126443 ; https://www.zillow.com/rental-manager/market-trends/las-cruces-nm/ ; https://www.lcps.net/</x:v>
      </x:c>
    </x:row>
    <x:row r="68">
      <x:c r="A68" s="97" t="str">
        <x:v>Rio Rancho Public Schools</x:v>
      </x:c>
      <x:c r="B68" s="97" t="str">
        <x:v>NM</x:v>
      </x:c>
      <x:c r="C68" s="97" t="str">
        <x:v>Rio Rancho, NM</x:v>
      </x:c>
      <x:c r="D68" s="97" t="n">
        <x:v>350000</x:v>
      </x:c>
      <x:c r="E68" s="97" t="n">
        <x:v>1650</x:v>
      </x:c>
      <x:c r="F68" s="97" t="n">
        <x:v>205</x:v>
      </x:c>
      <x:c r="G68" s="97" t="str">
        <x:v>https://www.rrps.net/page/salaries ; https://www.zillow.com/rental-manager/market-trends/rio-rancho-nm/ ; https://www.rrps.net/</x:v>
      </x:c>
    </x:row>
    <x:row r="69">
      <x:c r="A69" s="97" t="str">
        <x:v>Gilbert Public Schools</x:v>
      </x:c>
      <x:c r="B69" s="97" t="str">
        <x:v>AZ</x:v>
      </x:c>
      <x:c r="C69" s="97" t="str">
        <x:v>Gilbert, AZ</x:v>
      </x:c>
      <x:c r="D69" s="97" t="n">
        <x:v>565000</x:v>
      </x:c>
      <x:c r="E69" s="97" t="n">
        <x:v>2250</x:v>
      </x:c>
      <x:c r="F69" s="97" t="n">
        <x:v>285</x:v>
      </x:c>
      <x:c r="G69" s="97" t="str">
        <x:v>https://www.gilbertschools.net/jobs ; https://www.gilbertschools.net/ ; https://www.zillow.com/rental-manager/market-trends/gilbert-az/</x:v>
      </x:c>
    </x:row>
    <x:row r="70">
      <x:c r="A70" s="97" t="str">
        <x:v>Queen Creek Unified School District</x:v>
      </x:c>
      <x:c r="B70" s="97" t="str">
        <x:v>AZ</x:v>
      </x:c>
      <x:c r="C70" s="97" t="str">
        <x:v>Queen Creek, AZ</x:v>
      </x:c>
      <x:c r="D70" s="97" t="n">
        <x:v>670000</x:v>
      </x:c>
      <x:c r="E70" s="97" t="n">
        <x:v>2450</x:v>
      </x:c>
      <x:c r="F70" s="97" t="n">
        <x:v>300</x:v>
      </x:c>
      <x:c r="G70" s="97" t="str">
        <x:v>https://www.qcusd.org/salary-schedules ; https://www.qcusd.org/ ; https://www.zillow.com/rental-manager/market-trends/queen-creek-az/</x:v>
      </x:c>
    </x:row>
    <x:row r="71">
      <x:c r="A71" s="97" t="str">
        <x:v>Vail School District</x:v>
      </x:c>
      <x:c r="B71" s="97" t="str">
        <x:v>AZ</x:v>
      </x:c>
      <x:c r="C71" s="97" t="str">
        <x:v>Vail, AZ</x:v>
      </x:c>
      <x:c r="D71" s="97" t="n">
        <x:v>370000</x:v>
      </x:c>
      <x:c r="E71" s="97" t="n">
        <x:v>1700</x:v>
      </x:c>
      <x:c r="F71" s="97" t="n">
        <x:v>220</x:v>
      </x:c>
      <x:c r="G71" s="97" t="str">
        <x:v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v>
      </x:c>
    </x:row>
    <x:row r="72">
      <x:c r="A72" s="97" t="str">
        <x:v>West Ada School District</x:v>
      </x:c>
      <x:c r="B72" s="97" t="str">
        <x:v>ID</x:v>
      </x:c>
      <x:c r="C72" s="97" t="str">
        <x:v>Meridian / West Ada, ID</x:v>
      </x:c>
      <x:c r="D72" s="97" t="n">
        <x:v>525000</x:v>
      </x:c>
      <x:c r="E72" s="97" t="n">
        <x:v>1850</x:v>
      </x:c>
      <x:c r="F72" s="97" t="n">
        <x:v>260</x:v>
      </x:c>
      <x:c r="G72" s="97" t="str">
        <x:v>https://www.westada.org/documents/human-resources/salary-schedules/2025-26-salary-schedules/16670860 ; https://teacherquality.nctq.org/contract-database/district/West-Ada-School-District ; https://www.zillow.com/rental-manager/market-trends/meridian-id/</x:v>
      </x:c>
    </x:row>
    <x:row r="73">
      <x:c r="A73" s="97" t="str">
        <x:v>Twin Falls School District</x:v>
      </x:c>
      <x:c r="B73" s="97" t="str">
        <x:v>ID</x:v>
      </x:c>
      <x:c r="C73" s="97" t="str">
        <x:v>Twin Falls, ID</x:v>
      </x:c>
      <x:c r="D73" s="97" t="n">
        <x:v>370000</x:v>
      </x:c>
      <x:c r="E73" s="97" t="n">
        <x:v>1450</x:v>
      </x:c>
      <x:c r="F73" s="97" t="n">
        <x:v>215</x:v>
      </x:c>
      <x:c r="G73" s="97" t="str">
        <x:v>https://www.tfsd.org/documents/departments/human-resources/payroll-salaries/700424 ; https://www.tfsd.org/page/payroll ; https://www.zillow.com/rental-manager/market-trends/twin-falls-id/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County, NV</x:v>
      </x:c>
      <x:c r="D74" s="97" t="n">
        <x:v>550000</x:v>
      </x:c>
      <x:c r="E74" s="97" t="n">
        <x:v>1850</x:v>
      </x:c>
      <x:c r="F74" s="97" t="n">
        <x:v>300</x:v>
      </x:c>
      <x:c r="G74" s="97" t="str">
        <x:v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v>
      </x:c>
    </x:row>
    <x:row r="75">
      <x:c r="A75" s="97" t="str">
        <x:v>Kern High School District</x:v>
      </x:c>
      <x:c r="B75" s="97" t="str">
        <x:v>CA</x:v>
      </x:c>
      <x:c r="C75" s="97" t="str">
        <x:v>Bakersfield, CA</x:v>
      </x:c>
      <x:c r="D75" s="97" t="n">
        <x:v>395000</x:v>
      </x:c>
      <x:c r="E75" s="97" t="n">
        <x:v>1695</x:v>
      </x:c>
      <x:c r="F75" s="97" t="n">
        <x:v>230</x:v>
      </x:c>
      <x:c r="G75" s="97" t="str">
        <x:v>https://www.kernhigh.org/apps/pages/index.jsp?pREC_ID=1082626&amp;type=d&amp;uREC_ID=620577 ; https://www.khsta.org/certificated-salary-schedules-1 ; https://www.zillow.com/rental-manager/market-trends/bakersfield-ca/</x:v>
      </x:c>
    </x:row>
    <x:row r="76">
      <x:c r="A76" s="97" t="str">
        <x:v>Clovis Unified School District</x:v>
      </x:c>
      <x:c r="B76" s="97" t="str">
        <x:v>CA</x:v>
      </x:c>
      <x:c r="C76" s="97" t="str">
        <x:v>Clovis, CA</x:v>
      </x:c>
      <x:c r="D76" s="97" t="n">
        <x:v>505000</x:v>
      </x:c>
      <x:c r="E76" s="97" t="n">
        <x:v>1900</x:v>
      </x:c>
      <x:c r="F76" s="97" t="n">
        <x:v>260</x:v>
      </x:c>
      <x:c r="G76" s="97" t="str">
        <x:v>https://www.cusd.com/salaries ; https://fresnoland.org/2023/11/09/fresno-teacher-raises/ ; https://www.zillow.com/rental-manager/market-trends/clovis-ca/</x:v>
      </x:c>
    </x:row>
    <x:row r="77">
      <x:c r="A77" t="str">
        <x:v>Hobbs Municipal Schools</x:v>
      </x:c>
      <x:c r="B77" t="str">
        <x:v>NM</x:v>
      </x:c>
      <x:c r="C77" t="str">
        <x:v>Hobbs, NM</x:v>
      </x:c>
      <x:c r="D77" t="n">
        <x:v>240000</x:v>
      </x:c>
      <x:c r="E77" t="n">
        <x:v>1250</x:v>
      </x:c>
      <x:c r="F77" t="n">
        <x:v>150</x:v>
      </x:c>
      <x:c r="G77" t="str">
        <x:v>First-pass Zillow/Redfin/Apartments market lookup, 2026-06-17</x:v>
      </x:c>
    </x:row>
    <x:row r="78">
      <x:c r="A78" t="str">
        <x:v>Farmington Municipal Schools</x:v>
      </x:c>
      <x:c r="B78" t="str">
        <x:v>NM</x:v>
      </x:c>
      <x:c r="C78" t="str">
        <x:v>Farmington, NM</x:v>
      </x:c>
      <x:c r="D78" t="n">
        <x:v>285000</x:v>
      </x:c>
      <x:c r="E78" t="n">
        <x:v>1350</x:v>
      </x:c>
      <x:c r="F78" t="n">
        <x:v>175</x:v>
      </x:c>
      <x:c r="G78" t="str">
        <x:v>First-pass Zillow/Redfin/Apartments market lookup, 2026-06-17</x:v>
      </x:c>
    </x:row>
    <x:row r="79">
      <x:c r="A79" t="str">
        <x:v>Carlsbad Municipal Schools</x:v>
      </x:c>
      <x:c r="B79" t="str">
        <x:v>NM</x:v>
      </x:c>
      <x:c r="C79" t="str">
        <x:v>Carlsbad, NM</x:v>
      </x:c>
      <x:c r="D79" t="n">
        <x:v>290000</x:v>
      </x:c>
      <x:c r="E79" t="n">
        <x:v>1450</x:v>
      </x:c>
      <x:c r="F79" t="n">
        <x:v>185</x:v>
      </x:c>
      <x:c r="G79" t="str">
        <x:v>First-pass Zillow/Redfin/Apartments market lookup, 2026-06-17</x:v>
      </x:c>
    </x:row>
    <x:row r="80">
      <x:c r="A80" t="str">
        <x:v>Chaffey Joint Union High School District</x:v>
      </x:c>
      <x:c r="B80" t="str">
        <x:v>CA</x:v>
      </x:c>
      <x:c r="C80" t="str">
        <x:v>Ontario / Rancho Cucamonga, CA</x:v>
      </x:c>
      <x:c r="D80" t="n">
        <x:v>675000</x:v>
      </x:c>
      <x:c r="E80" t="n">
        <x:v>2600</x:v>
      </x:c>
      <x:c r="F80" t="n">
        <x:v>420</x:v>
      </x:c>
      <x:c r="G80" t="str">
        <x:v>First-pass Zillow/Redfin/Apartments market lookup, 2026-06-17</x:v>
      </x:c>
    </x:row>
    <x:row r="81">
      <x:c r="A81" t="str">
        <x:v>Antelope Valley Union High School District</x:v>
      </x:c>
      <x:c r="B81" t="str">
        <x:v>CA</x:v>
      </x:c>
      <x:c r="C81" t="str">
        <x:v>Lancaster / Palmdale, CA</x:v>
      </x:c>
      <x:c r="D81" t="n">
        <x:v>470000</x:v>
      </x:c>
      <x:c r="E81" t="n">
        <x:v>2050</x:v>
      </x:c>
      <x:c r="F81" t="n">
        <x:v>285</x:v>
      </x:c>
      <x:c r="G81" t="str">
        <x:v>First-pass Zillow/Redfin/Apartments market lookup, 2026-06-17</x:v>
      </x:c>
    </x:row>
    <x:row r="82">
      <x:c r="A82" t="str">
        <x:v>Grossmont Union High School District</x:v>
      </x:c>
      <x:c r="B82" t="str">
        <x:v>CA</x:v>
      </x:c>
      <x:c r="C82" t="str">
        <x:v>El Cajon / La Mesa, CA</x:v>
      </x:c>
      <x:c r="D82" t="n">
        <x:v>760000</x:v>
      </x:c>
      <x:c r="E82" t="n">
        <x:v>2600</x:v>
      </x:c>
      <x:c r="F82" t="n">
        <x:v>500</x:v>
      </x:c>
      <x:c r="G82" t="str">
        <x:v>First-pass Zillow/Redfin/Apartments market lookup, 2026-06-17</x:v>
      </x:c>
    </x:row>
    <x:row r="83">
      <x:c r="A83" t="str">
        <x:v>Clear Creek ISD</x:v>
      </x:c>
      <x:c r="B83" t="str">
        <x:v>TX</x:v>
      </x:c>
      <x:c r="C83" t="str">
        <x:v>League City / Clear Lake, TX</x:v>
      </x:c>
      <x:c r="D83" t="n">
        <x:v>390000</x:v>
      </x:c>
      <x:c r="E83" t="n">
        <x:v>1700</x:v>
      </x:c>
      <x:c r="F83" t="n">
        <x:v>190</x:v>
      </x:c>
      <x:c r="G83" t="str">
        <x:v>First-pass Zillow/Redfin/Apartments market lookup, 2026-06-17</x:v>
      </x:c>
    </x:row>
    <x:row r="84">
      <x:c r="A84" t="str">
        <x:v>Pearland ISD</x:v>
      </x:c>
      <x:c r="B84" t="str">
        <x:v>TX</x:v>
      </x:c>
      <x:c r="C84" t="str">
        <x:v>Pearland, TX</x:v>
      </x:c>
      <x:c r="D84" t="n">
        <x:v>385000</x:v>
      </x:c>
      <x:c r="E84" t="n">
        <x:v>1800</x:v>
      </x:c>
      <x:c r="F84" t="n">
        <x:v>185</x:v>
      </x:c>
      <x:c r="G84" t="str">
        <x:v>First-pass Zillow/Redfin/Apartments market lookup, 2026-06-17</x:v>
      </x:c>
    </x:row>
    <x:row r="85">
      <x:c r="A85" t="str">
        <x:v>Anoka-Hennepin Schools</x:v>
      </x:c>
      <x:c r="B85" t="str">
        <x:v>MN</x:v>
      </x:c>
      <x:c r="C85" t="str">
        <x:v>Anoka / Coon Rapids, MN</x:v>
      </x:c>
      <x:c r="D85" t="n">
        <x:v>375000</x:v>
      </x:c>
      <x:c r="E85" t="n">
        <x:v>1500</x:v>
      </x:c>
      <x:c r="F85" t="n">
        <x:v>190</x:v>
      </x:c>
      <x:c r="G85" t="str">
        <x:v>First-pass Zillow/Redfin/Apartments market lookup, 2026-06-17</x:v>
      </x:c>
    </x:row>
    <x:row r="86">
      <x:c r="A86" t="str">
        <x:v>Osseo Area Schools / ISD 279</x:v>
      </x:c>
      <x:c r="B86" t="str">
        <x:v>MN</x:v>
      </x:c>
      <x:c r="C86" t="str">
        <x:v>Maple Grove / Brooklyn Park, MN</x:v>
      </x:c>
      <x:c r="D86" t="n">
        <x:v>400000</x:v>
      </x:c>
      <x:c r="E86" t="n">
        <x:v>1600</x:v>
      </x:c>
      <x:c r="F86" t="n">
        <x:v>195</x:v>
      </x:c>
      <x:c r="G86" t="str">
        <x:v>First-pass Zillow/Redfin/Apartments market lookup, 2026-06-17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5.83203125" defaultRowHeight="15"/>
  <x:cols>
    <x:col min="1" max="1" width="34" customWidth="1"/>
    <x:col min="2" max="2" width="8" customWidth="1"/>
    <x:col min="3" max="3" width="18" customWidth="1"/>
    <x:col min="4" max="9" width="13" customWidth="1"/>
    <x:col min="10" max="10" width="16" customWidth="1"/>
    <x:col min="11" max="11" width="18" customWidth="1"/>
    <x:col min="12" max="12" width="14" customWidth="1"/>
    <x:col min="13" max="14" width="17" customWidth="1"/>
    <x:col min="15" max="15" width="13" customWidth="1"/>
    <x:col min="16" max="16" width="18" customWidth="1"/>
    <x:col min="17" max="17" width="15" customWidth="1"/>
    <x:col min="18" max="18" width="16" customWidth="1"/>
    <x:col min="19" max="19" width="13" customWidth="1"/>
    <x:col min="20" max="20" width="18" customWidth="1"/>
    <x:col min="21" max="21" width="13" customWidth="1"/>
    <x:col min="22" max="22" width="16" customWidth="1"/>
    <x:col min="23" max="23" width="22" customWidth="1"/>
    <x:col min="24" max="24" width="15" customWidth="1"/>
    <x:col min="25" max="25" width="22" customWidth="1"/>
    <x:col min="26" max="26" width="17" customWidth="1"/>
    <x:col min="27" max="27" width="20" customWidth="1"/>
    <x:col min="28" max="28" width="18" customWidth="1"/>
    <x:col min="29" max="29" width="10" customWidth="1"/>
    <x:col min="30" max="30" width="18" customWidth="1"/>
    <x:col min="31" max="31" width="14" customWidth="1"/>
    <x:col min="32" max="32" width="16" customWidth="1"/>
    <x:col min="33" max="33" width="13" customWidth="1"/>
    <x:col min="34" max="34" width="58" customWidth="1"/>
  </x:cols>
  <x:sheetData>
    <x:row r="1" s="5" customFormat="1" ht="40" customHeight="1">
      <x:c r="A1" s="176" t="inlineStr">
        <x:is>
          <x:t xml:space="preserve">District</x:t>
        </x:is>
      </x:c>
      <x:c r="B1" s="176" t="inlineStr">
        <x:is>
          <x:t xml:space="preserve">State</x:t>
        </x:is>
      </x:c>
      <x:c r="C1" s="176" t="inlineStr">
        <x:is>
          <x:t xml:space="preserve">Region</x:t>
        </x:is>
      </x:c>
      <x:c r="D1" s="177" t="inlineStr">
        <x:is>
          <x:t xml:space="preserve">BA Start</x:t>
        </x:is>
      </x:c>
      <x:c r="E1" s="177" t="inlineStr">
        <x:is>
          <x:t xml:space="preserve">BA 5-Year</x:t>
        </x:is>
      </x:c>
      <x:c r="F1" s="177" t="inlineStr">
        <x:is>
          <x:t xml:space="preserve">BA 10-Year</x:t>
        </x:is>
      </x:c>
      <x:c r="G1" s="177" t="inlineStr">
        <x:is>
          <x:t xml:space="preserve">MA Start</x:t>
        </x:is>
      </x:c>
      <x:c r="H1" s="177" t="inlineStr">
        <x:is>
          <x:t xml:space="preserve">MA 5-Year</x:t>
        </x:is>
      </x:c>
      <x:c r="I1" s="177" t="inlineStr">
        <x:is>
          <x:t xml:space="preserve">MA 10-Year</x:t>
        </x:is>
      </x:c>
      <x:c r="J1" s="177" t="inlineStr">
        <x:is>
          <x:t xml:space="preserve">Avg Start Salary</x:t>
        </x:is>
      </x:c>
      <x:c r="K1" s="177" t="inlineStr">
        <x:is>
          <x:t xml:space="preserve">Avg 10-Year Salary</x:t>
        </x:is>
      </x:c>
      <x:c r="L1" s="178" t="inlineStr">
        <x:is>
          <x:t xml:space="preserve">Avg Growth %</x:t>
        </x:is>
      </x:c>
      <x:c r="M1" s="177" t="inlineStr">
        <x:is>
          <x:t xml:space="preserve">Master's Premium</x:t>
        </x:is>
      </x:c>
      <x:c r="N1" s="177" t="inlineStr">
        <x:is>
          <x:t xml:space="preserve">Median Home Price</x:t>
        </x:is>
      </x:c>
      <x:c r="O1" s="177" t="inlineStr">
        <x:is>
          <x:t xml:space="preserve">Median Rent</x:t>
        </x:is>
      </x:c>
      <x:c r="P1" s="179" t="inlineStr">
        <x:is>
          <x:t xml:space="preserve">Student-Teacher Ratio</x:t>
        </x:is>
      </x:c>
      <x:c r="Q1" s="179" t="inlineStr">
        <x:is>
          <x:t xml:space="preserve">Licensed Sub Pay</x:t>
        </x:is>
      </x:c>
      <x:c r="R1" s="180" t="inlineStr">
        <x:is>
          <x:t xml:space="preserve">Salary Level Score</x:t>
        </x:is>
      </x:c>
      <x:c r="S1" s="180" t="inlineStr">
        <x:is>
          <x:t xml:space="preserve">Growth Score</x:t>
        </x:is>
      </x:c>
      <x:c r="T1" s="180" t="inlineStr">
        <x:is>
          <x:t xml:space="preserve">Master's Premium Score</x:t>
        </x:is>
      </x:c>
      <x:c r="U1" s="180" t="inlineStr">
        <x:is>
          <x:t xml:space="preserve">Salary Score</x:t>
        </x:is>
      </x:c>
      <x:c r="V1" s="180" t="inlineStr">
        <x:is>
          <x:t xml:space="preserve">Affordability Score</x:t>
        </x:is>
      </x:c>
      <x:c r="W1" s="180" t="inlineStr">
        <x:is>
          <x:t xml:space="preserve">Student-Teacher Ratio Score</x:t>
        </x:is>
      </x:c>
      <x:c r="X1" s="180" t="inlineStr">
        <x:is>
          <x:t xml:space="preserve">Sub Pay Score</x:t>
        </x:is>
      </x:c>
      <x:c r="Y1" s="180" t="inlineStr">
        <x:is>
          <x:t xml:space="preserve">Demographic Balance Score</x:t>
        </x:is>
      </x:c>
      <x:c r="Z1" s="180" t="inlineStr">
        <x:is>
          <x:t xml:space="preserve">Overall Value Score</x:t>
        </x:is>
      </x:c>
      <x:c r="AA1" s="181" t="inlineStr">
        <x:is>
          <x:t xml:space="preserve">Median Home Price per Sq Ft</x:t>
        </x:is>
      </x:c>
      <x:c r="AB1" s="180" t="inlineStr">
        <x:is>
          <x:t xml:space="preserve">Price per Sq Ft Score</x:t>
        </x:is>
      </x:c>
      <x:c r="AC1" s="180" t="inlineStr">
        <x:is>
          <x:t xml:space="preserve">Other %</x:t>
        </x:is>
      </x:c>
      <x:c r="AD1" s="176" t="inlineStr">
        <x:is>
          <x:t xml:space="preserve">Sub Pay Housing Power</x:t>
        </x:is>
      </x:c>
      <x:c r="AE1" s="176" t="inlineStr">
        <x:is>
          <x:t xml:space="preserve">Stability Score</x:t>
        </x:is>
      </x:c>
      <x:c r="AF1" s="180" t="inlineStr">
        <x:is>
          <x:t xml:space="preserve">Pre-Risk Overall</x:t>
        </x:is>
      </x:c>
      <x:c r="AG1" s="182" t="inlineStr">
        <x:is>
          <x:t xml:space="preserve">Risk Multiplier</x:t>
        </x:is>
      </x:c>
      <x:c r="AH1" s="176" t="inlineStr">
        <x:is>
          <x:t xml:space="preserve">Risk-Adjusted Note</x:t>
        </x:is>
      </x:c>
    </x:row>
    <x:row r="2" ht="26.75" customHeight="1">
      <x:c r="A2" s="24" t="inlineStr">
        <x:is>
          <x:t xml:space="preserve">Alief ISD</x:t>
        </x:is>
      </x:c>
      <x:c r="B2" s="24" t="str">
        <x:f>IFERROR(INDEX('School District Profiles'!$B$2:$B$58,MATCH($A2,'School District Profiles'!$A$2:$A$58,0)),"")</x:f>
        <x:v>TX</x:v>
      </x:c>
      <x:c r="C2" s="24" t="str">
        <x:f>IFERROR(INDEX('School District Profiles'!$C$2:$C$58,MATCH($A2,'School District Profiles'!$A$2:$A$58,0)),"")</x:f>
        <x:v>Houston</x:v>
      </x:c>
      <x:c r="D2" s="25" t="n">
        <x:v>66500</x:v>
      </x:c>
      <x:c r="E2" s="25" t="n">
        <x:v>70350</x:v>
      </x:c>
      <x:c r="F2" s="25" t="n">
        <x:v>71600</x:v>
      </x:c>
      <x:c r="G2" s="22" t="n">
        <x:v>67000</x:v>
      </x:c>
      <x:c r="H2" s="25" t="n">
        <x:v>70850</x:v>
      </x:c>
      <x:c r="I2" s="25" t="n">
        <x:v>72100</x:v>
      </x:c>
      <x:c r="J2" s="25" t="n">
        <x:v>66750</x:v>
      </x:c>
      <x:c r="K2" s="25" t="n">
        <x:v>71850</x:v>
      </x:c>
      <x:c r="L2" s="26" t="n">
        <x:v>0.07640449438202247</x:v>
      </x:c>
      <x:c r="M2" s="25" t="n">
        <x:v>500</x:v>
      </x:c>
      <x:c r="N2" s="25" t="n">
        <x:v>215000</x:v>
      </x:c>
      <x:c r="O2" s="25" t="n">
        <x:v>1350</x:v>
      </x:c>
      <x:c r="P2" s="92" t="n">
        <x:v>13</x:v>
      </x:c>
      <x:c r="Q2" s="25" t="n">
        <x:v>125</x:v>
      </x:c>
      <x:c r="R2" s="27" t="n">
        <x:v>36.41666666666667</x:v>
      </x:c>
      <x:c r="S2" s="27" t="n">
        <x:v>12.734082397003746</x:v>
      </x:c>
      <x:c r="T2" s="27" t="n">
        <x:v>3.3333333333333335</x:v>
      </x:c>
      <x:c r="U2" s="27" t="n">
        <x:v>21.981132958801503</x:v>
      </x:c>
      <x:c r="V2" s="27" t="n">
        <x:v>100</x:v>
      </x:c>
      <x:c r="W2" s="27" t="n">
        <x:v>92.3076923076923</x:v>
      </x:c>
      <x:c r="X2" s="27" t="n">
        <x:v>42.592592592592595</x:v>
      </x:c>
      <x:c r="Y2" s="27" t="n">
        <x:v>68.37499999999999</x:v>
      </x:c>
      <x:c r="Z2" s="27" t="n">
        <x:v>53.20798350619418</x:v>
      </x:c>
      <x:c r="AA2" s="27" t="n">
        <x:v>113</x:v>
      </x:c>
      <x:c r="AB2" s="27" t="n">
        <x:v>100</x:v>
      </x:c>
      <x:c r="AC2" s="26" t="n">
        <x:v>1</x:v>
      </x:c>
      <x:c r="AD2" s="27" t="n">
        <x:v>1.8518518518518519</x:v>
      </x:c>
      <x:c r="AE2" s="28" t="n">
        <x:v>60</x:v>
      </x:c>
      <x:c r="AF2" s="28" t="n">
        <x:v>59.11998167354909</x:v>
      </x:c>
      <x:c r="AG2" s="28" t="n">
        <x:v>0.9</x:v>
      </x:c>
      <x:c r="AH2" s="10" t="str">
        <x:v>10% employment-stability penalty due to enrollment-loss pressure, charter competition, and budget-cut concerns.</x:v>
      </x:c>
    </x:row>
    <x:row r="3" ht="26.75" customHeight="1">
      <x:c r="A3" s="24" t="inlineStr">
        <x:is>
          <x:t xml:space="preserve">Arcadia Unified School District</x:t>
        </x:is>
      </x:c>
      <x:c r="B3" s="24" t="str">
        <x:f>IFERROR(INDEX('School District Profiles'!$B$2:$B$58,MATCH($A3,'School District Profiles'!$A$2:$A$58,0)),"")</x:f>
        <x:v>CA</x:v>
      </x:c>
      <x:c r="C3" s="24" t="str">
        <x:f>IFERROR(INDEX('School District Profiles'!$C$2:$C$58,MATCH($A3,'School District Profiles'!$A$2:$A$58,0)),"")</x:f>
        <x:v>Southern California</x:v>
      </x:c>
      <x:c r="D3" s="25" t="n">
        <x:f>SUMIFS('Teacher Salary Data'!$E$2:$E$1277,'Teacher Salary Data'!$A$2:$A$1277,$A3,'Teacher Salary Data'!$C$2:$C$1277,"Bachelor's",'Teacher Salary Data'!$D$2:$D$1277,0)</x:f>
        <x:v>78277</x:v>
      </x:c>
      <x:c r="E3" s="25" t="n">
        <x:f>SUMIFS('Teacher Salary Data'!$E$2:$E$1277,'Teacher Salary Data'!$A$2:$A$1277,$A3,'Teacher Salary Data'!$C$2:$C$1277,"Bachelor's",'Teacher Salary Data'!$D$2:$D$1277,5)</x:f>
        <x:v>86800</x:v>
      </x:c>
      <x:c r="F3" s="25" t="n">
        <x:f>SUMIFS('Teacher Salary Data'!$E$2:$E$1277,'Teacher Salary Data'!$A$2:$A$1277,$A3,'Teacher Salary Data'!$C$2:$C$1277,"Bachelor's",'Teacher Salary Data'!$D$2:$D$1277,10)</x:f>
        <x:v>99057</x:v>
      </x:c>
      <x:c r="G3" s="22" t="n">
        <x:f>SUMIFS('Teacher Salary Data'!$E$2:$E$1277,'Teacher Salary Data'!$A$2:$A$1277,$A3,'Teacher Salary Data'!$C$2:$C$1277,"Master's",'Teacher Salary Data'!$D$2:$D$1277,0)</x:f>
        <x:v>78277</x:v>
      </x:c>
      <x:c r="H3" s="25" t="n">
        <x:f>SUMIFS('Teacher Salary Data'!$E$2:$E$1277,'Teacher Salary Data'!$A$2:$A$1277,$A3,'Teacher Salary Data'!$C$2:$C$1277,"Master's",'Teacher Salary Data'!$D$2:$D$1277,5)</x:f>
        <x:v>86800</x:v>
      </x:c>
      <x:c r="I3" s="25" t="n">
        <x:f>SUMIFS('Teacher Salary Data'!$E$2:$E$1277,'Teacher Salary Data'!$A$2:$A$1277,$A3,'Teacher Salary Data'!$C$2:$C$1277,"Master's",'Teacher Salary Data'!$D$2:$D$1277,10)</x:f>
        <x:v>99057</x:v>
      </x:c>
      <x:c r="J3" s="25" t="n">
        <x:f>AVERAGE(D3,G3)</x:f>
        <x:v>78277</x:v>
      </x:c>
      <x:c r="K3" s="25" t="n">
        <x:f>AVERAGE(F3,I3)</x:f>
        <x:v>99057</x:v>
      </x:c>
      <x:c r="L3" s="26" t="n">
        <x:f>IFERROR((K3-J3)/J3,0)</x:f>
        <x:v>0.2654675064195102</x:v>
      </x:c>
      <x:c r="M3" s="25" t="n">
        <x:f>G3-D3</x:f>
        <x:v>0</x:v>
      </x:c>
      <x:c r="N3" s="25" t="n">
        <x:f>IFERROR(INDEX('Median Home and Rent Prices'!$D$2:$D$58,MATCH($A3,'Median Home and Rent Prices'!$A$2:$A$58,0)),0)</x:f>
        <x:v>1800000</x:v>
      </x:c>
      <x:c r="O3" s="25" t="n">
        <x:f>IFERROR(INDEX('Median Home and Rent Prices'!$E$2:$E$58,MATCH($A3,'Median Home and Rent Prices'!$A$2:$A$58,0)),0)</x:f>
        <x:v>3290</x:v>
      </x:c>
      <x:c r="P3" s="92" t="n">
        <x:f>IFERROR(INDEX('School District Profiles'!$H$2:$H$58,MATCH($A3,'School District Profiles'!$A$2:$A$58,0)),0)</x:f>
        <x:v>24.58</x:v>
      </x:c>
      <x:c r="Q3" s="25" t="n">
        <x:f>IFERROR(INDEX('School District Profiles'!$I$2:$I$58,MATCH($A3,'School District Profiles'!$A$2:$A$58,0)),0)</x:f>
        <x:v>200</x:v>
      </x:c>
      <x:c r="R3" s="27" t="n">
        <x:f>IFERROR(MAX(0,MIN(100,(K3-50000)/(110000-50000)*100)),0)</x:f>
        <x:v>81.76166666666667</x:v>
      </x:c>
      <x:c r="S3" s="27" t="n">
        <x:f>IFERROR(MAX(0,MIN(100,L3/0.6*100)),0)</x:f>
        <x:v>44.24458440325171</x:v>
      </x:c>
      <x:c r="T3" s="27" t="n">
        <x:f>IFERROR(MAX(0,MIN(100,M3/15000*100)),0)</x:f>
        <x:v>0</x:v>
      </x:c>
      <x:c r="U3" s="27" t="n">
        <x:f>IFERROR(0.45*R3+0.4*S3+0.15*T3,0)</x:f>
        <x:v>54.490583761300684</x:v>
      </x:c>
      <x:c r="V3" s="27" t="n">
        <x:f>IFERROR(0.4*MAX(0,MIN(100,(((J3/12)/O3)-2)/(4-2)*100))+0.35*MAX(0,MIN(100,(8-(N3/K3))/(8-3)*100))+0.25*AB3,0)</x:f>
        <x:v>2.4615384615384617</x:v>
      </x:c>
      <x:c r="W3" s="27" t="n">
        <x:f>IFERROR(MAX(0,MIN(100,(25-P3)/(25-12)*100)),0)</x:f>
        <x:v>3.230769230769244</x:v>
      </x:c>
      <x:c r="X3" s="27" t="n">
        <x:f>IFERROR(MAX(0,MIN(100,(AD3-1)/(3-1)*100))*IF(OR($A3="North Clackamas School District",$A3="Provo City School District"),0.6,1),0)</x:f>
        <x:v>10.790273556231</x:v>
      </x:c>
      <x:c r="Y3" s="27" t="n">
        <x:f>IFERROR(MAX(0,MIN(100,(1-((IFERROR(INDEX('School District Profiles'!$D$2:$D$58,MATCH($A3,'School District Profiles'!$A$2:$A$58,0)),0)/100)^2+(IFERROR(INDEX('School District Profiles'!$E$2:$E$58,MATCH($A3,'School District Profiles'!$A$2:$A$58,0)),0)/100)^2+(IFERROR(INDEX('School District Profiles'!$F$2:$F$58,MATCH($A3,'School District Profiles'!$A$2:$A$58,0)),0)/100)^2+(IFERROR(INDEX('School District Profiles'!$G$2:$G$58,MATCH($A3,'School District Profiles'!$A$2:$A$58,0)),0)/100)^2+(AC3/100)^2))/0.8*100)),0)</x:f>
        <x:v>68.72500000000001</x:v>
      </x:c>
      <x:c r="Z3" s="27" t="n">
        <x:f>IFERROR(AF3*AG3,0)</x:f>
        <x:v>26.187904423429565</x:v>
      </x:c>
      <x:c r="AA3" s="27" t="n">
        <x:f>IFERROR(INDEX('Median Home and Rent Prices'!$F$2:$F$58,MATCH($A3,'Median Home and Rent Prices'!$A$2:$A$58,0)),0)</x:f>
        <x:v>736</x:v>
      </x:c>
      <x:c r="AB3" s="27" t="n">
        <x:f>IFERROR(MAX(0,MIN(100,(800-AA3)/(800-150)*100)),0)</x:f>
        <x:v>9.846153846153847</x:v>
      </x:c>
      <x:c r="AC3" s="26" t="n">
        <x:f>IFERROR(INDEX('School District Profiles'!$J$2:$J$58,MATCH($A3,'School District Profiles'!$A$2:$A$58,0)),0)</x:f>
        <x:v>2</x:v>
      </x:c>
      <x:c r="AD3" s="27" t="n">
        <x:f>IFERROR(Q3*20/O3,0)</x:f>
        <x:v>1.21580547112462</x:v>
      </x:c>
      <x:c r="AE3" s="28" t="n">
        <x:f>IFERROR(IF(AG3&gt;=1,100,IF(AG3&gt;=0.95,75,IF(AG3&gt;=0.9,60,IF(AG3&gt;=0.85,40,IF(AG3&gt;=0.8,25,0))))),0)</x:f>
        <x:v>40</x:v>
      </x:c>
      <x:c r="AF3" s="28" t="n">
        <x:f>IFERROR(0.4*U3+0.3*V3+0.1*W3+0.1*X3+0.1*Y3,0)</x:f>
        <x:v>30.80929932168184</x:v>
      </x:c>
      <x:c r="AG3" s="28" t="n">
        <x:v>0.85</x:v>
      </x:c>
      <x:c r="AH3" s="10" t="inlineStr">
        <x:is>
          <x:t xml:space="preserve">15% employment-stability penalty because district budget updates indicated teacher-layoff risk unless local funding support fills the gap.</x:t>
        </x:is>
      </x:c>
    </x:row>
    <x:row r="4" ht="26.75" customHeight="1">
      <x:c r="A4" s="24" t="inlineStr">
        <x:is>
          <x:t xml:space="preserve">Austin ISD</x:t>
        </x:is>
      </x:c>
      <x:c r="B4" s="24" t="str">
        <x:f>IFERROR(INDEX('School District Profiles'!$B$2:$B$58,MATCH($A4,'School District Profiles'!$A$2:$A$58,0)),"")</x:f>
        <x:v>TX</x:v>
      </x:c>
      <x:c r="C4" s="24" t="str">
        <x:f>IFERROR(INDEX('School District Profiles'!$C$2:$C$58,MATCH($A4,'School District Profiles'!$A$2:$A$58,0)),"")</x:f>
        <x:v>Austin</x:v>
      </x:c>
      <x:c r="D4" s="25" t="n">
        <x:f>SUMIFS('Teacher Salary Data'!$E$2:$E$1277,'Teacher Salary Data'!$A$2:$A$1277,$A4,'Teacher Salary Data'!$C$2:$C$1277,"Bachelor's",'Teacher Salary Data'!$D$2:$D$1277,0)</x:f>
        <x:v>60600</x:v>
      </x:c>
      <x:c r="E4" s="25" t="n">
        <x:f>SUMIFS('Teacher Salary Data'!$E$2:$E$1277,'Teacher Salary Data'!$A$2:$A$1277,$A4,'Teacher Salary Data'!$C$2:$C$1277,"Bachelor's",'Teacher Salary Data'!$D$2:$D$1277,5)</x:f>
        <x:v>64700</x:v>
      </x:c>
      <x:c r="F4" s="25" t="n">
        <x:f>SUMIFS('Teacher Salary Data'!$E$2:$E$1277,'Teacher Salary Data'!$A$2:$A$1277,$A4,'Teacher Salary Data'!$C$2:$C$1277,"Bachelor's",'Teacher Salary Data'!$D$2:$D$1277,10)</x:f>
        <x:v>65000</x:v>
      </x:c>
      <x:c r="G4" s="22" t="n">
        <x:f>SUMIFS('Teacher Salary Data'!$E$2:$E$1277,'Teacher Salary Data'!$A$2:$A$1277,$A4,'Teacher Salary Data'!$C$2:$C$1277,"Master's",'Teacher Salary Data'!$D$2:$D$1277,0)</x:f>
        <x:v>60600</x:v>
      </x:c>
      <x:c r="H4" s="25" t="n">
        <x:f>SUMIFS('Teacher Salary Data'!$E$2:$E$1277,'Teacher Salary Data'!$A$2:$A$1277,$A4,'Teacher Salary Data'!$C$2:$C$1277,"Master's",'Teacher Salary Data'!$D$2:$D$1277,5)</x:f>
        <x:v>64700</x:v>
      </x:c>
      <x:c r="I4" s="25" t="n">
        <x:f>SUMIFS('Teacher Salary Data'!$E$2:$E$1277,'Teacher Salary Data'!$A$2:$A$1277,$A4,'Teacher Salary Data'!$C$2:$C$1277,"Master's",'Teacher Salary Data'!$D$2:$D$1277,10)</x:f>
        <x:v>65000</x:v>
      </x:c>
      <x:c r="J4" s="25" t="n">
        <x:f>AVERAGE(D4,G4)</x:f>
        <x:v>60600</x:v>
      </x:c>
      <x:c r="K4" s="25" t="n">
        <x:f>AVERAGE(F4,I4)</x:f>
        <x:v>65000</x:v>
      </x:c>
      <x:c r="L4" s="26" t="n">
        <x:f>IFERROR((K4-J4)/J4,0)</x:f>
        <x:v>0.07260726072607261</x:v>
      </x:c>
      <x:c r="M4" s="25" t="n">
        <x:f>G4-D4</x:f>
        <x:v>0</x:v>
      </x:c>
      <x:c r="N4" s="25" t="n">
        <x:f>IFERROR(INDEX('Median Home and Rent Prices'!$D$2:$D$58,MATCH($A4,'Median Home and Rent Prices'!$A$2:$A$58,0)),0)</x:f>
        <x:v>506276</x:v>
      </x:c>
      <x:c r="O4" s="25" t="n">
        <x:f>IFERROR(INDEX('Median Home and Rent Prices'!$E$2:$E$58,MATCH($A4,'Median Home and Rent Prices'!$A$2:$A$58,0)),0)</x:f>
        <x:v>1956</x:v>
      </x:c>
      <x:c r="P4" s="92" t="n">
        <x:f>IFERROR(INDEX('School District Profiles'!$H$2:$H$58,MATCH($A4,'School District Profiles'!$A$2:$A$58,0)),0)</x:f>
        <x:v>13.7</x:v>
      </x:c>
      <x:c r="Q4" s="25" t="n">
        <x:f>IFERROR(INDEX('School District Profiles'!$I$2:$I$58,MATCH($A4,'School District Profiles'!$A$2:$A$58,0)),0)</x:f>
        <x:v>155</x:v>
      </x:c>
      <x:c r="R4" s="27" t="n">
        <x:f>IFERROR(MAX(0,MIN(100,(K4-50000)/(110000-50000)*100)),0)</x:f>
        <x:v>25</x:v>
      </x:c>
      <x:c r="S4" s="27" t="n">
        <x:f>IFERROR(MAX(0,MIN(100,L4/0.6*100)),0)</x:f>
        <x:v>12.101210121012103</x:v>
      </x:c>
      <x:c r="T4" s="27" t="n">
        <x:f>IFERROR(MAX(0,MIN(100,M4/15000*100)),0)</x:f>
        <x:v>0</x:v>
      </x:c>
      <x:c r="U4" s="27" t="n">
        <x:f>IFERROR(0.45*R4+0.4*S4+0.15*T4,0)</x:f>
        <x:v>16.090484048404843</x:v>
      </x:c>
      <x:c r="V4" s="27" t="n">
        <x:f>IFERROR(0.4*MAX(0,MIN(100,(((J4/12)/O4)-2)/(4-2)*100))+0.35*MAX(0,MIN(100,(8-(N4/K4))/(8-3)*100))+0.25*AB4,0)</x:f>
        <x:v>32.575499512348586</x:v>
      </x:c>
      <x:c r="W4" s="27" t="n">
        <x:f>IFERROR(MAX(0,MIN(100,(25-P4)/(25-12)*100)),0)</x:f>
        <x:v>86.92307692307692</x:v>
      </x:c>
      <x:c r="X4" s="27" t="n">
        <x:f>IFERROR(MAX(0,MIN(100,(AD4-1)/(3-1)*100))*IF(OR($A4="North Clackamas School District",$A4="Provo City School District"),0.6,1),0)</x:f>
        <x:v>29.243353783231086</x:v>
      </x:c>
      <x:c r="Y4" s="27" t="n">
        <x:f>IFERROR(MAX(0,MIN(100,(1-((IFERROR(INDEX('School District Profiles'!$D$2:$D$58,MATCH($A4,'School District Profiles'!$A$2:$A$58,0)),0)/100)^2+(IFERROR(INDEX('School District Profiles'!$E$2:$E$58,MATCH($A4,'School District Profiles'!$A$2:$A$58,0)),0)/100)^2+(IFERROR(INDEX('School District Profiles'!$F$2:$F$58,MATCH($A4,'School District Profiles'!$A$2:$A$58,0)),0)/100)^2+(IFERROR(INDEX('School District Profiles'!$G$2:$G$58,MATCH($A4,'School District Profiles'!$A$2:$A$58,0)),0)/100)^2+(AC4/100)^2))/0.8*100)),0)</x:f>
        <x:v>75.61629249999999</x:v>
      </x:c>
      <x:c r="Z4" s="27" t="n">
        <x:f>IFERROR(AF4*AG4,0)</x:f>
        <x:v>28.309692634957845</x:v>
      </x:c>
      <x:c r="AA4" s="27" t="n">
        <x:f>IFERROR(INDEX('Median Home and Rent Prices'!$F$2:$F$58,MATCH($A4,'Median Home and Rent Prices'!$A$2:$A$58,0)),0)</x:f>
        <x:v>294</x:v>
      </x:c>
      <x:c r="AB4" s="27" t="n">
        <x:f>IFERROR(MAX(0,MIN(100,(800-AA4)/(800-150)*100)),0)</x:f>
        <x:v>77.84615384615384</x:v>
      </x:c>
      <x:c r="AC4" s="26" t="n">
        <x:f>IFERROR(INDEX('School District Profiles'!$J$2:$J$58,MATCH($A4,'School District Profiles'!$A$2:$A$58,0)),0)</x:f>
        <x:v>4.329999999999998</x:v>
      </x:c>
      <x:c r="AD4" s="27" t="n">
        <x:f>IFERROR(Q4*20/O4,0)</x:f>
        <x:v>1.5848670756646217</x:v>
      </x:c>
      <x:c r="AE4" s="28" t="n">
        <x:f>IFERROR(IF(AG4&gt;=1,100,IF(AG4&gt;=0.95,75,IF(AG4&gt;=0.9,60,IF(AG4&gt;=0.85,40,IF(AG4&gt;=0.8,25,0))))),0)</x:f>
        <x:v>25</x:v>
      </x:c>
      <x:c r="AF4" s="28" t="n">
        <x:f>IFERROR(0.4*U4+0.3*V4+0.1*W4+0.1*X4+0.1*Y4,0)</x:f>
        <x:v>35.387115793697305</x:v>
      </x:c>
      <x:c r="AG4" s="28" t="n">
        <x:v>0.8</x:v>
      </x:c>
      <x:c r="AH4" s="10" t="inlineStr">
        <x:is>
          <x:t xml:space="preserve">20% employment-stability penalty due to very large projected budget gap, planned job cuts, school-closure discussions, and possible governance/fiscal instability.</x:t>
        </x:is>
      </x:c>
    </x:row>
    <x:row r="5" ht="26.75" customHeight="1">
      <x:c r="A5" s="24" t="inlineStr">
        <x:is>
          <x:t xml:space="preserve">Barbers Hill ISD</x:t>
        </x:is>
      </x:c>
      <x:c r="B5" s="24" t="str">
        <x:f>IFERROR(INDEX('School District Profiles'!$B$2:$B$58,MATCH($A5,'School District Profiles'!$A$2:$A$58,0)),"")</x:f>
        <x:v>TX</x:v>
      </x:c>
      <x:c r="C5" s="24" t="str">
        <x:f>IFERROR(INDEX('School District Profiles'!$C$2:$C$58,MATCH($A5,'School District Profiles'!$A$2:$A$58,0)),"")</x:f>
        <x:v>Houston</x:v>
      </x:c>
      <x:c r="D5" s="25" t="n">
        <x:f>SUMIFS('Teacher Salary Data'!$E$2:$E$1277,'Teacher Salary Data'!$A$2:$A$1277,$A5,'Teacher Salary Data'!$C$2:$C$1277,"Bachelor's",'Teacher Salary Data'!$D$2:$D$1277,0)</x:f>
        <x:v>66000</x:v>
      </x:c>
      <x:c r="E5" s="25" t="n">
        <x:f>SUMIFS('Teacher Salary Data'!$E$2:$E$1277,'Teacher Salary Data'!$A$2:$A$1277,$A5,'Teacher Salary Data'!$C$2:$C$1277,"Bachelor's",'Teacher Salary Data'!$D$2:$D$1277,5)</x:f>
        <x:v>75166</x:v>
      </x:c>
      <x:c r="F5" s="25" t="n">
        <x:f>SUMIFS('Teacher Salary Data'!$E$2:$E$1277,'Teacher Salary Data'!$A$2:$A$1277,$A5,'Teacher Salary Data'!$C$2:$C$1277,"Bachelor's",'Teacher Salary Data'!$D$2:$D$1277,10)</x:f>
        <x:v>77498</x:v>
      </x:c>
      <x:c r="G5" s="22" t="n">
        <x:f>SUMIFS('Teacher Salary Data'!$E$2:$E$1277,'Teacher Salary Data'!$A$2:$A$1277,$A5,'Teacher Salary Data'!$C$2:$C$1277,"Master's",'Teacher Salary Data'!$D$2:$D$1277,0)</x:f>
        <x:v>66000</x:v>
      </x:c>
      <x:c r="H5" s="25" t="n">
        <x:f>SUMIFS('Teacher Salary Data'!$E$2:$E$1277,'Teacher Salary Data'!$A$2:$A$1277,$A5,'Teacher Salary Data'!$C$2:$C$1277,"Master's",'Teacher Salary Data'!$D$2:$D$1277,5)</x:f>
        <x:v>75166</x:v>
      </x:c>
      <x:c r="I5" s="25" t="n">
        <x:f>SUMIFS('Teacher Salary Data'!$E$2:$E$1277,'Teacher Salary Data'!$A$2:$A$1277,$A5,'Teacher Salary Data'!$C$2:$C$1277,"Master's",'Teacher Salary Data'!$D$2:$D$1277,10)</x:f>
        <x:v>77498</x:v>
      </x:c>
      <x:c r="J5" s="25" t="n">
        <x:f>AVERAGE(D5,G5)</x:f>
        <x:v>66000</x:v>
      </x:c>
      <x:c r="K5" s="25" t="n">
        <x:f>AVERAGE(F5,I5)</x:f>
        <x:v>77498</x:v>
      </x:c>
      <x:c r="L5" s="26" t="n">
        <x:f>IFERROR((K5-J5)/J5,0)</x:f>
        <x:v>0.1742121212121212</x:v>
      </x:c>
      <x:c r="M5" s="25" t="n">
        <x:f>G5-D5</x:f>
        <x:v>0</x:v>
      </x:c>
      <x:c r="N5" s="25" t="n">
        <x:f>IFERROR(INDEX('Median Home and Rent Prices'!$D$2:$D$58,MATCH($A5,'Median Home and Rent Prices'!$A$2:$A$58,0)),0)</x:f>
        <x:v>457726</x:v>
      </x:c>
      <x:c r="O5" s="25" t="n">
        <x:f>IFERROR(INDEX('Median Home and Rent Prices'!$E$2:$E$58,MATCH($A5,'Median Home and Rent Prices'!$A$2:$A$58,0)),0)</x:f>
        <x:v>1496</x:v>
      </x:c>
      <x:c r="P5" s="92" t="n">
        <x:f>IFERROR(INDEX('School District Profiles'!$H$2:$H$58,MATCH($A5,'School District Profiles'!$A$2:$A$58,0)),0)</x:f>
        <x:v>13</x:v>
      </x:c>
      <x:c r="Q5" s="25" t="n">
        <x:f>IFERROR(INDEX('School District Profiles'!$I$2:$I$58,MATCH($A5,'School District Profiles'!$A$2:$A$58,0)),0)</x:f>
        <x:v>135</x:v>
      </x:c>
      <x:c r="R5" s="27" t="n">
        <x:f>IFERROR(MAX(0,MIN(100,(K5-50000)/(110000-50000)*100)),0)</x:f>
        <x:v>45.83</x:v>
      </x:c>
      <x:c r="S5" s="27" t="n">
        <x:f>IFERROR(MAX(0,MIN(100,L5/0.6*100)),0)</x:f>
        <x:v>29.035353535353536</x:v>
      </x:c>
      <x:c r="T5" s="27" t="n">
        <x:f>IFERROR(MAX(0,MIN(100,M5/15000*100)),0)</x:f>
        <x:v>0</x:v>
      </x:c>
      <x:c r="U5" s="27" t="n">
        <x:f>IFERROR(0.45*R5+0.4*S5+0.15*T5,0)</x:f>
        <x:v>32.237641414141414</x:v>
      </x:c>
      <x:c r="V5" s="27" t="n">
        <x:f>IFERROR(0.4*MAX(0,MIN(100,(((J5/12)/O5)-2)/(4-2)*100))+0.35*MAX(0,MIN(100,(8-(N5/K5))/(8-3)*100))+0.25*AB5,0)</x:f>
        <x:v>71.64688973436067</x:v>
      </x:c>
      <x:c r="W5" s="27" t="n">
        <x:f>IFERROR(MAX(0,MIN(100,(25-P5)/(25-12)*100)),0)</x:f>
        <x:v>92.3076923076923</x:v>
      </x:c>
      <x:c r="X5" s="27" t="n">
        <x:f>IFERROR(MAX(0,MIN(100,(AD5-1)/(3-1)*100))*IF(OR($A5="North Clackamas School District",$A5="Provo City School District"),0.6,1),0)</x:f>
        <x:v>40.240641711229955</x:v>
      </x:c>
      <x:c r="Y5" s="27" t="n">
        <x:f>IFERROR(MAX(0,MIN(100,(1-((IFERROR(INDEX('School District Profiles'!$D$2:$D$58,MATCH($A5,'School District Profiles'!$A$2:$A$58,0)),0)/100)^2+(IFERROR(INDEX('School District Profiles'!$E$2:$E$58,MATCH($A5,'School District Profiles'!$A$2:$A$58,0)),0)/100)^2+(IFERROR(INDEX('School District Profiles'!$F$2:$F$58,MATCH($A5,'School District Profiles'!$A$2:$A$58,0)),0)/100)^2+(IFERROR(INDEX('School District Profiles'!$G$2:$G$58,MATCH($A5,'School District Profiles'!$A$2:$A$58,0)),0)/100)^2+(AC5/100)^2))/0.8*100)),0)</x:f>
        <x:v>70.68874999999998</x:v>
      </x:c>
      <x:c r="Z5" s="27" t="n">
        <x:f>IFERROR(AF5*AG5,0)</x:f>
        <x:v>54.71283188785699</x:v>
      </x:c>
      <x:c r="AA5" s="27" t="n">
        <x:f>IFERROR(INDEX('Median Home and Rent Prices'!$F$2:$F$58,MATCH($A5,'Median Home and Rent Prices'!$A$2:$A$58,0)),0)</x:f>
        <x:v>190</x:v>
      </x:c>
      <x:c r="AB5" s="27" t="n">
        <x:f>IFERROR(MAX(0,MIN(100,(800-AA5)/(800-150)*100)),0)</x:f>
        <x:v>93.84615384615384</x:v>
      </x:c>
      <x:c r="AC5" s="26" t="n">
        <x:f>IFERROR(INDEX('School District Profiles'!$J$2:$J$58,MATCH($A5,'School District Profiles'!$A$2:$A$58,0)),0)</x:f>
        <x:v>3.999999999999986</x:v>
      </x:c>
      <x:c r="AD5" s="27" t="n">
        <x:f>IFERROR(Q5*20/O5,0)</x:f>
        <x:v>1.804812834224599</x:v>
      </x:c>
      <x:c r="AE5" s="28" t="n">
        <x:f>IFERROR(IF(AG5&gt;=1,100,IF(AG5&gt;=0.95,75,IF(AG5&gt;=0.9,60,IF(AG5&gt;=0.85,40,IF(AG5&gt;=0.8,25,0))))),0)</x:f>
        <x:v>100</x:v>
      </x:c>
      <x:c r="AF5" s="28" t="n">
        <x:f>IFERROR(0.4*U5+0.3*V5+0.1*W5+0.1*X5+0.1*Y5,0)</x:f>
        <x:v>54.71283188785699</x:v>
      </x:c>
      <x:c r="AG5" s="28" t="n">
        <x:v>1</x:v>
      </x:c>
      <x:c r="AH5" s="10" t="inlineStr">
        <x:is>
          <x:t xml:space="preserve">No penalty applied. Low current layoff risk: Barbers Hill shows strong enrollment growth and public-facing hiring/retention language; no current public evidence found of broad layoffs, closures, or fiscal-crisis cuts in this pass.</x:t>
        </x:is>
      </x:c>
    </x:row>
    <x:row r="6" ht="26.75" customHeight="1">
      <x:c r="A6" s="24" t="inlineStr">
        <x:is>
          <x:t xml:space="preserve">Canyons School District</x:t>
        </x:is>
      </x:c>
      <x:c r="B6" s="24" t="str">
        <x:f>IFERROR(INDEX('School District Profiles'!$B$2:$B$58,MATCH($A6,'School District Profiles'!$A$2:$A$58,0)),"")</x:f>
        <x:v>UT</x:v>
      </x:c>
      <x:c r="C6" s="24" t="str">
        <x:f>IFERROR(INDEX('School District Profiles'!$C$2:$C$58,MATCH($A6,'School District Profiles'!$A$2:$A$58,0)),"")</x:f>
        <x:v>Salt Lake Valley</x:v>
      </x:c>
      <x:c r="D6" s="25" t="n">
        <x:f>SUMIFS('Teacher Salary Data'!$E$2:$E$1277,'Teacher Salary Data'!$A$2:$A$1277,$A6,'Teacher Salary Data'!$C$2:$C$1277,"Bachelor's",'Teacher Salary Data'!$D$2:$D$1277,0)</x:f>
        <x:v>64200</x:v>
      </x:c>
      <x:c r="E6" s="25" t="n">
        <x:f>SUMIFS('Teacher Salary Data'!$E$2:$E$1277,'Teacher Salary Data'!$A$2:$A$1277,$A6,'Teacher Salary Data'!$C$2:$C$1277,"Bachelor's",'Teacher Salary Data'!$D$2:$D$1277,5)</x:f>
        <x:v>68950</x:v>
      </x:c>
      <x:c r="F6" s="25" t="n">
        <x:f>SUMIFS('Teacher Salary Data'!$E$2:$E$1277,'Teacher Salary Data'!$A$2:$A$1277,$A6,'Teacher Salary Data'!$C$2:$C$1277,"Bachelor's",'Teacher Salary Data'!$D$2:$D$1277,10)</x:f>
        <x:v>73700</x:v>
      </x:c>
      <x:c r="G6" s="22" t="n">
        <x:f>SUMIFS('Teacher Salary Data'!$E$2:$E$1277,'Teacher Salary Data'!$A$2:$A$1277,$A6,'Teacher Salary Data'!$C$2:$C$1277,"Master's",'Teacher Salary Data'!$D$2:$D$1277,0)</x:f>
        <x:v>69900</x:v>
      </x:c>
      <x:c r="H6" s="25" t="n">
        <x:f>SUMIFS('Teacher Salary Data'!$E$2:$E$1277,'Teacher Salary Data'!$A$2:$A$1277,$A6,'Teacher Salary Data'!$C$2:$C$1277,"Master's",'Teacher Salary Data'!$D$2:$D$1277,5)</x:f>
        <x:v>74650</x:v>
      </x:c>
      <x:c r="I6" s="25" t="n">
        <x:f>SUMIFS('Teacher Salary Data'!$E$2:$E$1277,'Teacher Salary Data'!$A$2:$A$1277,$A6,'Teacher Salary Data'!$C$2:$C$1277,"Master's",'Teacher Salary Data'!$D$2:$D$1277,10)</x:f>
        <x:v>79400</x:v>
      </x:c>
      <x:c r="J6" s="25" t="n">
        <x:f>AVERAGE(D6,G6)</x:f>
        <x:v>67050</x:v>
      </x:c>
      <x:c r="K6" s="25" t="n">
        <x:f>AVERAGE(F6,I6)</x:f>
        <x:v>76550</x:v>
      </x:c>
      <x:c r="L6" s="26" t="n">
        <x:f>IFERROR((K6-J6)/J6,0)</x:f>
        <x:v>0.14168530947054436</x:v>
      </x:c>
      <x:c r="M6" s="25" t="n">
        <x:f>G6-D6</x:f>
        <x:v>5700</x:v>
      </x:c>
      <x:c r="N6" s="25" t="n">
        <x:f>IFERROR(INDEX('Median Home and Rent Prices'!$D$2:$D$58,MATCH($A6,'Median Home and Rent Prices'!$A$2:$A$58,0)),0)</x:f>
        <x:v>660000</x:v>
      </x:c>
      <x:c r="O6" s="25" t="n">
        <x:f>IFERROR(INDEX('Median Home and Rent Prices'!$E$2:$E$58,MATCH($A6,'Median Home and Rent Prices'!$A$2:$A$58,0)),0)</x:f>
        <x:v>2084</x:v>
      </x:c>
      <x:c r="P6" s="92" t="n">
        <x:f>IFERROR(INDEX('School District Profiles'!$H$2:$H$58,MATCH($A6,'School District Profiles'!$A$2:$A$58,0)),0)</x:f>
        <x:v>21.35</x:v>
      </x:c>
      <x:c r="Q6" s="25" t="n">
        <x:f>IFERROR(INDEX('School District Profiles'!$I$2:$I$58,MATCH($A6,'School District Profiles'!$A$2:$A$58,0)),0)</x:f>
        <x:v>180</x:v>
      </x:c>
      <x:c r="R6" s="27" t="n">
        <x:f>IFERROR(MAX(0,MIN(100,(K6-50000)/(110000-50000)*100)),0)</x:f>
        <x:v>44.25</x:v>
      </x:c>
      <x:c r="S6" s="27" t="n">
        <x:f>IFERROR(MAX(0,MIN(100,L6/0.6*100)),0)</x:f>
        <x:v>23.61421824509073</x:v>
      </x:c>
      <x:c r="T6" s="27" t="n">
        <x:f>IFERROR(MAX(0,MIN(100,M6/15000*100)),0)</x:f>
        <x:v>38</x:v>
      </x:c>
      <x:c r="U6" s="27" t="n">
        <x:f>IFERROR(0.45*R6+0.4*S6+0.15*T6,0)</x:f>
        <x:v>35.058187298036295</x:v>
      </x:c>
      <x:c r="V6" s="27" t="n">
        <x:f>IFERROR(0.4*MAX(0,MIN(100,(((J6/12)/O6)-2)/(4-2)*100))+0.35*MAX(0,MIN(100,(8-(N6/K6))/(8-3)*100))+0.25*AB6,0)</x:f>
        <x:v>34.69976376790197</x:v>
      </x:c>
      <x:c r="W6" s="27" t="n">
        <x:f>IFERROR(MAX(0,MIN(100,(25-P6)/(25-12)*100)),0)</x:f>
        <x:v>28.076923076923066</x:v>
      </x:c>
      <x:c r="X6" s="27" t="n">
        <x:f>IFERROR(MAX(0,MIN(100,(AD6-1)/(3-1)*100))*IF(OR($A6="North Clackamas School District",$A6="Provo City School District"),0.6,1),0)</x:f>
        <x:v>36.37236084452975</x:v>
      </x:c>
      <x:c r="Y6" s="27" t="n">
        <x:f>IFERROR(MAX(0,MIN(100,(1-((IFERROR(INDEX('School District Profiles'!$D$2:$D$58,MATCH($A6,'School District Profiles'!$A$2:$A$58,0)),0)/100)^2+(IFERROR(INDEX('School District Profiles'!$E$2:$E$58,MATCH($A6,'School District Profiles'!$A$2:$A$58,0)),0)/100)^2+(IFERROR(INDEX('School District Profiles'!$F$2:$F$58,MATCH($A6,'School District Profiles'!$A$2:$A$58,0)),0)/100)^2+(IFERROR(INDEX('School District Profiles'!$G$2:$G$58,MATCH($A6,'School District Profiles'!$A$2:$A$58,0)),0)/100)^2+(AC6/100)^2))/0.8*100)),0)</x:f>
        <x:v>57.324999999999996</x:v>
      </x:c>
      <x:c r="Z6" s="27" t="n">
        <x:f>IFERROR(AF6*AG6,0)</x:f>
        <x:v>32.94956919755735</x:v>
      </x:c>
      <x:c r="AA6" s="27" t="n">
        <x:f>IFERROR(INDEX('Median Home and Rent Prices'!$F$2:$F$58,MATCH($A6,'Median Home and Rent Prices'!$A$2:$A$58,0)),0)</x:f>
        <x:v>252</x:v>
      </x:c>
      <x:c r="AB6" s="27" t="n">
        <x:f>IFERROR(MAX(0,MIN(100,(800-AA6)/(800-150)*100)),0)</x:f>
        <x:v>84.3076923076923</x:v>
      </x:c>
      <x:c r="AC6" s="26" t="n">
        <x:f>IFERROR(INDEX('School District Profiles'!$J$2:$J$58,MATCH($A6,'School District Profiles'!$A$2:$A$58,0)),0)</x:f>
        <x:v>6</x:v>
      </x:c>
      <x:c r="AD6" s="27" t="n">
        <x:f>IFERROR(Q6*20/O6,0)</x:f>
        <x:v>1.727447216890595</x:v>
      </x:c>
      <x:c r="AE6" s="28" t="n">
        <x:f>IFERROR(IF(AG6&gt;=1,100,IF(AG6&gt;=0.95,75,IF(AG6&gt;=0.9,60,IF(AG6&gt;=0.85,40,IF(AG6&gt;=0.8,25,0))))),0)</x:f>
        <x:v>60</x:v>
      </x:c>
      <x:c r="AF6" s="28" t="n">
        <x:f>IFERROR(0.4*U6+0.3*V6+0.1*W6+0.1*X6+0.1*Y6,0)</x:f>
        <x:v>36.61063244173039</x:v>
      </x:c>
      <x:c r="AG6" s="28" t="n">
        <x:v>0.9</x:v>
      </x:c>
      <x:c r="AH6" s="10" t="inlineStr">
        <x:is>
          <x:t xml:space="preserve">10% employment-stability penalty due to declining enrollment and possible elementary-school changes/closures; no broad layoff evidence found in first pass.</x:t>
        </x:is>
      </x:c>
    </x:row>
    <x:row r="7" ht="26.75" customHeight="1">
      <x:c r="A7" s="24" t="inlineStr">
        <x:is>
          <x:t xml:space="preserve">Chandler Unified School District</x:t>
        </x:is>
      </x:c>
      <x:c r="B7" s="24" t="str">
        <x:f>IFERROR(INDEX('School District Profiles'!$B$2:$B$58,MATCH($A7,'School District Profiles'!$A$2:$A$58,0)),"")</x:f>
        <x:v>AZ</x:v>
      </x:c>
      <x:c r="C7" s="24" t="str">
        <x:f>IFERROR(INDEX('School District Profiles'!$C$2:$C$58,MATCH($A7,'School District Profiles'!$A$2:$A$58,0)),"")</x:f>
        <x:v>Phoenix / East Valley</x:v>
      </x:c>
      <x:c r="D7" s="25" t="n">
        <x:f>SUMIFS('Teacher Salary Data'!$E$2:$E$1277,'Teacher Salary Data'!$A$2:$A$1277,$A7,'Teacher Salary Data'!$C$2:$C$1277,"Bachelor's",'Teacher Salary Data'!$D$2:$D$1277,0)</x:f>
        <x:v>55249</x:v>
      </x:c>
      <x:c r="E7" s="25" t="n">
        <x:f>SUMIFS('Teacher Salary Data'!$E$2:$E$1277,'Teacher Salary Data'!$A$2:$A$1277,$A7,'Teacher Salary Data'!$C$2:$C$1277,"Bachelor's",'Teacher Salary Data'!$D$2:$D$1277,5)</x:f>
        <x:v>56877</x:v>
      </x:c>
      <x:c r="F7" s="25" t="n">
        <x:f>SUMIFS('Teacher Salary Data'!$E$2:$E$1277,'Teacher Salary Data'!$A$2:$A$1277,$A7,'Teacher Salary Data'!$C$2:$C$1277,"Bachelor's",'Teacher Salary Data'!$D$2:$D$1277,10)</x:f>
        <x:v>58098</x:v>
      </x:c>
      <x:c r="G7" s="22" t="n">
        <x:f>SUMIFS('Teacher Salary Data'!$E$2:$E$1277,'Teacher Salary Data'!$A$2:$A$1277,$A7,'Teacher Salary Data'!$C$2:$C$1277,"Master's",'Teacher Salary Data'!$D$2:$D$1277,0)</x:f>
        <x:v>56499</x:v>
      </x:c>
      <x:c r="H7" s="25" t="n">
        <x:f>SUMIFS('Teacher Salary Data'!$E$2:$E$1277,'Teacher Salary Data'!$A$2:$A$1277,$A7,'Teacher Salary Data'!$C$2:$C$1277,"Master's",'Teacher Salary Data'!$D$2:$D$1277,5)</x:f>
        <x:v>58127</x:v>
      </x:c>
      <x:c r="I7" s="25" t="n">
        <x:f>SUMIFS('Teacher Salary Data'!$E$2:$E$1277,'Teacher Salary Data'!$A$2:$A$1277,$A7,'Teacher Salary Data'!$C$2:$C$1277,"Master's",'Teacher Salary Data'!$D$2:$D$1277,10)</x:f>
        <x:v>59348</x:v>
      </x:c>
      <x:c r="J7" s="25" t="n">
        <x:f>AVERAGE(D7,G7)</x:f>
        <x:v>55874</x:v>
      </x:c>
      <x:c r="K7" s="25" t="n">
        <x:f>AVERAGE(F7,I7)</x:f>
        <x:v>58723</x:v>
      </x:c>
      <x:c r="L7" s="26" t="n">
        <x:f>IFERROR((K7-J7)/J7,0)</x:f>
        <x:v>0.05098972688549236</x:v>
      </x:c>
      <x:c r="M7" s="25" t="n">
        <x:f>G7-D7</x:f>
        <x:v>1250</x:v>
      </x:c>
      <x:c r="N7" s="25" t="n">
        <x:f>IFERROR(INDEX('Median Home and Rent Prices'!$D$2:$D$58,MATCH($A7,'Median Home and Rent Prices'!$A$2:$A$58,0)),0)</x:f>
        <x:v>520000</x:v>
      </x:c>
      <x:c r="O7" s="25" t="n">
        <x:f>IFERROR(INDEX('Median Home and Rent Prices'!$E$2:$E$58,MATCH($A7,'Median Home and Rent Prices'!$A$2:$A$58,0)),0)</x:f>
        <x:v>2388</x:v>
      </x:c>
      <x:c r="P7" s="92" t="n">
        <x:f>IFERROR(INDEX('School District Profiles'!$H$2:$H$58,MATCH($A7,'School District Profiles'!$A$2:$A$58,0)),0)</x:f>
        <x:v>17.59</x:v>
      </x:c>
      <x:c r="Q7" s="25" t="n">
        <x:f>IFERROR(INDEX('School District Profiles'!$I$2:$I$58,MATCH($A7,'School District Profiles'!$A$2:$A$58,0)),0)</x:f>
        <x:v>170</x:v>
      </x:c>
      <x:c r="R7" s="27" t="n">
        <x:f>IFERROR(MAX(0,MIN(100,(K7-50000)/(110000-50000)*100)),0)</x:f>
        <x:v>14.538333333333334</x:v>
      </x:c>
      <x:c r="S7" s="27" t="n">
        <x:f>IFERROR(MAX(0,MIN(100,L7/0.6*100)),0)</x:f>
        <x:v>8.498287814248727</x:v>
      </x:c>
      <x:c r="T7" s="27" t="n">
        <x:f>IFERROR(MAX(0,MIN(100,M7/15000*100)),0)</x:f>
        <x:v>8.333333333333332</x:v>
      </x:c>
      <x:c r="U7" s="27" t="n">
        <x:f>IFERROR(0.45*R7+0.4*S7+0.15*T7,0)</x:f>
        <x:v>11.19156512569949</x:v>
      </x:c>
      <x:c r="V7" s="27" t="n">
        <x:f>IFERROR(0.4*MAX(0,MIN(100,(((J7/12)/O7)-2)/(4-2)*100))+0.35*MAX(0,MIN(100,(8-(N7/K7))/(8-3)*100))+0.25*AB7,0)</x:f>
        <x:v>19.76923076923077</x:v>
      </x:c>
      <x:c r="W7" s="27" t="n">
        <x:f>IFERROR(MAX(0,MIN(100,(25-P7)/(25-12)*100)),0)</x:f>
        <x:v>57.00000000000001</x:v>
      </x:c>
      <x:c r="X7" s="27" t="n">
        <x:f>IFERROR(MAX(0,MIN(100,(AD7-1)/(3-1)*100))*IF(OR($A7="North Clackamas School District",$A7="Provo City School District"),0.6,1),0)</x:f>
        <x:v>21.189279731993306</x:v>
      </x:c>
      <x:c r="Y7" s="27" t="n">
        <x:f>IFERROR(MAX(0,MIN(100,(1-((IFERROR(INDEX('School District Profiles'!$D$2:$D$58,MATCH($A7,'School District Profiles'!$A$2:$A$58,0)),0)/100)^2+(IFERROR(INDEX('School District Profiles'!$E$2:$E$58,MATCH($A7,'School District Profiles'!$A$2:$A$58,0)),0)/100)^2+(IFERROR(INDEX('School District Profiles'!$F$2:$F$58,MATCH($A7,'School District Profiles'!$A$2:$A$58,0)),0)/100)^2+(IFERROR(INDEX('School District Profiles'!$G$2:$G$58,MATCH($A7,'School District Profiles'!$A$2:$A$58,0)),0)/100)^2+(AC7/100)^2))/0.8*100)),0)</x:f>
        <x:v>81.41</x:v>
      </x:c>
      <x:c r="Z7" s="27" t="n">
        <x:f>IFERROR(AF7*AG7,0)</x:f>
        <x:v>22.412224766111105</x:v>
      </x:c>
      <x:c r="AA7" s="27" t="n">
        <x:f>IFERROR(INDEX('Median Home and Rent Prices'!$F$2:$F$58,MATCH($A7,'Median Home and Rent Prices'!$A$2:$A$58,0)),0)</x:f>
        <x:v>286</x:v>
      </x:c>
      <x:c r="AB7" s="27" t="n">
        <x:f>IFERROR(MAX(0,MIN(100,(800-AA7)/(800-150)*100)),0)</x:f>
        <x:v>79.07692307692308</x:v>
      </x:c>
      <x:c r="AC7" s="26" t="n">
        <x:f>IFERROR(INDEX('School District Profiles'!$J$2:$J$58,MATCH($A7,'School District Profiles'!$A$2:$A$58,0)),0)</x:f>
        <x:v>2.1000000000000085</x:v>
      </x:c>
      <x:c r="AD7" s="27" t="n">
        <x:f>IFERROR(Q7*20/O7,0)</x:f>
        <x:v>1.423785594639866</x:v>
      </x:c>
      <x:c r="AE7" s="28" t="n">
        <x:f>IFERROR(IF(AG7&gt;=1,100,IF(AG7&gt;=0.95,75,IF(AG7&gt;=0.9,60,IF(AG7&gt;=0.85,40,IF(AG7&gt;=0.8,25,0))))),0)</x:f>
        <x:v>40</x:v>
      </x:c>
      <x:c r="AF7" s="28" t="n">
        <x:f>IFERROR(0.4*U7+0.3*V7+0.1*W7+0.1*X7+0.1*Y7,0)</x:f>
        <x:v>26.36732325424836</x:v>
      </x:c>
      <x:c r="AG7" s="28" t="n">
        <x:v>0.85</x:v>
      </x:c>
      <x:c r="AH7" s="10" t="inlineStr">
        <x:is>
          <x:t xml:space="preserve">15% employment-stability penalty due to declining enrollment, budget shortfall, and staffing-reduction/job-cut plan.</x:t>
        </x:is>
      </x:c>
    </x:row>
    <x:row r="8" ht="26.75" customHeight="1">
      <x:c r="A8" s="24" t="inlineStr">
        <x:is>
          <x:t xml:space="preserve">Chapel Hill-Carrboro City Schools</x:t>
        </x:is>
      </x:c>
      <x:c r="B8" s="24" t="str">
        <x:f>IFERROR(INDEX('School District Profiles'!$B$2:$B$58,MATCH($A8,'School District Profiles'!$A$2:$A$58,0)),"")</x:f>
        <x:v>NC</x:v>
      </x:c>
      <x:c r="C8" s="24" t="str">
        <x:f>IFERROR(INDEX('School District Profiles'!$C$2:$C$58,MATCH($A8,'School District Profiles'!$A$2:$A$58,0)),"")</x:f>
        <x:v>Research Triangle</x:v>
      </x:c>
      <x:c r="D8" s="25" t="n">
        <x:f>SUMIFS('Teacher Salary Data'!$E$2:$E$1277,'Teacher Salary Data'!$A$2:$A$1277,$A8,'Teacher Salary Data'!$C$2:$C$1277,"Bachelor's",'Teacher Salary Data'!$D$2:$D$1277,0)</x:f>
        <x:v>48380</x:v>
      </x:c>
      <x:c r="E8" s="25" t="n">
        <x:f>SUMIFS('Teacher Salary Data'!$E$2:$E$1277,'Teacher Salary Data'!$A$2:$A$1277,$A8,'Teacher Salary Data'!$C$2:$C$1277,"Bachelor's",'Teacher Salary Data'!$D$2:$D$1277,5)</x:f>
        <x:v>52805</x:v>
      </x:c>
      <x:c r="F8" s="25" t="n">
        <x:f>SUMIFS('Teacher Salary Data'!$E$2:$E$1277,'Teacher Salary Data'!$A$2:$A$1277,$A8,'Teacher Salary Data'!$C$2:$C$1277,"Bachelor's",'Teacher Salary Data'!$D$2:$D$1277,10)</x:f>
        <x:v>58233</x:v>
      </x:c>
      <x:c r="G8" s="22" t="n">
        <x:f>SUMIFS('Teacher Salary Data'!$E$2:$E$1277,'Teacher Salary Data'!$A$2:$A$1277,$A8,'Teacher Salary Data'!$C$2:$C$1277,"Master's",'Teacher Salary Data'!$D$2:$D$1277,0)</x:f>
        <x:v>53218</x:v>
      </x:c>
      <x:c r="H8" s="25" t="n">
        <x:f>SUMIFS('Teacher Salary Data'!$E$2:$E$1277,'Teacher Salary Data'!$A$2:$A$1277,$A8,'Teacher Salary Data'!$C$2:$C$1277,"Master's",'Teacher Salary Data'!$D$2:$D$1277,5)</x:f>
        <x:v>58091.4</x:v>
      </x:c>
      <x:c r="I8" s="25" t="n">
        <x:f>SUMIFS('Teacher Salary Data'!$E$2:$E$1277,'Teacher Salary Data'!$A$2:$A$1277,$A8,'Teacher Salary Data'!$C$2:$C$1277,"Master's",'Teacher Salary Data'!$D$2:$D$1277,10)</x:f>
        <x:v>64062.2</x:v>
      </x:c>
      <x:c r="J8" s="25" t="n">
        <x:f>AVERAGE(D8,G8)</x:f>
        <x:v>50799</x:v>
      </x:c>
      <x:c r="K8" s="25" t="n">
        <x:f>AVERAGE(F8,I8)</x:f>
        <x:v>61147.6</x:v>
      </x:c>
      <x:c r="L8" s="26" t="n">
        <x:f>IFERROR((K8-J8)/J8,0)</x:f>
        <x:v>0.20371660859465734</x:v>
      </x:c>
      <x:c r="M8" s="25" t="n">
        <x:f>G8-D8</x:f>
        <x:v>4838</x:v>
      </x:c>
      <x:c r="N8" s="25" t="n">
        <x:f>IFERROR(INDEX('Median Home and Rent Prices'!$D$2:$D$58,MATCH($A8,'Median Home and Rent Prices'!$A$2:$A$58,0)),0)</x:f>
        <x:v>634403</x:v>
      </x:c>
      <x:c r="O8" s="25" t="n">
        <x:f>IFERROR(INDEX('Median Home and Rent Prices'!$E$2:$E$58,MATCH($A8,'Median Home and Rent Prices'!$A$2:$A$58,0)),0)</x:f>
        <x:v>1850</x:v>
      </x:c>
      <x:c r="P8" s="92" t="n">
        <x:f>IFERROR(INDEX('School District Profiles'!$H$2:$H$58,MATCH($A8,'School District Profiles'!$A$2:$A$58,0)),0)</x:f>
        <x:v>12.69</x:v>
      </x:c>
      <x:c r="Q8" s="25" t="n">
        <x:f>IFERROR(INDEX('School District Profiles'!$I$2:$I$58,MATCH($A8,'School District Profiles'!$A$2:$A$58,0)),0)</x:f>
        <x:v>135</x:v>
      </x:c>
      <x:c r="R8" s="27" t="n">
        <x:f>IFERROR(MAX(0,MIN(100,(K8-50000)/(110000-50000)*100)),0)</x:f>
        <x:v>18.57933333333333</x:v>
      </x:c>
      <x:c r="S8" s="27" t="n">
        <x:f>IFERROR(MAX(0,MIN(100,L8/0.6*100)),0)</x:f>
        <x:v>33.95276809910956</x:v>
      </x:c>
      <x:c r="T8" s="27" t="n">
        <x:f>IFERROR(MAX(0,MIN(100,M8/15000*100)),0)</x:f>
        <x:v>32.25333333333333</x:v>
      </x:c>
      <x:c r="U8" s="27" t="n">
        <x:f>IFERROR(0.45*R8+0.4*S8+0.15*T8,0)</x:f>
        <x:v>26.779807239643823</x:v>
      </x:c>
      <x:c r="V8" s="27" t="n">
        <x:f>IFERROR(0.4*MAX(0,MIN(100,(((J8/12)/O8)-2)/(4-2)*100))+0.35*MAX(0,MIN(100,(8-(N8/K8))/(8-3)*100))+0.25*AB8,0)</x:f>
        <x:v>25.149480249480252</x:v>
      </x:c>
      <x:c r="W8" s="27" t="n">
        <x:f>IFERROR(MAX(0,MIN(100,(25-P8)/(25-12)*100)),0)</x:f>
        <x:v>94.6923076923077</x:v>
      </x:c>
      <x:c r="X8" s="27" t="n">
        <x:f>IFERROR(MAX(0,MIN(100,(AD8-1)/(3-1)*100))*IF(OR($A8="North Clackamas School District",$A8="Provo City School District"),0.6,1),0)</x:f>
        <x:v>22.972972972972972</x:v>
      </x:c>
      <x:c r="Y8" s="27" t="n">
        <x:f>IFERROR(MAX(0,MIN(100,(1-((IFERROR(INDEX('School District Profiles'!$D$2:$D$58,MATCH($A8,'School District Profiles'!$A$2:$A$58,0)),0)/100)^2+(IFERROR(INDEX('School District Profiles'!$E$2:$E$58,MATCH($A8,'School District Profiles'!$A$2:$A$58,0)),0)/100)^2+(IFERROR(INDEX('School District Profiles'!$F$2:$F$58,MATCH($A8,'School District Profiles'!$A$2:$A$58,0)),0)/100)^2+(IFERROR(INDEX('School District Profiles'!$G$2:$G$58,MATCH($A8,'School District Profiles'!$A$2:$A$58,0)),0)/100)^2+(AC8/100)^2))/0.8*100)),0)</x:f>
        <x:v>82.9455875</x:v>
      </x:c>
      <x:c r="Z8" s="27" t="n">
        <x:f>IFERROR(AF8*AG8,0)</x:f>
        <x:v>32.57017571914522</x:v>
      </x:c>
      <x:c r="AA8" s="27" t="n">
        <x:f>IFERROR(INDEX('Median Home and Rent Prices'!$F$2:$F$58,MATCH($A8,'Median Home and Rent Prices'!$A$2:$A$58,0)),0)</x:f>
        <x:v>296</x:v>
      </x:c>
      <x:c r="AB8" s="27" t="n">
        <x:f>IFERROR(MAX(0,MIN(100,(800-AA8)/(800-150)*100)),0)</x:f>
        <x:v>77.53846153846153</x:v>
      </x:c>
      <x:c r="AC8" s="26" t="n">
        <x:f>IFERROR(INDEX('School District Profiles'!$J$2:$J$58,MATCH($A8,'School District Profiles'!$A$2:$A$58,0)),0)</x:f>
        <x:v>6.789999999999992</x:v>
      </x:c>
      <x:c r="AD8" s="27" t="n">
        <x:f>IFERROR(Q8*20/O8,0)</x:f>
        <x:v>1.4594594594594594</x:v>
      </x:c>
      <x:c r="AE8" s="28" t="n">
        <x:f>IFERROR(IF(AG8&gt;=1,100,IF(AG8&gt;=0.95,75,IF(AG8&gt;=0.9,60,IF(AG8&gt;=0.85,40,IF(AG8&gt;=0.8,25,0))))),0)</x:f>
        <x:v>40</x:v>
      </x:c>
      <x:c r="AF8" s="28" t="n">
        <x:f>IFERROR(0.4*U8+0.3*V8+0.1*W8+0.1*X8+0.1*Y8,0)</x:f>
        <x:v>38.31785378722967</x:v>
      </x:c>
      <x:c r="AG8" s="28" t="n">
        <x:v>0.85</x:v>
      </x:c>
      <x:c r="AH8" s="10" t="inlineStr">
        <x:is>
          <x:t xml:space="preserve">15% employment-stability penalty due to staff cuts, school-closure discussions, declining enrollment, and budget shortfall concerns.</x:t>
        </x:is>
      </x:c>
    </x:row>
    <x:row r="9" ht="26.75" customHeight="1">
      <x:c r="A9" s="24" t="inlineStr">
        <x:is>
          <x:t xml:space="preserve">Cherry Creek School District</x:t>
        </x:is>
      </x:c>
      <x:c r="B9" s="24" t="str">
        <x:f>IFERROR(INDEX('School District Profiles'!$B$2:$B$58,MATCH($A9,'School District Profiles'!$A$2:$A$58,0)),"")</x:f>
        <x:v>CO</x:v>
      </x:c>
      <x:c r="C9" s="24" t="str">
        <x:f>IFERROR(INDEX('School District Profiles'!$C$2:$C$58,MATCH($A9,'School District Profiles'!$A$2:$A$58,0)),"")</x:f>
        <x:v>Denver</x:v>
      </x:c>
      <x:c r="D9" s="25" t="n">
        <x:f>SUMIFS('Teacher Salary Data'!$E$2:$E$1277,'Teacher Salary Data'!$A$2:$A$1277,$A9,'Teacher Salary Data'!$C$2:$C$1277,"Bachelor's",'Teacher Salary Data'!$D$2:$D$1277,0)</x:f>
        <x:v>62000</x:v>
      </x:c>
      <x:c r="E9" s="25" t="n">
        <x:f>SUMIFS('Teacher Salary Data'!$E$2:$E$1277,'Teacher Salary Data'!$A$2:$A$1277,$A9,'Teacher Salary Data'!$C$2:$C$1277,"Bachelor's",'Teacher Salary Data'!$D$2:$D$1277,5)</x:f>
        <x:v>67080</x:v>
      </x:c>
      <x:c r="F9" s="25" t="n">
        <x:f>SUMIFS('Teacher Salary Data'!$E$2:$E$1277,'Teacher Salary Data'!$A$2:$A$1277,$A9,'Teacher Salary Data'!$C$2:$C$1277,"Bachelor's",'Teacher Salary Data'!$D$2:$D$1277,10)</x:f>
        <x:v>80203</x:v>
      </x:c>
      <x:c r="G9" s="22" t="n">
        <x:f>SUMIFS('Teacher Salary Data'!$E$2:$E$1277,'Teacher Salary Data'!$A$2:$A$1277,$A9,'Teacher Salary Data'!$C$2:$C$1277,"Master's",'Teacher Salary Data'!$D$2:$D$1277,0)</x:f>
        <x:v>69677</x:v>
      </x:c>
      <x:c r="H9" s="25" t="n">
        <x:f>SUMIFS('Teacher Salary Data'!$E$2:$E$1277,'Teacher Salary Data'!$A$2:$A$1277,$A9,'Teacher Salary Data'!$C$2:$C$1277,"Master's",'Teacher Salary Data'!$D$2:$D$1277,5)</x:f>
        <x:v>75086</x:v>
      </x:c>
      <x:c r="I9" s="25" t="n">
        <x:f>SUMIFS('Teacher Salary Data'!$E$2:$E$1277,'Teacher Salary Data'!$A$2:$A$1277,$A9,'Teacher Salary Data'!$C$2:$C$1277,"Master's",'Teacher Salary Data'!$D$2:$D$1277,10)</x:f>
        <x:v>88170</x:v>
      </x:c>
      <x:c r="J9" s="25" t="n">
        <x:f>AVERAGE(D9,G9)</x:f>
        <x:v>65838.5</x:v>
      </x:c>
      <x:c r="K9" s="25" t="n">
        <x:f>AVERAGE(F9,I9)</x:f>
        <x:v>84186.5</x:v>
      </x:c>
      <x:c r="L9" s="26" t="n">
        <x:f>IFERROR((K9-J9)/J9,0)</x:f>
        <x:v>0.27868192622857446</x:v>
      </x:c>
      <x:c r="M9" s="25" t="n">
        <x:f>G9-D9</x:f>
        <x:v>7677</x:v>
      </x:c>
      <x:c r="N9" s="25" t="n">
        <x:f>IFERROR(INDEX('Median Home and Rent Prices'!$D$2:$D$58,MATCH($A9,'Median Home and Rent Prices'!$A$2:$A$58,0)),0)</x:f>
        <x:v>556984</x:v>
      </x:c>
      <x:c r="O9" s="25" t="n">
        <x:f>IFERROR(INDEX('Median Home and Rent Prices'!$E$2:$E$58,MATCH($A9,'Median Home and Rent Prices'!$A$2:$A$58,0)),0)</x:f>
        <x:v>2208</x:v>
      </x:c>
      <x:c r="P9" s="92" t="n">
        <x:f>IFERROR(INDEX('School District Profiles'!$H$2:$H$58,MATCH($A9,'School District Profiles'!$A$2:$A$58,0)),0)</x:f>
        <x:v>16.18</x:v>
      </x:c>
      <x:c r="Q9" s="25" t="n">
        <x:f>IFERROR(INDEX('School District Profiles'!$I$2:$I$58,MATCH($A9,'School District Profiles'!$A$2:$A$58,0)),0)</x:f>
        <x:v>210</x:v>
      </x:c>
      <x:c r="R9" s="27" t="n">
        <x:f>IFERROR(MAX(0,MIN(100,(K9-50000)/(110000-50000)*100)),0)</x:f>
        <x:v>56.977500000000006</x:v>
      </x:c>
      <x:c r="S9" s="27" t="n">
        <x:f>IFERROR(MAX(0,MIN(100,L9/0.6*100)),0)</x:f>
        <x:v>46.44698770476241</x:v>
      </x:c>
      <x:c r="T9" s="27" t="n">
        <x:f>IFERROR(MAX(0,MIN(100,M9/15000*100)),0)</x:f>
        <x:v>51.18000000000001</x:v>
      </x:c>
      <x:c r="U9" s="27" t="n">
        <x:f>IFERROR(0.45*R9+0.4*S9+0.15*T9,0)</x:f>
        <x:v>51.89567008190497</x:v>
      </x:c>
      <x:c r="V9" s="27" t="n">
        <x:f>IFERROR(0.4*MAX(0,MIN(100,(((J9/12)/O9)-2)/(4-2)*100))+0.35*MAX(0,MIN(100,(8-(N9/K9))/(8-3)*100))+0.25*AB9,0)</x:f>
        <x:v>40.34596531041976</x:v>
      </x:c>
      <x:c r="W9" s="27" t="n">
        <x:f>IFERROR(MAX(0,MIN(100,(25-P9)/(25-12)*100)),0)</x:f>
        <x:v>67.84615384615384</x:v>
      </x:c>
      <x:c r="X9" s="27" t="n">
        <x:f>IFERROR(MAX(0,MIN(100,(AD9-1)/(3-1)*100))*IF(OR($A9="North Clackamas School District",$A9="Provo City School District"),0.6,1),0)</x:f>
        <x:v>45.108695652173914</x:v>
      </x:c>
      <x:c r="Y9" s="27" t="n">
        <x:f>IFERROR(MAX(0,MIN(100,(1-((IFERROR(INDEX('School District Profiles'!$D$2:$D$58,MATCH($A9,'School District Profiles'!$A$2:$A$58,0)),0)/100)^2+(IFERROR(INDEX('School District Profiles'!$E$2:$E$58,MATCH($A9,'School District Profiles'!$A$2:$A$58,0)),0)/100)^2+(IFERROR(INDEX('School District Profiles'!$F$2:$F$58,MATCH($A9,'School District Profiles'!$A$2:$A$58,0)),0)/100)^2+(IFERROR(INDEX('School District Profiles'!$G$2:$G$58,MATCH($A9,'School District Profiles'!$A$2:$A$58,0)),0)/100)^2+(AC9/100)^2))/0.8*100)),0)</x:f>
        <x:v>88.313</x:v>
      </x:c>
      <x:c r="Z9" s="27" t="n">
        <x:f>IFERROR(AF9*AG9,0)</x:f>
        <x:v>45.040516189362584</x:v>
      </x:c>
      <x:c r="AA9" s="27" t="n">
        <x:f>IFERROR(INDEX('Median Home and Rent Prices'!$F$2:$F$58,MATCH($A9,'Median Home and Rent Prices'!$A$2:$A$58,0)),0)</x:f>
        <x:v>255</x:v>
      </x:c>
      <x:c r="AB9" s="27" t="n">
        <x:f>IFERROR(MAX(0,MIN(100,(800-AA9)/(800-150)*100)),0)</x:f>
        <x:v>83.84615384615385</x:v>
      </x:c>
      <x:c r="AC9" s="26" t="n">
        <x:f>IFERROR(INDEX('School District Profiles'!$J$2:$J$58,MATCH($A9,'School District Profiles'!$A$2:$A$58,0)),0)</x:f>
        <x:v>10.599999999999994</x:v>
      </x:c>
      <x:c r="AD9" s="27" t="n">
        <x:f>IFERROR(Q9*20/O9,0)</x:f>
        <x:v>1.9021739130434783</x:v>
      </x:c>
      <x:c r="AE9" s="28" t="n">
        <x:f>IFERROR(IF(AG9&gt;=1,100,IF(AG9&gt;=0.95,75,IF(AG9&gt;=0.9,60,IF(AG9&gt;=0.85,40,IF(AG9&gt;=0.8,25,0))))),0)</x:f>
        <x:v>40</x:v>
      </x:c>
      <x:c r="AF9" s="28" t="n">
        <x:f>IFERROR(0.4*U9+0.3*V9+0.1*W9+0.1*X9+0.1*Y9,0)</x:f>
        <x:v>52.98884257572069</x:v>
      </x:c>
      <x:c r="AG9" s="28" t="n">
        <x:v>0.85</x:v>
      </x:c>
      <x:c r="AH9" s="10" t="inlineStr">
        <x:is>
          <x:t xml:space="preserve">15% employment-stability penalty due to announced job reductions and districtwide budget-cut plan.</x:t>
        </x:is>
      </x:c>
    </x:row>
    <x:row r="10" ht="26.75" customHeight="1">
      <x:c r="A10" s="24" t="inlineStr">
        <x:is>
          <x:t xml:space="preserve">Chicago Public Schools</x:t>
        </x:is>
      </x:c>
      <x:c r="B10" s="24" t="str">
        <x:f>IFERROR(INDEX('School District Profiles'!$B$2:$B$58,MATCH($A10,'School District Profiles'!$A$2:$A$58,0)),"")</x:f>
        <x:v>IL</x:v>
      </x:c>
      <x:c r="C10" s="24" t="str">
        <x:f>IFERROR(INDEX('School District Profiles'!$C$2:$C$58,MATCH($A10,'School District Profiles'!$A$2:$A$58,0)),"")</x:f>
        <x:v>Chicago</x:v>
      </x:c>
      <x:c r="D10" s="25" t="n">
        <x:f>SUMIFS('Teacher Salary Data'!$E$2:$E$1277,'Teacher Salary Data'!$A$2:$A$1277,$A10,'Teacher Salary Data'!$C$2:$C$1277,"Bachelor's",'Teacher Salary Data'!$D$2:$D$1277,0)</x:f>
        <x:v>72519.92</x:v>
      </x:c>
      <x:c r="E10" s="25" t="n">
        <x:f>SUMIFS('Teacher Salary Data'!$E$2:$E$1277,'Teacher Salary Data'!$A$2:$A$1277,$A10,'Teacher Salary Data'!$C$2:$C$1277,"Bachelor's",'Teacher Salary Data'!$D$2:$D$1277,5)</x:f>
        <x:v>80661.5</x:v>
      </x:c>
      <x:c r="F10" s="25" t="n">
        <x:f>SUMIFS('Teacher Salary Data'!$E$2:$E$1277,'Teacher Salary Data'!$A$2:$A$1277,$A10,'Teacher Salary Data'!$C$2:$C$1277,"Bachelor's",'Teacher Salary Data'!$D$2:$D$1277,10)</x:f>
        <x:v>95709.41</x:v>
      </x:c>
      <x:c r="G10" s="22" t="n">
        <x:f>SUMIFS('Teacher Salary Data'!$E$2:$E$1277,'Teacher Salary Data'!$A$2:$A$1277,$A10,'Teacher Salary Data'!$C$2:$C$1277,"Master's",'Teacher Salary Data'!$D$2:$D$1277,0)</x:f>
        <x:v>74014.68</x:v>
      </x:c>
      <x:c r="H10" s="25" t="n">
        <x:f>SUMIFS('Teacher Salary Data'!$E$2:$E$1277,'Teacher Salary Data'!$A$2:$A$1277,$A10,'Teacher Salary Data'!$C$2:$C$1277,"Master's",'Teacher Salary Data'!$D$2:$D$1277,5)</x:f>
        <x:v>82139.7</x:v>
      </x:c>
      <x:c r="I10" s="25" t="n">
        <x:f>SUMIFS('Teacher Salary Data'!$E$2:$E$1277,'Teacher Salary Data'!$A$2:$A$1277,$A10,'Teacher Salary Data'!$C$2:$C$1277,"Master's",'Teacher Salary Data'!$D$2:$D$1277,10)</x:f>
        <x:v>96963.03</x:v>
      </x:c>
      <x:c r="J10" s="25" t="n">
        <x:f>AVERAGE(D10,G10)</x:f>
        <x:v>73267.29999999999</x:v>
      </x:c>
      <x:c r="K10" s="25" t="n">
        <x:f>AVERAGE(F10,I10)</x:f>
        <x:v>96336.22</x:v>
      </x:c>
      <x:c r="L10" s="26" t="n">
        <x:f>IFERROR((K10-J10)/J10,0)</x:f>
        <x:v>0.3148596986650254</x:v>
      </x:c>
      <x:c r="M10" s="25" t="n">
        <x:f>G10-D10</x:f>
        <x:v>1494.7599999999948</x:v>
      </x:c>
      <x:c r="N10" s="25" t="n">
        <x:f>IFERROR(INDEX('Median Home and Rent Prices'!$D$2:$D$58,MATCH($A10,'Median Home and Rent Prices'!$A$2:$A$58,0)),0)</x:f>
        <x:v>419749</x:v>
      </x:c>
      <x:c r="O10" s="25" t="n">
        <x:f>IFERROR(INDEX('Median Home and Rent Prices'!$E$2:$E$58,MATCH($A10,'Median Home and Rent Prices'!$A$2:$A$58,0)),0)</x:f>
        <x:v>2406</x:v>
      </x:c>
      <x:c r="P10" s="92" t="n">
        <x:f>IFERROR(INDEX('School District Profiles'!$H$2:$H$58,MATCH($A10,'School District Profiles'!$A$2:$A$58,0)),0)</x:f>
        <x:v>13.77</x:v>
      </x:c>
      <x:c r="Q10" s="25" t="n">
        <x:f>IFERROR(INDEX('School District Profiles'!$I$2:$I$58,MATCH($A10,'School District Profiles'!$A$2:$A$58,0)),0)</x:f>
        <x:v>193</x:v>
      </x:c>
      <x:c r="R10" s="27" t="n">
        <x:f>IFERROR(MAX(0,MIN(100,(K10-50000)/(110000-50000)*100)),0)</x:f>
        <x:v>77.22703333333334</x:v>
      </x:c>
      <x:c r="S10" s="27" t="n">
        <x:f>IFERROR(MAX(0,MIN(100,L10/0.6*100)),0)</x:f>
        <x:v>52.4766164441709</x:v>
      </x:c>
      <x:c r="T10" s="27" t="n">
        <x:f>IFERROR(MAX(0,MIN(100,M10/15000*100)),0)</x:f>
        <x:v>9.965066666666631</x:v>
      </x:c>
      <x:c r="U10" s="27" t="n">
        <x:f>IFERROR(0.45*R10+0.4*S10+0.15*T10,0)</x:f>
        <x:v>57.237571577668355</x:v>
      </x:c>
      <x:c r="V10" s="27" t="n">
        <x:f>IFERROR(0.4*MAX(0,MIN(100,(((J10/12)/O10)-2)/(4-2)*100))+0.35*MAX(0,MIN(100,(8-(N10/K10))/(8-3)*100))+0.25*AB10,0)</x:f>
        <x:v>55.368692647084465</x:v>
      </x:c>
      <x:c r="W10" s="27" t="n">
        <x:f>IFERROR(MAX(0,MIN(100,(25-P10)/(25-12)*100)),0)</x:f>
        <x:v>86.38461538461539</x:v>
      </x:c>
      <x:c r="X10" s="27" t="n">
        <x:f>IFERROR(MAX(0,MIN(100,(AD10-1)/(3-1)*100))*IF(OR($A10="North Clackamas School District",$A10="Provo City School District"),0.6,1),0)</x:f>
        <x:v>30.216126350789697</x:v>
      </x:c>
      <x:c r="Y10" s="27" t="n">
        <x:f>IFERROR(MAX(0,MIN(100,(1-((IFERROR(INDEX('School District Profiles'!$D$2:$D$58,MATCH($A10,'School District Profiles'!$A$2:$A$58,0)),0)/100)^2+(IFERROR(INDEX('School District Profiles'!$E$2:$E$58,MATCH($A10,'School District Profiles'!$A$2:$A$58,0)),0)/100)^2+(IFERROR(INDEX('School District Profiles'!$F$2:$F$58,MATCH($A10,'School District Profiles'!$A$2:$A$58,0)),0)/100)^2+(IFERROR(INDEX('School District Profiles'!$G$2:$G$58,MATCH($A10,'School District Profiles'!$A$2:$A$58,0)),0)/100)^2+(AC10/100)^2))/0.8*100)),0)</x:f>
        <x:v>81.25675</x:v>
      </x:c>
      <x:c r="Z10" s="27" t="n">
        <x:f>IFERROR(AF10*AG10,0)</x:f>
        <x:v>50.397677758923216</x:v>
      </x:c>
      <x:c r="AA10" s="27" t="n">
        <x:f>IFERROR(INDEX('Median Home and Rent Prices'!$F$2:$F$58,MATCH($A10,'Median Home and Rent Prices'!$A$2:$A$58,0)),0)</x:f>
        <x:v>303</x:v>
      </x:c>
      <x:c r="AB10" s="27" t="n">
        <x:f>IFERROR(MAX(0,MIN(100,(800-AA10)/(800-150)*100)),0)</x:f>
        <x:v>76.46153846153845</x:v>
      </x:c>
      <x:c r="AC10" s="26" t="n">
        <x:f>IFERROR(INDEX('School District Profiles'!$J$2:$J$58,MATCH($A10,'School District Profiles'!$A$2:$A$58,0)),0)</x:f>
        <x:v>2.5999999999999943</x:v>
      </x:c>
      <x:c r="AD10" s="27" t="n">
        <x:f>IFERROR(Q10*20/O10,0)</x:f>
        <x:v>1.604322527015794</x:v>
      </x:c>
      <x:c r="AE10" s="28" t="n">
        <x:f>IFERROR(IF(AG10&gt;=1,100,IF(AG10&gt;=0.95,75,IF(AG10&gt;=0.9,60,IF(AG10&gt;=0.85,40,IF(AG10&gt;=0.8,25,0))))),0)</x:f>
        <x:v>40</x:v>
      </x:c>
      <x:c r="AF10" s="28" t="n">
        <x:f>IFERROR(0.4*U10+0.3*V10+0.1*W10+0.1*X10+0.1*Y10,0)</x:f>
        <x:v>59.2913855987332</x:v>
      </x:c>
      <x:c r="AG10" s="28" t="n">
        <x:v>0.85</x:v>
      </x:c>
      <x:c r="AH10" s="10" t="inlineStr">
        <x:is>
          <x:t xml:space="preserve">15% employment-stability penalty due to structural deficit and reported teacher-position reductions / higher class-size planning.</x:t>
        </x:is>
      </x:c>
    </x:row>
    <x:row r="11" ht="26.75" customHeight="1">
      <x:c r="A11" s="24" t="inlineStr">
        <x:is>
          <x:t xml:space="preserve">Cobb County School District</x:t>
        </x:is>
      </x:c>
      <x:c r="B11" s="24" t="str">
        <x:f>IFERROR(INDEX('School District Profiles'!$B$2:$B$58,MATCH($A11,'School District Profiles'!$A$2:$A$58,0)),"")</x:f>
        <x:v>GA</x:v>
      </x:c>
      <x:c r="C11" s="24" t="str">
        <x:f>IFERROR(INDEX('School District Profiles'!$C$2:$C$58,MATCH($A11,'School District Profiles'!$A$2:$A$58,0)),"")</x:f>
        <x:v>Atlanta</x:v>
      </x:c>
      <x:c r="D11" s="25" t="n">
        <x:f>SUMIFS('Teacher Salary Data'!$E$2:$E$1277,'Teacher Salary Data'!$A$2:$A$1277,$A11,'Teacher Salary Data'!$C$2:$C$1277,"Bachelor's",'Teacher Salary Data'!$D$2:$D$1277,0)</x:f>
        <x:v>60604</x:v>
      </x:c>
      <x:c r="E11" s="25" t="n">
        <x:f>SUMIFS('Teacher Salary Data'!$E$2:$E$1277,'Teacher Salary Data'!$A$2:$A$1277,$A11,'Teacher Salary Data'!$C$2:$C$1277,"Bachelor's",'Teacher Salary Data'!$D$2:$D$1277,5)</x:f>
        <x:v>62222</x:v>
      </x:c>
      <x:c r="F11" s="25" t="n">
        <x:f>SUMIFS('Teacher Salary Data'!$E$2:$E$1277,'Teacher Salary Data'!$A$2:$A$1277,$A11,'Teacher Salary Data'!$C$2:$C$1277,"Bachelor's",'Teacher Salary Data'!$D$2:$D$1277,10)</x:f>
        <x:v>72953</x:v>
      </x:c>
      <x:c r="G11" s="22" t="n">
        <x:f>SUMIFS('Teacher Salary Data'!$E$2:$E$1277,'Teacher Salary Data'!$A$2:$A$1277,$A11,'Teacher Salary Data'!$C$2:$C$1277,"Master's",'Teacher Salary Data'!$D$2:$D$1277,0)</x:f>
        <x:v>65731</x:v>
      </x:c>
      <x:c r="H11" s="25" t="n">
        <x:f>SUMIFS('Teacher Salary Data'!$E$2:$E$1277,'Teacher Salary Data'!$A$2:$A$1277,$A11,'Teacher Salary Data'!$C$2:$C$1277,"Master's",'Teacher Salary Data'!$D$2:$D$1277,5)</x:f>
        <x:v>69938</x:v>
      </x:c>
      <x:c r="I11" s="25" t="n">
        <x:f>SUMIFS('Teacher Salary Data'!$E$2:$E$1277,'Teacher Salary Data'!$A$2:$A$1277,$A11,'Teacher Salary Data'!$C$2:$C$1277,"Master's",'Teacher Salary Data'!$D$2:$D$1277,10)</x:f>
        <x:v>82813</x:v>
      </x:c>
      <x:c r="J11" s="25" t="n">
        <x:f>AVERAGE(D11,G11)</x:f>
        <x:v>63167.5</x:v>
      </x:c>
      <x:c r="K11" s="25" t="n">
        <x:f>AVERAGE(F11,I11)</x:f>
        <x:v>77883</x:v>
      </x:c>
      <x:c r="L11" s="26" t="n">
        <x:f>IFERROR((K11-J11)/J11,0)</x:f>
        <x:v>0.23295998733525944</x:v>
      </x:c>
      <x:c r="M11" s="25" t="n">
        <x:f>G11-D11</x:f>
        <x:v>5127</x:v>
      </x:c>
      <x:c r="N11" s="25" t="n">
        <x:f>IFERROR(INDEX('Median Home and Rent Prices'!$D$2:$D$58,MATCH($A11,'Median Home and Rent Prices'!$A$2:$A$58,0)),0)</x:f>
        <x:v>475000</x:v>
      </x:c>
      <x:c r="O11" s="25" t="n">
        <x:f>IFERROR(INDEX('Median Home and Rent Prices'!$E$2:$E$58,MATCH($A11,'Median Home and Rent Prices'!$A$2:$A$58,0)),0)</x:f>
        <x:v>1534</x:v>
      </x:c>
      <x:c r="P11" s="92" t="n">
        <x:f>IFERROR(INDEX('School District Profiles'!$H$2:$H$58,MATCH($A11,'School District Profiles'!$A$2:$A$58,0)),0)</x:f>
        <x:v>14.06</x:v>
      </x:c>
      <x:c r="Q11" s="25" t="n">
        <x:f>IFERROR(INDEX('School District Profiles'!$I$2:$I$58,MATCH($A11,'School District Profiles'!$A$2:$A$58,0)),0)</x:f>
        <x:v>150</x:v>
      </x:c>
      <x:c r="R11" s="27" t="n">
        <x:f>IFERROR(MAX(0,MIN(100,(K11-50000)/(110000-50000)*100)),0)</x:f>
        <x:v>46.471666666666664</x:v>
      </x:c>
      <x:c r="S11" s="27" t="n">
        <x:f>IFERROR(MAX(0,MIN(100,L11/0.6*100)),0)</x:f>
        <x:v>38.82666455587657</x:v>
      </x:c>
      <x:c r="T11" s="27" t="n">
        <x:f>IFERROR(MAX(0,MIN(100,M11/15000*100)),0)</x:f>
        <x:v>34.18</x:v>
      </x:c>
      <x:c r="U11" s="27" t="n">
        <x:f>IFERROR(0.45*R11+0.4*S11+0.15*T11,0)</x:f>
        <x:v>41.56991582235063</x:v>
      </x:c>
      <x:c r="V11" s="27" t="n">
        <x:f>IFERROR(0.4*MAX(0,MIN(100,(((J11/12)/O11)-2)/(4-2)*100))+0.35*MAX(0,MIN(100,(8-(N11/K11))/(8-3)*100))+0.25*AB11,0)</x:f>
        <x:v>64.55362786683284</x:v>
      </x:c>
      <x:c r="W11" s="27" t="n">
        <x:f>IFERROR(MAX(0,MIN(100,(25-P11)/(25-12)*100)),0)</x:f>
        <x:v>84.15384615384615</x:v>
      </x:c>
      <x:c r="X11" s="27" t="n">
        <x:f>IFERROR(MAX(0,MIN(100,(AD11-1)/(3-1)*100))*IF(OR($A11="North Clackamas School District",$A11="Provo City School District"),0.6,1),0)</x:f>
        <x:v>47.783572359843554</x:v>
      </x:c>
      <x:c r="Y11" s="27" t="n">
        <x:f>IFERROR(MAX(0,MIN(100,(1-((IFERROR(INDEX('School District Profiles'!$D$2:$D$58,MATCH($A11,'School District Profiles'!$A$2:$A$58,0)),0)/100)^2+(IFERROR(INDEX('School District Profiles'!$E$2:$E$58,MATCH($A11,'School District Profiles'!$A$2:$A$58,0)),0)/100)^2+(IFERROR(INDEX('School District Profiles'!$F$2:$F$58,MATCH($A11,'School District Profiles'!$A$2:$A$58,0)),0)/100)^2+(IFERROR(INDEX('School District Profiles'!$G$2:$G$58,MATCH($A11,'School District Profiles'!$A$2:$A$58,0)),0)/100)^2+(AC11/100)^2))/0.8*100)),0)</x:f>
        <x:v>91.767</x:v>
      </x:c>
      <x:c r="Z11" s="27" t="n">
        <x:f>IFERROR(AF11*AG11,0)</x:f>
        <x:v>58.36449654035907</x:v>
      </x:c>
      <x:c r="AA11" s="27" t="n">
        <x:f>IFERROR(INDEX('Median Home and Rent Prices'!$F$2:$F$58,MATCH($A11,'Median Home and Rent Prices'!$A$2:$A$58,0)),0)</x:f>
        <x:v>212</x:v>
      </x:c>
      <x:c r="AB11" s="27" t="n">
        <x:f>IFERROR(MAX(0,MIN(100,(800-AA11)/(800-150)*100)),0)</x:f>
        <x:v>90.46153846153845</x:v>
      </x:c>
      <x:c r="AC11" s="26" t="n">
        <x:f>IFERROR(INDEX('School District Profiles'!$J$2:$J$58,MATCH($A11,'School District Profiles'!$A$2:$A$58,0)),0)</x:f>
        <x:v>6</x:v>
      </x:c>
      <x:c r="AD11" s="27" t="n">
        <x:f>IFERROR(Q11*20/O11,0)</x:f>
        <x:v>1.955671447196871</x:v>
      </x:c>
      <x:c r="AE11" s="28" t="n">
        <x:f>IFERROR(IF(AG11&gt;=1,100,IF(AG11&gt;=0.95,75,IF(AG11&gt;=0.9,60,IF(AG11&gt;=0.85,40,IF(AG11&gt;=0.8,25,0))))),0)</x:f>
        <x:v>100</x:v>
      </x:c>
      <x:c r="AF11" s="28" t="n">
        <x:f>IFERROR(0.4*U11+0.3*V11+0.1*W11+0.1*X11+0.1*Y11,0)</x:f>
        <x:v>58.36449654035907</x:v>
      </x:c>
      <x:c r="AG11" s="28" t="n">
        <x:v>1</x:v>
      </x:c>
      <x:c r="AH11" s="10" t="inlineStr">
        <x:is>
          <x:t xml:space="preserve">No penalty applied. Cobb's FY2027 public budget messaging states no teacher layoffs and emphasizes classroom stability; local reporting notes staffing reductions are handled through attrition/reassignment rather than layoffs.</x:t>
        </x:is>
      </x:c>
    </x:row>
    <x:row r="12" ht="26.75" customHeight="1">
      <x:c r="A12" s="24" t="inlineStr">
        <x:is>
          <x:t xml:space="preserve">Denver Public Schools</x:t>
        </x:is>
      </x:c>
      <x:c r="B12" s="24" t="str">
        <x:f>IFERROR(INDEX('School District Profiles'!$B$2:$B$58,MATCH($A12,'School District Profiles'!$A$2:$A$58,0)),"")</x:f>
        <x:v>CO</x:v>
      </x:c>
      <x:c r="C12" s="24" t="str">
        <x:f>IFERROR(INDEX('School District Profiles'!$C$2:$C$58,MATCH($A12,'School District Profiles'!$A$2:$A$58,0)),"")</x:f>
        <x:v>Denver</x:v>
      </x:c>
      <x:c r="D12" s="25" t="n">
        <x:f>SUMIFS('Teacher Salary Data'!$E$2:$E$1277,'Teacher Salary Data'!$A$2:$A$1277,$A12,'Teacher Salary Data'!$C$2:$C$1277,"Bachelor's",'Teacher Salary Data'!$D$2:$D$1277,0)</x:f>
        <x:v>57666</x:v>
      </x:c>
      <x:c r="E12" s="25" t="n">
        <x:f>SUMIFS('Teacher Salary Data'!$E$2:$E$1277,'Teacher Salary Data'!$A$2:$A$1277,$A12,'Teacher Salary Data'!$C$2:$C$1277,"Bachelor's",'Teacher Salary Data'!$D$2:$D$1277,5)</x:f>
        <x:v>64743</x:v>
      </x:c>
      <x:c r="F12" s="25" t="n">
        <x:f>SUMIFS('Teacher Salary Data'!$E$2:$E$1277,'Teacher Salary Data'!$A$2:$A$1277,$A12,'Teacher Salary Data'!$C$2:$C$1277,"Bachelor's",'Teacher Salary Data'!$D$2:$D$1277,10)</x:f>
        <x:v>74349</x:v>
      </x:c>
      <x:c r="G12" s="22" t="n">
        <x:f>SUMIFS('Teacher Salary Data'!$E$2:$E$1277,'Teacher Salary Data'!$A$2:$A$1277,$A12,'Teacher Salary Data'!$C$2:$C$1277,"Master's",'Teacher Salary Data'!$D$2:$D$1277,0)</x:f>
        <x:v>63245</x:v>
      </x:c>
      <x:c r="H12" s="25" t="n">
        <x:f>SUMIFS('Teacher Salary Data'!$E$2:$E$1277,'Teacher Salary Data'!$A$2:$A$1277,$A12,'Teacher Salary Data'!$C$2:$C$1277,"Master's",'Teacher Salary Data'!$D$2:$D$1277,5)</x:f>
        <x:v>71474</x:v>
      </x:c>
      <x:c r="I12" s="25" t="n">
        <x:f>SUMIFS('Teacher Salary Data'!$E$2:$E$1277,'Teacher Salary Data'!$A$2:$A$1277,$A12,'Teacher Salary Data'!$C$2:$C$1277,"Master's",'Teacher Salary Data'!$D$2:$D$1277,10)</x:f>
        <x:v>81762</x:v>
      </x:c>
      <x:c r="J12" s="25" t="n">
        <x:f>AVERAGE(D12,G12)</x:f>
        <x:v>60455.5</x:v>
      </x:c>
      <x:c r="K12" s="25" t="n">
        <x:f>AVERAGE(F12,I12)</x:f>
        <x:v>78055.5</x:v>
      </x:c>
      <x:c r="L12" s="26" t="n">
        <x:f>IFERROR((K12-J12)/J12,0)</x:f>
        <x:v>0.29112322286640585</x:v>
      </x:c>
      <x:c r="M12" s="25" t="n">
        <x:f>G12-D12</x:f>
        <x:v>5579</x:v>
      </x:c>
      <x:c r="N12" s="25" t="n">
        <x:f>IFERROR(INDEX('Median Home and Rent Prices'!$D$2:$D$58,MATCH($A12,'Median Home and Rent Prices'!$A$2:$A$58,0)),0)</x:f>
        <x:v>542000</x:v>
      </x:c>
      <x:c r="O12" s="25" t="n">
        <x:f>IFERROR(INDEX('Median Home and Rent Prices'!$E$2:$E$58,MATCH($A12,'Median Home and Rent Prices'!$A$2:$A$58,0)),0)</x:f>
        <x:v>2000</x:v>
      </x:c>
      <x:c r="P12" s="92" t="n">
        <x:f>IFERROR(INDEX('School District Profiles'!$H$2:$H$58,MATCH($A12,'School District Profiles'!$A$2:$A$58,0)),0)</x:f>
        <x:v>15</x:v>
      </x:c>
      <x:c r="Q12" s="25" t="n">
        <x:f>IFERROR(INDEX('School District Profiles'!$I$2:$I$58,MATCH($A12,'School District Profiles'!$A$2:$A$58,0)),0)</x:f>
        <x:v>186.42</x:v>
      </x:c>
      <x:c r="R12" s="27" t="n">
        <x:f>IFERROR(MAX(0,MIN(100,(K12-50000)/(110000-50000)*100)),0)</x:f>
        <x:v>46.759166666666665</x:v>
      </x:c>
      <x:c r="S12" s="27" t="n">
        <x:f>IFERROR(MAX(0,MIN(100,L12/0.6*100)),0)</x:f>
        <x:v>48.520537144400976</x:v>
      </x:c>
      <x:c r="T12" s="27" t="n">
        <x:f>IFERROR(MAX(0,MIN(100,M12/15000*100)),0)</x:f>
        <x:v>37.193333333333335</x:v>
      </x:c>
      <x:c r="U12" s="27" t="n">
        <x:f>IFERROR(0.45*R12+0.4*S12+0.15*T12,0)</x:f>
        <x:v>46.028839857760396</x:v>
      </x:c>
      <x:c r="V12" s="27" t="n">
        <x:f>IFERROR(0.4*MAX(0,MIN(100,(((J12/12)/O12)-2)/(4-2)*100))+0.35*MAX(0,MIN(100,(8-(N12/K12))/(8-3)*100))+0.25*AB12,0)</x:f>
        <x:v>34.42698919789814</x:v>
      </x:c>
      <x:c r="W12" s="27" t="n">
        <x:f>IFERROR(MAX(0,MIN(100,(25-P12)/(25-12)*100)),0)</x:f>
        <x:v>76.92307692307693</x:v>
      </x:c>
      <x:c r="X12" s="27" t="n">
        <x:f>IFERROR(MAX(0,MIN(100,(AD12-1)/(3-1)*100))*IF(OR($A12="North Clackamas School District",$A12="Provo City School District"),0.6,1),0)</x:f>
        <x:v>43.209999999999994</x:v>
      </x:c>
      <x:c r="Y12" s="27" t="n">
        <x:f>IFERROR(MAX(0,MIN(100,(1-((IFERROR(INDEX('School District Profiles'!$D$2:$D$58,MATCH($A12,'School District Profiles'!$A$2:$A$58,0)),0)/100)^2+(IFERROR(INDEX('School District Profiles'!$E$2:$E$58,MATCH($A12,'School District Profiles'!$A$2:$A$58,0)),0)/100)^2+(IFERROR(INDEX('School District Profiles'!$F$2:$F$58,MATCH($A12,'School District Profiles'!$A$2:$A$58,0)),0)/100)^2+(IFERROR(INDEX('School District Profiles'!$G$2:$G$58,MATCH($A12,'School District Profiles'!$A$2:$A$58,0)),0)/100)^2+(AC12/100)^2))/0.8*100)),0)</x:f>
        <x:v>80.54999999999998</x:v>
      </x:c>
      <x:c r="Z12" s="27" t="n">
        <x:f>IFERROR(AF12*AG12,0)</x:f>
        <x:v>43.927146355303165</x:v>
      </x:c>
      <x:c r="AA12" s="27" t="n">
        <x:f>IFERROR(INDEX('Median Home and Rent Prices'!$F$2:$F$58,MATCH($A12,'Median Home and Rent Prices'!$A$2:$A$58,0)),0)</x:f>
        <x:v>367</x:v>
      </x:c>
      <x:c r="AB12" s="27" t="n">
        <x:f>IFERROR(MAX(0,MIN(100,(800-AA12)/(800-150)*100)),0)</x:f>
        <x:v>66.61538461538463</x:v>
      </x:c>
      <x:c r="AC12" s="26" t="n">
        <x:f>IFERROR(INDEX('School District Profiles'!$J$2:$J$58,MATCH($A12,'School District Profiles'!$A$2:$A$58,0)),0)</x:f>
        <x:v>7</x:v>
      </x:c>
      <x:c r="AD12" s="27" t="n">
        <x:f>IFERROR(Q12*20/O12,0)</x:f>
        <x:v>1.8641999999999999</x:v>
      </x:c>
      <x:c r="AE12" s="28" t="n">
        <x:f>IFERROR(IF(AG12&gt;=1,100,IF(AG12&gt;=0.95,75,IF(AG12&gt;=0.9,60,IF(AG12&gt;=0.85,40,IF(AG12&gt;=0.8,25,0))))),0)</x:f>
        <x:v>60</x:v>
      </x:c>
      <x:c r="AF12" s="28" t="n">
        <x:f>IFERROR(0.4*U12+0.3*V12+0.1*W12+0.1*X12+0.1*Y12,0)</x:f>
        <x:v>48.80794039478129</x:v>
      </x:c>
      <x:c r="AG12" s="28" t="n">
        <x:v>0.9</x:v>
      </x:c>
      <x:c r="AH12" s="10" t="inlineStr">
        <x:is>
          <x:t xml:space="preserve">10% employment-stability penalty due to central-office layoffs, declining enrollment pressure, and warnings about possible additional school closures.</x:t>
        </x:is>
      </x:c>
    </x:row>
    <x:row r="13" ht="26.75" customHeight="1">
      <x:c r="A13" s="24" t="inlineStr">
        <x:is>
          <x:t xml:space="preserve">Eanes ISD</x:t>
        </x:is>
      </x:c>
      <x:c r="B13" s="24" t="str">
        <x:f>IFERROR(INDEX('School District Profiles'!$B$2:$B$58,MATCH($A13,'School District Profiles'!$A$2:$A$58,0)),"")</x:f>
        <x:v>TX</x:v>
      </x:c>
      <x:c r="C13" s="24" t="str">
        <x:f>IFERROR(INDEX('School District Profiles'!$C$2:$C$58,MATCH($A13,'School District Profiles'!$A$2:$A$58,0)),"")</x:f>
        <x:v>Austin</x:v>
      </x:c>
      <x:c r="D13" s="25" t="n">
        <x:f>SUMIFS('Teacher Salary Data'!$E$2:$E$1277,'Teacher Salary Data'!$A$2:$A$1277,$A13,'Teacher Salary Data'!$C$2:$C$1277,"Bachelor's",'Teacher Salary Data'!$D$2:$D$1277,0)</x:f>
        <x:v>57000</x:v>
      </x:c>
      <x:c r="E13" s="25" t="n">
        <x:f>SUMIFS('Teacher Salary Data'!$E$2:$E$1277,'Teacher Salary Data'!$A$2:$A$1277,$A13,'Teacher Salary Data'!$C$2:$C$1277,"Bachelor's",'Teacher Salary Data'!$D$2:$D$1277,5)</x:f>
        <x:v>61926</x:v>
      </x:c>
      <x:c r="F13" s="25" t="n">
        <x:f>SUMIFS('Teacher Salary Data'!$E$2:$E$1277,'Teacher Salary Data'!$A$2:$A$1277,$A13,'Teacher Salary Data'!$C$2:$C$1277,"Bachelor's",'Teacher Salary Data'!$D$2:$D$1277,10)</x:f>
        <x:v>63247</x:v>
      </x:c>
      <x:c r="G13" s="22" t="n">
        <x:f>SUMIFS('Teacher Salary Data'!$E$2:$E$1277,'Teacher Salary Data'!$A$2:$A$1277,$A13,'Teacher Salary Data'!$C$2:$C$1277,"Master's",'Teacher Salary Data'!$D$2:$D$1277,0)</x:f>
        <x:v>59600</x:v>
      </x:c>
      <x:c r="H13" s="25" t="n">
        <x:f>SUMIFS('Teacher Salary Data'!$E$2:$E$1277,'Teacher Salary Data'!$A$2:$A$1277,$A13,'Teacher Salary Data'!$C$2:$C$1277,"Master's",'Teacher Salary Data'!$D$2:$D$1277,5)</x:f>
        <x:v>64526</x:v>
      </x:c>
      <x:c r="I13" s="25" t="n">
        <x:f>SUMIFS('Teacher Salary Data'!$E$2:$E$1277,'Teacher Salary Data'!$A$2:$A$1277,$A13,'Teacher Salary Data'!$C$2:$C$1277,"Master's",'Teacher Salary Data'!$D$2:$D$1277,10)</x:f>
        <x:v>65847</x:v>
      </x:c>
      <x:c r="J13" s="25" t="n">
        <x:f>AVERAGE(D13,G13)</x:f>
        <x:v>58300</x:v>
      </x:c>
      <x:c r="K13" s="25" t="n">
        <x:f>AVERAGE(F13,I13)</x:f>
        <x:v>64547</x:v>
      </x:c>
      <x:c r="L13" s="26" t="n">
        <x:f>IFERROR((K13-J13)/J13,0)</x:f>
        <x:v>0.10715265866209263</x:v>
      </x:c>
      <x:c r="M13" s="25" t="n">
        <x:f>G13-D13</x:f>
        <x:v>2600</x:v>
      </x:c>
      <x:c r="N13" s="25" t="n">
        <x:f>IFERROR(INDEX('Median Home and Rent Prices'!$D$2:$D$58,MATCH($A13,'Median Home and Rent Prices'!$A$2:$A$58,0)),0)</x:f>
        <x:v>1724921</x:v>
      </x:c>
      <x:c r="O13" s="25" t="n">
        <x:f>IFERROR(INDEX('Median Home and Rent Prices'!$E$2:$E$58,MATCH($A13,'Median Home and Rent Prices'!$A$2:$A$58,0)),0)</x:f>
        <x:v>3900</x:v>
      </x:c>
      <x:c r="P13" s="92" t="n">
        <x:f>IFERROR(INDEX('School District Profiles'!$H$2:$H$58,MATCH($A13,'School District Profiles'!$A$2:$A$58,0)),0)</x:f>
        <x:v>12.28</x:v>
      </x:c>
      <x:c r="Q13" s="25" t="n">
        <x:f>IFERROR(INDEX('School District Profiles'!$I$2:$I$58,MATCH($A13,'School District Profiles'!$A$2:$A$58,0)),0)</x:f>
        <x:v>130</x:v>
      </x:c>
      <x:c r="R13" s="27" t="n">
        <x:f>IFERROR(MAX(0,MIN(100,(K13-50000)/(110000-50000)*100)),0)</x:f>
        <x:v>24.245</x:v>
      </x:c>
      <x:c r="S13" s="27" t="n">
        <x:f>IFERROR(MAX(0,MIN(100,L13/0.6*100)),0)</x:f>
        <x:v>17.858776443682107</x:v>
      </x:c>
      <x:c r="T13" s="27" t="n">
        <x:f>IFERROR(MAX(0,MIN(100,M13/15000*100)),0)</x:f>
        <x:v>17.333333333333336</x:v>
      </x:c>
      <x:c r="U13" s="27" t="n">
        <x:f>IFERROR(0.45*R13+0.4*S13+0.15*T13,0)</x:f>
        <x:v>20.653760577472845</x:v>
      </x:c>
      <x:c r="V13" s="27" t="n">
        <x:f>IFERROR(0.4*MAX(0,MIN(100,(((J13/12)/O13)-2)/(4-2)*100))+0.35*MAX(0,MIN(100,(8-(N13/K13))/(8-3)*100))+0.25*AB13,0)</x:f>
        <x:v>9.307692307692307</x:v>
      </x:c>
      <x:c r="W13" s="27" t="n">
        <x:f>IFERROR(MAX(0,MIN(100,(25-P13)/(25-12)*100)),0)</x:f>
        <x:v>97.84615384615385</x:v>
      </x:c>
      <x:c r="X13" s="27" t="n">
        <x:f>IFERROR(MAX(0,MIN(100,(AD13-1)/(3-1)*100))*IF(OR($A13="North Clackamas School District",$A13="Provo City School District"),0.6,1),0)</x:f>
        <x:v>0</x:v>
      </x:c>
      <x:c r="Y13" s="27" t="n">
        <x:f>IFERROR(MAX(0,MIN(100,(1-((IFERROR(INDEX('School District Profiles'!$D$2:$D$58,MATCH($A13,'School District Profiles'!$A$2:$A$58,0)),0)/100)^2+(IFERROR(INDEX('School District Profiles'!$E$2:$E$58,MATCH($A13,'School District Profiles'!$A$2:$A$58,0)),0)/100)^2+(IFERROR(INDEX('School District Profiles'!$F$2:$F$58,MATCH($A13,'School District Profiles'!$A$2:$A$58,0)),0)/100)^2+(IFERROR(INDEX('School District Profiles'!$G$2:$G$58,MATCH($A13,'School District Profiles'!$A$2:$A$58,0)),0)/100)^2+(AC13/100)^2))/0.8*100)),0)</x:f>
        <x:v>70.66174999999998</x:v>
      </x:c>
      <x:c r="Z13" s="27" t="n">
        <x:f>IFERROR(AF13*AG13,0)</x:f>
        <x:v>25.114142077120988</x:v>
      </x:c>
      <x:c r="AA13" s="27" t="n">
        <x:f>IFERROR(INDEX('Median Home and Rent Prices'!$F$2:$F$58,MATCH($A13,'Median Home and Rent Prices'!$A$2:$A$58,0)),0)</x:f>
        <x:v>558</x:v>
      </x:c>
      <x:c r="AB13" s="27" t="n">
        <x:f>IFERROR(MAX(0,MIN(100,(800-AA13)/(800-150)*100)),0)</x:f>
        <x:v>37.230769230769226</x:v>
      </x:c>
      <x:c r="AC13" s="26" t="n">
        <x:f>IFERROR(INDEX('School District Profiles'!$J$2:$J$58,MATCH($A13,'School District Profiles'!$A$2:$A$58,0)),0)</x:f>
        <x:v>6.999999999999986</x:v>
      </x:c>
      <x:c r="AD13" s="27" t="n">
        <x:f>IFERROR(Q13*20/O13,0)</x:f>
        <x:v>0.6666666666666666</x:v>
      </x:c>
      <x:c r="AE13" s="28" t="n">
        <x:f>IFERROR(IF(AG13&gt;=1,100,IF(AG13&gt;=0.95,75,IF(AG13&gt;=0.9,60,IF(AG13&gt;=0.85,40,IF(AG13&gt;=0.8,25,0))))),0)</x:f>
        <x:v>60</x:v>
      </x:c>
      <x:c r="AF13" s="28" t="n">
        <x:f>IFERROR(0.4*U13+0.3*V13+0.1*W13+0.1*X13+0.1*Y13,0)</x:f>
        <x:v>27.90460230791221</x:v>
      </x:c>
      <x:c r="AG13" s="28" t="n">
        <x:v>0.9</x:v>
      </x:c>
      <x:c r="AH13" s="10" t="inlineStr">
        <x:is>
          <x:t xml:space="preserve">10% employment-stability penalty due to shortfall concerns, consolidation/closure actions, and cost-saving measures; recent cuts may partially stabilize the outlook.</x:t>
        </x:is>
      </x:c>
    </x:row>
    <x:row r="14" ht="26.75" customHeight="1">
      <x:c r="A14" s="24" t="inlineStr">
        <x:is>
          <x:t xml:space="preserve">Flagstaff Unified School District</x:t>
        </x:is>
      </x:c>
      <x:c r="B14" s="24" t="str">
        <x:f>IFERROR(INDEX('School District Profiles'!$B$2:$B$58,MATCH($A14,'School District Profiles'!$A$2:$A$58,0)),"")</x:f>
        <x:v>AZ</x:v>
      </x:c>
      <x:c r="C14" s="24" t="str">
        <x:f>IFERROR(INDEX('School District Profiles'!$C$2:$C$58,MATCH($A14,'School District Profiles'!$A$2:$A$58,0)),"")</x:f>
        <x:v>Flagstaff</x:v>
      </x:c>
      <x:c r="D14" s="25" t="n">
        <x:f>SUMIFS('Teacher Salary Data'!$E$2:$E$1277,'Teacher Salary Data'!$A$2:$A$1277,$A14,'Teacher Salary Data'!$C$2:$C$1277,"Bachelor's",'Teacher Salary Data'!$D$2:$D$1277,0)</x:f>
        <x:v>50910</x:v>
      </x:c>
      <x:c r="E14" s="25" t="n">
        <x:f>SUMIFS('Teacher Salary Data'!$E$2:$E$1277,'Teacher Salary Data'!$A$2:$A$1277,$A14,'Teacher Salary Data'!$C$2:$C$1277,"Bachelor's",'Teacher Salary Data'!$D$2:$D$1277,5)</x:f>
        <x:v>54098</x:v>
      </x:c>
      <x:c r="F14" s="25" t="n">
        <x:f>SUMIFS('Teacher Salary Data'!$E$2:$E$1277,'Teacher Salary Data'!$A$2:$A$1277,$A14,'Teacher Salary Data'!$C$2:$C$1277,"Bachelor's",'Teacher Salary Data'!$D$2:$D$1277,10)</x:f>
        <x:v>57285</x:v>
      </x:c>
      <x:c r="G14" s="22" t="n">
        <x:f>SUMIFS('Teacher Salary Data'!$E$2:$E$1277,'Teacher Salary Data'!$A$2:$A$1277,$A14,'Teacher Salary Data'!$C$2:$C$1277,"Master's",'Teacher Salary Data'!$D$2:$D$1277,0)</x:f>
        <x:v>50910</x:v>
      </x:c>
      <x:c r="H14" s="25" t="n">
        <x:f>SUMIFS('Teacher Salary Data'!$E$2:$E$1277,'Teacher Salary Data'!$A$2:$A$1277,$A14,'Teacher Salary Data'!$C$2:$C$1277,"Master's",'Teacher Salary Data'!$D$2:$D$1277,5)</x:f>
        <x:v>54098</x:v>
      </x:c>
      <x:c r="I14" s="25" t="n">
        <x:f>SUMIFS('Teacher Salary Data'!$E$2:$E$1277,'Teacher Salary Data'!$A$2:$A$1277,$A14,'Teacher Salary Data'!$C$2:$C$1277,"Master's",'Teacher Salary Data'!$D$2:$D$1277,10)</x:f>
        <x:v>57285</x:v>
      </x:c>
      <x:c r="J14" s="25" t="n">
        <x:f>AVERAGE(D14,G14)</x:f>
        <x:v>50910</x:v>
      </x:c>
      <x:c r="K14" s="25" t="n">
        <x:f>AVERAGE(F14,I14)</x:f>
        <x:v>57285</x:v>
      </x:c>
      <x:c r="L14" s="26" t="n">
        <x:f>IFERROR((K14-J14)/J14,0)</x:f>
        <x:v>0.1252209781968179</x:v>
      </x:c>
      <x:c r="M14" s="25" t="n">
        <x:f>G14-D14</x:f>
        <x:v>0</x:v>
      </x:c>
      <x:c r="N14" s="25" t="n">
        <x:f>IFERROR(INDEX('Median Home and Rent Prices'!$D$2:$D$58,MATCH($A14,'Median Home and Rent Prices'!$A$2:$A$58,0)),0)</x:f>
        <x:v>710000</x:v>
      </x:c>
      <x:c r="O14" s="25" t="n">
        <x:f>IFERROR(INDEX('Median Home and Rent Prices'!$E$2:$E$58,MATCH($A14,'Median Home and Rent Prices'!$A$2:$A$58,0)),0)</x:f>
        <x:v>2300</x:v>
      </x:c>
      <x:c r="P14" s="92" t="n">
        <x:f>IFERROR(INDEX('School District Profiles'!$H$2:$H$58,MATCH($A14,'School District Profiles'!$A$2:$A$58,0)),0)</x:f>
        <x:v>15.68</x:v>
      </x:c>
      <x:c r="Q14" s="25" t="n">
        <x:f>IFERROR(INDEX('School District Profiles'!$I$2:$I$58,MATCH($A14,'School District Profiles'!$A$2:$A$58,0)),0)</x:f>
        <x:v>140</x:v>
      </x:c>
      <x:c r="R14" s="27" t="n">
        <x:f>IFERROR(MAX(0,MIN(100,(K14-50000)/(110000-50000)*100)),0)</x:f>
        <x:v>12.141666666666667</x:v>
      </x:c>
      <x:c r="S14" s="27" t="n">
        <x:f>IFERROR(MAX(0,MIN(100,L14/0.6*100)),0)</x:f>
        <x:v>20.870163032802985</x:v>
      </x:c>
      <x:c r="T14" s="27" t="n">
        <x:f>IFERROR(MAX(0,MIN(100,M14/15000*100)),0)</x:f>
        <x:v>0</x:v>
      </x:c>
      <x:c r="U14" s="27" t="n">
        <x:f>IFERROR(0.45*R14+0.4*S14+0.15*T14,0)</x:f>
        <x:v>13.811815213121193</x:v>
      </x:c>
      <x:c r="V14" s="27" t="n">
        <x:f>IFERROR(0.4*MAX(0,MIN(100,(((J14/12)/O14)-2)/(4-2)*100))+0.35*MAX(0,MIN(100,(8-(N14/K14))/(8-3)*100))+0.25*AB14,0)</x:f>
        <x:v>16.615384615384617</x:v>
      </x:c>
      <x:c r="W14" s="27" t="n">
        <x:f>IFERROR(MAX(0,MIN(100,(25-P14)/(25-12)*100)),0)</x:f>
        <x:v>71.6923076923077</x:v>
      </x:c>
      <x:c r="X14" s="27" t="n">
        <x:f>IFERROR(MAX(0,MIN(100,(AD14-1)/(3-1)*100))*IF(OR($A14="North Clackamas School District",$A14="Provo City School District"),0.6,1),0)</x:f>
        <x:v>10.869565217391308</x:v>
      </x:c>
      <x:c r="Y14" s="27" t="n">
        <x:f>IFERROR(MAX(0,MIN(100,(1-((IFERROR(INDEX('School District Profiles'!$D$2:$D$58,MATCH($A14,'School District Profiles'!$A$2:$A$58,0)),0)/100)^2+(IFERROR(INDEX('School District Profiles'!$E$2:$E$58,MATCH($A14,'School District Profiles'!$A$2:$A$58,0)),0)/100)^2+(IFERROR(INDEX('School District Profiles'!$F$2:$F$58,MATCH($A14,'School District Profiles'!$A$2:$A$58,0)),0)/100)^2+(IFERROR(INDEX('School District Profiles'!$G$2:$G$58,MATCH($A14,'School District Profiles'!$A$2:$A$58,0)),0)/100)^2+(AC14/100)^2))/0.8*100)),0)</x:f>
        <x:v>83.65724999999998</x:v>
      </x:c>
      <x:c r="Z14" s="27" t="n">
        <x:f>IFERROR(AF14*AG14,0)</x:f>
        <x:v>24.418128384750382</x:v>
      </x:c>
      <x:c r="AA14" s="27" t="n">
        <x:f>IFERROR(INDEX('Median Home and Rent Prices'!$F$2:$F$58,MATCH($A14,'Median Home and Rent Prices'!$A$2:$A$58,0)),0)</x:f>
        <x:v>368</x:v>
      </x:c>
      <x:c r="AB14" s="27" t="n">
        <x:f>IFERROR(MAX(0,MIN(100,(800-AA14)/(800-150)*100)),0)</x:f>
        <x:v>66.46153846153847</x:v>
      </x:c>
      <x:c r="AC14" s="26" t="n">
        <x:f>IFERROR(INDEX('School District Profiles'!$J$2:$J$58,MATCH($A14,'School District Profiles'!$A$2:$A$58,0)),0)</x:f>
        <x:v>27.700000000000017</x:v>
      </x:c>
      <x:c r="AD14" s="27" t="n">
        <x:f>IFERROR(Q14*20/O14,0)</x:f>
        <x:v>1.2173913043478262</x:v>
      </x:c>
      <x:c r="AE14" s="28" t="n">
        <x:f>IFERROR(IF(AG14&gt;=1,100,IF(AG14&gt;=0.95,75,IF(AG14&gt;=0.9,60,IF(AG14&gt;=0.85,40,IF(AG14&gt;=0.8,25,0))))),0)</x:f>
        <x:v>60</x:v>
      </x:c>
      <x:c r="AF14" s="28" t="n">
        <x:f>IFERROR(0.4*U14+0.3*V14+0.1*W14+0.1*X14+0.1*Y14,0)</x:f>
        <x:v>27.131253760833758</x:v>
      </x:c>
      <x:c r="AG14" s="28" t="n">
        <x:v>0.9</x:v>
      </x:c>
      <x:c r="AH14" s="10" t="inlineStr">
        <x:is>
          <x:t xml:space="preserve">10% employment-stability penalty due to enrollment/funding stress, long-term financial-planning concerns, and override dependence.</x:t>
        </x:is>
      </x:c>
    </x:row>
    <x:row r="15" ht="26.75" customHeight="1">
      <x:c r="A15" s="24" t="inlineStr">
        <x:is>
          <x:t xml:space="preserve">Glendale Union High School District</x:t>
        </x:is>
      </x:c>
      <x:c r="B15" s="24" t="str">
        <x:f>IFERROR(INDEX('School District Profiles'!$B$2:$B$58,MATCH($A15,'School District Profiles'!$A$2:$A$58,0)),"")</x:f>
        <x:v>AZ</x:v>
      </x:c>
      <x:c r="C15" s="24" t="str">
        <x:f>IFERROR(INDEX('School District Profiles'!$C$2:$C$58,MATCH($A15,'School District Profiles'!$A$2:$A$58,0)),"")</x:f>
        <x:v>Phoenix Metro</x:v>
      </x:c>
      <x:c r="D15" s="25" t="n">
        <x:f>SUMIFS('Teacher Salary Data'!$E$2:$E$1277,'Teacher Salary Data'!$A$2:$A$1277,$A15,'Teacher Salary Data'!$C$2:$C$1277,"Bachelor's",'Teacher Salary Data'!$D$2:$D$1277,0)</x:f>
        <x:v>51326</x:v>
      </x:c>
      <x:c r="E15" s="25" t="n">
        <x:f>SUMIFS('Teacher Salary Data'!$E$2:$E$1277,'Teacher Salary Data'!$A$2:$A$1277,$A15,'Teacher Salary Data'!$C$2:$C$1277,"Bachelor's",'Teacher Salary Data'!$D$2:$D$1277,5)</x:f>
        <x:v>54376</x:v>
      </x:c>
      <x:c r="F15" s="25" t="n">
        <x:f>SUMIFS('Teacher Salary Data'!$E$2:$E$1277,'Teacher Salary Data'!$A$2:$A$1277,$A15,'Teacher Salary Data'!$C$2:$C$1277,"Bachelor's",'Teacher Salary Data'!$D$2:$D$1277,10)</x:f>
        <x:v>57764</x:v>
      </x:c>
      <x:c r="G15" s="22" t="n">
        <x:f>SUMIFS('Teacher Salary Data'!$E$2:$E$1277,'Teacher Salary Data'!$A$2:$A$1277,$A15,'Teacher Salary Data'!$C$2:$C$1277,"Master's",'Teacher Salary Data'!$D$2:$D$1277,0)</x:f>
        <x:v>54656</x:v>
      </x:c>
      <x:c r="H15" s="25" t="n">
        <x:f>SUMIFS('Teacher Salary Data'!$E$2:$E$1277,'Teacher Salary Data'!$A$2:$A$1277,$A15,'Teacher Salary Data'!$C$2:$C$1277,"Master's",'Teacher Salary Data'!$D$2:$D$1277,5)</x:f>
        <x:v>58610</x:v>
      </x:c>
      <x:c r="I15" s="25" t="n">
        <x:f>SUMIFS('Teacher Salary Data'!$E$2:$E$1277,'Teacher Salary Data'!$A$2:$A$1277,$A15,'Teacher Salary Data'!$C$2:$C$1277,"Master's",'Teacher Salary Data'!$D$2:$D$1277,10)</x:f>
        <x:v>63128</x:v>
      </x:c>
      <x:c r="J15" s="25" t="n">
        <x:f>AVERAGE(D15,G15)</x:f>
        <x:v>52991</x:v>
      </x:c>
      <x:c r="K15" s="25" t="n">
        <x:f>AVERAGE(F15,I15)</x:f>
        <x:v>60446</x:v>
      </x:c>
      <x:c r="L15" s="26" t="n">
        <x:f>IFERROR((K15-J15)/J15,0)</x:f>
        <x:v>0.14068426713970297</x:v>
      </x:c>
      <x:c r="M15" s="25" t="n">
        <x:f>G15-D15</x:f>
        <x:v>3330</x:v>
      </x:c>
      <x:c r="N15" s="25" t="n">
        <x:f>IFERROR(INDEX('Median Home and Rent Prices'!$D$2:$D$58,MATCH($A15,'Median Home and Rent Prices'!$A$2:$A$58,0)),0)</x:f>
        <x:v>408630</x:v>
      </x:c>
      <x:c r="O15" s="25" t="n">
        <x:f>IFERROR(INDEX('Median Home and Rent Prices'!$E$2:$E$58,MATCH($A15,'Median Home and Rent Prices'!$A$2:$A$58,0)),0)</x:f>
        <x:v>1987</x:v>
      </x:c>
      <x:c r="P15" s="92" t="n">
        <x:f>IFERROR(INDEX('School District Profiles'!$H$2:$H$58,MATCH($A15,'School District Profiles'!$A$2:$A$58,0)),0)</x:f>
        <x:v>22.24</x:v>
      </x:c>
      <x:c r="Q15" s="25" t="n">
        <x:f>IFERROR(INDEX('School District Profiles'!$I$2:$I$58,MATCH($A15,'School District Profiles'!$A$2:$A$58,0)),0)</x:f>
        <x:v>145</x:v>
      </x:c>
      <x:c r="R15" s="27" t="n">
        <x:f>IFERROR(MAX(0,MIN(100,(K15-50000)/(110000-50000)*100)),0)</x:f>
        <x:v>17.41</x:v>
      </x:c>
      <x:c r="S15" s="27" t="n">
        <x:f>IFERROR(MAX(0,MIN(100,L15/0.6*100)),0)</x:f>
        <x:v>23.447377856617162</x:v>
      </x:c>
      <x:c r="T15" s="27" t="n">
        <x:f>IFERROR(MAX(0,MIN(100,M15/15000*100)),0)</x:f>
        <x:v>22.2</x:v>
      </x:c>
      <x:c r="U15" s="27" t="n">
        <x:f>IFERROR(0.45*R15+0.4*S15+0.15*T15,0)</x:f>
        <x:v>20.543451142646866</x:v>
      </x:c>
      <x:c r="V15" s="27" t="n">
        <x:f>IFERROR(0.4*MAX(0,MIN(100,(((J15/12)/O15)-2)/(4-2)*100))+0.35*MAX(0,MIN(100,(8-(N15/K15))/(8-3)*100))+0.25*AB15,0)</x:f>
        <x:v>35.78018361530936</x:v>
      </x:c>
      <x:c r="W15" s="27" t="n">
        <x:f>IFERROR(MAX(0,MIN(100,(25-P15)/(25-12)*100)),0)</x:f>
        <x:v>21.23076923076924</x:v>
      </x:c>
      <x:c r="X15" s="27" t="n">
        <x:f>IFERROR(MAX(0,MIN(100,(AD15-1)/(3-1)*100))*IF(OR($A15="North Clackamas School District",$A15="Provo City School District"),0.6,1),0)</x:f>
        <x:v>22.974333165576244</x:v>
      </x:c>
      <x:c r="Y15" s="27" t="n">
        <x:f>IFERROR(MAX(0,MIN(100,(1-((IFERROR(INDEX('School District Profiles'!$D$2:$D$58,MATCH($A15,'School District Profiles'!$A$2:$A$58,0)),0)/100)^2+(IFERROR(INDEX('School District Profiles'!$E$2:$E$58,MATCH($A15,'School District Profiles'!$A$2:$A$58,0)),0)/100)^2+(IFERROR(INDEX('School District Profiles'!$F$2:$F$58,MATCH($A15,'School District Profiles'!$A$2:$A$58,0)),0)/100)^2+(IFERROR(INDEX('School District Profiles'!$G$2:$G$58,MATCH($A15,'School District Profiles'!$A$2:$A$58,0)),0)/100)^2+(AC15/100)^2))/0.8*100)),0)</x:f>
        <x:v>72.15325</x:v>
      </x:c>
      <x:c r="Z15" s="27" t="n">
        <x:f>IFERROR(AF15*AG15,0)</x:f>
        <x:v>29.057907242221795</x:v>
      </x:c>
      <x:c r="AA15" s="27" t="n">
        <x:f>IFERROR(INDEX('Median Home and Rent Prices'!$F$2:$F$58,MATCH($A15,'Median Home and Rent Prices'!$A$2:$A$58,0)),0)</x:f>
        <x:v>211</x:v>
      </x:c>
      <x:c r="AB15" s="27" t="n">
        <x:f>IFERROR(MAX(0,MIN(100,(800-AA15)/(800-150)*100)),0)</x:f>
        <x:v>90.61538461538461</x:v>
      </x:c>
      <x:c r="AC15" s="26" t="n">
        <x:f>IFERROR(INDEX('School District Profiles'!$J$2:$J$58,MATCH($A15,'School District Profiles'!$A$2:$A$58,0)),0)</x:f>
        <x:v>4.400000000000006</x:v>
      </x:c>
      <x:c r="AD15" s="27" t="n">
        <x:f>IFERROR(Q15*20/O15,0)</x:f>
        <x:v>1.4594866633115249</x:v>
      </x:c>
      <x:c r="AE15" s="28" t="n">
        <x:f>IFERROR(IF(AG15&gt;=1,100,IF(AG15&gt;=0.95,75,IF(AG15&gt;=0.9,60,IF(AG15&gt;=0.85,40,IF(AG15&gt;=0.8,25,0))))),0)</x:f>
        <x:v>75</x:v>
      </x:c>
      <x:c r="AF15" s="28" t="n">
        <x:f>IFERROR(0.4*U15+0.3*V15+0.1*W15+0.1*X15+0.1*Y15,0)</x:f>
        <x:v>30.5872707812861</x:v>
      </x:c>
      <x:c r="AG15" s="28" t="n">
        <x:v>0.95</x:v>
      </x:c>
      <x:c r="AH15" s="10" t="inlineStr">
        <x:is>
          <x:t xml:space="preserve">5% watchlist penalty because current layoff evidence is unclear; Arizona override/funding exposure should be monitored.</x:t>
        </x:is>
      </x:c>
    </x:row>
    <x:row r="16" ht="26.75" customHeight="1">
      <x:c r="A16" s="24" t="inlineStr">
        <x:is>
          <x:t xml:space="preserve">Glendora Unified School District</x:t>
        </x:is>
      </x:c>
      <x:c r="B16" s="24" t="str">
        <x:f>IFERROR(INDEX('School District Profiles'!$B$2:$B$58,MATCH($A16,'School District Profiles'!$A$2:$A$58,0)),"")</x:f>
        <x:v>CA</x:v>
      </x:c>
      <x:c r="C16" s="24" t="str">
        <x:f>IFERROR(INDEX('School District Profiles'!$C$2:$C$58,MATCH($A16,'School District Profiles'!$A$2:$A$58,0)),"")</x:f>
        <x:v>Southern California</x:v>
      </x:c>
      <x:c r="D16" s="25" t="n">
        <x:f>SUMIFS('Teacher Salary Data'!$E$2:$E$1277,'Teacher Salary Data'!$A$2:$A$1277,$A16,'Teacher Salary Data'!$C$2:$C$1277,"Bachelor's",'Teacher Salary Data'!$D$2:$D$1277,0)</x:f>
        <x:v>55384</x:v>
      </x:c>
      <x:c r="E16" s="25" t="n">
        <x:f>SUMIFS('Teacher Salary Data'!$E$2:$E$1277,'Teacher Salary Data'!$A$2:$A$1277,$A16,'Teacher Salary Data'!$C$2:$C$1277,"Bachelor's",'Teacher Salary Data'!$D$2:$D$1277,5)</x:f>
        <x:v>64186</x:v>
      </x:c>
      <x:c r="F16" s="25" t="n">
        <x:f>SUMIFS('Teacher Salary Data'!$E$2:$E$1277,'Teacher Salary Data'!$A$2:$A$1277,$A16,'Teacher Salary Data'!$C$2:$C$1277,"Bachelor's",'Teacher Salary Data'!$D$2:$D$1277,10)</x:f>
        <x:v>70809</x:v>
      </x:c>
      <x:c r="G16" s="22" t="n">
        <x:f>SUMIFS('Teacher Salary Data'!$E$2:$E$1277,'Teacher Salary Data'!$A$2:$A$1277,$A16,'Teacher Salary Data'!$C$2:$C$1277,"Master's",'Teacher Salary Data'!$D$2:$D$1277,0)</x:f>
        <x:v>66948</x:v>
      </x:c>
      <x:c r="H16" s="25" t="n">
        <x:f>SUMIFS('Teacher Salary Data'!$E$2:$E$1277,'Teacher Salary Data'!$A$2:$A$1277,$A16,'Teacher Salary Data'!$C$2:$C$1277,"Master's",'Teacher Salary Data'!$D$2:$D$1277,5)</x:f>
        <x:v>77411</x:v>
      </x:c>
      <x:c r="I16" s="25" t="n">
        <x:f>SUMIFS('Teacher Salary Data'!$E$2:$E$1277,'Teacher Salary Data'!$A$2:$A$1277,$A16,'Teacher Salary Data'!$C$2:$C$1277,"Master's",'Teacher Salary Data'!$D$2:$D$1277,10)</x:f>
        <x:v>95038</x:v>
      </x:c>
      <x:c r="J16" s="25" t="n">
        <x:f>AVERAGE(D16,G16)</x:f>
        <x:v>61166</x:v>
      </x:c>
      <x:c r="K16" s="25" t="n">
        <x:f>AVERAGE(F16,I16)</x:f>
        <x:v>82923.5</x:v>
      </x:c>
      <x:c r="L16" s="26" t="n">
        <x:f>IFERROR((K16-J16)/J16,0)</x:f>
        <x:v>0.35571232384004187</x:v>
      </x:c>
      <x:c r="M16" s="25" t="n">
        <x:f>G16-D16</x:f>
        <x:v>11564</x:v>
      </x:c>
      <x:c r="N16" s="25" t="n">
        <x:f>IFERROR(INDEX('Median Home and Rent Prices'!$D$2:$D$58,MATCH($A16,'Median Home and Rent Prices'!$A$2:$A$58,0)),0)</x:f>
        <x:v>900000</x:v>
      </x:c>
      <x:c r="O16" s="25" t="n">
        <x:f>IFERROR(INDEX('Median Home and Rent Prices'!$E$2:$E$58,MATCH($A16,'Median Home and Rent Prices'!$A$2:$A$58,0)),0)</x:f>
        <x:v>2700</x:v>
      </x:c>
      <x:c r="P16" s="92" t="n">
        <x:f>IFERROR(INDEX('School District Profiles'!$H$2:$H$58,MATCH($A16,'School District Profiles'!$A$2:$A$58,0)),0)</x:f>
        <x:v>24</x:v>
      </x:c>
      <x:c r="Q16" s="25" t="n">
        <x:f>IFERROR(INDEX('School District Profiles'!$I$2:$I$58,MATCH($A16,'School District Profiles'!$A$2:$A$58,0)),0)</x:f>
        <x:v>200</x:v>
      </x:c>
      <x:c r="R16" s="27" t="n">
        <x:f>IFERROR(MAX(0,MIN(100,(K16-50000)/(110000-50000)*100)),0)</x:f>
        <x:v>54.8725</x:v>
      </x:c>
      <x:c r="S16" s="27" t="n">
        <x:f>IFERROR(MAX(0,MIN(100,L16/0.6*100)),0)</x:f>
        <x:v>59.28538730667364</x:v>
      </x:c>
      <x:c r="T16" s="27" t="n">
        <x:f>IFERROR(MAX(0,MIN(100,M16/15000*100)),0)</x:f>
        <x:v>77.09333333333333</x:v>
      </x:c>
      <x:c r="U16" s="27" t="n">
        <x:f>IFERROR(0.45*R16+0.4*S16+0.15*T16,0)</x:f>
        <x:v>59.97077992266946</x:v>
      </x:c>
      <x:c r="V16" s="27" t="n">
        <x:f>IFERROR(0.4*MAX(0,MIN(100,(((J16/12)/O16)-2)/(4-2)*100))+0.35*MAX(0,MIN(100,(8-(N16/K16))/(8-3)*100))+0.25*AB16,0)</x:f>
        <x:v>8.346153846153847</x:v>
      </x:c>
      <x:c r="W16" s="27" t="n">
        <x:f>IFERROR(MAX(0,MIN(100,(25-P16)/(25-12)*100)),0)</x:f>
        <x:v>7.6923076923076925</x:v>
      </x:c>
      <x:c r="X16" s="27" t="n">
        <x:f>IFERROR(MAX(0,MIN(100,(AD16-1)/(3-1)*100))*IF(OR($A16="North Clackamas School District",$A16="Provo City School District"),0.6,1),0)</x:f>
        <x:v>24.07407407407407</x:v>
      </x:c>
      <x:c r="Y16" s="27" t="n">
        <x:f>IFERROR(MAX(0,MIN(100,(1-((IFERROR(INDEX('School District Profiles'!$D$2:$D$58,MATCH($A16,'School District Profiles'!$A$2:$A$58,0)),0)/100)^2+(IFERROR(INDEX('School District Profiles'!$E$2:$E$58,MATCH($A16,'School District Profiles'!$A$2:$A$58,0)),0)/100)^2+(IFERROR(INDEX('School District Profiles'!$F$2:$F$58,MATCH($A16,'School District Profiles'!$A$2:$A$58,0)),0)/100)^2+(IFERROR(INDEX('School District Profiles'!$G$2:$G$58,MATCH($A16,'School District Profiles'!$A$2:$A$58,0)),0)/100)^2+(AC16/100)^2))/0.8*100)),0)</x:f>
        <x:v>81.74999999999999</x:v>
      </x:c>
      <x:c r="Z16" s="27" t="n">
        <x:f>IFERROR(AF16*AG16,0)</x:f>
        <x:v>35.95160648457451</x:v>
      </x:c>
      <x:c r="AA16" s="27" t="n">
        <x:f>IFERROR(INDEX('Median Home and Rent Prices'!$F$2:$F$58,MATCH($A16,'Median Home and Rent Prices'!$A$2:$A$58,0)),0)</x:f>
        <x:v>583</x:v>
      </x:c>
      <x:c r="AB16" s="27" t="n">
        <x:f>IFERROR(MAX(0,MIN(100,(800-AA16)/(800-150)*100)),0)</x:f>
        <x:v>33.38461538461539</x:v>
      </x:c>
      <x:c r="AC16" s="26" t="n">
        <x:f>IFERROR(INDEX('School District Profiles'!$J$2:$J$58,MATCH($A16,'School District Profiles'!$A$2:$A$58,0)),0)</x:f>
        <x:v>7</x:v>
      </x:c>
      <x:c r="AD16" s="27" t="n">
        <x:f>IFERROR(Q16*20/O16,0)</x:f>
        <x:v>1.4814814814814814</x:v>
      </x:c>
      <x:c r="AE16" s="28" t="n">
        <x:f>IFERROR(IF(AG16&gt;=1,100,IF(AG16&gt;=0.95,75,IF(AG16&gt;=0.9,60,IF(AG16&gt;=0.85,40,IF(AG16&gt;=0.8,25,0))))),0)</x:f>
        <x:v>75</x:v>
      </x:c>
      <x:c r="AF16" s="28" t="n">
        <x:f>IFERROR(0.4*U16+0.3*V16+0.1*W16+0.1*X16+0.1*Y16,0)</x:f>
        <x:v>37.84379629955212</x:v>
      </x:c>
      <x:c r="AG16" s="28" t="n">
        <x:v>0.95</x:v>
      </x:c>
      <x:c r="AH16" s="10" t="inlineStr">
        <x:is>
          <x:t xml:space="preserve">5% watchlist penalty because current layoff evidence is unclear; needs official budget/interim report verification.</x:t>
        </x:is>
      </x:c>
    </x:row>
    <x:row r="17" ht="26.75" customHeight="1">
      <x:c r="A17" s="24" t="inlineStr">
        <x:is>
          <x:t xml:space="preserve">Gwinnett County Public Schools</x:t>
        </x:is>
      </x:c>
      <x:c r="B17" s="24" t="str">
        <x:f>IFERROR(INDEX('School District Profiles'!$B$2:$B$58,MATCH($A17,'School District Profiles'!$A$2:$A$58,0)),"")</x:f>
        <x:v>GA</x:v>
      </x:c>
      <x:c r="C17" s="24" t="str">
        <x:f>IFERROR(INDEX('School District Profiles'!$C$2:$C$58,MATCH($A17,'School District Profiles'!$A$2:$A$58,0)),"")</x:f>
        <x:v>Atlanta</x:v>
      </x:c>
      <x:c r="D17" s="25" t="n">
        <x:f>SUMIFS('Teacher Salary Data'!$E$2:$E$1277,'Teacher Salary Data'!$A$2:$A$1277,$A17,'Teacher Salary Data'!$C$2:$C$1277,"Bachelor's",'Teacher Salary Data'!$D$2:$D$1277,0)</x:f>
        <x:v>60146</x:v>
      </x:c>
      <x:c r="E17" s="25" t="n">
        <x:f>SUMIFS('Teacher Salary Data'!$E$2:$E$1277,'Teacher Salary Data'!$A$2:$A$1277,$A17,'Teacher Salary Data'!$C$2:$C$1277,"Bachelor's",'Teacher Salary Data'!$D$2:$D$1277,5)</x:f>
        <x:v>62720</x:v>
      </x:c>
      <x:c r="F17" s="25" t="n">
        <x:f>SUMIFS('Teacher Salary Data'!$E$2:$E$1277,'Teacher Salary Data'!$A$2:$A$1277,$A17,'Teacher Salary Data'!$C$2:$C$1277,"Bachelor's",'Teacher Salary Data'!$D$2:$D$1277,10)</x:f>
        <x:v>67010</x:v>
      </x:c>
      <x:c r="G17" s="22" t="n">
        <x:f>SUMIFS('Teacher Salary Data'!$E$2:$E$1277,'Teacher Salary Data'!$A$2:$A$1277,$A17,'Teacher Salary Data'!$C$2:$C$1277,"Master's",'Teacher Salary Data'!$D$2:$D$1277,0)</x:f>
        <x:v>65276</x:v>
      </x:c>
      <x:c r="H17" s="25" t="n">
        <x:f>SUMIFS('Teacher Salary Data'!$E$2:$E$1277,'Teacher Salary Data'!$A$2:$A$1277,$A17,'Teacher Salary Data'!$C$2:$C$1277,"Master's",'Teacher Salary Data'!$D$2:$D$1277,5)</x:f>
        <x:v>68348</x:v>
      </x:c>
      <x:c r="I17" s="25" t="n">
        <x:f>SUMIFS('Teacher Salary Data'!$E$2:$E$1277,'Teacher Salary Data'!$A$2:$A$1277,$A17,'Teacher Salary Data'!$C$2:$C$1277,"Master's",'Teacher Salary Data'!$D$2:$D$1277,10)</x:f>
        <x:v>73468</x:v>
      </x:c>
      <x:c r="J17" s="25" t="n">
        <x:f>AVERAGE(D17,G17)</x:f>
        <x:v>62711</x:v>
      </x:c>
      <x:c r="K17" s="25" t="n">
        <x:f>AVERAGE(F17,I17)</x:f>
        <x:v>70239</x:v>
      </x:c>
      <x:c r="L17" s="26" t="n">
        <x:f>IFERROR((K17-J17)/J17,0)</x:f>
        <x:v>0.12004273572419512</x:v>
      </x:c>
      <x:c r="M17" s="25" t="n">
        <x:f>G17-D17</x:f>
        <x:v>5130</x:v>
      </x:c>
      <x:c r="N17" s="25" t="n">
        <x:f>IFERROR(INDEX('Median Home and Rent Prices'!$D$2:$D$58,MATCH($A17,'Median Home and Rent Prices'!$A$2:$A$58,0)),0)</x:f>
        <x:v>365000</x:v>
      </x:c>
      <x:c r="O17" s="25" t="n">
        <x:f>IFERROR(INDEX('Median Home and Rent Prices'!$E$2:$E$58,MATCH($A17,'Median Home and Rent Prices'!$A$2:$A$58,0)),0)</x:f>
        <x:v>1718</x:v>
      </x:c>
      <x:c r="P17" s="92" t="n">
        <x:f>IFERROR(INDEX('School District Profiles'!$H$2:$H$58,MATCH($A17,'School District Profiles'!$A$2:$A$58,0)),0)</x:f>
        <x:v>14.26</x:v>
      </x:c>
      <x:c r="Q17" s="25" t="n">
        <x:f>IFERROR(INDEX('School District Profiles'!$I$2:$I$58,MATCH($A17,'School District Profiles'!$A$2:$A$58,0)),0)</x:f>
        <x:v>130</x:v>
      </x:c>
      <x:c r="R17" s="27" t="n">
        <x:f>IFERROR(MAX(0,MIN(100,(K17-50000)/(110000-50000)*100)),0)</x:f>
        <x:v>33.73166666666666</x:v>
      </x:c>
      <x:c r="S17" s="27" t="n">
        <x:f>IFERROR(MAX(0,MIN(100,L17/0.6*100)),0)</x:f>
        <x:v>20.007122620699185</x:v>
      </x:c>
      <x:c r="T17" s="27" t="n">
        <x:f>IFERROR(MAX(0,MIN(100,M17/15000*100)),0)</x:f>
        <x:v>34.2</x:v>
      </x:c>
      <x:c r="U17" s="27" t="n">
        <x:f>IFERROR(0.45*R17+0.4*S17+0.15*T17,0)</x:f>
        <x:v>28.312099048279673</x:v>
      </x:c>
      <x:c r="V17" s="27" t="n">
        <x:f>IFERROR(0.4*MAX(0,MIN(100,(((J17/12)/O17)-2)/(4-2)*100))+0.35*MAX(0,MIN(100,(8-(N17/K17))/(8-3)*100))+0.25*AB17,0)</x:f>
        <x:v>64.88448812081008</x:v>
      </x:c>
      <x:c r="W17" s="27" t="n">
        <x:f>IFERROR(MAX(0,MIN(100,(25-P17)/(25-12)*100)),0)</x:f>
        <x:v>82.61538461538461</x:v>
      </x:c>
      <x:c r="X17" s="27" t="n">
        <x:f>IFERROR(MAX(0,MIN(100,(AD17-1)/(3-1)*100))*IF(OR($A17="North Clackamas School District",$A17="Provo City School District"),0.6,1),0)</x:f>
        <x:v>25.66938300349243</x:v>
      </x:c>
      <x:c r="Y17" s="27" t="n">
        <x:f>IFERROR(MAX(0,MIN(100,(1-((IFERROR(INDEX('School District Profiles'!$D$2:$D$58,MATCH($A17,'School District Profiles'!$A$2:$A$58,0)),0)/100)^2+(IFERROR(INDEX('School District Profiles'!$E$2:$E$58,MATCH($A17,'School District Profiles'!$A$2:$A$58,0)),0)/100)^2+(IFERROR(INDEX('School District Profiles'!$F$2:$F$58,MATCH($A17,'School District Profiles'!$A$2:$A$58,0)),0)/100)^2+(IFERROR(INDEX('School District Profiles'!$G$2:$G$58,MATCH($A17,'School District Profiles'!$A$2:$A$58,0)),0)/100)^2+(AC17/100)^2))/0.8*100)),0)</x:f>
        <x:v>91.09974999999999</x:v>
      </x:c>
      <x:c r="Z17" s="27" t="n">
        <x:f>IFERROR(AF17*AG17,0)</x:f>
        <x:v>50.728637817442596</x:v>
      </x:c>
      <x:c r="AA17" s="27" t="n">
        <x:f>IFERROR(INDEX('Median Home and Rent Prices'!$F$2:$F$58,MATCH($A17,'Median Home and Rent Prices'!$A$2:$A$58,0)),0)</x:f>
        <x:v>165</x:v>
      </x:c>
      <x:c r="AB17" s="27" t="n">
        <x:f>IFERROR(MAX(0,MIN(100,(800-AA17)/(800-150)*100)),0)</x:f>
        <x:v>97.6923076923077</x:v>
      </x:c>
      <x:c r="AC17" s="26" t="n">
        <x:f>IFERROR(INDEX('School District Profiles'!$J$2:$J$58,MATCH($A17,'School District Profiles'!$A$2:$A$58,0)),0)</x:f>
        <x:v>4.599999999999994</x:v>
      </x:c>
      <x:c r="AD17" s="27" t="n">
        <x:f>IFERROR(Q17*20/O17,0)</x:f>
        <x:v>1.5133876600698486</x:v>
      </x:c>
      <x:c r="AE17" s="28" t="n">
        <x:f>IFERROR(IF(AG17&gt;=1,100,IF(AG17&gt;=0.95,75,IF(AG17&gt;=0.9,60,IF(AG17&gt;=0.85,40,IF(AG17&gt;=0.8,25,0))))),0)</x:f>
        <x:v>100</x:v>
      </x:c>
      <x:c r="AF17" s="28" t="n">
        <x:f>IFERROR(0.4*U17+0.3*V17+0.1*W17+0.1*X17+0.1*Y17,0)</x:f>
        <x:v>50.728637817442596</x:v>
      </x:c>
      <x:c r="AG17" s="28" t="n">
        <x:v>1</x:v>
      </x:c>
      <x:c r="AH17" s="10" t="inlineStr">
        <x:is>
          <x:t xml:space="preserve">No penalty applied. Current public-source pass found no broad layoff/closure warning; GCPS is a very large district and its FY2026 budget materials include teacher salary increases/retention support rather than layoff signals.</x:t>
        </x:is>
      </x:c>
    </x:row>
    <x:row r="18" ht="26.75" customHeight="1">
      <x:c r="A18" s="24" t="inlineStr">
        <x:is>
          <x:t xml:space="preserve">Jordan District</x:t>
        </x:is>
      </x:c>
      <x:c r="B18" s="24" t="str">
        <x:f>IFERROR(INDEX('School District Profiles'!$B$2:$B$58,MATCH($A18,'School District Profiles'!$A$2:$A$58,0)),"")</x:f>
        <x:v>UT</x:v>
      </x:c>
      <x:c r="C18" s="24" t="str">
        <x:f>IFERROR(INDEX('School District Profiles'!$C$2:$C$58,MATCH($A18,'School District Profiles'!$A$2:$A$58,0)),"")</x:f>
        <x:v>Salt Lake Valley</x:v>
      </x:c>
      <x:c r="D18" s="25" t="n">
        <x:f>SUMIFS('Teacher Salary Data'!$E$2:$E$1277,'Teacher Salary Data'!$A$2:$A$1277,$A18,'Teacher Salary Data'!$C$2:$C$1277,"Bachelor's",'Teacher Salary Data'!$D$2:$D$1277,0)</x:f>
        <x:v>63900</x:v>
      </x:c>
      <x:c r="E18" s="25" t="n">
        <x:f>SUMIFS('Teacher Salary Data'!$E$2:$E$1277,'Teacher Salary Data'!$A$2:$A$1277,$A18,'Teacher Salary Data'!$C$2:$C$1277,"Bachelor's",'Teacher Salary Data'!$D$2:$D$1277,5)</x:f>
        <x:v>67500</x:v>
      </x:c>
      <x:c r="F18" s="25" t="n">
        <x:f>SUMIFS('Teacher Salary Data'!$E$2:$E$1277,'Teacher Salary Data'!$A$2:$A$1277,$A18,'Teacher Salary Data'!$C$2:$C$1277,"Bachelor's",'Teacher Salary Data'!$D$2:$D$1277,10)</x:f>
        <x:v>72000</x:v>
      </x:c>
      <x:c r="G18" s="22" t="n">
        <x:f>SUMIFS('Teacher Salary Data'!$E$2:$E$1277,'Teacher Salary Data'!$A$2:$A$1277,$A18,'Teacher Salary Data'!$C$2:$C$1277,"Master's",'Teacher Salary Data'!$D$2:$D$1277,0)</x:f>
        <x:v>68400</x:v>
      </x:c>
      <x:c r="H18" s="25" t="n">
        <x:f>SUMIFS('Teacher Salary Data'!$E$2:$E$1277,'Teacher Salary Data'!$A$2:$A$1277,$A18,'Teacher Salary Data'!$C$2:$C$1277,"Master's",'Teacher Salary Data'!$D$2:$D$1277,5)</x:f>
        <x:v>72000</x:v>
      </x:c>
      <x:c r="I18" s="25" t="n">
        <x:f>SUMIFS('Teacher Salary Data'!$E$2:$E$1277,'Teacher Salary Data'!$A$2:$A$1277,$A18,'Teacher Salary Data'!$C$2:$C$1277,"Master's",'Teacher Salary Data'!$D$2:$D$1277,10)</x:f>
        <x:v>76500</x:v>
      </x:c>
      <x:c r="J18" s="25" t="n">
        <x:f>AVERAGE(D18,G18)</x:f>
        <x:v>66150</x:v>
      </x:c>
      <x:c r="K18" s="25" t="n">
        <x:f>AVERAGE(F18,I18)</x:f>
        <x:v>74250</x:v>
      </x:c>
      <x:c r="L18" s="26" t="n">
        <x:f>IFERROR((K18-J18)/J18,0)</x:f>
        <x:v>0.12244897959183673</x:v>
      </x:c>
      <x:c r="M18" s="25" t="n">
        <x:f>G18-D18</x:f>
        <x:v>4500</x:v>
      </x:c>
      <x:c r="N18" s="25" t="n">
        <x:f>IFERROR(INDEX('Median Home and Rent Prices'!$D$2:$D$58,MATCH($A18,'Median Home and Rent Prices'!$A$2:$A$58,0)),0)</x:f>
        <x:v>580000</x:v>
      </x:c>
      <x:c r="O18" s="25" t="n">
        <x:f>IFERROR(INDEX('Median Home and Rent Prices'!$E$2:$E$58,MATCH($A18,'Median Home and Rent Prices'!$A$2:$A$58,0)),0)</x:f>
        <x:v>1689</x:v>
      </x:c>
      <x:c r="P18" s="92" t="n">
        <x:f>IFERROR(INDEX('School District Profiles'!$H$2:$H$58,MATCH($A18,'School District Profiles'!$A$2:$A$58,0)),0)</x:f>
        <x:v>21</x:v>
      </x:c>
      <x:c r="Q18" s="25" t="n">
        <x:f>IFERROR(INDEX('School District Profiles'!$I$2:$I$58,MATCH($A18,'School District Profiles'!$A$2:$A$58,0)),0)</x:f>
        <x:v>199</x:v>
      </x:c>
      <x:c r="R18" s="27" t="n">
        <x:f>IFERROR(MAX(0,MIN(100,(K18-50000)/(110000-50000)*100)),0)</x:f>
        <x:v>40.416666666666664</x:v>
      </x:c>
      <x:c r="S18" s="27" t="n">
        <x:f>IFERROR(MAX(0,MIN(100,L18/0.6*100)),0)</x:f>
        <x:v>20.408163265306122</x:v>
      </x:c>
      <x:c r="T18" s="27" t="n">
        <x:f>IFERROR(MAX(0,MIN(100,M18/15000*100)),0)</x:f>
        <x:v>30</x:v>
      </x:c>
      <x:c r="U18" s="27" t="n">
        <x:f>IFERROR(0.45*R18+0.4*S18+0.15*T18,0)</x:f>
        <x:v>30.850765306122447</x:v>
      </x:c>
      <x:c r="V18" s="27" t="n">
        <x:f>IFERROR(0.4*MAX(0,MIN(100,(((J18/12)/O18)-2)/(4-2)*100))+0.35*MAX(0,MIN(100,(8-(N18/K18))/(8-3)*100))+0.25*AB18,0)</x:f>
        <x:v>48.441330000832664</x:v>
      </x:c>
      <x:c r="W18" s="27" t="n">
        <x:f>IFERROR(MAX(0,MIN(100,(25-P18)/(25-12)*100)),0)</x:f>
        <x:v>30.76923076923077</x:v>
      </x:c>
      <x:c r="X18" s="27" t="n">
        <x:f>IFERROR(MAX(0,MIN(100,(AD18-1)/(3-1)*100))*IF(OR($A18="North Clackamas School District",$A18="Provo City School District"),0.6,1),0)</x:f>
        <x:v>67.82119597394909</x:v>
      </x:c>
      <x:c r="Y18" s="27" t="n">
        <x:f>IFERROR(MAX(0,MIN(100,(1-((IFERROR(INDEX('School District Profiles'!$D$2:$D$58,MATCH($A18,'School District Profiles'!$A$2:$A$58,0)),0)/100)^2+(IFERROR(INDEX('School District Profiles'!$E$2:$E$58,MATCH($A18,'School District Profiles'!$A$2:$A$58,0)),0)/100)^2+(IFERROR(INDEX('School District Profiles'!$F$2:$F$58,MATCH($A18,'School District Profiles'!$A$2:$A$58,0)),0)/100)^2+(IFERROR(INDEX('School District Profiles'!$G$2:$G$58,MATCH($A18,'School District Profiles'!$A$2:$A$58,0)),0)/100)^2+(AC18/100)^2))/0.8*100)),0)</x:f>
        <x:v>58.07500000000001</x:v>
      </x:c>
      <x:c r="Z18" s="27" t="n">
        <x:f>IFERROR(AF18*AG18,0)</x:f>
        <x:v>42.539247797016756</x:v>
      </x:c>
      <x:c r="AA18" s="27" t="n">
        <x:f>IFERROR(INDEX('Median Home and Rent Prices'!$F$2:$F$58,MATCH($A18,'Median Home and Rent Prices'!$A$2:$A$58,0)),0)</x:f>
        <x:v>232</x:v>
      </x:c>
      <x:c r="AB18" s="27" t="n">
        <x:f>IFERROR(MAX(0,MIN(100,(800-AA18)/(800-150)*100)),0)</x:f>
        <x:v>87.38461538461539</x:v>
      </x:c>
      <x:c r="AC18" s="26" t="n">
        <x:f>IFERROR(INDEX('School District Profiles'!$J$2:$J$58,MATCH($A18,'School District Profiles'!$A$2:$A$58,0)),0)</x:f>
        <x:v>7</x:v>
      </x:c>
      <x:c r="AD18" s="27" t="n">
        <x:f>IFERROR(Q18*20/O18,0)</x:f>
        <x:v>2.3564239194789818</x:v>
      </x:c>
      <x:c r="AE18" s="28" t="n">
        <x:f>IFERROR(IF(AG18&gt;=1,100,IF(AG18&gt;=0.95,75,IF(AG18&gt;=0.9,60,IF(AG18&gt;=0.85,40,IF(AG18&gt;=0.8,25,0))))),0)</x:f>
        <x:v>100</x:v>
      </x:c>
      <x:c r="AF18" s="28" t="n">
        <x:f>IFERROR(0.4*U18+0.3*V18+0.1*W18+0.1*X18+0.1*Y18,0)</x:f>
        <x:v>42.539247797016756</x:v>
      </x:c>
      <x:c r="AG18" s="28" t="n">
        <x:v>1</x:v>
      </x:c>
      <x:c r="AH18" s="10" t="inlineStr">
        <x:is>
          <x:t xml:space="preserve">No current employment-stability penalty applied; first-pass research did not find reliable current layoff evidence.</x:t>
        </x:is>
      </x:c>
    </x:row>
    <x:row r="19" ht="26.75" customHeight="1">
      <x:c r="A19" s="24" t="inlineStr">
        <x:is>
          <x:t xml:space="preserve">Katy ISD</x:t>
        </x:is>
      </x:c>
      <x:c r="B19" s="24" t="str">
        <x:f>IFERROR(INDEX('School District Profiles'!$B$2:$B$58,MATCH($A19,'School District Profiles'!$A$2:$A$58,0)),"")</x:f>
        <x:v>TX</x:v>
      </x:c>
      <x:c r="C19" s="24" t="str">
        <x:f>IFERROR(INDEX('School District Profiles'!$C$2:$C$58,MATCH($A19,'School District Profiles'!$A$2:$A$58,0)),"")</x:f>
        <x:v>Houston</x:v>
      </x:c>
      <x:c r="D19" s="25" t="n">
        <x:f>SUMIFS('Teacher Salary Data'!$E$2:$E$1277,'Teacher Salary Data'!$A$2:$A$1277,$A19,'Teacher Salary Data'!$C$2:$C$1277,"Bachelor's",'Teacher Salary Data'!$D$2:$D$1277,0)</x:f>
        <x:v>66180</x:v>
      </x:c>
      <x:c r="E19" s="25" t="n">
        <x:f>SUMIFS('Teacher Salary Data'!$E$2:$E$1277,'Teacher Salary Data'!$A$2:$A$1277,$A19,'Teacher Salary Data'!$C$2:$C$1277,"Bachelor's",'Teacher Salary Data'!$D$2:$D$1277,5)</x:f>
        <x:v>75875</x:v>
      </x:c>
      <x:c r="F19" s="25" t="n">
        <x:f>SUMIFS('Teacher Salary Data'!$E$2:$E$1277,'Teacher Salary Data'!$A$2:$A$1277,$A19,'Teacher Salary Data'!$C$2:$C$1277,"Bachelor's",'Teacher Salary Data'!$D$2:$D$1277,10)</x:f>
        <x:v>78175</x:v>
      </x:c>
      <x:c r="G19" s="22" t="n">
        <x:f>SUMIFS('Teacher Salary Data'!$E$2:$E$1277,'Teacher Salary Data'!$A$2:$A$1277,$A19,'Teacher Salary Data'!$C$2:$C$1277,"Master's",'Teacher Salary Data'!$D$2:$D$1277,0)</x:f>
        <x:v>67380</x:v>
      </x:c>
      <x:c r="H19" s="25" t="n">
        <x:f>SUMIFS('Teacher Salary Data'!$E$2:$E$1277,'Teacher Salary Data'!$A$2:$A$1277,$A19,'Teacher Salary Data'!$C$2:$C$1277,"Master's",'Teacher Salary Data'!$D$2:$D$1277,5)</x:f>
        <x:v>77075</x:v>
      </x:c>
      <x:c r="I19" s="25" t="n">
        <x:f>SUMIFS('Teacher Salary Data'!$E$2:$E$1277,'Teacher Salary Data'!$A$2:$A$1277,$A19,'Teacher Salary Data'!$C$2:$C$1277,"Master's",'Teacher Salary Data'!$D$2:$D$1277,10)</x:f>
        <x:v>79375</x:v>
      </x:c>
      <x:c r="J19" s="25" t="n">
        <x:f>AVERAGE(D19,G19)</x:f>
        <x:v>66780</x:v>
      </x:c>
      <x:c r="K19" s="25" t="n">
        <x:f>AVERAGE(F19,I19)</x:f>
        <x:v>78775</x:v>
      </x:c>
      <x:c r="L19" s="26" t="n">
        <x:f>IFERROR((K19-J19)/J19,0)</x:f>
        <x:v>0.17961964660077867</x:v>
      </x:c>
      <x:c r="M19" s="25" t="n">
        <x:f>G19-D19</x:f>
        <x:v>1200</x:v>
      </x:c>
      <x:c r="N19" s="25" t="n">
        <x:f>IFERROR(INDEX('Median Home and Rent Prices'!$D$2:$D$58,MATCH($A19,'Median Home and Rent Prices'!$A$2:$A$58,0)),0)</x:f>
        <x:v>350000</x:v>
      </x:c>
      <x:c r="O19" s="25" t="n">
        <x:f>IFERROR(INDEX('Median Home and Rent Prices'!$E$2:$E$58,MATCH($A19,'Median Home and Rent Prices'!$A$2:$A$58,0)),0)</x:f>
        <x:v>1650</x:v>
      </x:c>
      <x:c r="P19" s="92" t="n">
        <x:f>IFERROR(INDEX('School District Profiles'!$H$2:$H$58,MATCH($A19,'School District Profiles'!$A$2:$A$58,0)),0)</x:f>
        <x:v>14</x:v>
      </x:c>
      <x:c r="Q19" s="25" t="n">
        <x:f>IFERROR(INDEX('School District Profiles'!$I$2:$I$58,MATCH($A19,'School District Profiles'!$A$2:$A$58,0)),0)</x:f>
        <x:v>120</x:v>
      </x:c>
      <x:c r="R19" s="27" t="n">
        <x:f>IFERROR(MAX(0,MIN(100,(K19-50000)/(110000-50000)*100)),0)</x:f>
        <x:v>47.95833333333333</x:v>
      </x:c>
      <x:c r="S19" s="27" t="n">
        <x:f>IFERROR(MAX(0,MIN(100,L19/0.6*100)),0)</x:f>
        <x:v>29.936607766796445</x:v>
      </x:c>
      <x:c r="T19" s="27" t="n">
        <x:f>IFERROR(MAX(0,MIN(100,M19/15000*100)),0)</x:f>
        <x:v>8</x:v>
      </x:c>
      <x:c r="U19" s="27" t="n">
        <x:f>IFERROR(0.45*R19+0.4*S19+0.15*T19,0)</x:f>
        <x:v>34.75589310671858</x:v>
      </x:c>
      <x:c r="V19" s="27" t="n">
        <x:f>IFERROR(0.4*MAX(0,MIN(100,(((J19/12)/O19)-2)/(4-2)*100))+0.35*MAX(0,MIN(100,(8-(N19/K19))/(8-3)*100))+0.25*AB19,0)</x:f>
        <x:v>76.96869236761334</x:v>
      </x:c>
      <x:c r="W19" s="27" t="n">
        <x:f>IFERROR(MAX(0,MIN(100,(25-P19)/(25-12)*100)),0)</x:f>
        <x:v>84.61538461538461</x:v>
      </x:c>
      <x:c r="X19" s="27" t="n">
        <x:f>IFERROR(MAX(0,MIN(100,(AD19-1)/(3-1)*100))*IF(OR($A19="North Clackamas School District",$A19="Provo City School District"),0.6,1),0)</x:f>
        <x:v>22.72727272727273</x:v>
      </x:c>
      <x:c r="Y19" s="27" t="n">
        <x:f>IFERROR(MAX(0,MIN(100,(1-((IFERROR(INDEX('School District Profiles'!$D$2:$D$58,MATCH($A19,'School District Profiles'!$A$2:$A$58,0)),0)/100)^2+(IFERROR(INDEX('School District Profiles'!$E$2:$E$58,MATCH($A19,'School District Profiles'!$A$2:$A$58,0)),0)/100)^2+(IFERROR(INDEX('School District Profiles'!$F$2:$F$58,MATCH($A19,'School District Profiles'!$A$2:$A$58,0)),0)/100)^2+(IFERROR(INDEX('School District Profiles'!$G$2:$G$58,MATCH($A19,'School District Profiles'!$A$2:$A$58,0)),0)/100)^2+(AC19/100)^2))/0.8*100)),0)</x:f>
        <x:v>92.15</x:v>
      </x:c>
      <x:c r="Z19" s="27" t="n">
        <x:f>IFERROR(AF19*AG19,0)</x:f>
        <x:v>51.248007618513455</x:v>
      </x:c>
      <x:c r="AA19" s="27" t="n">
        <x:f>IFERROR(INDEX('Median Home and Rent Prices'!$F$2:$F$58,MATCH($A19,'Median Home and Rent Prices'!$A$2:$A$58,0)),0)</x:f>
        <x:v>160</x:v>
      </x:c>
      <x:c r="AB19" s="27" t="n">
        <x:f>IFERROR(MAX(0,MIN(100,(800-AA19)/(800-150)*100)),0)</x:f>
        <x:v>98.46153846153847</x:v>
      </x:c>
      <x:c r="AC19" s="26" t="n">
        <x:f>IFERROR(INDEX('School District Profiles'!$J$2:$J$58,MATCH($A19,'School District Profiles'!$A$2:$A$58,0)),0)</x:f>
        <x:v>4</x:v>
      </x:c>
      <x:c r="AD19" s="27" t="n">
        <x:f>IFERROR(Q19*20/O19,0)</x:f>
        <x:v>1.4545454545454546</x:v>
      </x:c>
      <x:c r="AE19" s="28" t="n">
        <x:f>IFERROR(IF(AG19&gt;=1,100,IF(AG19&gt;=0.95,75,IF(AG19&gt;=0.9,60,IF(AG19&gt;=0.85,40,IF(AG19&gt;=0.8,25,0))))),0)</x:f>
        <x:v>60</x:v>
      </x:c>
      <x:c r="AF19" s="28" t="n">
        <x:f>IFERROR(0.4*U19+0.3*V19+0.1*W19+0.1*X19+0.1*Y19,0)</x:f>
        <x:v>56.94223068723717</x:v>
      </x:c>
      <x:c r="AG19" s="28" t="n">
        <x:v>0.9</x:v>
      </x:c>
      <x:c r="AH19" s="10" t="inlineStr">
        <x:is>
          <x:t xml:space="preserve">10% employment-stability penalty due to budget pressure and staffing-reduction risk, partly mitigated by attrition/vacancy-based approach.</x:t>
        </x:is>
      </x:c>
    </x:row>
    <x:row r="20" ht="26.75" customHeight="1">
      <x:c r="A20" s="24" t="inlineStr">
        <x:is>
          <x:t xml:space="preserve">La Cañada Unified School District</x:t>
        </x:is>
      </x:c>
      <x:c r="B20" s="24" t="str">
        <x:f>IFERROR(INDEX('School District Profiles'!$B$2:$B$58,MATCH($A20,'School District Profiles'!$A$2:$A$58,0)),"")</x:f>
        <x:v>CA</x:v>
      </x:c>
      <x:c r="C20" s="24" t="str">
        <x:f>IFERROR(INDEX('School District Profiles'!$C$2:$C$58,MATCH($A20,'School District Profiles'!$A$2:$A$58,0)),"")</x:f>
        <x:v>Southern California</x:v>
      </x:c>
      <x:c r="D20" s="25" t="n">
        <x:f>SUMIFS('Teacher Salary Data'!$E$2:$E$1277,'Teacher Salary Data'!$A$2:$A$1277,$A20,'Teacher Salary Data'!$C$2:$C$1277,"Bachelor's",'Teacher Salary Data'!$D$2:$D$1277,0)</x:f>
        <x:v>62754</x:v>
      </x:c>
      <x:c r="E20" s="25" t="n">
        <x:f>SUMIFS('Teacher Salary Data'!$E$2:$E$1277,'Teacher Salary Data'!$A$2:$A$1277,$A20,'Teacher Salary Data'!$C$2:$C$1277,"Bachelor's",'Teacher Salary Data'!$D$2:$D$1277,5)</x:f>
        <x:v>72033</x:v>
      </x:c>
      <x:c r="F20" s="25" t="n">
        <x:f>SUMIFS('Teacher Salary Data'!$E$2:$E$1277,'Teacher Salary Data'!$A$2:$A$1277,$A20,'Teacher Salary Data'!$C$2:$C$1277,"Bachelor's",'Teacher Salary Data'!$D$2:$D$1277,10)</x:f>
        <x:v>85553</x:v>
      </x:c>
      <x:c r="G20" s="22" t="n">
        <x:f>SUMIFS('Teacher Salary Data'!$E$2:$E$1277,'Teacher Salary Data'!$A$2:$A$1277,$A20,'Teacher Salary Data'!$C$2:$C$1277,"Master's",'Teacher Salary Data'!$D$2:$D$1277,0)</x:f>
        <x:v>73687</x:v>
      </x:c>
      <x:c r="H20" s="25" t="n">
        <x:f>SUMIFS('Teacher Salary Data'!$E$2:$E$1277,'Teacher Salary Data'!$A$2:$A$1277,$A20,'Teacher Salary Data'!$C$2:$C$1277,"Master's",'Teacher Salary Data'!$D$2:$D$1277,5)</x:f>
        <x:v>84583</x:v>
      </x:c>
      <x:c r="I20" s="25" t="n">
        <x:f>SUMIFS('Teacher Salary Data'!$E$2:$E$1277,'Teacher Salary Data'!$A$2:$A$1277,$A20,'Teacher Salary Data'!$C$2:$C$1277,"Master's",'Teacher Salary Data'!$D$2:$D$1277,10)</x:f>
        <x:v>100457</x:v>
      </x:c>
      <x:c r="J20" s="25" t="n">
        <x:f>AVERAGE(D20,G20)</x:f>
        <x:v>68220.5</x:v>
      </x:c>
      <x:c r="K20" s="25" t="n">
        <x:f>AVERAGE(F20,I20)</x:f>
        <x:v>93005</x:v>
      </x:c>
      <x:c r="L20" s="26" t="n">
        <x:f>IFERROR((K20-J20)/J20,0)</x:f>
        <x:v>0.3632998878636187</x:v>
      </x:c>
      <x:c r="M20" s="25" t="n">
        <x:f>G20-D20</x:f>
        <x:v>10933</x:v>
      </x:c>
      <x:c r="N20" s="25" t="n">
        <x:f>IFERROR(INDEX('Median Home and Rent Prices'!$D$2:$D$58,MATCH($A20,'Median Home and Rent Prices'!$A$2:$A$58,0)),0)</x:f>
        <x:v>2499891</x:v>
      </x:c>
      <x:c r="O20" s="25" t="n">
        <x:f>IFERROR(INDEX('Median Home and Rent Prices'!$E$2:$E$58,MATCH($A20,'Median Home and Rent Prices'!$A$2:$A$58,0)),0)</x:f>
        <x:v>5900</x:v>
      </x:c>
      <x:c r="P20" s="92" t="n">
        <x:f>IFERROR(INDEX('School District Profiles'!$H$2:$H$58,MATCH($A20,'School District Profiles'!$A$2:$A$58,0)),0)</x:f>
        <x:v>23.66</x:v>
      </x:c>
      <x:c r="Q20" s="25" t="n">
        <x:f>IFERROR(INDEX('School District Profiles'!$I$2:$I$58,MATCH($A20,'School District Profiles'!$A$2:$A$58,0)),0)</x:f>
        <x:v>200</x:v>
      </x:c>
      <x:c r="R20" s="27" t="n">
        <x:f>IFERROR(MAX(0,MIN(100,(K20-50000)/(110000-50000)*100)),0)</x:f>
        <x:v>71.675</x:v>
      </x:c>
      <x:c r="S20" s="27" t="n">
        <x:f>IFERROR(MAX(0,MIN(100,L20/0.6*100)),0)</x:f>
        <x:v>60.549981310603116</x:v>
      </x:c>
      <x:c r="T20" s="27" t="n">
        <x:f>IFERROR(MAX(0,MIN(100,M20/15000*100)),0)</x:f>
        <x:v>72.88666666666667</x:v>
      </x:c>
      <x:c r="U20" s="27" t="n">
        <x:f>IFERROR(0.45*R20+0.4*S20+0.15*T20,0)</x:f>
        <x:v>67.40674252424125</x:v>
      </x:c>
      <x:c r="V20" s="27" t="n">
        <x:f>IFERROR(0.4*MAX(0,MIN(100,(((J20/12)/O20)-2)/(4-2)*100))+0.35*MAX(0,MIN(100,(8-(N20/K20))/(8-3)*100))+0.25*AB20,0)</x:f>
        <x:v>0</x:v>
      </x:c>
      <x:c r="W20" s="27" t="n">
        <x:f>IFERROR(MAX(0,MIN(100,(25-P20)/(25-12)*100)),0)</x:f>
        <x:v>10.307692307692307</x:v>
      </x:c>
      <x:c r="X20" s="27" t="n">
        <x:f>IFERROR(MAX(0,MIN(100,(AD20-1)/(3-1)*100))*IF(OR($A20="North Clackamas School District",$A20="Provo City School District"),0.6,1),0)</x:f>
        <x:v>0</x:v>
      </x:c>
      <x:c r="Y20" s="27" t="n">
        <x:f>IFERROR(MAX(0,MIN(100,(1-((IFERROR(INDEX('School District Profiles'!$D$2:$D$58,MATCH($A20,'School District Profiles'!$A$2:$A$58,0)),0)/100)^2+(IFERROR(INDEX('School District Profiles'!$E$2:$E$58,MATCH($A20,'School District Profiles'!$A$2:$A$58,0)),0)/100)^2+(IFERROR(INDEX('School District Profiles'!$F$2:$F$58,MATCH($A20,'School District Profiles'!$A$2:$A$58,0)),0)/100)^2+(IFERROR(INDEX('School District Profiles'!$G$2:$G$58,MATCH($A20,'School District Profiles'!$A$2:$A$58,0)),0)/100)^2+(AC20/100)^2))/0.8*100)),0)</x:f>
        <x:v>85.425</x:v>
      </x:c>
      <x:c r="Z20" s="27" t="n">
        <x:f>IFERROR(AF20*AG20,0)</x:f>
        <x:v>36.53596624046573</x:v>
      </x:c>
      <x:c r="AA20" s="27" t="n">
        <x:f>IFERROR(INDEX('Median Home and Rent Prices'!$F$2:$F$58,MATCH($A20,'Median Home and Rent Prices'!$A$2:$A$58,0)),0)</x:f>
        <x:v>1030</x:v>
      </x:c>
      <x:c r="AB20" s="27" t="n">
        <x:f>IFERROR(MAX(0,MIN(100,(800-AA20)/(800-150)*100)),0)</x:f>
        <x:v>0</x:v>
      </x:c>
      <x:c r="AC20" s="26" t="n">
        <x:f>IFERROR(INDEX('School District Profiles'!$J$2:$J$58,MATCH($A20,'School District Profiles'!$A$2:$A$58,0)),0)</x:f>
        <x:v>13</x:v>
      </x:c>
      <x:c r="AD20" s="27" t="n">
        <x:f>IFERROR(Q20*20/O20,0)</x:f>
        <x:v>0.6779661016949152</x:v>
      </x:c>
      <x:c r="AE20" s="28" t="n">
        <x:f>IFERROR(IF(AG20&gt;=1,100,IF(AG20&gt;=0.95,75,IF(AG20&gt;=0.9,60,IF(AG20&gt;=0.85,40,IF(AG20&gt;=0.8,25,0))))),0)</x:f>
        <x:v>100</x:v>
      </x:c>
      <x:c r="AF20" s="28" t="n">
        <x:f>IFERROR(0.4*U20+0.3*V20+0.1*W20+0.1*X20+0.1*Y20,0)</x:f>
        <x:v>36.53596624046573</x:v>
      </x:c>
      <x:c r="AG20" s="28" t="n">
        <x:v>1</x:v>
      </x:c>
      <x:c r="AH20" s="10" t="inlineStr">
        <x:is>
          <x:t xml:space="preserve">No current employment-stability penalty applied; first-pass research did not find reliable current layoff evidence.</x:t>
        </x:is>
      </x:c>
    </x:row>
    <x:row r="21" ht="26.75" customHeight="1">
      <x:c r="A21" s="24" t="inlineStr">
        <x:is>
          <x:t xml:space="preserve">Lake Washington School District</x:t>
        </x:is>
      </x:c>
      <x:c r="B21" s="24" t="str">
        <x:f>IFERROR(INDEX('School District Profiles'!$B$2:$B$58,MATCH($A21,'School District Profiles'!$A$2:$A$58,0)),"")</x:f>
        <x:v>WA</x:v>
      </x:c>
      <x:c r="C21" s="24" t="str">
        <x:f>IFERROR(INDEX('School District Profiles'!$C$2:$C$58,MATCH($A21,'School District Profiles'!$A$2:$A$58,0)),"")</x:f>
        <x:v>Seattle Eastside</x:v>
      </x:c>
      <x:c r="D21" s="25" t="n">
        <x:f>SUMIFS('Teacher Salary Data'!$E$2:$E$1277,'Teacher Salary Data'!$A$2:$A$1277,$A21,'Teacher Salary Data'!$C$2:$C$1277,"Bachelor's",'Teacher Salary Data'!$D$2:$D$1277,0)</x:f>
        <x:v>61887</x:v>
      </x:c>
      <x:c r="E21" s="25" t="n">
        <x:f>SUMIFS('Teacher Salary Data'!$E$2:$E$1277,'Teacher Salary Data'!$A$2:$A$1277,$A21,'Teacher Salary Data'!$C$2:$C$1277,"Bachelor's",'Teacher Salary Data'!$D$2:$D$1277,5)</x:f>
        <x:v>68226</x:v>
      </x:c>
      <x:c r="F21" s="25" t="n">
        <x:f>SUMIFS('Teacher Salary Data'!$E$2:$E$1277,'Teacher Salary Data'!$A$2:$A$1277,$A21,'Teacher Salary Data'!$C$2:$C$1277,"Bachelor's",'Teacher Salary Data'!$D$2:$D$1277,10)</x:f>
        <x:v>85047</x:v>
      </x:c>
      <x:c r="G21" s="22" t="n">
        <x:f>SUMIFS('Teacher Salary Data'!$E$2:$E$1277,'Teacher Salary Data'!$A$2:$A$1277,$A21,'Teacher Salary Data'!$C$2:$C$1277,"Master's",'Teacher Salary Data'!$D$2:$D$1277,0)</x:f>
        <x:v>70072</x:v>
      </x:c>
      <x:c r="H21" s="25" t="n">
        <x:f>SUMIFS('Teacher Salary Data'!$E$2:$E$1277,'Teacher Salary Data'!$A$2:$A$1277,$A21,'Teacher Salary Data'!$C$2:$C$1277,"Master's",'Teacher Salary Data'!$D$2:$D$1277,5)</x:f>
        <x:v>80880</x:v>
      </x:c>
      <x:c r="I21" s="25" t="n">
        <x:f>SUMIFS('Teacher Salary Data'!$E$2:$E$1277,'Teacher Salary Data'!$A$2:$A$1277,$A21,'Teacher Salary Data'!$C$2:$C$1277,"Master's",'Teacher Salary Data'!$D$2:$D$1277,10)</x:f>
        <x:v>93356</x:v>
      </x:c>
      <x:c r="J21" s="25" t="n">
        <x:f>AVERAGE(D21,G21)</x:f>
        <x:v>65979.5</x:v>
      </x:c>
      <x:c r="K21" s="25" t="n">
        <x:f>AVERAGE(F21,I21)</x:f>
        <x:v>89201.5</x:v>
      </x:c>
      <x:c r="L21" s="26" t="n">
        <x:f>IFERROR((K21-J21)/J21,0)</x:f>
        <x:v>0.35195780507581903</x:v>
      </x:c>
      <x:c r="M21" s="25" t="n">
        <x:f>G21-D21</x:f>
        <x:v>8185</x:v>
      </x:c>
      <x:c r="N21" s="25" t="n">
        <x:f>IFERROR(INDEX('Median Home and Rent Prices'!$D$2:$D$58,MATCH($A21,'Median Home and Rent Prices'!$A$2:$A$58,0)),0)</x:f>
        <x:v>1299222</x:v>
      </x:c>
      <x:c r="O21" s="25" t="n">
        <x:f>IFERROR(INDEX('Median Home and Rent Prices'!$E$2:$E$58,MATCH($A21,'Median Home and Rent Prices'!$A$2:$A$58,0)),0)</x:f>
        <x:v>3061</x:v>
      </x:c>
      <x:c r="P21" s="92" t="n">
        <x:f>IFERROR(INDEX('School District Profiles'!$H$2:$H$58,MATCH($A21,'School District Profiles'!$A$2:$A$58,0)),0)</x:f>
        <x:v>17.91</x:v>
      </x:c>
      <x:c r="Q21" s="25" t="n">
        <x:f>IFERROR(INDEX('School District Profiles'!$I$2:$I$58,MATCH($A21,'School District Profiles'!$A$2:$A$58,0)),0)</x:f>
        <x:v>222</x:v>
      </x:c>
      <x:c r="R21" s="27" t="n">
        <x:f>IFERROR(MAX(0,MIN(100,(K21-50000)/(110000-50000)*100)),0)</x:f>
        <x:v>65.33583333333334</x:v>
      </x:c>
      <x:c r="S21" s="27" t="n">
        <x:f>IFERROR(MAX(0,MIN(100,L21/0.6*100)),0)</x:f>
        <x:v>58.659634179303175</x:v>
      </x:c>
      <x:c r="T21" s="27" t="n">
        <x:f>IFERROR(MAX(0,MIN(100,M21/15000*100)),0)</x:f>
        <x:v>54.56666666666666</x:v>
      </x:c>
      <x:c r="U21" s="27" t="n">
        <x:f>IFERROR(0.45*R21+0.4*S21+0.15*T21,0)</x:f>
        <x:v>61.04997867172128</x:v>
      </x:c>
      <x:c r="V21" s="27" t="n">
        <x:f>IFERROR(0.4*MAX(0,MIN(100,(((J21/12)/O21)-2)/(4-2)*100))+0.35*MAX(0,MIN(100,(8-(N21/K21))/(8-3)*100))+0.25*AB21,0)</x:f>
        <x:v>5.769230769230769</x:v>
      </x:c>
      <x:c r="W21" s="27" t="n">
        <x:f>IFERROR(MAX(0,MIN(100,(25-P21)/(25-12)*100)),0)</x:f>
        <x:v>54.53846153846153</x:v>
      </x:c>
      <x:c r="X21" s="27" t="n">
        <x:f>IFERROR(MAX(0,MIN(100,(AD21-1)/(3-1)*100))*IF(OR($A21="North Clackamas School District",$A21="Provo City School District"),0.6,1),0)</x:f>
        <x:v>22.525318523358383</x:v>
      </x:c>
      <x:c r="Y21" s="27" t="n">
        <x:f>IFERROR(MAX(0,MIN(100,(1-((IFERROR(INDEX('School District Profiles'!$D$2:$D$58,MATCH($A21,'School District Profiles'!$A$2:$A$58,0)),0)/100)^2+(IFERROR(INDEX('School District Profiles'!$E$2:$E$58,MATCH($A21,'School District Profiles'!$A$2:$A$58,0)),0)/100)^2+(IFERROR(INDEX('School District Profiles'!$F$2:$F$58,MATCH($A21,'School District Profiles'!$A$2:$A$58,0)),0)/100)^2+(IFERROR(INDEX('School District Profiles'!$G$2:$G$58,MATCH($A21,'School District Profiles'!$A$2:$A$58,0)),0)/100)^2+(AC21/100)^2))/0.8*100)),0)</x:f>
        <x:v>87.7</x:v>
      </x:c>
      <x:c r="Z21" s="27" t="n">
        <x:f>IFERROR(AF21*AG21,0)</x:f>
        <x:v>40.49578177035775</x:v>
      </x:c>
      <x:c r="AA21" s="27" t="n">
        <x:f>IFERROR(INDEX('Median Home and Rent Prices'!$F$2:$F$58,MATCH($A21,'Median Home and Rent Prices'!$A$2:$A$58,0)),0)</x:f>
        <x:v>650</x:v>
      </x:c>
      <x:c r="AB21" s="27" t="n">
        <x:f>IFERROR(MAX(0,MIN(100,(800-AA21)/(800-150)*100)),0)</x:f>
        <x:v>23.076923076923077</x:v>
      </x:c>
      <x:c r="AC21" s="26" t="n">
        <x:f>IFERROR(INDEX('School District Profiles'!$J$2:$J$58,MATCH($A21,'School District Profiles'!$A$2:$A$58,0)),0)</x:f>
        <x:v>9</x:v>
      </x:c>
      <x:c r="AD21" s="27" t="n">
        <x:f>IFERROR(Q21*20/O21,0)</x:f>
        <x:v>1.4505063704671677</x:v>
      </x:c>
      <x:c r="AE21" s="28" t="n">
        <x:f>IFERROR(IF(AG21&gt;=1,100,IF(AG21&gt;=0.95,75,IF(AG21&gt;=0.9,60,IF(AG21&gt;=0.85,40,IF(AG21&gt;=0.8,25,0))))),0)</x:f>
        <x:v>75</x:v>
      </x:c>
      <x:c r="AF21" s="28" t="n">
        <x:f>IFERROR(0.4*U21+0.3*V21+0.1*W21+0.1*X21+0.1*Y21,0)</x:f>
        <x:v>42.62713870563974</x:v>
      </x:c>
      <x:c r="AG21" s="28" t="n">
        <x:v>0.95</x:v>
      </x:c>
      <x:c r="AH21" s="10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</x:row>
    <x:row r="22" ht="26.75" customHeight="1">
      <x:c r="A22" s="24" t="inlineStr">
        <x:is>
          <x:t xml:space="preserve">Leander ISD</x:t>
        </x:is>
      </x:c>
      <x:c r="B22" s="24" t="str">
        <x:f>IFERROR(INDEX('School District Profiles'!$B$2:$B$58,MATCH($A22,'School District Profiles'!$A$2:$A$58,0)),"")</x:f>
        <x:v>TX</x:v>
      </x:c>
      <x:c r="C22" s="24" t="str">
        <x:f>IFERROR(INDEX('School District Profiles'!$C$2:$C$58,MATCH($A22,'School District Profiles'!$A$2:$A$58,0)),"")</x:f>
        <x:v>Austin</x:v>
      </x:c>
      <x:c r="D22" s="25" t="n">
        <x:f>SUMIFS('Teacher Salary Data'!$E$2:$E$1277,'Teacher Salary Data'!$A$2:$A$1277,$A22,'Teacher Salary Data'!$C$2:$C$1277,"Bachelor's",'Teacher Salary Data'!$D$2:$D$1277,0)</x:f>
        <x:v>57500</x:v>
      </x:c>
      <x:c r="E22" s="25" t="n">
        <x:f>SUMIFS('Teacher Salary Data'!$E$2:$E$1277,'Teacher Salary Data'!$A$2:$A$1277,$A22,'Teacher Salary Data'!$C$2:$C$1277,"Bachelor's",'Teacher Salary Data'!$D$2:$D$1277,5)</x:f>
        <x:v>62683</x:v>
      </x:c>
      <x:c r="F22" s="25" t="n">
        <x:f>SUMIFS('Teacher Salary Data'!$E$2:$E$1277,'Teacher Salary Data'!$A$2:$A$1277,$A22,'Teacher Salary Data'!$C$2:$C$1277,"Bachelor's",'Teacher Salary Data'!$D$2:$D$1277,10)</x:f>
        <x:v>64271</x:v>
      </x:c>
      <x:c r="G22" s="22" t="n">
        <x:f>SUMIFS('Teacher Salary Data'!$E$2:$E$1277,'Teacher Salary Data'!$A$2:$A$1277,$A22,'Teacher Salary Data'!$C$2:$C$1277,"Master's",'Teacher Salary Data'!$D$2:$D$1277,0)</x:f>
        <x:v>58500</x:v>
      </x:c>
      <x:c r="H22" s="25" t="n">
        <x:f>SUMIFS('Teacher Salary Data'!$E$2:$E$1277,'Teacher Salary Data'!$A$2:$A$1277,$A22,'Teacher Salary Data'!$C$2:$C$1277,"Master's",'Teacher Salary Data'!$D$2:$D$1277,5)</x:f>
        <x:v>63683</x:v>
      </x:c>
      <x:c r="I22" s="25" t="n">
        <x:f>SUMIFS('Teacher Salary Data'!$E$2:$E$1277,'Teacher Salary Data'!$A$2:$A$1277,$A22,'Teacher Salary Data'!$C$2:$C$1277,"Master's",'Teacher Salary Data'!$D$2:$D$1277,10)</x:f>
        <x:v>65271</x:v>
      </x:c>
      <x:c r="J22" s="25" t="n">
        <x:f>AVERAGE(D22,G22)</x:f>
        <x:v>58000</x:v>
      </x:c>
      <x:c r="K22" s="25" t="n">
        <x:f>AVERAGE(F22,I22)</x:f>
        <x:v>64771</x:v>
      </x:c>
      <x:c r="L22" s="26" t="n">
        <x:f>IFERROR((K22-J22)/J22,0)</x:f>
        <x:v>0.11674137931034483</x:v>
      </x:c>
      <x:c r="M22" s="25" t="n">
        <x:f>G22-D22</x:f>
        <x:v>1000</x:v>
      </x:c>
      <x:c r="N22" s="25" t="n">
        <x:f>IFERROR(INDEX('Median Home and Rent Prices'!$D$2:$D$58,MATCH($A22,'Median Home and Rent Prices'!$A$2:$A$58,0)),0)</x:f>
        <x:v>512000</x:v>
      </x:c>
      <x:c r="O22" s="25" t="n">
        <x:f>IFERROR(INDEX('Median Home and Rent Prices'!$E$2:$E$58,MATCH($A22,'Median Home and Rent Prices'!$A$2:$A$58,0)),0)</x:f>
        <x:v>1500</x:v>
      </x:c>
      <x:c r="P22" s="92" t="n">
        <x:f>IFERROR(INDEX('School District Profiles'!$H$2:$H$58,MATCH($A22,'School District Profiles'!$A$2:$A$58,0)),0)</x:f>
        <x:v>14</x:v>
      </x:c>
      <x:c r="Q22" s="25" t="n">
        <x:f>IFERROR(INDEX('School District Profiles'!$I$2:$I$58,MATCH($A22,'School District Profiles'!$A$2:$A$58,0)),0)</x:f>
        <x:v>130</x:v>
      </x:c>
      <x:c r="R22" s="27" t="n">
        <x:f>IFERROR(MAX(0,MIN(100,(K22-50000)/(110000-50000)*100)),0)</x:f>
        <x:v>24.618333333333332</x:v>
      </x:c>
      <x:c r="S22" s="27" t="n">
        <x:f>IFERROR(MAX(0,MIN(100,L22/0.6*100)),0)</x:f>
        <x:v>19.45689655172414</x:v>
      </x:c>
      <x:c r="T22" s="27" t="n">
        <x:f>IFERROR(MAX(0,MIN(100,M22/15000*100)),0)</x:f>
        <x:v>6.666666666666667</x:v>
      </x:c>
      <x:c r="U22" s="27" t="n">
        <x:f>IFERROR(0.45*R22+0.4*S22+0.15*T22,0)</x:f>
        <x:v>19.861008620689656</x:v>
      </x:c>
      <x:c r="V22" s="27" t="n">
        <x:f>IFERROR(0.4*MAX(0,MIN(100,(((J22/12)/O22)-2)/(4-2)*100))+0.35*MAX(0,MIN(100,(8-(N22/K22))/(8-3)*100))+0.25*AB22,0)</x:f>
        <x:v>48.572577523944645</x:v>
      </x:c>
      <x:c r="W22" s="27" t="n">
        <x:f>IFERROR(MAX(0,MIN(100,(25-P22)/(25-12)*100)),0)</x:f>
        <x:v>84.61538461538461</x:v>
      </x:c>
      <x:c r="X22" s="27" t="n">
        <x:f>IFERROR(MAX(0,MIN(100,(AD22-1)/(3-1)*100))*IF(OR($A22="North Clackamas School District",$A22="Provo City School District"),0.6,1),0)</x:f>
        <x:v>36.66666666666667</x:v>
      </x:c>
      <x:c r="Y22" s="27" t="n">
        <x:f>IFERROR(MAX(0,MIN(100,(1-((IFERROR(INDEX('School District Profiles'!$D$2:$D$58,MATCH($A22,'School District Profiles'!$A$2:$A$58,0)),0)/100)^2+(IFERROR(INDEX('School District Profiles'!$E$2:$E$58,MATCH($A22,'School District Profiles'!$A$2:$A$58,0)),0)/100)^2+(IFERROR(INDEX('School District Profiles'!$F$2:$F$58,MATCH($A22,'School District Profiles'!$A$2:$A$58,0)),0)/100)^2+(IFERROR(INDEX('School District Profiles'!$G$2:$G$58,MATCH($A22,'School District Profiles'!$A$2:$A$58,0)),0)/100)^2+(AC22/100)^2))/0.8*100)),0)</x:f>
        <x:v>85.725</x:v>
      </x:c>
      <x:c r="Z22" s="27" t="n">
        <x:f>IFERROR(AF22*AG22,0)</x:f>
        <x:v>38.89519365029794</x:v>
      </x:c>
      <x:c r="AA22" s="27" t="n">
        <x:f>IFERROR(INDEX('Median Home and Rent Prices'!$F$2:$F$58,MATCH($A22,'Median Home and Rent Prices'!$A$2:$A$58,0)),0)</x:f>
        <x:v>190</x:v>
      </x:c>
      <x:c r="AB22" s="27" t="n">
        <x:f>IFERROR(MAX(0,MIN(100,(800-AA22)/(800-150)*100)),0)</x:f>
        <x:v>93.84615384615384</x:v>
      </x:c>
      <x:c r="AC22" s="26" t="n">
        <x:f>IFERROR(INDEX('School District Profiles'!$J$2:$J$58,MATCH($A22,'School District Profiles'!$A$2:$A$58,0)),0)</x:f>
        <x:v>6</x:v>
      </x:c>
      <x:c r="AD22" s="27" t="n">
        <x:f>IFERROR(Q22*20/O22,0)</x:f>
        <x:v>1.7333333333333334</x:v>
      </x:c>
      <x:c r="AE22" s="28" t="n">
        <x:f>IFERROR(IF(AG22&gt;=1,100,IF(AG22&gt;=0.95,75,IF(AG22&gt;=0.9,60,IF(AG22&gt;=0.85,40,IF(AG22&gt;=0.8,25,0))))),0)</x:f>
        <x:v>60</x:v>
      </x:c>
      <x:c r="AF22" s="28" t="n">
        <x:f>IFERROR(0.4*U22+0.3*V22+0.1*W22+0.1*X22+0.1*Y22,0)</x:f>
        <x:v>43.21688183366438</x:v>
      </x:c>
      <x:c r="AG22" s="28" t="n">
        <x:v>0.9</x:v>
      </x:c>
      <x:c r="AH22" s="1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</x:row>
    <x:row r="23" ht="26.75" customHeight="1">
      <x:c r="A23" s="24" t="inlineStr">
        <x:is>
          <x:t xml:space="preserve">Los Angeles Unified</x:t>
        </x:is>
      </x:c>
      <x:c r="B23" s="24" t="str">
        <x:f>IFERROR(INDEX('School District Profiles'!$B$2:$B$58,MATCH($A23,'School District Profiles'!$A$2:$A$58,0)),"")</x:f>
        <x:v>CA</x:v>
      </x:c>
      <x:c r="C23" s="24" t="str">
        <x:f>IFERROR(INDEX('School District Profiles'!$C$2:$C$58,MATCH($A23,'School District Profiles'!$A$2:$A$58,0)),"")</x:f>
        <x:v>Southern California</x:v>
      </x:c>
      <x:c r="D23" s="25" t="n">
        <x:f>SUMIFS('Teacher Salary Data'!$E$2:$E$1277,'Teacher Salary Data'!$A$2:$A$1277,$A23,'Teacher Salary Data'!$C$2:$C$1277,"Bachelor's",'Teacher Salary Data'!$D$2:$D$1277,0)</x:f>
        <x:v>68966</x:v>
      </x:c>
      <x:c r="E23" s="25" t="n">
        <x:f>SUMIFS('Teacher Salary Data'!$E$2:$E$1277,'Teacher Salary Data'!$A$2:$A$1277,$A23,'Teacher Salary Data'!$C$2:$C$1277,"Bachelor's",'Teacher Salary Data'!$D$2:$D$1277,5)</x:f>
        <x:v>70715</x:v>
      </x:c>
      <x:c r="F23" s="25" t="n">
        <x:f>SUMIFS('Teacher Salary Data'!$E$2:$E$1277,'Teacher Salary Data'!$A$2:$A$1277,$A23,'Teacher Salary Data'!$C$2:$C$1277,"Bachelor's",'Teacher Salary Data'!$D$2:$D$1277,10)</x:f>
        <x:v>79193</x:v>
      </x:c>
      <x:c r="G23" s="22" t="n">
        <x:f>SUMIFS('Teacher Salary Data'!$E$2:$E$1277,'Teacher Salary Data'!$A$2:$A$1277,$A23,'Teacher Salary Data'!$C$2:$C$1277,"Master's",'Teacher Salary Data'!$D$2:$D$1277,0)</x:f>
        <x:v>69550</x:v>
      </x:c>
      <x:c r="H23" s="25" t="n">
        <x:f>SUMIFS('Teacher Salary Data'!$E$2:$E$1277,'Teacher Salary Data'!$A$2:$A$1277,$A23,'Teacher Salary Data'!$C$2:$C$1277,"Master's",'Teacher Salary Data'!$D$2:$D$1277,5)</x:f>
        <x:v>71299</x:v>
      </x:c>
      <x:c r="I23" s="25" t="n">
        <x:f>SUMIFS('Teacher Salary Data'!$E$2:$E$1277,'Teacher Salary Data'!$A$2:$A$1277,$A23,'Teacher Salary Data'!$C$2:$C$1277,"Master's",'Teacher Salary Data'!$D$2:$D$1277,10)</x:f>
        <x:v>79777</x:v>
      </x:c>
      <x:c r="J23" s="25" t="n">
        <x:f>AVERAGE(D23,G23)</x:f>
        <x:v>69258</x:v>
      </x:c>
      <x:c r="K23" s="25" t="n">
        <x:f>AVERAGE(F23,I23)</x:f>
        <x:v>79485</x:v>
      </x:c>
      <x:c r="L23" s="26" t="n">
        <x:f>IFERROR((K23-J23)/J23,0)</x:f>
        <x:v>0.14766525166767738</x:v>
      </x:c>
      <x:c r="M23" s="25" t="n">
        <x:f>G23-D23</x:f>
        <x:v>584</x:v>
      </x:c>
      <x:c r="N23" s="25" t="n">
        <x:f>IFERROR(INDEX('Median Home and Rent Prices'!$D$2:$D$58,MATCH($A23,'Median Home and Rent Prices'!$A$2:$A$58,0)),0)</x:f>
        <x:v>956465</x:v>
      </x:c>
      <x:c r="O23" s="25" t="n">
        <x:f>IFERROR(INDEX('Median Home and Rent Prices'!$E$2:$E$58,MATCH($A23,'Median Home and Rent Prices'!$A$2:$A$58,0)),0)</x:f>
        <x:v>2650</x:v>
      </x:c>
      <x:c r="P23" s="92" t="n">
        <x:f>IFERROR(INDEX('School District Profiles'!$H$2:$H$58,MATCH($A23,'School District Profiles'!$A$2:$A$58,0)),0)</x:f>
        <x:v>19.2</x:v>
      </x:c>
      <x:c r="Q23" s="25" t="n">
        <x:f>IFERROR(INDEX('School District Profiles'!$I$2:$I$58,MATCH($A23,'School District Profiles'!$A$2:$A$58,0)),0)</x:f>
        <x:v>261.49</x:v>
      </x:c>
      <x:c r="R23" s="27" t="n">
        <x:f>IFERROR(MAX(0,MIN(100,(K23-50000)/(110000-50000)*100)),0)</x:f>
        <x:v>49.141666666666666</x:v>
      </x:c>
      <x:c r="S23" s="27" t="n">
        <x:f>IFERROR(MAX(0,MIN(100,L23/0.6*100)),0)</x:f>
        <x:v>24.61087527794623</x:v>
      </x:c>
      <x:c r="T23" s="27" t="n">
        <x:f>IFERROR(MAX(0,MIN(100,M23/15000*100)),0)</x:f>
        <x:v>3.8933333333333335</x:v>
      </x:c>
      <x:c r="U23" s="27" t="n">
        <x:f>IFERROR(0.45*R23+0.4*S23+0.15*T23,0)</x:f>
        <x:v>32.54210011117849</x:v>
      </x:c>
      <x:c r="V23" s="27" t="n">
        <x:f>IFERROR(0.4*MAX(0,MIN(100,(((J23/12)/O23)-2)/(4-2)*100))+0.35*MAX(0,MIN(100,(8-(N23/K23))/(8-3)*100))+0.25*AB23,0)</x:f>
        <x:v>9.943105950653116</x:v>
      </x:c>
      <x:c r="W23" s="27" t="n">
        <x:f>IFERROR(MAX(0,MIN(100,(25-P23)/(25-12)*100)),0)</x:f>
        <x:v>44.61538461538462</x:v>
      </x:c>
      <x:c r="X23" s="27" t="n">
        <x:f>IFERROR(MAX(0,MIN(100,(AD23-1)/(3-1)*100))*IF(OR($A23="North Clackamas School District",$A23="Provo City School District"),0.6,1),0)</x:f>
        <x:v>48.67547169811321</x:v>
      </x:c>
      <x:c r="Y23" s="27" t="n">
        <x:f>IFERROR(MAX(0,MIN(100,(1-((IFERROR(INDEX('School District Profiles'!$D$2:$D$58,MATCH($A23,'School District Profiles'!$A$2:$A$58,0)),0)/100)^2+(IFERROR(INDEX('School District Profiles'!$E$2:$E$58,MATCH($A23,'School District Profiles'!$A$2:$A$58,0)),0)/100)^2+(IFERROR(INDEX('School District Profiles'!$F$2:$F$58,MATCH($A23,'School District Profiles'!$A$2:$A$58,0)),0)/100)^2+(IFERROR(INDEX('School District Profiles'!$G$2:$G$58,MATCH($A23,'School District Profiles'!$A$2:$A$58,0)),0)/100)^2+(AC23/100)^2))/0.8*100)),0)</x:f>
        <x:v>55.874999999999986</x:v>
      </x:c>
      <x:c r="Z23" s="27" t="n">
        <x:f>IFERROR(AF23*AG23,0)</x:f>
        <x:v>24.733085968813693</x:v>
      </x:c>
      <x:c r="AA23" s="27" t="n">
        <x:f>IFERROR(INDEX('Median Home and Rent Prices'!$F$2:$F$58,MATCH($A23,'Median Home and Rent Prices'!$A$2:$A$58,0)),0)</x:f>
        <x:v>634</x:v>
      </x:c>
      <x:c r="AB23" s="27" t="n">
        <x:f>IFERROR(MAX(0,MIN(100,(800-AA23)/(800-150)*100)),0)</x:f>
        <x:v>25.538461538461537</x:v>
      </x:c>
      <x:c r="AC23" s="26" t="n">
        <x:f>IFERROR(INDEX('School District Profiles'!$J$2:$J$58,MATCH($A23,'School District Profiles'!$A$2:$A$58,0)),0)</x:f>
        <x:v>6</x:v>
      </x:c>
      <x:c r="AD23" s="27" t="n">
        <x:f>IFERROR(Q23*20/O23,0)</x:f>
        <x:v>1.9735094339622643</x:v>
      </x:c>
      <x:c r="AE23" s="28" t="n">
        <x:f>IFERROR(IF(AG23&gt;=1,100,IF(AG23&gt;=0.95,75,IF(AG23&gt;=0.9,60,IF(AG23&gt;=0.85,40,IF(AG23&gt;=0.8,25,0))))),0)</x:f>
        <x:v>25</x:v>
      </x:c>
      <x:c r="AF23" s="28" t="n">
        <x:f>IFERROR(0.4*U23+0.3*V23+0.1*W23+0.1*X23+0.1*Y23,0)</x:f>
        <x:v>30.916357461017114</x:v>
      </x:c>
      <x:c r="AG23" s="28" t="n">
        <x:v>0.8</x:v>
      </x:c>
      <x:c r="AH23" s="10" t="inlineStr">
        <x:is>
          <x:t xml:space="preserve">20% employment-stability penalty due to large-scale job-loss reports, approved layoffs, fiscal-stability planning, and possible multi-year reductions/closures/furloughs.</x:t>
        </x:is>
      </x:c>
    </x:row>
    <x:row r="24" ht="26.75" customHeight="1">
      <x:c r="A24" s="24" t="inlineStr">
        <x:is>
          <x:t xml:space="preserve">Loudoun County Public Schools</x:t>
        </x:is>
      </x:c>
      <x:c r="B24" s="24" t="str">
        <x:f>IFERROR(INDEX('School District Profiles'!$B$2:$B$58,MATCH($A24,'School District Profiles'!$A$2:$A$58,0)),"")</x:f>
        <x:v>VA</x:v>
      </x:c>
      <x:c r="C24" s="24" t="str">
        <x:f>IFERROR(INDEX('School District Profiles'!$C$2:$C$58,MATCH($A24,'School District Profiles'!$A$2:$A$58,0)),"")</x:f>
        <x:v>Northern VA/DC</x:v>
      </x:c>
      <x:c r="D24" s="25" t="n">
        <x:f>SUMIFS('Teacher Salary Data'!$E$2:$E$1277,'Teacher Salary Data'!$A$2:$A$1277,$A24,'Teacher Salary Data'!$C$2:$C$1277,"Bachelor's",'Teacher Salary Data'!$D$2:$D$1277,0)</x:f>
        <x:v>60553</x:v>
      </x:c>
      <x:c r="E24" s="25" t="n">
        <x:f>SUMIFS('Teacher Salary Data'!$E$2:$E$1277,'Teacher Salary Data'!$A$2:$A$1277,$A24,'Teacher Salary Data'!$C$2:$C$1277,"Bachelor's",'Teacher Salary Data'!$D$2:$D$1277,5)</x:f>
        <x:v>71558</x:v>
      </x:c>
      <x:c r="F24" s="25" t="n">
        <x:f>SUMIFS('Teacher Salary Data'!$E$2:$E$1277,'Teacher Salary Data'!$A$2:$A$1277,$A24,'Teacher Salary Data'!$C$2:$C$1277,"Bachelor's",'Teacher Salary Data'!$D$2:$D$1277,10)</x:f>
        <x:v>84421</x:v>
      </x:c>
      <x:c r="G24" s="22" t="n">
        <x:f>SUMIFS('Teacher Salary Data'!$E$2:$E$1277,'Teacher Salary Data'!$A$2:$A$1277,$A24,'Teacher Salary Data'!$C$2:$C$1277,"Master's",'Teacher Salary Data'!$D$2:$D$1277,0)</x:f>
        <x:v>66562</x:v>
      </x:c>
      <x:c r="H24" s="25" t="n">
        <x:f>SUMIFS('Teacher Salary Data'!$E$2:$E$1277,'Teacher Salary Data'!$A$2:$A$1277,$A24,'Teacher Salary Data'!$C$2:$C$1277,"Master's",'Teacher Salary Data'!$D$2:$D$1277,5)</x:f>
        <x:v>77509</x:v>
      </x:c>
      <x:c r="I24" s="25" t="n">
        <x:f>SUMIFS('Teacher Salary Data'!$E$2:$E$1277,'Teacher Salary Data'!$A$2:$A$1277,$A24,'Teacher Salary Data'!$C$2:$C$1277,"Master's",'Teacher Salary Data'!$D$2:$D$1277,10)</x:f>
        <x:v>90400</x:v>
      </x:c>
      <x:c r="J24" s="25" t="n">
        <x:f>AVERAGE(D24,G24)</x:f>
        <x:v>63557.5</x:v>
      </x:c>
      <x:c r="K24" s="25" t="n">
        <x:f>AVERAGE(F24,I24)</x:f>
        <x:v>87410.5</x:v>
      </x:c>
      <x:c r="L24" s="26" t="n">
        <x:f>IFERROR((K24-J24)/J24,0)</x:f>
        <x:v>0.3752979585414782</x:v>
      </x:c>
      <x:c r="M24" s="25" t="n">
        <x:f>G24-D24</x:f>
        <x:v>6009</x:v>
      </x:c>
      <x:c r="N24" s="25" t="n">
        <x:f>IFERROR(INDEX('Median Home and Rent Prices'!$D$2:$D$58,MATCH($A24,'Median Home and Rent Prices'!$A$2:$A$58,0)),0)</x:f>
        <x:v>679593</x:v>
      </x:c>
      <x:c r="O24" s="25" t="n">
        <x:f>IFERROR(INDEX('Median Home and Rent Prices'!$E$2:$E$58,MATCH($A24,'Median Home and Rent Prices'!$A$2:$A$58,0)),0)</x:f>
        <x:v>2680</x:v>
      </x:c>
      <x:c r="P24" s="92" t="n">
        <x:f>IFERROR(INDEX('School District Profiles'!$H$2:$H$58,MATCH($A24,'School District Profiles'!$A$2:$A$58,0)),0)</x:f>
        <x:v>12.13</x:v>
      </x:c>
      <x:c r="Q24" s="25" t="n">
        <x:f>IFERROR(INDEX('School District Profiles'!$I$2:$I$58,MATCH($A24,'School District Profiles'!$A$2:$A$58,0)),0)</x:f>
        <x:v>135.03</x:v>
      </x:c>
      <x:c r="R24" s="27" t="n">
        <x:f>IFERROR(MAX(0,MIN(100,(K24-50000)/(110000-50000)*100)),0)</x:f>
        <x:v>62.350833333333334</x:v>
      </x:c>
      <x:c r="S24" s="27" t="n">
        <x:f>IFERROR(MAX(0,MIN(100,L24/0.6*100)),0)</x:f>
        <x:v>62.54965975691304</x:v>
      </x:c>
      <x:c r="T24" s="27" t="n">
        <x:f>IFERROR(MAX(0,MIN(100,M24/15000*100)),0)</x:f>
        <x:v>40.06</x:v>
      </x:c>
      <x:c r="U24" s="27" t="n">
        <x:f>IFERROR(0.45*R24+0.4*S24+0.15*T24,0)</x:f>
        <x:v>59.08673890276522</x:v>
      </x:c>
      <x:c r="V24" s="27" t="n">
        <x:f>IFERROR(0.4*MAX(0,MIN(100,(((J24/12)/O24)-2)/(4-2)*100))+0.35*MAX(0,MIN(100,(8-(N24/K24))/(8-3)*100))+0.25*AB24,0)</x:f>
        <x:v>20.4615083208187</x:v>
      </x:c>
      <x:c r="W24" s="27" t="n">
        <x:f>IFERROR(MAX(0,MIN(100,(25-P24)/(25-12)*100)),0)</x:f>
        <x:v>99</x:v>
      </x:c>
      <x:c r="X24" s="27" t="n">
        <x:f>IFERROR(MAX(0,MIN(100,(AD24-1)/(3-1)*100))*IF(OR($A24="North Clackamas School District",$A24="Provo City School District"),0.6,1),0)</x:f>
        <x:v>0.38432835820895184</x:v>
      </x:c>
      <x:c r="Y24" s="27" t="n">
        <x:f>IFERROR(MAX(0,MIN(100,(1-((IFERROR(INDEX('School District Profiles'!$D$2:$D$58,MATCH($A24,'School District Profiles'!$A$2:$A$58,0)),0)/100)^2+(IFERROR(INDEX('School District Profiles'!$E$2:$E$58,MATCH($A24,'School District Profiles'!$A$2:$A$58,0)),0)/100)^2+(IFERROR(INDEX('School District Profiles'!$F$2:$F$58,MATCH($A24,'School District Profiles'!$A$2:$A$58,0)),0)/100)^2+(IFERROR(INDEX('School District Profiles'!$G$2:$G$58,MATCH($A24,'School District Profiles'!$A$2:$A$58,0)),0)/100)^2+(AC24/100)^2))/0.8*100)),0)</x:f>
        <x:v>92.325</x:v>
      </x:c>
      <x:c r="Z24" s="27" t="n">
        <x:f>IFERROR(AF24*AG24,0)</x:f>
        <x:v>46.496876848513956</x:v>
      </x:c>
      <x:c r="AA24" s="27" t="n">
        <x:f>IFERROR(INDEX('Median Home and Rent Prices'!$F$2:$F$58,MATCH($A24,'Median Home and Rent Prices'!$A$2:$A$58,0)),0)</x:f>
        <x:v>309</x:v>
      </x:c>
      <x:c r="AB24" s="27" t="n">
        <x:f>IFERROR(MAX(0,MIN(100,(800-AA24)/(800-150)*100)),0)</x:f>
        <x:v>75.53846153846155</x:v>
      </x:c>
      <x:c r="AC24" s="26" t="n">
        <x:f>IFERROR(INDEX('School District Profiles'!$J$2:$J$58,MATCH($A24,'School District Profiles'!$A$2:$A$58,0)),0)</x:f>
        <x:v>11</x:v>
      </x:c>
      <x:c r="AD24" s="27" t="n">
        <x:f>IFERROR(Q24*20/O24,0)</x:f>
        <x:v>1.007686567164179</x:v>
      </x:c>
      <x:c r="AE24" s="28" t="n">
        <x:f>IFERROR(IF(AG24&gt;=1,100,IF(AG24&gt;=0.95,75,IF(AG24&gt;=0.9,60,IF(AG24&gt;=0.85,40,IF(AG24&gt;=0.8,25,0))))),0)</x:f>
        <x:v>75</x:v>
      </x:c>
      <x:c r="AF24" s="28" t="n">
        <x:f>IFERROR(0.4*U24+0.3*V24+0.1*W24+0.1*X24+0.1*Y24,0)</x:f>
        <x:v>48.94408089317259</x:v>
      </x:c>
      <x:c r="AG24" s="28" t="n">
        <x:v>0.95</x:v>
      </x:c>
      <x:c r="AH24" s="10" t="inlineStr">
        <x:is>
          <x:t xml:space="preserve">5% watchlist penalty applied. Current public-source pass found no active broad layoffs or closures; however, local reporting and LCPS enrollment planning indicate enrollment is projected to decline through 2031, so stability is not scored as a perfect 100.</x:t>
        </x:is>
      </x:c>
    </x:row>
    <x:row r="25" ht="26.75" customHeight="1">
      <x:c r="A25" s="24" t="inlineStr">
        <x:is>
          <x:t xml:space="preserve">Madison Metropolitan School District</x:t>
        </x:is>
      </x:c>
      <x:c r="B25" s="24" t="str">
        <x:f>IFERROR(INDEX('School District Profiles'!$B$2:$B$58,MATCH($A25,'School District Profiles'!$A$2:$A$58,0)),"")</x:f>
        <x:v>WI</x:v>
      </x:c>
      <x:c r="C25" s="24" t="str">
        <x:f>IFERROR(INDEX('School District Profiles'!$C$2:$C$58,MATCH($A25,'School District Profiles'!$A$2:$A$58,0)),"")</x:f>
        <x:v>Madison</x:v>
      </x:c>
      <x:c r="D25" s="25" t="n">
        <x:f>SUMIFS('Teacher Salary Data'!$E$2:$E$1277,'Teacher Salary Data'!$A$2:$A$1277,$A25,'Teacher Salary Data'!$C$2:$C$1277,"Bachelor's",'Teacher Salary Data'!$D$2:$D$1277,0)</x:f>
        <x:v>57587</x:v>
      </x:c>
      <x:c r="E25" s="25" t="n">
        <x:f>SUMIFS('Teacher Salary Data'!$E$2:$E$1277,'Teacher Salary Data'!$A$2:$A$1277,$A25,'Teacher Salary Data'!$C$2:$C$1277,"Bachelor's",'Teacher Salary Data'!$D$2:$D$1277,5)</x:f>
        <x:v>68880</x:v>
      </x:c>
      <x:c r="F25" s="25" t="n">
        <x:f>SUMIFS('Teacher Salary Data'!$E$2:$E$1277,'Teacher Salary Data'!$A$2:$A$1277,$A25,'Teacher Salary Data'!$C$2:$C$1277,"Bachelor's",'Teacher Salary Data'!$D$2:$D$1277,10)</x:f>
        <x:v>75476</x:v>
      </x:c>
      <x:c r="G25" s="22" t="n">
        <x:f>SUMIFS('Teacher Salary Data'!$E$2:$E$1277,'Teacher Salary Data'!$A$2:$A$1277,$A25,'Teacher Salary Data'!$C$2:$C$1277,"Master's",'Teacher Salary Data'!$D$2:$D$1277,0)</x:f>
        <x:v>62105</x:v>
      </x:c>
      <x:c r="H25" s="25" t="n">
        <x:f>SUMIFS('Teacher Salary Data'!$E$2:$E$1277,'Teacher Salary Data'!$A$2:$A$1277,$A25,'Teacher Salary Data'!$C$2:$C$1277,"Master's",'Teacher Salary Data'!$D$2:$D$1277,5)</x:f>
        <x:v>73398</x:v>
      </x:c>
      <x:c r="I25" s="25" t="n">
        <x:f>SUMIFS('Teacher Salary Data'!$E$2:$E$1277,'Teacher Salary Data'!$A$2:$A$1277,$A25,'Teacher Salary Data'!$C$2:$C$1277,"Master's",'Teacher Salary Data'!$D$2:$D$1277,10)</x:f>
        <x:v>80689</x:v>
      </x:c>
      <x:c r="J25" s="25" t="n">
        <x:f>AVERAGE(D25,G25)</x:f>
        <x:v>59846</x:v>
      </x:c>
      <x:c r="K25" s="25" t="n">
        <x:f>AVERAGE(F25,I25)</x:f>
        <x:v>78082.5</x:v>
      </x:c>
      <x:c r="L25" s="26" t="n">
        <x:f>IFERROR((K25-J25)/J25,0)</x:f>
        <x:v>0.30472379106373026</x:v>
      </x:c>
      <x:c r="M25" s="25" t="n">
        <x:f>G25-D25</x:f>
        <x:v>4518</x:v>
      </x:c>
      <x:c r="N25" s="25" t="n">
        <x:f>IFERROR(INDEX('Median Home and Rent Prices'!$D$2:$D$58,MATCH($A25,'Median Home and Rent Prices'!$A$2:$A$58,0)),0)</x:f>
        <x:v>439737</x:v>
      </x:c>
      <x:c r="O25" s="25" t="n">
        <x:f>IFERROR(INDEX('Median Home and Rent Prices'!$E$2:$E$58,MATCH($A25,'Median Home and Rent Prices'!$A$2:$A$58,0)),0)</x:f>
        <x:v>1655</x:v>
      </x:c>
      <x:c r="P25" s="92" t="n">
        <x:f>IFERROR(INDEX('School District Profiles'!$H$2:$H$58,MATCH($A25,'School District Profiles'!$A$2:$A$58,0)),0)</x:f>
        <x:v>11.61</x:v>
      </x:c>
      <x:c r="Q25" s="25" t="n">
        <x:f>IFERROR(INDEX('School District Profiles'!$I$2:$I$58,MATCH($A25,'School District Profiles'!$A$2:$A$58,0)),0)</x:f>
        <x:v>195.44</x:v>
      </x:c>
      <x:c r="R25" s="27" t="n">
        <x:f>IFERROR(MAX(0,MIN(100,(K25-50000)/(110000-50000)*100)),0)</x:f>
        <x:v>46.80416666666667</x:v>
      </x:c>
      <x:c r="S25" s="27" t="n">
        <x:f>IFERROR(MAX(0,MIN(100,L25/0.6*100)),0)</x:f>
        <x:v>50.78729851062172</x:v>
      </x:c>
      <x:c r="T25" s="27" t="n">
        <x:f>IFERROR(MAX(0,MIN(100,M25/15000*100)),0)</x:f>
        <x:v>30.12</x:v>
      </x:c>
      <x:c r="U25" s="27" t="n">
        <x:f>IFERROR(0.45*R25+0.4*S25+0.15*T25,0)</x:f>
        <x:v>45.894794404248685</x:v>
      </x:c>
      <x:c r="V25" s="27" t="n">
        <x:f>IFERROR(0.4*MAX(0,MIN(100,(((J25/12)/O25)-2)/(4-2)*100))+0.35*MAX(0,MIN(100,(8-(N25/K25))/(8-3)*100))+0.25*AB25,0)</x:f>
        <x:v>57.576763653547914</x:v>
      </x:c>
      <x:c r="W25" s="27" t="n">
        <x:f>IFERROR(MAX(0,MIN(100,(25-P25)/(25-12)*100)),0)</x:f>
        <x:v>100</x:v>
      </x:c>
      <x:c r="X25" s="27" t="n">
        <x:f>IFERROR(MAX(0,MIN(100,(AD25-1)/(3-1)*100))*IF(OR($A25="North Clackamas School District",$A25="Provo City School District"),0.6,1),0)</x:f>
        <x:v>68.09063444108763</x:v>
      </x:c>
      <x:c r="Y25" s="27" t="n">
        <x:f>IFERROR(MAX(0,MIN(100,(1-((IFERROR(INDEX('School District Profiles'!$D$2:$D$58,MATCH($A25,'School District Profiles'!$A$2:$A$58,0)),0)/100)^2+(IFERROR(INDEX('School District Profiles'!$E$2:$E$58,MATCH($A25,'School District Profiles'!$A$2:$A$58,0)),0)/100)^2+(IFERROR(INDEX('School District Profiles'!$F$2:$F$58,MATCH($A25,'School District Profiles'!$A$2:$A$58,0)),0)/100)^2+(IFERROR(INDEX('School District Profiles'!$G$2:$G$58,MATCH($A25,'School District Profiles'!$A$2:$A$58,0)),0)/100)^2+(AC25/100)^2))/0.8*100)),0)</x:f>
        <x:v>92</x:v>
      </x:c>
      <x:c r="Z25" s="27" t="n">
        <x:f>IFERROR(AF25*AG25,0)</x:f>
        <x:v>61.640010301872614</x:v>
      </x:c>
      <x:c r="AA25" s="27" t="n">
        <x:f>IFERROR(INDEX('Median Home and Rent Prices'!$F$2:$F$58,MATCH($A25,'Median Home and Rent Prices'!$A$2:$A$58,0)),0)</x:f>
        <x:v>261</x:v>
      </x:c>
      <x:c r="AB25" s="27" t="n">
        <x:f>IFERROR(MAX(0,MIN(100,(800-AA25)/(800-150)*100)),0)</x:f>
        <x:v>82.92307692307692</x:v>
      </x:c>
      <x:c r="AC25" s="26" t="n">
        <x:f>IFERROR(INDEX('School District Profiles'!$J$2:$J$58,MATCH($A25,'School District Profiles'!$A$2:$A$58,0)),0)</x:f>
        <x:v>11</x:v>
      </x:c>
      <x:c r="AD25" s="27" t="n">
        <x:f>IFERROR(Q25*20/O25,0)</x:f>
        <x:v>2.3618126888217525</x:v>
      </x:c>
      <x:c r="AE25" s="28" t="n">
        <x:f>IFERROR(IF(AG25&gt;=1,100,IF(AG25&gt;=0.95,75,IF(AG25&gt;=0.9,60,IF(AG25&gt;=0.85,40,IF(AG25&gt;=0.8,25,0))))),0)</x:f>
        <x:v>100</x:v>
      </x:c>
      <x:c r="AF25" s="28" t="n">
        <x:f>IFERROR(0.4*U25+0.3*V25+0.1*W25+0.1*X25+0.1*Y25,0)</x:f>
        <x:v>61.640010301872614</x:v>
      </x:c>
      <x:c r="AG25" s="28" t="n">
        <x:v>1</x:v>
      </x:c>
      <x:c r="AH25" s="10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</x:row>
    <x:row r="26" ht="26.75" customHeight="1">
      <x:c r="A26" s="24" t="inlineStr">
        <x:is>
          <x:t xml:space="preserve">Metro Nashville Public Schools</x:t>
        </x:is>
      </x:c>
      <x:c r="B26" s="24" t="str">
        <x:f>IFERROR(INDEX('School District Profiles'!$B$2:$B$58,MATCH($A26,'School District Profiles'!$A$2:$A$58,0)),"")</x:f>
        <x:v>TN</x:v>
      </x:c>
      <x:c r="C26" s="24" t="str">
        <x:f>IFERROR(INDEX('School District Profiles'!$C$2:$C$58,MATCH($A26,'School District Profiles'!$A$2:$A$58,0)),"")</x:f>
        <x:v>Nashville</x:v>
      </x:c>
      <x:c r="D26" s="25" t="n">
        <x:f>SUMIFS('Teacher Salary Data'!$E$2:$E$1277,'Teacher Salary Data'!$A$2:$A$1277,$A26,'Teacher Salary Data'!$C$2:$C$1277,"Bachelor's",'Teacher Salary Data'!$D$2:$D$1277,0)</x:f>
        <x:v>53610.04</x:v>
      </x:c>
      <x:c r="E26" s="25" t="n">
        <x:f>SUMIFS('Teacher Salary Data'!$E$2:$E$1277,'Teacher Salary Data'!$A$2:$A$1277,$A26,'Teacher Salary Data'!$C$2:$C$1277,"Bachelor's",'Teacher Salary Data'!$D$2:$D$1277,5)</x:f>
        <x:v>59527.35</x:v>
      </x:c>
      <x:c r="F26" s="25" t="n">
        <x:f>SUMIFS('Teacher Salary Data'!$E$2:$E$1277,'Teacher Salary Data'!$A$2:$A$1277,$A26,'Teacher Salary Data'!$C$2:$C$1277,"Bachelor's",'Teacher Salary Data'!$D$2:$D$1277,10)</x:f>
        <x:v>65444.67</x:v>
      </x:c>
      <x:c r="G26" s="22" t="n">
        <x:f>SUMIFS('Teacher Salary Data'!$E$2:$E$1277,'Teacher Salary Data'!$A$2:$A$1277,$A26,'Teacher Salary Data'!$C$2:$C$1277,"Master's",'Teacher Salary Data'!$D$2:$D$1277,0)</x:f>
        <x:v>59065.94</x:v>
      </x:c>
      <x:c r="H26" s="25" t="n">
        <x:f>SUMIFS('Teacher Salary Data'!$E$2:$E$1277,'Teacher Salary Data'!$A$2:$A$1277,$A26,'Teacher Salary Data'!$C$2:$C$1277,"Master's",'Teacher Salary Data'!$D$2:$D$1277,5)</x:f>
        <x:v>65756.91</x:v>
      </x:c>
      <x:c r="I26" s="25" t="n">
        <x:f>SUMIFS('Teacher Salary Data'!$E$2:$E$1277,'Teacher Salary Data'!$A$2:$A$1277,$A26,'Teacher Salary Data'!$C$2:$C$1277,"Master's",'Teacher Salary Data'!$D$2:$D$1277,10)</x:f>
        <x:v>71405.13</x:v>
      </x:c>
      <x:c r="J26" s="25" t="n">
        <x:f>AVERAGE(D26,G26)</x:f>
        <x:v>56337.990000000005</x:v>
      </x:c>
      <x:c r="K26" s="25" t="n">
        <x:f>AVERAGE(F26,I26)</x:f>
        <x:v>68424.9</x:v>
      </x:c>
      <x:c r="L26" s="26" t="n">
        <x:f>IFERROR((K26-J26)/J26,0)</x:f>
        <x:v>0.21454279785274533</x:v>
      </x:c>
      <x:c r="M26" s="25" t="n">
        <x:f>G26-D26</x:f>
        <x:v>5455.9000000000015</x:v>
      </x:c>
      <x:c r="N26" s="25" t="n">
        <x:f>IFERROR(INDEX('Median Home and Rent Prices'!$D$2:$D$58,MATCH($A26,'Median Home and Rent Prices'!$A$2:$A$58,0)),0)</x:f>
        <x:v>436355</x:v>
      </x:c>
      <x:c r="O26" s="25" t="n">
        <x:f>IFERROR(INDEX('Median Home and Rent Prices'!$E$2:$E$58,MATCH($A26,'Median Home and Rent Prices'!$A$2:$A$58,0)),0)</x:f>
        <x:v>2195</x:v>
      </x:c>
      <x:c r="P26" s="92" t="n">
        <x:f>IFERROR(INDEX('School District Profiles'!$H$2:$H$58,MATCH($A26,'School District Profiles'!$A$2:$A$58,0)),0)</x:f>
        <x:v>16</x:v>
      </x:c>
      <x:c r="Q26" s="25" t="n">
        <x:f>IFERROR(INDEX('School District Profiles'!$I$2:$I$58,MATCH($A26,'School District Profiles'!$A$2:$A$58,0)),0)</x:f>
        <x:v>145</x:v>
      </x:c>
      <x:c r="R26" s="27" t="n">
        <x:f>IFERROR(MAX(0,MIN(100,(K26-50000)/(110000-50000)*100)),0)</x:f>
        <x:v>30.70816666666666</x:v>
      </x:c>
      <x:c r="S26" s="27" t="n">
        <x:f>IFERROR(MAX(0,MIN(100,L26/0.6*100)),0)</x:f>
        <x:v>35.75713297545756</x:v>
      </x:c>
      <x:c r="T26" s="27" t="n">
        <x:f>IFERROR(MAX(0,MIN(100,M26/15000*100)),0)</x:f>
        <x:v>36.372666666666674</x:v>
      </x:c>
      <x:c r="U26" s="27" t="n">
        <x:f>IFERROR(0.45*R26+0.4*S26+0.15*T26,0)</x:f>
        <x:v>33.57742819018302</x:v>
      </x:c>
      <x:c r="V26" s="27" t="n">
        <x:f>IFERROR(0.4*MAX(0,MIN(100,(((J26/12)/O26)-2)/(4-2)*100))+0.35*MAX(0,MIN(100,(8-(N26/K26))/(8-3)*100))+0.25*AB26,0)</x:f>
        <x:v>34.36832337758302</x:v>
      </x:c>
      <x:c r="W26" s="27" t="n">
        <x:f>IFERROR(MAX(0,MIN(100,(25-P26)/(25-12)*100)),0)</x:f>
        <x:v>69.23076923076923</x:v>
      </x:c>
      <x:c r="X26" s="27" t="n">
        <x:f>IFERROR(MAX(0,MIN(100,(AD26-1)/(3-1)*100))*IF(OR($A26="North Clackamas School District",$A26="Provo City School District"),0.6,1),0)</x:f>
        <x:v>16.059225512528474</x:v>
      </x:c>
      <x:c r="Y26" s="27" t="n">
        <x:f>IFERROR(MAX(0,MIN(100,(1-((IFERROR(INDEX('School District Profiles'!$D$2:$D$58,MATCH($A26,'School District Profiles'!$A$2:$A$58,0)),0)/100)^2+(IFERROR(INDEX('School District Profiles'!$E$2:$E$58,MATCH($A26,'School District Profiles'!$A$2:$A$58,0)),0)/100)^2+(IFERROR(INDEX('School District Profiles'!$F$2:$F$58,MATCH($A26,'School District Profiles'!$A$2:$A$58,0)),0)/100)^2+(IFERROR(INDEX('School District Profiles'!$G$2:$G$58,MATCH($A26,'School District Profiles'!$A$2:$A$58,0)),0)/100)^2+(AC26/100)^2))/0.8*100)),0)</x:f>
        <x:v>85.207</x:v>
      </x:c>
      <x:c r="Z26" s="27" t="n">
        <x:f>IFERROR(AF26*AG26,0)</x:f>
        <x:v>38.751609375493985</x:v>
      </x:c>
      <x:c r="AA26" s="27" t="n">
        <x:f>IFERROR(INDEX('Median Home and Rent Prices'!$F$2:$F$58,MATCH($A26,'Median Home and Rent Prices'!$A$2:$A$58,0)),0)</x:f>
        <x:v>274</x:v>
      </x:c>
      <x:c r="AB26" s="27" t="n">
        <x:f>IFERROR(MAX(0,MIN(100,(800-AA26)/(800-150)*100)),0)</x:f>
        <x:v>80.92307692307692</x:v>
      </x:c>
      <x:c r="AC26" s="26" t="n">
        <x:f>IFERROR(INDEX('School District Profiles'!$J$2:$J$58,MATCH($A26,'School District Profiles'!$A$2:$A$58,0)),0)</x:f>
        <x:v>0.4000000000000057</x:v>
      </x:c>
      <x:c r="AD26" s="27" t="n">
        <x:f>IFERROR(Q26*20/O26,0)</x:f>
        <x:v>1.3211845102505695</x:v>
      </x:c>
      <x:c r="AE26" s="28" t="n">
        <x:f>IFERROR(IF(AG26&gt;=1,100,IF(AG26&gt;=0.95,75,IF(AG26&gt;=0.9,60,IF(AG26&gt;=0.85,40,IF(AG26&gt;=0.8,25,0))))),0)</x:f>
        <x:v>75</x:v>
      </x:c>
      <x:c r="AF26" s="28" t="n">
        <x:f>IFERROR(0.4*U26+0.3*V26+0.1*W26+0.1*X26+0.1*Y26,0)</x:f>
        <x:v>40.79116776367788</x:v>
      </x:c>
      <x:c r="AG26" s="28" t="n">
        <x:v>0.95</x:v>
      </x:c>
      <x:c r="AH26" s="10" t="inlineStr">
        <x:is>
          <x:t xml:space="preserve">5% watchlist penalty due to budget-pressure reporting tied to expiring federal aid/funding issues, without strong current broad-layoff evidence.</x:t>
        </x:is>
      </x:c>
    </x:row>
    <x:row r="27" ht="26.75" customHeight="1">
      <x:c r="A27" s="24" t="inlineStr">
        <x:is>
          <x:t xml:space="preserve">Nassau County School District</x:t>
        </x:is>
      </x:c>
      <x:c r="B27" s="24" t="str">
        <x:f>IFERROR(INDEX('School District Profiles'!$B$2:$B$58,MATCH($A27,'School District Profiles'!$A$2:$A$58,0)),"")</x:f>
        <x:v>FL</x:v>
      </x:c>
      <x:c r="C27" s="24" t="str">
        <x:f>IFERROR(INDEX('School District Profiles'!$C$2:$C$58,MATCH($A27,'School District Profiles'!$A$2:$A$58,0)),"")</x:f>
        <x:v>Northeast FL</x:v>
      </x:c>
      <x:c r="D27" s="25" t="n">
        <x:f>SUMIFS('Teacher Salary Data'!$E$2:$E$1277,'Teacher Salary Data'!$A$2:$A$1277,$A27,'Teacher Salary Data'!$C$2:$C$1277,"Bachelor's",'Teacher Salary Data'!$D$2:$D$1277,0)</x:f>
        <x:v>52407</x:v>
      </x:c>
      <x:c r="E27" s="25" t="n">
        <x:f>SUMIFS('Teacher Salary Data'!$E$2:$E$1277,'Teacher Salary Data'!$A$2:$A$1277,$A27,'Teacher Salary Data'!$C$2:$C$1277,"Bachelor's",'Teacher Salary Data'!$D$2:$D$1277,5)</x:f>
        <x:v>57173</x:v>
      </x:c>
      <x:c r="F27" s="25" t="n">
        <x:f>SUMIFS('Teacher Salary Data'!$E$2:$E$1277,'Teacher Salary Data'!$A$2:$A$1277,$A27,'Teacher Salary Data'!$C$2:$C$1277,"Bachelor's",'Teacher Salary Data'!$D$2:$D$1277,10)</x:f>
        <x:v>62490</x:v>
      </x:c>
      <x:c r="G27" s="22" t="n">
        <x:f>SUMIFS('Teacher Salary Data'!$E$2:$E$1277,'Teacher Salary Data'!$A$2:$A$1277,$A27,'Teacher Salary Data'!$C$2:$C$1277,"Master's",'Teacher Salary Data'!$D$2:$D$1277,0)</x:f>
        <x:v>56037</x:v>
      </x:c>
      <x:c r="H27" s="25" t="n">
        <x:f>SUMIFS('Teacher Salary Data'!$E$2:$E$1277,'Teacher Salary Data'!$A$2:$A$1277,$A27,'Teacher Salary Data'!$C$2:$C$1277,"Master's",'Teacher Salary Data'!$D$2:$D$1277,5)</x:f>
        <x:v>60803</x:v>
      </x:c>
      <x:c r="I27" s="25" t="n">
        <x:f>SUMIFS('Teacher Salary Data'!$E$2:$E$1277,'Teacher Salary Data'!$A$2:$A$1277,$A27,'Teacher Salary Data'!$C$2:$C$1277,"Master's",'Teacher Salary Data'!$D$2:$D$1277,10)</x:f>
        <x:v>66120</x:v>
      </x:c>
      <x:c r="J27" s="25" t="n">
        <x:f>AVERAGE(D27,G27)</x:f>
        <x:v>54222</x:v>
      </x:c>
      <x:c r="K27" s="25" t="n">
        <x:f>AVERAGE(F27,I27)</x:f>
        <x:v>64305</x:v>
      </x:c>
      <x:c r="L27" s="26" t="n">
        <x:f>IFERROR((K27-J27)/J27,0)</x:f>
        <x:v>0.1859577293349563</x:v>
      </x:c>
      <x:c r="M27" s="25" t="n">
        <x:f>G27-D27</x:f>
        <x:v>3630</x:v>
      </x:c>
      <x:c r="N27" s="25" t="n">
        <x:f>IFERROR(INDEX('Median Home and Rent Prices'!$D$2:$D$58,MATCH($A27,'Median Home and Rent Prices'!$A$2:$A$58,0)),0)</x:f>
        <x:v>421075</x:v>
      </x:c>
      <x:c r="O27" s="25" t="n">
        <x:f>IFERROR(INDEX('Median Home and Rent Prices'!$E$2:$E$58,MATCH($A27,'Median Home and Rent Prices'!$A$2:$A$58,0)),0)</x:f>
        <x:v>1834</x:v>
      </x:c>
      <x:c r="P27" s="92" t="n">
        <x:f>IFERROR(INDEX('School District Profiles'!$H$2:$H$58,MATCH($A27,'School District Profiles'!$A$2:$A$58,0)),0)</x:f>
        <x:v>15.55</x:v>
      </x:c>
      <x:c r="Q27" s="25" t="n">
        <x:f>IFERROR(INDEX('School District Profiles'!$I$2:$I$58,MATCH($A27,'School District Profiles'!$A$2:$A$58,0)),0)</x:f>
        <x:v>120</x:v>
      </x:c>
      <x:c r="R27" s="27" t="n">
        <x:f>IFERROR(MAX(0,MIN(100,(K27-50000)/(110000-50000)*100)),0)</x:f>
        <x:v>23.841666666666665</x:v>
      </x:c>
      <x:c r="S27" s="27" t="n">
        <x:f>IFERROR(MAX(0,MIN(100,L27/0.6*100)),0)</x:f>
        <x:v>30.992954889159385</x:v>
      </x:c>
      <x:c r="T27" s="27" t="n">
        <x:f>IFERROR(MAX(0,MIN(100,M27/15000*100)),0)</x:f>
        <x:v>24.2</x:v>
      </x:c>
      <x:c r="U27" s="27" t="n">
        <x:f>IFERROR(0.45*R27+0.4*S27+0.15*T27,0)</x:f>
        <x:v>26.75593195566375</x:v>
      </x:c>
      <x:c r="V27" s="27" t="n">
        <x:f>IFERROR(0.4*MAX(0,MIN(100,(((J27/12)/O27)-2)/(4-2)*100))+0.35*MAX(0,MIN(100,(8-(N27/K27))/(8-3)*100))+0.25*AB27,0)</x:f>
        <x:v>42.053555878170314</x:v>
      </x:c>
      <x:c r="W27" s="27" t="n">
        <x:f>IFERROR(MAX(0,MIN(100,(25-P27)/(25-12)*100)),0)</x:f>
        <x:v>72.6923076923077</x:v>
      </x:c>
      <x:c r="X27" s="27" t="n">
        <x:f>IFERROR(MAX(0,MIN(100,(AD27-1)/(3-1)*100))*IF(OR($A27="North Clackamas School District",$A27="Provo City School District"),0.6,1),0)</x:f>
        <x:v>15.430752453653218</x:v>
      </x:c>
      <x:c r="Y27" s="27" t="n">
        <x:f>IFERROR(MAX(0,MIN(100,(1-((IFERROR(INDEX('School District Profiles'!$D$2:$D$58,MATCH($A27,'School District Profiles'!$A$2:$A$58,0)),0)/100)^2+(IFERROR(INDEX('School District Profiles'!$E$2:$E$58,MATCH($A27,'School District Profiles'!$A$2:$A$58,0)),0)/100)^2+(IFERROR(INDEX('School District Profiles'!$F$2:$F$58,MATCH($A27,'School District Profiles'!$A$2:$A$58,0)),0)/100)^2+(IFERROR(INDEX('School District Profiles'!$G$2:$G$58,MATCH($A27,'School District Profiles'!$A$2:$A$58,0)),0)/100)^2+(AC27/100)^2))/0.8*100)),0)</x:f>
        <x:v>52.2</x:v>
      </x:c>
      <x:c r="Z27" s="27" t="n">
        <x:f>IFERROR(AF27*AG27,0)</x:f>
        <x:v>37.35074556031268</x:v>
      </x:c>
      <x:c r="AA27" s="27" t="n">
        <x:f>IFERROR(INDEX('Median Home and Rent Prices'!$F$2:$F$58,MATCH($A27,'Median Home and Rent Prices'!$A$2:$A$58,0)),0)</x:f>
        <x:v>212</x:v>
      </x:c>
      <x:c r="AB27" s="27" t="n">
        <x:f>IFERROR(MAX(0,MIN(100,(800-AA27)/(800-150)*100)),0)</x:f>
        <x:v>90.46153846153845</x:v>
      </x:c>
      <x:c r="AC27" s="26" t="n">
        <x:f>IFERROR(INDEX('School District Profiles'!$J$2:$J$58,MATCH($A27,'School District Profiles'!$A$2:$A$58,0)),0)</x:f>
        <x:v>5</x:v>
      </x:c>
      <x:c r="AD27" s="27" t="n">
        <x:f>IFERROR(Q27*20/O27,0)</x:f>
        <x:v>1.3086150490730644</x:v>
      </x:c>
      <x:c r="AE27" s="28" t="n">
        <x:f>IFERROR(IF(AG27&gt;=1,100,IF(AG27&gt;=0.95,75,IF(AG27&gt;=0.9,60,IF(AG27&gt;=0.85,40,IF(AG27&gt;=0.8,25,0))))),0)</x:f>
        <x:v>100</x:v>
      </x:c>
      <x:c r="AF27" s="28" t="n">
        <x:f>IFERROR(0.4*U27+0.3*V27+0.1*W27+0.1*X27+0.1*Y27,0)</x:f>
        <x:v>37.35074556031268</x:v>
      </x:c>
      <x:c r="AG27" s="28" t="n">
        <x:v>1</x:v>
      </x:c>
      <x:c r="AH27" s="10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</x:row>
    <x:row r="28" ht="26.75" customHeight="1">
      <x:c r="A28" s="24" t="inlineStr">
        <x:is>
          <x:t xml:space="preserve">North Clackamas School District</x:t>
        </x:is>
      </x:c>
      <x:c r="B28" s="24" t="str">
        <x:f>IFERROR(INDEX('School District Profiles'!$B$2:$B$58,MATCH($A28,'School District Profiles'!$A$2:$A$58,0)),"")</x:f>
        <x:v>OR</x:v>
      </x:c>
      <x:c r="C28" s="24" t="str">
        <x:f>IFERROR(INDEX('School District Profiles'!$C$2:$C$58,MATCH($A28,'School District Profiles'!$A$2:$A$58,0)),"")</x:f>
        <x:v>Portland</x:v>
      </x:c>
      <x:c r="D28" s="25" t="n">
        <x:f>SUMIFS('Teacher Salary Data'!$E$2:$E$1277,'Teacher Salary Data'!$A$2:$A$1277,$A28,'Teacher Salary Data'!$C$2:$C$1277,"Bachelor's",'Teacher Salary Data'!$D$2:$D$1277,0)</x:f>
        <x:v>58788</x:v>
      </x:c>
      <x:c r="E28" s="25" t="n">
        <x:f>SUMIFS('Teacher Salary Data'!$E$2:$E$1277,'Teacher Salary Data'!$A$2:$A$1277,$A28,'Teacher Salary Data'!$C$2:$C$1277,"Bachelor's",'Teacher Salary Data'!$D$2:$D$1277,5)</x:f>
        <x:v>67459</x:v>
      </x:c>
      <x:c r="F28" s="25" t="n">
        <x:f>SUMIFS('Teacher Salary Data'!$E$2:$E$1277,'Teacher Salary Data'!$A$2:$A$1277,$A28,'Teacher Salary Data'!$C$2:$C$1277,"Bachelor's",'Teacher Salary Data'!$D$2:$D$1277,10)</x:f>
        <x:v>77396</x:v>
      </x:c>
      <x:c r="G28" s="22" t="n">
        <x:f>SUMIFS('Teacher Salary Data'!$E$2:$E$1277,'Teacher Salary Data'!$A$2:$A$1277,$A28,'Teacher Salary Data'!$C$2:$C$1277,"Master's",'Teacher Salary Data'!$D$2:$D$1277,0)</x:f>
        <x:v>62507</x:v>
      </x:c>
      <x:c r="H28" s="25" t="n">
        <x:f>SUMIFS('Teacher Salary Data'!$E$2:$E$1277,'Teacher Salary Data'!$A$2:$A$1277,$A28,'Teacher Salary Data'!$C$2:$C$1277,"Master's",'Teacher Salary Data'!$D$2:$D$1277,5)</x:f>
        <x:v>72563</x:v>
      </x:c>
      <x:c r="I28" s="25" t="n">
        <x:f>SUMIFS('Teacher Salary Data'!$E$2:$E$1277,'Teacher Salary Data'!$A$2:$A$1277,$A28,'Teacher Salary Data'!$C$2:$C$1277,"Master's",'Teacher Salary Data'!$D$2:$D$1277,10)</x:f>
        <x:v>84238</x:v>
      </x:c>
      <x:c r="J28" s="25" t="n">
        <x:f>AVERAGE(D28,G28)</x:f>
        <x:v>60647.5</x:v>
      </x:c>
      <x:c r="K28" s="25" t="n">
        <x:f>AVERAGE(F28,I28)</x:f>
        <x:v>80817</x:v>
      </x:c>
      <x:c r="L28" s="26" t="n">
        <x:f>IFERROR((K28-J28)/J28,0)</x:f>
        <x:v>0.332569355703038</x:v>
      </x:c>
      <x:c r="M28" s="25" t="n">
        <x:f>G28-D28</x:f>
        <x:v>3719</x:v>
      </x:c>
      <x:c r="N28" s="25" t="n">
        <x:f>IFERROR(INDEX('Median Home and Rent Prices'!$D$2:$D$58,MATCH($A28,'Median Home and Rent Prices'!$A$2:$A$58,0)),0)</x:f>
        <x:v>518000</x:v>
      </x:c>
      <x:c r="O28" s="25" t="n">
        <x:f>IFERROR(INDEX('Median Home and Rent Prices'!$E$2:$E$58,MATCH($A28,'Median Home and Rent Prices'!$A$2:$A$58,0)),0)</x:f>
        <x:v>1699</x:v>
      </x:c>
      <x:c r="P28" s="92" t="n">
        <x:f>IFERROR(INDEX('School District Profiles'!$H$2:$H$58,MATCH($A28,'School District Profiles'!$A$2:$A$58,0)),0)</x:f>
        <x:v>19.32</x:v>
      </x:c>
      <x:c r="Q28" s="25" t="n">
        <x:f>IFERROR(INDEX('School District Profiles'!$I$2:$I$58,MATCH($A28,'School District Profiles'!$A$2:$A$58,0)),0)</x:f>
        <x:v>250</x:v>
      </x:c>
      <x:c r="R28" s="27" t="n">
        <x:f>IFERROR(MAX(0,MIN(100,(K28-50000)/(110000-50000)*100)),0)</x:f>
        <x:v>51.36166666666667</x:v>
      </x:c>
      <x:c r="S28" s="27" t="n">
        <x:f>IFERROR(MAX(0,MIN(100,L28/0.6*100)),0)</x:f>
        <x:v>55.42822595050634</x:v>
      </x:c>
      <x:c r="T28" s="27" t="n">
        <x:f>IFERROR(MAX(0,MIN(100,M28/15000*100)),0)</x:f>
        <x:v>24.793333333333333</x:v>
      </x:c>
      <x:c r="U28" s="27" t="n">
        <x:f>IFERROR(0.45*R28+0.4*S28+0.15*T28,0)</x:f>
        <x:v>49.00304038020254</x:v>
      </x:c>
      <x:c r="V28" s="27" t="n">
        <x:f>IFERROR(0.4*MAX(0,MIN(100,(((J28/12)/O28)-2)/(4-2)*100))+0.35*MAX(0,MIN(100,(8-(N28/K28))/(8-3)*100))+0.25*AB28,0)</x:f>
        <x:v>50.664993120728255</x:v>
      </x:c>
      <x:c r="W28" s="27" t="n">
        <x:f>IFERROR(MAX(0,MIN(100,(25-P28)/(25-12)*100)),0)</x:f>
        <x:v>43.69230769230769</x:v>
      </x:c>
      <x:c r="X28" s="27" t="n">
        <x:f>IFERROR(MAX(0,MIN(100,(AD28-1)/(3-1)*100))*IF(OR($A28="North Clackamas School District",$A28="Provo City School District"),0.6,1),0)</x:f>
        <x:v>58.28722778104767</x:v>
      </x:c>
      <x:c r="Y28" s="27" t="n">
        <x:f>IFERROR(MAX(0,MIN(100,(1-((IFERROR(INDEX('School District Profiles'!$D$2:$D$58,MATCH($A28,'School District Profiles'!$A$2:$A$58,0)),0)/100)^2+(IFERROR(INDEX('School District Profiles'!$E$2:$E$58,MATCH($A28,'School District Profiles'!$A$2:$A$58,0)),0)/100)^2+(IFERROR(INDEX('School District Profiles'!$F$2:$F$58,MATCH($A28,'School District Profiles'!$A$2:$A$58,0)),0)/100)^2+(IFERROR(INDEX('School District Profiles'!$G$2:$G$58,MATCH($A28,'School District Profiles'!$A$2:$A$58,0)),0)/100)^2+(AC28/100)^2))/0.8*100)),0)</x:f>
        <x:v>77.875</x:v>
      </x:c>
      <x:c r="Z28" s="27" t="n">
        <x:f>IFERROR(AF28*AG28,0)</x:f>
        <x:v>50.14685925385328</x:v>
      </x:c>
      <x:c r="AA28" s="27" t="n">
        <x:f>IFERROR(INDEX('Median Home and Rent Prices'!$F$2:$F$58,MATCH($A28,'Median Home and Rent Prices'!$A$2:$A$58,0)),0)</x:f>
        <x:v>279</x:v>
      </x:c>
      <x:c r="AB28" s="27" t="n">
        <x:f>IFERROR(MAX(0,MIN(100,(800-AA28)/(800-150)*100)),0)</x:f>
        <x:v>80.15384615384616</x:v>
      </x:c>
      <x:c r="AC28" s="26" t="n">
        <x:f>IFERROR(INDEX('School District Profiles'!$J$2:$J$58,MATCH($A28,'School District Profiles'!$A$2:$A$58,0)),0)</x:f>
        <x:v>9</x:v>
      </x:c>
      <x:c r="AD28" s="27" t="n">
        <x:f>IFERROR(Q28*20/O28,0)</x:f>
        <x:v>2.942907592701589</x:v>
      </x:c>
      <x:c r="AE28" s="28" t="n">
        <x:f>IFERROR(IF(AG28&gt;=1,100,IF(AG28&gt;=0.95,75,IF(AG28&gt;=0.9,60,IF(AG28&gt;=0.85,40,IF(AG28&gt;=0.8,25,0))))),0)</x:f>
        <x:v>75</x:v>
      </x:c>
      <x:c r="AF28" s="28" t="n">
        <x:f>IFERROR(0.4*U28+0.3*V28+0.1*W28+0.1*X28+0.1*Y28,0)</x:f>
        <x:v>52.78616763563503</x:v>
      </x:c>
      <x:c r="AG28" s="28" t="n">
        <x:v>0.95</x:v>
      </x:c>
      <x:c r="AH28" s="10" t="inlineStr">
        <x:is>
          <x:t xml:space="preserve">5% watchlist penalty due to Portland-area funding climate and active budget review; no strong current broad layoff evidence found in first pass.</x:t>
        </x:is>
      </x:c>
    </x:row>
    <x:row r="29" ht="26.75" customHeight="1">
      <x:c r="A29" s="24" t="inlineStr">
        <x:is>
          <x:t xml:space="preserve">Oakland Unified School District</x:t>
        </x:is>
      </x:c>
      <x:c r="B29" s="24" t="str">
        <x:f>IFERROR(INDEX('School District Profiles'!$B$2:$B$58,MATCH($A29,'School District Profiles'!$A$2:$A$58,0)),"")</x:f>
        <x:v>CA</x:v>
      </x:c>
      <x:c r="C29" s="24" t="str">
        <x:f>IFERROR(INDEX('School District Profiles'!$C$2:$C$58,MATCH($A29,'School District Profiles'!$A$2:$A$58,0)),"")</x:f>
        <x:v>Bay Area</x:v>
      </x:c>
      <x:c r="D29" s="25" t="n">
        <x:f>SUMIFS('Teacher Salary Data'!$E$2:$E$1277,'Teacher Salary Data'!$A$2:$A$1277,$A29,'Teacher Salary Data'!$C$2:$C$1277,"Bachelor's",'Teacher Salary Data'!$D$2:$D$1277,0)</x:f>
        <x:v>62696</x:v>
      </x:c>
      <x:c r="E29" s="25" t="n">
        <x:f>SUMIFS('Teacher Salary Data'!$E$2:$E$1277,'Teacher Salary Data'!$A$2:$A$1277,$A29,'Teacher Salary Data'!$C$2:$C$1277,"Bachelor's",'Teacher Salary Data'!$D$2:$D$1277,5)</x:f>
        <x:v>67430</x:v>
      </x:c>
      <x:c r="F29" s="25" t="n">
        <x:f>SUMIFS('Teacher Salary Data'!$E$2:$E$1277,'Teacher Salary Data'!$A$2:$A$1277,$A29,'Teacher Salary Data'!$C$2:$C$1277,"Bachelor's",'Teacher Salary Data'!$D$2:$D$1277,10)</x:f>
        <x:v>78360</x:v>
      </x:c>
      <x:c r="G29" s="22" t="n">
        <x:f>SUMIFS('Teacher Salary Data'!$E$2:$E$1277,'Teacher Salary Data'!$A$2:$A$1277,$A29,'Teacher Salary Data'!$C$2:$C$1277,"Master's",'Teacher Salary Data'!$D$2:$D$1277,0)</x:f>
        <x:v>63157</x:v>
      </x:c>
      <x:c r="H29" s="25" t="n">
        <x:f>SUMIFS('Teacher Salary Data'!$E$2:$E$1277,'Teacher Salary Data'!$A$2:$A$1277,$A29,'Teacher Salary Data'!$C$2:$C$1277,"Master's",'Teacher Salary Data'!$D$2:$D$1277,5)</x:f>
        <x:v>68523</x:v>
      </x:c>
      <x:c r="I29" s="25" t="n">
        <x:f>SUMIFS('Teacher Salary Data'!$E$2:$E$1277,'Teacher Salary Data'!$A$2:$A$1277,$A29,'Teacher Salary Data'!$C$2:$C$1277,"Master's",'Teacher Salary Data'!$D$2:$D$1277,10)</x:f>
        <x:v>79437</x:v>
      </x:c>
      <x:c r="J29" s="25" t="n">
        <x:f>AVERAGE(D29,G29)</x:f>
        <x:v>62926.5</x:v>
      </x:c>
      <x:c r="K29" s="25" t="n">
        <x:f>AVERAGE(F29,I29)</x:f>
        <x:v>78898.5</x:v>
      </x:c>
      <x:c r="L29" s="26" t="n">
        <x:f>IFERROR((K29-J29)/J29,0)</x:f>
        <x:v>0.253819932778718</x:v>
      </x:c>
      <x:c r="M29" s="25" t="n">
        <x:f>G29-D29</x:f>
        <x:v>461</x:v>
      </x:c>
      <x:c r="N29" s="25" t="n">
        <x:f>IFERROR(INDEX('Median Home and Rent Prices'!$D$2:$D$58,MATCH($A29,'Median Home and Rent Prices'!$A$2:$A$58,0)),0)</x:f>
        <x:v>850000</x:v>
      </x:c>
      <x:c r="O29" s="25" t="n">
        <x:f>IFERROR(INDEX('Median Home and Rent Prices'!$E$2:$E$58,MATCH($A29,'Median Home and Rent Prices'!$A$2:$A$58,0)),0)</x:f>
        <x:v>2700</x:v>
      </x:c>
      <x:c r="P29" s="92" t="n">
        <x:f>IFERROR(INDEX('School District Profiles'!$H$2:$H$58,MATCH($A29,'School District Profiles'!$A$2:$A$58,0)),0)</x:f>
        <x:v>19</x:v>
      </x:c>
      <x:c r="Q29" s="25" t="n">
        <x:f>IFERROR(INDEX('School District Profiles'!$I$2:$I$58,MATCH($A29,'School District Profiles'!$A$2:$A$58,0)),0)</x:f>
        <x:v>337</x:v>
      </x:c>
      <x:c r="R29" s="27" t="n">
        <x:f>IFERROR(MAX(0,MIN(100,(K29-50000)/(110000-50000)*100)),0)</x:f>
        <x:v>48.16416666666667</x:v>
      </x:c>
      <x:c r="S29" s="27" t="n">
        <x:f>IFERROR(MAX(0,MIN(100,L29/0.6*100)),0)</x:f>
        <x:v>42.30332212978634</x:v>
      </x:c>
      <x:c r="T29" s="27" t="n">
        <x:f>IFERROR(MAX(0,MIN(100,M29/15000*100)),0)</x:f>
        <x:v>3.0733333333333333</x:v>
      </x:c>
      <x:c r="U29" s="27" t="n">
        <x:f>IFERROR(0.45*R29+0.4*S29+0.15*T29,0)</x:f>
        <x:v>39.05620385191453</x:v>
      </x:c>
      <x:c r="V29" s="27" t="n">
        <x:f>IFERROR(0.4*MAX(0,MIN(100,(((J29/12)/O29)-2)/(4-2)*100))+0.35*MAX(0,MIN(100,(8-(N29/K29))/(8-3)*100))+0.25*AB29,0)</x:f>
        <x:v>8.576923076923077</x:v>
      </x:c>
      <x:c r="W29" s="27" t="n">
        <x:f>IFERROR(MAX(0,MIN(100,(25-P29)/(25-12)*100)),0)</x:f>
        <x:v>46.15384615384615</x:v>
      </x:c>
      <x:c r="X29" s="27" t="n">
        <x:f>IFERROR(MAX(0,MIN(100,(AD29-1)/(3-1)*100))*IF(OR($A29="North Clackamas School District",$A29="Provo City School District"),0.6,1),0)</x:f>
        <x:v>74.81481481481482</x:v>
      </x:c>
      <x:c r="Y29" s="27" t="n">
        <x:f>IFERROR(MAX(0,MIN(100,(1-((IFERROR(INDEX('School District Profiles'!$D$2:$D$58,MATCH($A29,'School District Profiles'!$A$2:$A$58,0)),0)/100)^2+(IFERROR(INDEX('School District Profiles'!$E$2:$E$58,MATCH($A29,'School District Profiles'!$A$2:$A$58,0)),0)/100)^2+(IFERROR(INDEX('School District Profiles'!$F$2:$F$58,MATCH($A29,'School District Profiles'!$A$2:$A$58,0)),0)/100)^2+(IFERROR(INDEX('School District Profiles'!$G$2:$G$58,MATCH($A29,'School District Profiles'!$A$2:$A$58,0)),0)/100)^2+(AC29/100)^2))/0.8*100)),0)</x:f>
        <x:v>87.825</x:v>
      </x:c>
      <x:c r="Z29" s="27" t="n">
        <x:f>IFERROR(AF29*AG29,0)</x:f>
        <x:v>31.25993964856707</x:v>
      </x:c>
      <x:c r="AA29" s="27" t="n">
        <x:f>IFERROR(INDEX('Median Home and Rent Prices'!$F$2:$F$58,MATCH($A29,'Median Home and Rent Prices'!$A$2:$A$58,0)),0)</x:f>
        <x:v>577</x:v>
      </x:c>
      <x:c r="AB29" s="27" t="n">
        <x:f>IFERROR(MAX(0,MIN(100,(800-AA29)/(800-150)*100)),0)</x:f>
        <x:v>34.30769230769231</x:v>
      </x:c>
      <x:c r="AC29" s="26" t="n">
        <x:f>IFERROR(INDEX('School District Profiles'!$J$2:$J$58,MATCH($A29,'School District Profiles'!$A$2:$A$58,0)),0)</x:f>
        <x:v>10</x:v>
      </x:c>
      <x:c r="AD29" s="27" t="n">
        <x:f>IFERROR(Q29*20/O29,0)</x:f>
        <x:v>2.4962962962962965</x:v>
      </x:c>
      <x:c r="AE29" s="28" t="n">
        <x:f>IFERROR(IF(AG29&gt;=1,100,IF(AG29&gt;=0.95,75,IF(AG29&gt;=0.9,60,IF(AG29&gt;=0.85,40,IF(AG29&gt;=0.8,25,0))))),0)</x:f>
        <x:v>25</x:v>
      </x:c>
      <x:c r="AF29" s="28" t="n">
        <x:f>IFERROR(0.4*U29+0.3*V29+0.1*W29+0.1*X29+0.1*Y29,0)</x:f>
        <x:v>39.07492456070884</x:v>
      </x:c>
      <x:c r="AG29" s="28" t="n">
        <x:v>0.8</x:v>
      </x:c>
      <x:c r="AH29" s="10" t="inlineStr">
        <x:is>
          <x:t xml:space="preserve">20% employment-stability penalty due to major deficit, approved large-scale layoffs, and labor/fiscal instability concerns.</x:t>
        </x:is>
      </x:c>
    </x:row>
    <x:row r="30" ht="26.75" customHeight="1">
      <x:c r="A30" s="24" t="inlineStr">
        <x:is>
          <x:t xml:space="preserve">Ocean Springs School District</x:t>
        </x:is>
      </x:c>
      <x:c r="B30" s="24" t="str">
        <x:f>IFERROR(INDEX('School District Profiles'!$B$2:$B$58,MATCH($A30,'School District Profiles'!$A$2:$A$58,0)),"")</x:f>
        <x:v>MS</x:v>
      </x:c>
      <x:c r="C30" s="24" t="str">
        <x:f>IFERROR(INDEX('School District Profiles'!$C$2:$C$58,MATCH($A30,'School District Profiles'!$A$2:$A$58,0)),"")</x:f>
        <x:v>Mississippi Gulf Coast</x:v>
      </x:c>
      <x:c r="D30" s="25" t="n">
        <x:f>SUMIFS('Teacher Salary Data'!$E$2:$E$1277,'Teacher Salary Data'!$A$2:$A$1277,$A30,'Teacher Salary Data'!$C$2:$C$1277,"Bachelor's",'Teacher Salary Data'!$D$2:$D$1277,0)</x:f>
        <x:v>48200</x:v>
      </x:c>
      <x:c r="E30" s="25" t="n">
        <x:f>SUMIFS('Teacher Salary Data'!$E$2:$E$1277,'Teacher Salary Data'!$A$2:$A$1277,$A30,'Teacher Salary Data'!$C$2:$C$1277,"Bachelor's",'Teacher Salary Data'!$D$2:$D$1277,5)</x:f>
        <x:v>51100</x:v>
      </x:c>
      <x:c r="F30" s="25" t="n">
        <x:f>SUMIFS('Teacher Salary Data'!$E$2:$E$1277,'Teacher Salary Data'!$A$2:$A$1277,$A30,'Teacher Salary Data'!$C$2:$C$1277,"Bachelor's",'Teacher Salary Data'!$D$2:$D$1277,10)</x:f>
        <x:v>54000</x:v>
      </x:c>
      <x:c r="G30" s="22" t="n">
        <x:f>SUMIFS('Teacher Salary Data'!$E$2:$E$1277,'Teacher Salary Data'!$A$2:$A$1277,$A30,'Teacher Salary Data'!$C$2:$C$1277,"Master's",'Teacher Salary Data'!$D$2:$D$1277,0)</x:f>
        <x:v>49900</x:v>
      </x:c>
      <x:c r="H30" s="25" t="n">
        <x:f>SUMIFS('Teacher Salary Data'!$E$2:$E$1277,'Teacher Salary Data'!$A$2:$A$1277,$A30,'Teacher Salary Data'!$C$2:$C$1277,"Master's",'Teacher Salary Data'!$D$2:$D$1277,5)</x:f>
        <x:v>53375</x:v>
      </x:c>
      <x:c r="I30" s="25" t="n">
        <x:f>SUMIFS('Teacher Salary Data'!$E$2:$E$1277,'Teacher Salary Data'!$A$2:$A$1277,$A30,'Teacher Salary Data'!$C$2:$C$1277,"Master's",'Teacher Salary Data'!$D$2:$D$1277,10)</x:f>
        <x:v>56850</x:v>
      </x:c>
      <x:c r="J30" s="25" t="n">
        <x:f>AVERAGE(D30,G30)</x:f>
        <x:v>49050</x:v>
      </x:c>
      <x:c r="K30" s="25" t="n">
        <x:f>AVERAGE(F30,I30)</x:f>
        <x:v>55425</x:v>
      </x:c>
      <x:c r="L30" s="26" t="n">
        <x:f>IFERROR((K30-J30)/J30,0)</x:f>
        <x:v>0.12996941896024464</x:v>
      </x:c>
      <x:c r="M30" s="25" t="n">
        <x:f>G30-D30</x:f>
        <x:v>1700</x:v>
      </x:c>
      <x:c r="N30" s="25" t="n">
        <x:f>IFERROR(INDEX('Median Home and Rent Prices'!$D$2:$D$58,MATCH($A30,'Median Home and Rent Prices'!$A$2:$A$58,0)),0)</x:f>
        <x:v>294824</x:v>
      </x:c>
      <x:c r="O30" s="25" t="n">
        <x:f>IFERROR(INDEX('Median Home and Rent Prices'!$E$2:$E$58,MATCH($A30,'Median Home and Rent Prices'!$A$2:$A$58,0)),0)</x:f>
        <x:v>2100</x:v>
      </x:c>
      <x:c r="P30" s="92" t="n">
        <x:f>IFERROR(INDEX('School District Profiles'!$H$2:$H$58,MATCH($A30,'School District Profiles'!$A$2:$A$58,0)),0)</x:f>
        <x:v>13.65</x:v>
      </x:c>
      <x:c r="Q30" s="25" t="n">
        <x:f>IFERROR(INDEX('School District Profiles'!$I$2:$I$58,MATCH($A30,'School District Profiles'!$A$2:$A$58,0)),0)</x:f>
        <x:v>90</x:v>
      </x:c>
      <x:c r="R30" s="27" t="n">
        <x:f>IFERROR(MAX(0,MIN(100,(K30-50000)/(110000-50000)*100)),0)</x:f>
        <x:v>9.041666666666668</x:v>
      </x:c>
      <x:c r="S30" s="27" t="n">
        <x:f>IFERROR(MAX(0,MIN(100,L30/0.6*100)),0)</x:f>
        <x:v>21.661569826707442</x:v>
      </x:c>
      <x:c r="T30" s="27" t="n">
        <x:f>IFERROR(MAX(0,MIN(100,M30/15000*100)),0)</x:f>
        <x:v>11.333333333333332</x:v>
      </x:c>
      <x:c r="U30" s="27" t="n">
        <x:f>IFERROR(0.45*R30+0.4*S30+0.15*T30,0)</x:f>
        <x:v>14.433377930682976</x:v>
      </x:c>
      <x:c r="V30" s="27" t="n">
        <x:f>IFERROR(0.4*MAX(0,MIN(100,(((J30/12)/O30)-2)/(4-2)*100))+0.35*MAX(0,MIN(100,(8-(N30/K30))/(8-3)*100))+0.25*AB30,0)</x:f>
        <x:v>41.803134519968076</x:v>
      </x:c>
      <x:c r="W30" s="27" t="n">
        <x:f>IFERROR(MAX(0,MIN(100,(25-P30)/(25-12)*100)),0)</x:f>
        <x:v>87.3076923076923</x:v>
      </x:c>
      <x:c r="X30" s="27" t="n">
        <x:f>IFERROR(MAX(0,MIN(100,(AD30-1)/(3-1)*100))*IF(OR($A30="North Clackamas School District",$A30="Provo City School District"),0.6,1),0)</x:f>
        <x:v>0</x:v>
      </x:c>
      <x:c r="Y30" s="27" t="n">
        <x:f>IFERROR(MAX(0,MIN(100,(1-((IFERROR(INDEX('School District Profiles'!$D$2:$D$58,MATCH($A30,'School District Profiles'!$A$2:$A$58,0)),0)/100)^2+(IFERROR(INDEX('School District Profiles'!$E$2:$E$58,MATCH($A30,'School District Profiles'!$A$2:$A$58,0)),0)/100)^2+(IFERROR(INDEX('School District Profiles'!$F$2:$F$58,MATCH($A30,'School District Profiles'!$A$2:$A$58,0)),0)/100)^2+(IFERROR(INDEX('School District Profiles'!$G$2:$G$58,MATCH($A30,'School District Profiles'!$A$2:$A$58,0)),0)/100)^2+(AC30/100)^2))/0.8*100)),0)</x:f>
        <x:v>61.55569</x:v>
      </x:c>
      <x:c r="Z30" s="27" t="n">
        <x:f>IFERROR(AF30*AG30,0)</x:f>
        <x:v>33.20062975903284</x:v>
      </x:c>
      <x:c r="AA30" s="27" t="n">
        <x:f>IFERROR(INDEX('Median Home and Rent Prices'!$F$2:$F$58,MATCH($A30,'Median Home and Rent Prices'!$A$2:$A$58,0)),0)</x:f>
        <x:v>201</x:v>
      </x:c>
      <x:c r="AB30" s="27" t="n">
        <x:f>IFERROR(MAX(0,MIN(100,(800-AA30)/(800-150)*100)),0)</x:f>
        <x:v>92.15384615384615</x:v>
      </x:c>
      <x:c r="AC30" s="26" t="n">
        <x:f>IFERROR(INDEX('School District Profiles'!$J$2:$J$58,MATCH($A30,'School District Profiles'!$A$2:$A$58,0)),0)</x:f>
        <x:v>6.290000000000006</x:v>
      </x:c>
      <x:c r="AD30" s="27" t="n">
        <x:f>IFERROR(Q30*20/O30,0)</x:f>
        <x:v>0.8571428571428571</x:v>
      </x:c>
      <x:c r="AE30" s="28" t="n">
        <x:f>IFERROR(IF(AG30&gt;=1,100,IF(AG30&gt;=0.95,75,IF(AG30&gt;=0.9,60,IF(AG30&gt;=0.85,40,IF(AG30&gt;=0.8,25,0))))),0)</x:f>
        <x:v>100</x:v>
      </x:c>
      <x:c r="AF30" s="28" t="n">
        <x:f>IFERROR(0.4*U30+0.3*V30+0.1*W30+0.1*X30+0.1*Y30,0)</x:f>
        <x:v>33.20062975903284</x:v>
      </x:c>
      <x:c r="AG30" s="28" t="n">
        <x:v>1</x:v>
      </x:c>
      <x:c r="AH30" s="10" t="inlineStr">
        <x:is>
          <x:t xml:space="preserve">No current employment-stability penalty applied; first-pass research did not find reliable current layoff evidence.</x:t>
        </x:is>
      </x:c>
    </x:row>
    <x:row r="31" ht="26.75" customHeight="1">
      <x:c r="A31" s="24" t="inlineStr">
        <x:is>
          <x:t xml:space="preserve">Oxnard Union High School District</x:t>
        </x:is>
      </x:c>
      <x:c r="B31" s="24" t="str">
        <x:f>IFERROR(INDEX('School District Profiles'!$B$2:$B$58,MATCH($A31,'School District Profiles'!$A$2:$A$58,0)),"")</x:f>
        <x:v>CA</x:v>
      </x:c>
      <x:c r="C31" s="24" t="str">
        <x:f>IFERROR(INDEX('School District Profiles'!$C$2:$C$58,MATCH($A31,'School District Profiles'!$A$2:$A$58,0)),"")</x:f>
        <x:v>Southern California</x:v>
      </x:c>
      <x:c r="D31" s="25" t="n">
        <x:f>SUMIFS('Teacher Salary Data'!$E$2:$E$1277,'Teacher Salary Data'!$A$2:$A$1277,$A31,'Teacher Salary Data'!$C$2:$C$1277,"Bachelor's",'Teacher Salary Data'!$D$2:$D$1277,0)</x:f>
        <x:v>70895</x:v>
      </x:c>
      <x:c r="E31" s="25" t="n">
        <x:f>SUMIFS('Teacher Salary Data'!$E$2:$E$1277,'Teacher Salary Data'!$A$2:$A$1277,$A31,'Teacher Salary Data'!$C$2:$C$1277,"Bachelor's",'Teacher Salary Data'!$D$2:$D$1277,5)</x:f>
        <x:v>84354</x:v>
      </x:c>
      <x:c r="F31" s="25" t="n">
        <x:f>SUMIFS('Teacher Salary Data'!$E$2:$E$1277,'Teacher Salary Data'!$A$2:$A$1277,$A31,'Teacher Salary Data'!$C$2:$C$1277,"Bachelor's",'Teacher Salary Data'!$D$2:$D$1277,10)</x:f>
        <x:v>93674</x:v>
      </x:c>
      <x:c r="G31" s="22" t="n">
        <x:f>SUMIFS('Teacher Salary Data'!$E$2:$E$1277,'Teacher Salary Data'!$A$2:$A$1277,$A31,'Teacher Salary Data'!$C$2:$C$1277,"Master's",'Teacher Salary Data'!$D$2:$D$1277,0)</x:f>
        <x:v>71739</x:v>
      </x:c>
      <x:c r="H31" s="25" t="n">
        <x:f>SUMIFS('Teacher Salary Data'!$E$2:$E$1277,'Teacher Salary Data'!$A$2:$A$1277,$A31,'Teacher Salary Data'!$C$2:$C$1277,"Master's",'Teacher Salary Data'!$D$2:$D$1277,5)</x:f>
        <x:v>90740</x:v>
      </x:c>
      <x:c r="I31" s="25" t="n">
        <x:f>SUMIFS('Teacher Salary Data'!$E$2:$E$1277,'Teacher Salary Data'!$A$2:$A$1277,$A31,'Teacher Salary Data'!$C$2:$C$1277,"Master's",'Teacher Salary Data'!$D$2:$D$1277,10)</x:f>
        <x:v>114489</x:v>
      </x:c>
      <x:c r="J31" s="25" t="n">
        <x:f>AVERAGE(D31,G31)</x:f>
        <x:v>71317</x:v>
      </x:c>
      <x:c r="K31" s="25" t="n">
        <x:f>AVERAGE(F31,I31)</x:f>
        <x:v>104081.5</x:v>
      </x:c>
      <x:c r="L31" s="26" t="n">
        <x:f>IFERROR((K31-J31)/J31,0)</x:f>
        <x:v>0.45942061500063097</x:v>
      </x:c>
      <x:c r="M31" s="25" t="n">
        <x:f>G31-D31</x:f>
        <x:v>844</x:v>
      </x:c>
      <x:c r="N31" s="25" t="n">
        <x:f>IFERROR(INDEX('Median Home and Rent Prices'!$D$2:$D$58,MATCH($A31,'Median Home and Rent Prices'!$A$2:$A$58,0)),0)</x:f>
        <x:v>767000</x:v>
      </x:c>
      <x:c r="O31" s="25" t="n">
        <x:f>IFERROR(INDEX('Median Home and Rent Prices'!$E$2:$E$58,MATCH($A31,'Median Home and Rent Prices'!$A$2:$A$58,0)),0)</x:f>
        <x:v>2912</x:v>
      </x:c>
      <x:c r="P31" s="92" t="n">
        <x:f>IFERROR(INDEX('School District Profiles'!$H$2:$H$58,MATCH($A31,'School District Profiles'!$A$2:$A$58,0)),0)</x:f>
        <x:v>25</x:v>
      </x:c>
      <x:c r="Q31" s="25" t="n">
        <x:f>IFERROR(INDEX('School District Profiles'!$I$2:$I$58,MATCH($A31,'School District Profiles'!$A$2:$A$58,0)),0)</x:f>
        <x:v>185</x:v>
      </x:c>
      <x:c r="R31" s="27" t="n">
        <x:f>IFERROR(MAX(0,MIN(100,(K31-50000)/(110000-50000)*100)),0)</x:f>
        <x:v>90.13583333333334</x:v>
      </x:c>
      <x:c r="S31" s="27" t="n">
        <x:f>IFERROR(MAX(0,MIN(100,L31/0.6*100)),0)</x:f>
        <x:v>76.57010250010516</x:v>
      </x:c>
      <x:c r="T31" s="27" t="n">
        <x:f>IFERROR(MAX(0,MIN(100,M31/15000*100)),0)</x:f>
        <x:v>5.626666666666667</x:v>
      </x:c>
      <x:c r="U31" s="27" t="n">
        <x:f>IFERROR(0.45*R31+0.4*S31+0.15*T31,0)</x:f>
        <x:v>72.03316600004206</x:v>
      </x:c>
      <x:c r="V31" s="27" t="n">
        <x:f>IFERROR(0.4*MAX(0,MIN(100,(((J31/12)/O31)-2)/(4-2)*100))+0.35*MAX(0,MIN(100,(8-(N31/K31))/(8-3)*100))+0.25*AB31,0)</x:f>
        <x:v>16.233304487661197</x:v>
      </x:c>
      <x:c r="W31" s="27" t="n">
        <x:f>IFERROR(MAX(0,MIN(100,(25-P31)/(25-12)*100)),0)</x:f>
        <x:v>0</x:v>
      </x:c>
      <x:c r="X31" s="27" t="n">
        <x:f>IFERROR(MAX(0,MIN(100,(AD31-1)/(3-1)*100))*IF(OR($A31="North Clackamas School District",$A31="Provo City School District"),0.6,1),0)</x:f>
        <x:v>13.530219780219777</x:v>
      </x:c>
      <x:c r="Y31" s="27" t="n">
        <x:f>IFERROR(MAX(0,MIN(100,(1-((IFERROR(INDEX('School District Profiles'!$D$2:$D$58,MATCH($A31,'School District Profiles'!$A$2:$A$58,0)),0)/100)^2+(IFERROR(INDEX('School District Profiles'!$E$2:$E$58,MATCH($A31,'School District Profiles'!$A$2:$A$58,0)),0)/100)^2+(IFERROR(INDEX('School District Profiles'!$F$2:$F$58,MATCH($A31,'School District Profiles'!$A$2:$A$58,0)),0)/100)^2+(IFERROR(INDEX('School District Profiles'!$G$2:$G$58,MATCH($A31,'School District Profiles'!$A$2:$A$58,0)),0)/100)^2+(AC31/100)^2))/0.8*100)),0)</x:f>
        <x:v>42.075</x:v>
      </x:c>
      <x:c r="Z31" s="27" t="n">
        <x:f>IFERROR(AF31*AG31,0)</x:f>
        <x:v>33.35721276568659</x:v>
      </x:c>
      <x:c r="AA31" s="27" t="n">
        <x:f>IFERROR(INDEX('Median Home and Rent Prices'!$F$2:$F$58,MATCH($A31,'Median Home and Rent Prices'!$A$2:$A$58,0)),0)</x:f>
        <x:v>514</x:v>
      </x:c>
      <x:c r="AB31" s="27" t="n">
        <x:f>IFERROR(MAX(0,MIN(100,(800-AA31)/(800-150)*100)),0)</x:f>
        <x:v>44</x:v>
      </x:c>
      <x:c r="AC31" s="26" t="n">
        <x:f>IFERROR(INDEX('School District Profiles'!$J$2:$J$58,MATCH($A31,'School District Profiles'!$A$2:$A$58,0)),0)</x:f>
        <x:v>1</x:v>
      </x:c>
      <x:c r="AD31" s="27" t="n">
        <x:f>IFERROR(Q31*20/O31,0)</x:f>
        <x:v>1.2706043956043955</x:v>
      </x:c>
      <x:c r="AE31" s="28" t="n">
        <x:f>IFERROR(IF(AG31&gt;=1,100,IF(AG31&gt;=0.95,75,IF(AG31&gt;=0.9,60,IF(AG31&gt;=0.85,40,IF(AG31&gt;=0.8,25,0))))),0)</x:f>
        <x:v>40</x:v>
      </x:c>
      <x:c r="AF31" s="28" t="n">
        <x:f>IFERROR(0.4*U31+0.3*V31+0.1*W31+0.1*X31+0.1*Y31,0)</x:f>
        <x:v>39.243779724337166</x:v>
      </x:c>
      <x:c r="AG31" s="28" t="n">
        <x:v>0.85</x:v>
      </x:c>
      <x:c r="AH31" s="10" t="inlineStr">
        <x:is>
          <x:t xml:space="preserve">15% employment-stability penalty due to formal budget-stabilization planning and reported job-cut risk.</x:t>
        </x:is>
      </x:c>
    </x:row>
    <x:row r="32" ht="26.75" customHeight="1">
      <x:c r="A32" s="24" t="inlineStr">
        <x:is>
          <x:t xml:space="preserve">Portland Public Schools</x:t>
        </x:is>
      </x:c>
      <x:c r="B32" s="24" t="str">
        <x:f>IFERROR(INDEX('School District Profiles'!$B$2:$B$58,MATCH($A32,'School District Profiles'!$A$2:$A$58,0)),"")</x:f>
        <x:v>OR</x:v>
      </x:c>
      <x:c r="C32" s="24" t="str">
        <x:f>IFERROR(INDEX('School District Profiles'!$C$2:$C$58,MATCH($A32,'School District Profiles'!$A$2:$A$58,0)),"")</x:f>
        <x:v>Portland</x:v>
      </x:c>
      <x:c r="D32" s="25" t="n">
        <x:f>SUMIFS('Teacher Salary Data'!$E$2:$E$1277,'Teacher Salary Data'!$A$2:$A$1277,$A32,'Teacher Salary Data'!$C$2:$C$1277,"Bachelor's",'Teacher Salary Data'!$D$2:$D$1277,0)</x:f>
        <x:v>57206</x:v>
      </x:c>
      <x:c r="E32" s="25" t="n">
        <x:f>SUMIFS('Teacher Salary Data'!$E$2:$E$1277,'Teacher Salary Data'!$A$2:$A$1277,$A32,'Teacher Salary Data'!$C$2:$C$1277,"Bachelor's",'Teacher Salary Data'!$D$2:$D$1277,5)</x:f>
        <x:v>67611</x:v>
      </x:c>
      <x:c r="F32" s="25" t="n">
        <x:f>SUMIFS('Teacher Salary Data'!$E$2:$E$1277,'Teacher Salary Data'!$A$2:$A$1277,$A32,'Teacher Salary Data'!$C$2:$C$1277,"Bachelor's",'Teacher Salary Data'!$D$2:$D$1277,10)</x:f>
        <x:v>79916</x:v>
      </x:c>
      <x:c r="G32" s="22" t="n">
        <x:f>SUMIFS('Teacher Salary Data'!$E$2:$E$1277,'Teacher Salary Data'!$A$2:$A$1277,$A32,'Teacher Salary Data'!$C$2:$C$1277,"Master's",'Teacher Salary Data'!$D$2:$D$1277,0)</x:f>
        <x:v>65280</x:v>
      </x:c>
      <x:c r="H32" s="25" t="n">
        <x:f>SUMIFS('Teacher Salary Data'!$E$2:$E$1277,'Teacher Salary Data'!$A$2:$A$1277,$A32,'Teacher Salary Data'!$C$2:$C$1277,"Master's",'Teacher Salary Data'!$D$2:$D$1277,5)</x:f>
        <x:v>77157</x:v>
      </x:c>
      <x:c r="I32" s="25" t="n">
        <x:f>SUMIFS('Teacher Salary Data'!$E$2:$E$1277,'Teacher Salary Data'!$A$2:$A$1277,$A32,'Teacher Salary Data'!$C$2:$C$1277,"Master's",'Teacher Salary Data'!$D$2:$D$1277,10)</x:f>
        <x:v>91200</x:v>
      </x:c>
      <x:c r="J32" s="25" t="n">
        <x:f>AVERAGE(D32,G32)</x:f>
        <x:v>61243</x:v>
      </x:c>
      <x:c r="K32" s="25" t="n">
        <x:f>AVERAGE(F32,I32)</x:f>
        <x:v>85558</x:v>
      </x:c>
      <x:c r="L32" s="26" t="n">
        <x:f>IFERROR((K32-J32)/J32,0)</x:f>
        <x:v>0.3970249661185768</x:v>
      </x:c>
      <x:c r="M32" s="25" t="n">
        <x:f>G32-D32</x:f>
        <x:v>8074</x:v>
      </x:c>
      <x:c r="N32" s="25" t="n">
        <x:f>IFERROR(INDEX('Median Home and Rent Prices'!$D$2:$D$58,MATCH($A32,'Median Home and Rent Prices'!$A$2:$A$58,0)),0)</x:f>
        <x:v>538687</x:v>
      </x:c>
      <x:c r="O32" s="25" t="n">
        <x:f>IFERROR(INDEX('Median Home and Rent Prices'!$E$2:$E$58,MATCH($A32,'Median Home and Rent Prices'!$A$2:$A$58,0)),0)</x:f>
        <x:v>1725</x:v>
      </x:c>
      <x:c r="P32" s="92" t="n">
        <x:f>IFERROR(INDEX('School District Profiles'!$H$2:$H$58,MATCH($A32,'School District Profiles'!$A$2:$A$58,0)),0)</x:f>
        <x:v>16.04</x:v>
      </x:c>
      <x:c r="Q32" s="25" t="n">
        <x:f>IFERROR(INDEX('School District Profiles'!$I$2:$I$58,MATCH($A32,'School District Profiles'!$A$2:$A$58,0)),0)</x:f>
        <x:v>275.71</x:v>
      </x:c>
      <x:c r="R32" s="27" t="n">
        <x:f>IFERROR(MAX(0,MIN(100,(K32-50000)/(110000-50000)*100)),0)</x:f>
        <x:v>59.263333333333335</x:v>
      </x:c>
      <x:c r="S32" s="27" t="n">
        <x:f>IFERROR(MAX(0,MIN(100,L32/0.6*100)),0)</x:f>
        <x:v>66.17082768642946</x:v>
      </x:c>
      <x:c r="T32" s="27" t="n">
        <x:f>IFERROR(MAX(0,MIN(100,M32/15000*100)),0)</x:f>
        <x:v>53.82666666666667</x:v>
      </x:c>
      <x:c r="U32" s="27" t="n">
        <x:f>IFERROR(0.45*R32+0.4*S32+0.15*T32,0)</x:f>
        <x:v>61.210831074571786</x:v>
      </x:c>
      <x:c r="V32" s="27" t="n">
        <x:f>IFERROR(0.4*MAX(0,MIN(100,(((J32/12)/O32)-2)/(4-2)*100))+0.35*MAX(0,MIN(100,(8-(N32/K32))/(8-3)*100))+0.25*AB32,0)</x:f>
        <x:v>49.25269515341736</x:v>
      </x:c>
      <x:c r="W32" s="27" t="n">
        <x:f>IFERROR(MAX(0,MIN(100,(25-P32)/(25-12)*100)),0)</x:f>
        <x:v>68.92307692307693</x:v>
      </x:c>
      <x:c r="X32" s="27" t="n">
        <x:f>IFERROR(MAX(0,MIN(100,(AD32-1)/(3-1)*100))*IF(OR($A32="North Clackamas School District",$A32="Provo City School District"),0.6,1),0)</x:f>
        <x:v>100</x:v>
      </x:c>
      <x:c r="Y32" s="27" t="n">
        <x:f>IFERROR(MAX(0,MIN(100,(1-((IFERROR(INDEX('School District Profiles'!$D$2:$D$58,MATCH($A32,'School District Profiles'!$A$2:$A$58,0)),0)/100)^2+(IFERROR(INDEX('School District Profiles'!$E$2:$E$58,MATCH($A32,'School District Profiles'!$A$2:$A$58,0)),0)/100)^2+(IFERROR(INDEX('School District Profiles'!$F$2:$F$58,MATCH($A32,'School District Profiles'!$A$2:$A$58,0)),0)/100)^2+(IFERROR(INDEX('School District Profiles'!$G$2:$G$58,MATCH($A32,'School District Profiles'!$A$2:$A$58,0)),0)/100)^2+(AC32/100)^2))/0.8*100)),0)</x:f>
        <x:v>81.43350000000001</x:v>
      </x:c>
      <x:c r="Z32" s="27" t="n">
        <x:f>IFERROR(AF32*AG32,0)</x:f>
        <x:v>54.651428867937376</x:v>
      </x:c>
      <x:c r="AA32" s="27" t="n">
        <x:f>IFERROR(INDEX('Median Home and Rent Prices'!$F$2:$F$58,MATCH($A32,'Median Home and Rent Prices'!$A$2:$A$58,0)),0)</x:f>
        <x:v>328</x:v>
      </x:c>
      <x:c r="AB32" s="27" t="n">
        <x:f>IFERROR(MAX(0,MIN(100,(800-AA32)/(800-150)*100)),0)</x:f>
        <x:v>72.61538461538461</x:v>
      </x:c>
      <x:c r="AC32" s="26" t="n">
        <x:f>IFERROR(INDEX('School District Profiles'!$J$2:$J$58,MATCH($A32,'School District Profiles'!$A$2:$A$58,0)),0)</x:f>
        <x:v>14.300000000000011</x:v>
      </x:c>
      <x:c r="AD32" s="27" t="n">
        <x:f>IFERROR(Q32*20/O32,0)</x:f>
        <x:v>3.1966376811594204</x:v>
      </x:c>
      <x:c r="AE32" s="28" t="n">
        <x:f>IFERROR(IF(AG32&gt;=1,100,IF(AG32&gt;=0.95,75,IF(AG32&gt;=0.9,60,IF(AG32&gt;=0.85,40,IF(AG32&gt;=0.8,25,0))))),0)</x:f>
        <x:v>40</x:v>
      </x:c>
      <x:c r="AF32" s="28" t="n">
        <x:f>IFERROR(0.4*U32+0.3*V32+0.1*W32+0.1*X32+0.1*Y32,0)</x:f>
        <x:v>64.29579866816162</x:v>
      </x:c>
      <x:c r="AG32" s="28" t="n">
        <x:v>0.85</x:v>
      </x:c>
      <x:c r="AH32" s="10" t="inlineStr">
        <x:is>
          <x:t xml:space="preserve">15% employment-stability penalty retained due to active budget shortfall, furlough context, layoff notices, and labor grievance/process concerns.</x:t>
        </x:is>
      </x:c>
    </x:row>
    <x:row r="33" ht="26.75" customHeight="1">
      <x:c r="A33" s="24" t="inlineStr">
        <x:is>
          <x:t xml:space="preserve">Provo City School District</x:t>
        </x:is>
      </x:c>
      <x:c r="B33" s="24" t="str">
        <x:f>IFERROR(INDEX('School District Profiles'!$B$2:$B$58,MATCH($A33,'School District Profiles'!$A$2:$A$58,0)),"")</x:f>
        <x:v>UT</x:v>
      </x:c>
      <x:c r="C33" s="24" t="str">
        <x:f>IFERROR(INDEX('School District Profiles'!$C$2:$C$58,MATCH($A33,'School District Profiles'!$A$2:$A$58,0)),"")</x:f>
        <x:v>Salt Lake Valley</x:v>
      </x:c>
      <x:c r="D33" s="25" t="n">
        <x:f>SUMIFS('Teacher Salary Data'!$E$2:$E$1277,'Teacher Salary Data'!$A$2:$A$1277,$A33,'Teacher Salary Data'!$C$2:$C$1277,"Bachelor's",'Teacher Salary Data'!$D$2:$D$1277,0)</x:f>
        <x:v>60672</x:v>
      </x:c>
      <x:c r="E33" s="25" t="n">
        <x:f>SUMIFS('Teacher Salary Data'!$E$2:$E$1277,'Teacher Salary Data'!$A$2:$A$1277,$A33,'Teacher Salary Data'!$C$2:$C$1277,"Bachelor's",'Teacher Salary Data'!$D$2:$D$1277,5)</x:f>
        <x:v>63447</x:v>
      </x:c>
      <x:c r="F33" s="25" t="n">
        <x:f>SUMIFS('Teacher Salary Data'!$E$2:$E$1277,'Teacher Salary Data'!$A$2:$A$1277,$A33,'Teacher Salary Data'!$C$2:$C$1277,"Bachelor's",'Teacher Salary Data'!$D$2:$D$1277,10)</x:f>
        <x:v>68072</x:v>
      </x:c>
      <x:c r="G33" s="22" t="n">
        <x:f>SUMIFS('Teacher Salary Data'!$E$2:$E$1277,'Teacher Salary Data'!$A$2:$A$1277,$A33,'Teacher Salary Data'!$C$2:$C$1277,"Master's",'Teacher Salary Data'!$D$2:$D$1277,0)</x:f>
        <x:v>65297</x:v>
      </x:c>
      <x:c r="H33" s="25" t="n">
        <x:f>SUMIFS('Teacher Salary Data'!$E$2:$E$1277,'Teacher Salary Data'!$A$2:$A$1277,$A33,'Teacher Salary Data'!$C$2:$C$1277,"Master's",'Teacher Salary Data'!$D$2:$D$1277,5)</x:f>
        <x:v>68072</x:v>
      </x:c>
      <x:c r="I33" s="25" t="n">
        <x:f>SUMIFS('Teacher Salary Data'!$E$2:$E$1277,'Teacher Salary Data'!$A$2:$A$1277,$A33,'Teacher Salary Data'!$C$2:$C$1277,"Master's",'Teacher Salary Data'!$D$2:$D$1277,10)</x:f>
        <x:v>72697</x:v>
      </x:c>
      <x:c r="J33" s="25" t="n">
        <x:f>AVERAGE(D33,G33)</x:f>
        <x:v>62984.5</x:v>
      </x:c>
      <x:c r="K33" s="25" t="n">
        <x:f>AVERAGE(F33,I33)</x:f>
        <x:v>70384.5</x:v>
      </x:c>
      <x:c r="L33" s="26" t="n">
        <x:f>IFERROR((K33-J33)/J33,0)</x:f>
        <x:v>0.11748922353912471</x:v>
      </x:c>
      <x:c r="M33" s="25" t="n">
        <x:f>G33-D33</x:f>
        <x:v>4625</x:v>
      </x:c>
      <x:c r="N33" s="25" t="n">
        <x:f>IFERROR(INDEX('Median Home and Rent Prices'!$D$2:$D$58,MATCH($A33,'Median Home and Rent Prices'!$A$2:$A$58,0)),0)</x:f>
        <x:v>533000</x:v>
      </x:c>
      <x:c r="O33" s="25" t="n">
        <x:f>IFERROR(INDEX('Median Home and Rent Prices'!$E$2:$E$58,MATCH($A33,'Median Home and Rent Prices'!$A$2:$A$58,0)),0)</x:f>
        <x:v>1550</x:v>
      </x:c>
      <x:c r="P33" s="92" t="n">
        <x:f>IFERROR(INDEX('School District Profiles'!$H$2:$H$58,MATCH($A33,'School District Profiles'!$A$2:$A$58,0)),0)</x:f>
        <x:v>20</x:v>
      </x:c>
      <x:c r="Q33" s="25" t="n">
        <x:f>IFERROR(INDEX('School District Profiles'!$I$2:$I$58,MATCH($A33,'School District Profiles'!$A$2:$A$58,0)),0)</x:f>
        <x:v>185</x:v>
      </x:c>
      <x:c r="R33" s="27" t="n">
        <x:f>IFERROR(MAX(0,MIN(100,(K33-50000)/(110000-50000)*100)),0)</x:f>
        <x:v>33.97416666666667</x:v>
      </x:c>
      <x:c r="S33" s="27" t="n">
        <x:f>IFERROR(MAX(0,MIN(100,L33/0.6*100)),0)</x:f>
        <x:v>19.581537256520782</x:v>
      </x:c>
      <x:c r="T33" s="27" t="n">
        <x:f>IFERROR(MAX(0,MIN(100,M33/15000*100)),0)</x:f>
        <x:v>30.833333333333336</x:v>
      </x:c>
      <x:c r="U33" s="27" t="n">
        <x:f>IFERROR(0.45*R33+0.4*S33+0.15*T33,0)</x:f>
        <x:v>27.745989902608315</x:v>
      </x:c>
      <x:c r="V33" s="27" t="n">
        <x:f>IFERROR(0.4*MAX(0,MIN(100,(((J33/12)/O33)-2)/(4-2)*100))+0.35*MAX(0,MIN(100,(8-(N33/K33))/(8-3)*100))+0.25*AB33,0)</x:f>
        <x:v>51.216438748083974</x:v>
      </x:c>
      <x:c r="W33" s="27" t="n">
        <x:f>IFERROR(MAX(0,MIN(100,(25-P33)/(25-12)*100)),0)</x:f>
        <x:v>38.46153846153847</x:v>
      </x:c>
      <x:c r="X33" s="27" t="n">
        <x:f>IFERROR(MAX(0,MIN(100,(AD33-1)/(3-1)*100))*IF(OR($A33="North Clackamas School District",$A33="Provo City School District"),0.6,1),0)</x:f>
        <x:v>41.612903225806456</x:v>
      </x:c>
      <x:c r="Y33" s="27" t="n">
        <x:f>IFERROR(MAX(0,MIN(100,(1-((IFERROR(INDEX('School District Profiles'!$D$2:$D$58,MATCH($A33,'School District Profiles'!$A$2:$A$58,0)),0)/100)^2+(IFERROR(INDEX('School District Profiles'!$E$2:$E$58,MATCH($A33,'School District Profiles'!$A$2:$A$58,0)),0)/100)^2+(IFERROR(INDEX('School District Profiles'!$F$2:$F$58,MATCH($A33,'School District Profiles'!$A$2:$A$58,0)),0)/100)^2+(IFERROR(INDEX('School District Profiles'!$G$2:$G$58,MATCH($A33,'School District Profiles'!$A$2:$A$58,0)),0)/100)^2+(AC33/100)^2))/0.8*100)),0)</x:f>
        <x:v>71.32499999999999</x:v>
      </x:c>
      <x:c r="Z33" s="27" t="n">
        <x:f>IFERROR(AF33*AG33,0)</x:f>
        <x:v>37.442944578782715</x:v>
      </x:c>
      <x:c r="AA33" s="27" t="n">
        <x:f>IFERROR(INDEX('Median Home and Rent Prices'!$F$2:$F$58,MATCH($A33,'Median Home and Rent Prices'!$A$2:$A$58,0)),0)</x:f>
        <x:v>267</x:v>
      </x:c>
      <x:c r="AB33" s="27" t="n">
        <x:f>IFERROR(MAX(0,MIN(100,(800-AA33)/(800-150)*100)),0)</x:f>
        <x:v>82</x:v>
      </x:c>
      <x:c r="AC33" s="26" t="n">
        <x:f>IFERROR(INDEX('School District Profiles'!$J$2:$J$58,MATCH($A33,'School District Profiles'!$A$2:$A$58,0)),0)</x:f>
        <x:v>8</x:v>
      </x:c>
      <x:c r="AD33" s="27" t="n">
        <x:f>IFERROR(Q33*20/O33,0)</x:f>
        <x:v>2.3870967741935485</x:v>
      </x:c>
      <x:c r="AE33" s="28" t="n">
        <x:f>IFERROR(IF(AG33&gt;=1,100,IF(AG33&gt;=0.95,75,IF(AG33&gt;=0.9,60,IF(AG33&gt;=0.85,40,IF(AG33&gt;=0.8,25,0))))),0)</x:f>
        <x:v>60</x:v>
      </x:c>
      <x:c r="AF33" s="28" t="n">
        <x:f>IFERROR(0.4*U33+0.3*V33+0.1*W33+0.1*X33+0.1*Y33,0)</x:f>
        <x:v>41.603271754203014</x:v>
      </x:c>
      <x:c r="AG33" s="28" t="n">
        <x:v>0.9</x:v>
      </x:c>
      <x:c r="AH33" s="10" t="inlineStr">
        <x:is>
          <x:t xml:space="preserve">10% employment-stability penalty due to active budget-reduction discussions and enrollment/funding challenges.</x:t>
        </x:is>
      </x:c>
    </x:row>
    <x:row r="34" ht="26.75" customHeight="1">
      <x:c r="A34" s="24" t="inlineStr">
        <x:is>
          <x:t xml:space="preserve">Royal ISD</x:t>
        </x:is>
      </x:c>
      <x:c r="B34" s="24" t="str">
        <x:f>IFERROR(INDEX('School District Profiles'!$B$2:$B$58,MATCH($A34,'School District Profiles'!$A$2:$A$58,0)),"")</x:f>
        <x:v>TX</x:v>
      </x:c>
      <x:c r="C34" s="24" t="str">
        <x:f>IFERROR(INDEX('School District Profiles'!$C$2:$C$58,MATCH($A34,'School District Profiles'!$A$2:$A$58,0)),"")</x:f>
        <x:v>Houston</x:v>
      </x:c>
      <x:c r="D34" s="25" t="n">
        <x:f>SUMIFS('Teacher Salary Data'!$E$2:$E$1277,'Teacher Salary Data'!$A$2:$A$1277,$A34,'Teacher Salary Data'!$C$2:$C$1277,"Bachelor's",'Teacher Salary Data'!$D$2:$D$1277,0)</x:f>
        <x:v>61000</x:v>
      </x:c>
      <x:c r="E34" s="25" t="n">
        <x:f>SUMIFS('Teacher Salary Data'!$E$2:$E$1277,'Teacher Salary Data'!$A$2:$A$1277,$A34,'Teacher Salary Data'!$C$2:$C$1277,"Bachelor's",'Teacher Salary Data'!$D$2:$D$1277,5)</x:f>
        <x:v>70020</x:v>
      </x:c>
      <x:c r="F34" s="25" t="n">
        <x:f>SUMIFS('Teacher Salary Data'!$E$2:$E$1277,'Teacher Salary Data'!$A$2:$A$1277,$A34,'Teacher Salary Data'!$C$2:$C$1277,"Bachelor's",'Teacher Salary Data'!$D$2:$D$1277,10)</x:f>
        <x:v>71820</x:v>
      </x:c>
      <x:c r="G34" s="22" t="n">
        <x:f>SUMIFS('Teacher Salary Data'!$E$2:$E$1277,'Teacher Salary Data'!$A$2:$A$1277,$A34,'Teacher Salary Data'!$C$2:$C$1277,"Master's",'Teacher Salary Data'!$D$2:$D$1277,0)</x:f>
        <x:v>62000</x:v>
      </x:c>
      <x:c r="H34" s="25" t="n">
        <x:f>SUMIFS('Teacher Salary Data'!$E$2:$E$1277,'Teacher Salary Data'!$A$2:$A$1277,$A34,'Teacher Salary Data'!$C$2:$C$1277,"Master's",'Teacher Salary Data'!$D$2:$D$1277,5)</x:f>
        <x:v>71020</x:v>
      </x:c>
      <x:c r="I34" s="25" t="n">
        <x:f>SUMIFS('Teacher Salary Data'!$E$2:$E$1277,'Teacher Salary Data'!$A$2:$A$1277,$A34,'Teacher Salary Data'!$C$2:$C$1277,"Master's",'Teacher Salary Data'!$D$2:$D$1277,10)</x:f>
        <x:v>72820</x:v>
      </x:c>
      <x:c r="J34" s="25" t="n">
        <x:f>AVERAGE(D34,G34)</x:f>
        <x:v>61500</x:v>
      </x:c>
      <x:c r="K34" s="25" t="n">
        <x:f>AVERAGE(F34,I34)</x:f>
        <x:v>72320</x:v>
      </x:c>
      <x:c r="L34" s="26" t="n">
        <x:f>IFERROR((K34-J34)/J34,0)</x:f>
        <x:v>0.1759349593495935</x:v>
      </x:c>
      <x:c r="M34" s="25" t="n">
        <x:f>G34-D34</x:f>
        <x:v>1000</x:v>
      </x:c>
      <x:c r="N34" s="25" t="n">
        <x:f>IFERROR(INDEX('Median Home and Rent Prices'!$D$2:$D$58,MATCH($A34,'Median Home and Rent Prices'!$A$2:$A$58,0)),0)</x:f>
        <x:v>335000</x:v>
      </x:c>
      <x:c r="O34" s="25" t="n">
        <x:f>IFERROR(INDEX('Median Home and Rent Prices'!$E$2:$E$58,MATCH($A34,'Median Home and Rent Prices'!$A$2:$A$58,0)),0)</x:f>
        <x:v>2245</x:v>
      </x:c>
      <x:c r="P34" s="92" t="n">
        <x:f>IFERROR(INDEX('School District Profiles'!$H$2:$H$58,MATCH($A34,'School District Profiles'!$A$2:$A$58,0)),0)</x:f>
        <x:v>16.81</x:v>
      </x:c>
      <x:c r="Q34" s="25" t="n">
        <x:f>IFERROR(INDEX('School District Profiles'!$I$2:$I$58,MATCH($A34,'School District Profiles'!$A$2:$A$58,0)),0)</x:f>
        <x:v>125</x:v>
      </x:c>
      <x:c r="R34" s="27" t="n">
        <x:f>IFERROR(MAX(0,MIN(100,(K34-50000)/(110000-50000)*100)),0)</x:f>
        <x:v>37.2</x:v>
      </x:c>
      <x:c r="S34" s="27" t="n">
        <x:f>IFERROR(MAX(0,MIN(100,L34/0.6*100)),0)</x:f>
        <x:v>29.32249322493225</x:v>
      </x:c>
      <x:c r="T34" s="27" t="n">
        <x:f>IFERROR(MAX(0,MIN(100,M34/15000*100)),0)</x:f>
        <x:v>6.666666666666667</x:v>
      </x:c>
      <x:c r="U34" s="27" t="n">
        <x:f>IFERROR(0.45*R34+0.4*S34+0.15*T34,0)</x:f>
        <x:v>29.468997289972904</x:v>
      </x:c>
      <x:c r="V34" s="27" t="n">
        <x:f>IFERROR(0.4*MAX(0,MIN(100,(((J34/12)/O34)-2)/(4-2)*100))+0.35*MAX(0,MIN(100,(8-(N34/K34))/(8-3)*100))+0.25*AB34,0)</x:f>
        <x:v>53.80860680871645</x:v>
      </x:c>
      <x:c r="W34" s="27" t="n">
        <x:f>IFERROR(MAX(0,MIN(100,(25-P34)/(25-12)*100)),0)</x:f>
        <x:v>63.000000000000014</x:v>
      </x:c>
      <x:c r="X34" s="27" t="n">
        <x:f>IFERROR(MAX(0,MIN(100,(AD34-1)/(3-1)*100))*IF(OR($A34="North Clackamas School District",$A34="Provo City School District"),0.6,1),0)</x:f>
        <x:v>5.679287305122493</x:v>
      </x:c>
      <x:c r="Y34" s="27" t="n">
        <x:f>IFERROR(MAX(0,MIN(100,(1-((IFERROR(INDEX('School District Profiles'!$D$2:$D$58,MATCH($A34,'School District Profiles'!$A$2:$A$58,0)),0)/100)^2+(IFERROR(INDEX('School District Profiles'!$E$2:$E$58,MATCH($A34,'School District Profiles'!$A$2:$A$58,0)),0)/100)^2+(IFERROR(INDEX('School District Profiles'!$F$2:$F$58,MATCH($A34,'School District Profiles'!$A$2:$A$58,0)),0)/100)^2+(IFERROR(INDEX('School District Profiles'!$G$2:$G$58,MATCH($A34,'School District Profiles'!$A$2:$A$58,0)),0)/100)^2+(AC34/100)^2))/0.8*100)),0)</x:f>
        <x:v>55.75249999999998</x:v>
      </x:c>
      <x:c r="Z34" s="27" t="n">
        <x:f>IFERROR(AF34*AG34,0)</x:f>
        <x:v>40.37335968911635</x:v>
      </x:c>
      <x:c r="AA34" s="27" t="n">
        <x:f>IFERROR(INDEX('Median Home and Rent Prices'!$F$2:$F$58,MATCH($A34,'Median Home and Rent Prices'!$A$2:$A$58,0)),0)</x:f>
        <x:v>161</x:v>
      </x:c>
      <x:c r="AB34" s="27" t="n">
        <x:f>IFERROR(MAX(0,MIN(100,(800-AA34)/(800-150)*100)),0)</x:f>
        <x:v>98.3076923076923</x:v>
      </x:c>
      <x:c r="AC34" s="26" t="n">
        <x:f>IFERROR(INDEX('School District Profiles'!$J$2:$J$58,MATCH($A34,'School District Profiles'!$A$2:$A$58,0)),0)</x:f>
        <x:v>2.299999999999997</x:v>
      </x:c>
      <x:c r="AD34" s="27" t="n">
        <x:f>IFERROR(Q34*20/O34,0)</x:f>
        <x:v>1.1135857461024499</x:v>
      </x:c>
      <x:c r="AE34" s="28" t="n">
        <x:f>IFERROR(IF(AG34&gt;=1,100,IF(AG34&gt;=0.95,75,IF(AG34&gt;=0.9,60,IF(AG34&gt;=0.85,40,IF(AG34&gt;=0.8,25,0))))),0)</x:f>
        <x:v>100</x:v>
      </x:c>
      <x:c r="AF34" s="28" t="n">
        <x:f>IFERROR(0.4*U34+0.3*V34+0.1*W34+0.1*X34+0.1*Y34,0)</x:f>
        <x:v>40.37335968911635</x:v>
      </x:c>
      <x:c r="AG34" s="28" t="n">
        <x:v>1</x:v>
      </x:c>
      <x:c r="AH34" s="10" t="inlineStr">
        <x:is>
          <x:t xml:space="preserve">No current employment-stability penalty applied; first-pass research did not find reliable current layoff evidence.</x:t>
        </x:is>
      </x:c>
    </x:row>
    <x:row r="35" ht="26.75" customHeight="1">
      <x:c r="A35" s="12" t="inlineStr">
        <x:is>
          <x:t xml:space="preserve">Saint Helena Unified School District</x:t>
        </x:is>
      </x:c>
      <x:c r="B35" s="12" t="str">
        <x:f>IFERROR(INDEX('School District Profiles'!$B$2:$B$58,MATCH($A35,'School District Profiles'!$A$2:$A$58,0)),"")</x:f>
        <x:v>CA</x:v>
      </x:c>
      <x:c r="C35" s="12" t="str">
        <x:f>IFERROR(INDEX('School District Profiles'!$C$2:$C$58,MATCH($A35,'School District Profiles'!$A$2:$A$58,0)),"")</x:f>
        <x:v>Northern California</x:v>
      </x:c>
      <x:c r="D35" s="14" t="n">
        <x:f>SUMIFS('Teacher Salary Data'!$E$2:$E$1277,'Teacher Salary Data'!$A$2:$A$1277,$A35,'Teacher Salary Data'!$C$2:$C$1277,"Bachelor's",'Teacher Salary Data'!$D$2:$D$1277,0)</x:f>
        <x:v>93432</x:v>
      </x:c>
      <x:c r="E35" s="14" t="n">
        <x:f>SUMIFS('Teacher Salary Data'!$E$2:$E$1277,'Teacher Salary Data'!$A$2:$A$1277,$A35,'Teacher Salary Data'!$C$2:$C$1277,"Bachelor's",'Teacher Salary Data'!$D$2:$D$1277,5)</x:f>
        <x:v>110995</x:v>
      </x:c>
      <x:c r="F35" s="14" t="n">
        <x:f>SUMIFS('Teacher Salary Data'!$E$2:$E$1277,'Teacher Salary Data'!$A$2:$A$1277,$A35,'Teacher Salary Data'!$C$2:$C$1277,"Bachelor's",'Teacher Salary Data'!$D$2:$D$1277,10)</x:f>
        <x:v>125580</x:v>
      </x:c>
      <x:c r="G35" s="11" t="n">
        <x:f>SUMIFS('Teacher Salary Data'!$E$2:$E$1277,'Teacher Salary Data'!$A$2:$A$1277,$A35,'Teacher Salary Data'!$C$2:$C$1277,"Master's",'Teacher Salary Data'!$D$2:$D$1277,0)</x:f>
        <x:v>95786</x:v>
      </x:c>
      <x:c r="H35" s="14" t="n">
        <x:f>SUMIFS('Teacher Salary Data'!$E$2:$E$1277,'Teacher Salary Data'!$A$2:$A$1277,$A35,'Teacher Salary Data'!$C$2:$C$1277,"Master's",'Teacher Salary Data'!$D$2:$D$1277,5)</x:f>
        <x:v>113349</x:v>
      </x:c>
      <x:c r="I35" s="14" t="n">
        <x:f>SUMIFS('Teacher Salary Data'!$E$2:$E$1277,'Teacher Salary Data'!$A$2:$A$1277,$A35,'Teacher Salary Data'!$C$2:$C$1277,"Master's",'Teacher Salary Data'!$D$2:$D$1277,10)</x:f>
        <x:v>127934</x:v>
      </x:c>
      <x:c r="J35" s="14" t="n">
        <x:f>AVERAGE(D35,G35)</x:f>
        <x:v>94609</x:v>
      </x:c>
      <x:c r="K35" s="14" t="n">
        <x:f>AVERAGE(F35,I35)</x:f>
        <x:v>126757</x:v>
      </x:c>
      <x:c r="L35" s="29" t="n">
        <x:f>IFERROR((K35-J35)/J35,0)</x:f>
        <x:v>0.33979853925102266</x:v>
      </x:c>
      <x:c r="M35" s="14" t="n">
        <x:f>G35-D35</x:f>
        <x:v>2354</x:v>
      </x:c>
      <x:c r="N35" s="14" t="n">
        <x:f>IFERROR(INDEX('Median Home and Rent Prices'!$D$2:$D$58,MATCH($A35,'Median Home and Rent Prices'!$A$2:$A$58,0)),0)</x:f>
        <x:v>2323609</x:v>
      </x:c>
      <x:c r="O35" s="14" t="n">
        <x:f>IFERROR(INDEX('Median Home and Rent Prices'!$E$2:$E$58,MATCH($A35,'Median Home and Rent Prices'!$A$2:$A$58,0)),0)</x:f>
        <x:v>5995</x:v>
      </x:c>
      <x:c r="P35" s="87" t="n">
        <x:f>IFERROR(INDEX('School District Profiles'!$H$2:$H$58,MATCH($A35,'School District Profiles'!$A$2:$A$58,0)),0)</x:f>
        <x:v>13.32</x:v>
      </x:c>
      <x:c r="Q35" s="14" t="n">
        <x:f>IFERROR(INDEX('School District Profiles'!$I$2:$I$58,MATCH($A35,'School District Profiles'!$A$2:$A$58,0)),0)</x:f>
        <x:v>275</x:v>
      </x:c>
      <x:c r="R35" s="28" t="n">
        <x:f>IFERROR(MAX(0,MIN(100,(K35-50000)/(110000-50000)*100)),0)</x:f>
        <x:v>100</x:v>
      </x:c>
      <x:c r="S35" s="28" t="n">
        <x:f>IFERROR(MAX(0,MIN(100,L35/0.6*100)),0)</x:f>
        <x:v>56.63308987517045</x:v>
      </x:c>
      <x:c r="T35" s="28" t="n">
        <x:f>IFERROR(MAX(0,MIN(100,M35/15000*100)),0)</x:f>
        <x:v>15.693333333333333</x:v>
      </x:c>
      <x:c r="U35" s="28" t="n">
        <x:f>IFERROR(0.45*R35+0.4*S35+0.15*T35,0)</x:f>
        <x:v>70.00723595006818</x:v>
      </x:c>
      <x:c r="V35" s="28" t="n">
        <x:f>IFERROR(0.4*MAX(0,MIN(100,(((J35/12)/O35)-2)/(4-2)*100))+0.35*MAX(0,MIN(100,(8-(N35/K35))/(8-3)*100))+0.25*AB35,0)</x:f>
        <x:v>0</x:v>
      </x:c>
      <x:c r="W35" s="28" t="n">
        <x:f>IFERROR(MAX(0,MIN(100,(25-P35)/(25-12)*100)),0)</x:f>
        <x:v>89.84615384615384</x:v>
      </x:c>
      <x:c r="X35" s="28" t="n">
        <x:f>IFERROR(MAX(0,MIN(100,(AD35-1)/(3-1)*100))*IF(OR($A35="North Clackamas School District",$A35="Provo City School District"),0.6,1),0)</x:f>
        <x:v>0</x:v>
      </x:c>
      <x:c r="Y35" s="28" t="n">
        <x:f>IFERROR(MAX(0,MIN(100,(1-((IFERROR(INDEX('School District Profiles'!$D$2:$D$58,MATCH($A35,'School District Profiles'!$A$2:$A$58,0)),0)/100)^2+(IFERROR(INDEX('School District Profiles'!$E$2:$E$58,MATCH($A35,'School District Profiles'!$A$2:$A$58,0)),0)/100)^2+(IFERROR(INDEX('School District Profiles'!$F$2:$F$58,MATCH($A35,'School District Profiles'!$A$2:$A$58,0)),0)/100)^2+(IFERROR(INDEX('School District Profiles'!$G$2:$G$58,MATCH($A35,'School District Profiles'!$A$2:$A$58,0)),0)/100)^2+(AC35/100)^2))/0.8*100)),0)</x:f>
        <x:v>67.725</x:v>
      </x:c>
      <x:c r="Z35" s="28" t="n">
        <x:f>IFERROR(AF35*AG35,0)</x:f>
        <x:v>43.76000976464265</x:v>
      </x:c>
      <x:c r="AA35" s="28" t="n">
        <x:f>IFERROR(INDEX('Median Home and Rent Prices'!$F$2:$F$58,MATCH($A35,'Median Home and Rent Prices'!$A$2:$A$58,0)),0)</x:f>
        <x:v>903</x:v>
      </x:c>
      <x:c r="AB35" s="28" t="n">
        <x:f>IFERROR(MAX(0,MIN(100,(800-AA35)/(800-150)*100)),0)</x:f>
        <x:v>0</x:v>
      </x:c>
      <x:c r="AC35" s="29" t="n">
        <x:f>IFERROR(INDEX('School District Profiles'!$J$2:$J$58,MATCH($A35,'School District Profiles'!$A$2:$A$58,0)),0)</x:f>
        <x:v>2</x:v>
      </x:c>
      <x:c r="AD35" s="28" t="n">
        <x:f>IFERROR(Q35*20/O35,0)</x:f>
        <x:v>0.9174311926605505</x:v>
      </x:c>
      <x:c r="AE35" s="28" t="n">
        <x:f>IFERROR(IF(AG35&gt;=1,100,IF(AG35&gt;=0.95,75,IF(AG35&gt;=0.9,60,IF(AG35&gt;=0.85,40,IF(AG35&gt;=0.8,25,0))))),0)</x:f>
        <x:v>100</x:v>
      </x:c>
      <x:c r="AF35" s="28" t="n">
        <x:f>IFERROR(0.4*U35+0.3*V35+0.1*W35+0.1*X35+0.1*Y35,0)</x:f>
        <x:v>43.76000976464265</x:v>
      </x:c>
      <x:c r="AG35" s="28" t="n">
        <x:v>1</x:v>
      </x:c>
      <x:c r="AH35" s="10" t="inlineStr">
        <x:is>
          <x:t xml:space="preserve">No current employment-stability penalty applied; first-pass research did not find reliable current layoff evidence.</x:t>
        </x:is>
      </x:c>
    </x:row>
    <x:row r="36" ht="26.75" customHeight="1">
      <x:c r="A36" s="12" t="inlineStr">
        <x:is>
          <x:t xml:space="preserve">Salt Lake School District</x:t>
        </x:is>
      </x:c>
      <x:c r="B36" s="12" t="str">
        <x:f>IFERROR(INDEX('School District Profiles'!$B$2:$B$58,MATCH($A36,'School District Profiles'!$A$2:$A$58,0)),"")</x:f>
        <x:v>UT</x:v>
      </x:c>
      <x:c r="C36" s="12" t="str">
        <x:f>IFERROR(INDEX('School District Profiles'!$C$2:$C$58,MATCH($A36,'School District Profiles'!$A$2:$A$58,0)),"")</x:f>
        <x:v>Salt Lake Valley</x:v>
      </x:c>
      <x:c r="D36" s="14" t="n">
        <x:f>SUMIFS('Teacher Salary Data'!$E$2:$E$1277,'Teacher Salary Data'!$A$2:$A$1277,$A36,'Teacher Salary Data'!$C$2:$C$1277,"Bachelor's",'Teacher Salary Data'!$D$2:$D$1277,0)</x:f>
        <x:v>62566</x:v>
      </x:c>
      <x:c r="E36" s="14" t="n">
        <x:f>SUMIFS('Teacher Salary Data'!$E$2:$E$1277,'Teacher Salary Data'!$A$2:$A$1277,$A36,'Teacher Salary Data'!$C$2:$C$1277,"Bachelor's",'Teacher Salary Data'!$D$2:$D$1277,5)</x:f>
        <x:v>74460</x:v>
      </x:c>
      <x:c r="F36" s="14" t="n">
        <x:f>SUMIFS('Teacher Salary Data'!$E$2:$E$1277,'Teacher Salary Data'!$A$2:$A$1277,$A36,'Teacher Salary Data'!$C$2:$C$1277,"Bachelor's",'Teacher Salary Data'!$D$2:$D$1277,10)</x:f>
        <x:v>80826</x:v>
      </x:c>
      <x:c r="G36" s="11" t="n">
        <x:f>SUMIFS('Teacher Salary Data'!$E$2:$E$1277,'Teacher Salary Data'!$A$2:$A$1277,$A36,'Teacher Salary Data'!$C$2:$C$1277,"Master's",'Teacher Salary Data'!$D$2:$D$1277,0)</x:f>
        <x:v>68933</x:v>
      </x:c>
      <x:c r="H36" s="14" t="n">
        <x:f>SUMIFS('Teacher Salary Data'!$E$2:$E$1277,'Teacher Salary Data'!$A$2:$A$1277,$A36,'Teacher Salary Data'!$C$2:$C$1277,"Master's",'Teacher Salary Data'!$D$2:$D$1277,5)</x:f>
        <x:v>80270</x:v>
      </x:c>
      <x:c r="I36" s="14" t="n">
        <x:f>SUMIFS('Teacher Salary Data'!$E$2:$E$1277,'Teacher Salary Data'!$A$2:$A$1277,$A36,'Teacher Salary Data'!$C$2:$C$1277,"Master's",'Teacher Salary Data'!$D$2:$D$1277,10)</x:f>
        <x:v>85425</x:v>
      </x:c>
      <x:c r="J36" s="14" t="n">
        <x:f>AVERAGE(D36,G36)</x:f>
        <x:v>65749.5</x:v>
      </x:c>
      <x:c r="K36" s="14" t="n">
        <x:f>AVERAGE(F36,I36)</x:f>
        <x:v>83125.5</x:v>
      </x:c>
      <x:c r="L36" s="29" t="n">
        <x:f>IFERROR((K36-J36)/J36,0)</x:f>
        <x:v>0.26427577396025825</x:v>
      </x:c>
      <x:c r="M36" s="14" t="n">
        <x:f>G36-D36</x:f>
        <x:v>6367</x:v>
      </x:c>
      <x:c r="N36" s="14" t="n">
        <x:f>IFERROR(INDEX('Median Home and Rent Prices'!$D$2:$D$58,MATCH($A36,'Median Home and Rent Prices'!$A$2:$A$58,0)),0)</x:f>
        <x:v>580000</x:v>
      </x:c>
      <x:c r="O36" s="14" t="n">
        <x:f>IFERROR(INDEX('Median Home and Rent Prices'!$E$2:$E$58,MATCH($A36,'Median Home and Rent Prices'!$A$2:$A$58,0)),0)</x:f>
        <x:v>1600</x:v>
      </x:c>
      <x:c r="P36" s="87" t="n">
        <x:f>IFERROR(INDEX('School District Profiles'!$H$2:$H$58,MATCH($A36,'School District Profiles'!$A$2:$A$58,0)),0)</x:f>
        <x:v>17</x:v>
      </x:c>
      <x:c r="Q36" s="14" t="n">
        <x:f>IFERROR(INDEX('School District Profiles'!$I$2:$I$58,MATCH($A36,'School District Profiles'!$A$2:$A$58,0)),0)</x:f>
        <x:v>189</x:v>
      </x:c>
      <x:c r="R36" s="28" t="n">
        <x:f>IFERROR(MAX(0,MIN(100,(K36-50000)/(110000-50000)*100)),0)</x:f>
        <x:v>55.20916666666666</x:v>
      </x:c>
      <x:c r="S36" s="28" t="n">
        <x:f>IFERROR(MAX(0,MIN(100,L36/0.6*100)),0)</x:f>
        <x:v>44.045962326709706</x:v>
      </x:c>
      <x:c r="T36" s="28" t="n">
        <x:f>IFERROR(MAX(0,MIN(100,M36/15000*100)),0)</x:f>
        <x:v>42.446666666666665</x:v>
      </x:c>
      <x:c r="U36" s="28" t="n">
        <x:f>IFERROR(0.45*R36+0.4*S36+0.15*T36,0)</x:f>
        <x:v>48.82950993068388</x:v>
      </x:c>
      <x:c r="V36" s="28" t="n">
        <x:f>IFERROR(0.4*MAX(0,MIN(100,(((J36/12)/O36)-2)/(4-2)*100))+0.35*MAX(0,MIN(100,(8-(N36/K36))/(8-3)*100))+0.25*AB36,0)</x:f>
        <x:v>52.10878948371276</x:v>
      </x:c>
      <x:c r="W36" s="28" t="n">
        <x:f>IFERROR(MAX(0,MIN(100,(25-P36)/(25-12)*100)),0)</x:f>
        <x:v>61.53846153846154</x:v>
      </x:c>
      <x:c r="X36" s="28" t="n">
        <x:f>IFERROR(MAX(0,MIN(100,(AD36-1)/(3-1)*100))*IF(OR($A36="North Clackamas School District",$A36="Provo City School District"),0.6,1),0)</x:f>
        <x:v>68.12499999999999</x:v>
      </x:c>
      <x:c r="Y36" s="28" t="n">
        <x:f>IFERROR(MAX(0,MIN(100,(1-((IFERROR(INDEX('School District Profiles'!$D$2:$D$58,MATCH($A36,'School District Profiles'!$A$2:$A$58,0)),0)/100)^2+(IFERROR(INDEX('School District Profiles'!$E$2:$E$58,MATCH($A36,'School District Profiles'!$A$2:$A$58,0)),0)/100)^2+(IFERROR(INDEX('School District Profiles'!$F$2:$F$58,MATCH($A36,'School District Profiles'!$A$2:$A$58,0)),0)/100)^2+(IFERROR(INDEX('School District Profiles'!$G$2:$G$58,MATCH($A36,'School District Profiles'!$A$2:$A$58,0)),0)/100)^2+(AC36/100)^2))/0.8*100)),0)</x:f>
        <x:v>83.12499999999999</x:v>
      </x:c>
      <x:c r="Z36" s="28" t="n">
        <x:f>IFERROR(AF36*AG36,0)</x:f>
        <x:v>53.621122622671855</x:v>
      </x:c>
      <x:c r="AA36" s="28" t="n">
        <x:f>IFERROR(INDEX('Median Home and Rent Prices'!$F$2:$F$58,MATCH($A36,'Median Home and Rent Prices'!$A$2:$A$58,0)),0)</x:f>
        <x:v>372</x:v>
      </x:c>
      <x:c r="AB36" s="28" t="n">
        <x:f>IFERROR(MAX(0,MIN(100,(800-AA36)/(800-150)*100)),0)</x:f>
        <x:v>65.84615384615384</x:v>
      </x:c>
      <x:c r="AC36" s="29" t="n">
        <x:f>IFERROR(INDEX('School District Profiles'!$J$2:$J$58,MATCH($A36,'School District Profiles'!$A$2:$A$58,0)),0)</x:f>
        <x:v>10</x:v>
      </x:c>
      <x:c r="AD36" s="28" t="n">
        <x:f>IFERROR(Q36*20/O36,0)</x:f>
        <x:v>2.3625</x:v>
      </x:c>
      <x:c r="AE36" s="28" t="n">
        <x:f>IFERROR(IF(AG36&gt;=1,100,IF(AG36&gt;=0.95,75,IF(AG36&gt;=0.9,60,IF(AG36&gt;=0.85,40,IF(AG36&gt;=0.8,25,0))))),0)</x:f>
        <x:v>75</x:v>
      </x:c>
      <x:c r="AF36" s="28" t="n">
        <x:f>IFERROR(0.4*U36+0.3*V36+0.1*W36+0.1*X36+0.1*Y36,0)</x:f>
        <x:v>56.44328697123353</x:v>
      </x:c>
      <x:c r="AG36" s="28" t="n">
        <x:v>0.95</x:v>
      </x:c>
      <x:c r="AH36" s="10" t="inlineStr">
        <x:is>
          <x:t xml:space="preserve">5% watchlist penalty due to strained funding/program cuts, but no strong current evidence of broad teacher layoffs.</x:t>
        </x:is>
      </x:c>
    </x:row>
    <x:row r="37" ht="26.75" customHeight="1">
      <x:c r="A37" s="12" t="inlineStr">
        <x:is>
          <x:t xml:space="preserve">San Antonio ISD</x:t>
        </x:is>
      </x:c>
      <x:c r="B37" s="12" t="str">
        <x:f>IFERROR(INDEX('School District Profiles'!$B$2:$B$58,MATCH($A37,'School District Profiles'!$A$2:$A$58,0)),"")</x:f>
        <x:v>TX</x:v>
      </x:c>
      <x:c r="C37" s="12" t="str">
        <x:f>IFERROR(INDEX('School District Profiles'!$C$2:$C$58,MATCH($A37,'School District Profiles'!$A$2:$A$58,0)),"")</x:f>
        <x:v>San Antonio</x:v>
      </x:c>
      <x:c r="D37" s="14" t="n">
        <x:f>SUMIFS('Teacher Salary Data'!$E$2:$E$1277,'Teacher Salary Data'!$A$2:$A$1277,$A37,'Teacher Salary Data'!$C$2:$C$1277,"Bachelor's",'Teacher Salary Data'!$D$2:$D$1277,0)</x:f>
        <x:v>60000</x:v>
      </x:c>
      <x:c r="E37" s="14" t="n">
        <x:f>SUMIFS('Teacher Salary Data'!$E$2:$E$1277,'Teacher Salary Data'!$A$2:$A$1277,$A37,'Teacher Salary Data'!$C$2:$C$1277,"Bachelor's",'Teacher Salary Data'!$D$2:$D$1277,5)</x:f>
        <x:v>64513</x:v>
      </x:c>
      <x:c r="F37" s="14" t="n">
        <x:f>SUMIFS('Teacher Salary Data'!$E$2:$E$1277,'Teacher Salary Data'!$A$2:$A$1277,$A37,'Teacher Salary Data'!$C$2:$C$1277,"Bachelor's",'Teacher Salary Data'!$D$2:$D$1277,10)</x:f>
        <x:v>65590</x:v>
      </x:c>
      <x:c r="G37" s="11" t="n">
        <x:f>SUMIFS('Teacher Salary Data'!$E$2:$E$1277,'Teacher Salary Data'!$A$2:$A$1277,$A37,'Teacher Salary Data'!$C$2:$C$1277,"Master's",'Teacher Salary Data'!$D$2:$D$1277,0)</x:f>
        <x:v>62000</x:v>
      </x:c>
      <x:c r="H37" s="14" t="n">
        <x:f>SUMIFS('Teacher Salary Data'!$E$2:$E$1277,'Teacher Salary Data'!$A$2:$A$1277,$A37,'Teacher Salary Data'!$C$2:$C$1277,"Master's",'Teacher Salary Data'!$D$2:$D$1277,5)</x:f>
        <x:v>66513</x:v>
      </x:c>
      <x:c r="I37" s="14" t="n">
        <x:f>SUMIFS('Teacher Salary Data'!$E$2:$E$1277,'Teacher Salary Data'!$A$2:$A$1277,$A37,'Teacher Salary Data'!$C$2:$C$1277,"Master's",'Teacher Salary Data'!$D$2:$D$1277,10)</x:f>
        <x:v>67590</x:v>
      </x:c>
      <x:c r="J37" s="14" t="n">
        <x:f>AVERAGE(D37,G37)</x:f>
        <x:v>61000</x:v>
      </x:c>
      <x:c r="K37" s="14" t="n">
        <x:f>AVERAGE(F37,I37)</x:f>
        <x:v>66590</x:v>
      </x:c>
      <x:c r="L37" s="29" t="n">
        <x:f>IFERROR((K37-J37)/J37,0)</x:f>
        <x:v>0.09163934426229509</x:v>
      </x:c>
      <x:c r="M37" s="14" t="n">
        <x:f>G37-D37</x:f>
        <x:v>2000</x:v>
      </x:c>
      <x:c r="N37" s="14" t="n">
        <x:f>IFERROR(INDEX('Median Home and Rent Prices'!$D$2:$D$58,MATCH($A37,'Median Home and Rent Prices'!$A$2:$A$58,0)),0)</x:f>
        <x:v>260000</x:v>
      </x:c>
      <x:c r="O37" s="14" t="n">
        <x:f>IFERROR(INDEX('Median Home and Rent Prices'!$E$2:$E$58,MATCH($A37,'Median Home and Rent Prices'!$A$2:$A$58,0)),0)</x:f>
        <x:v>1372</x:v>
      </x:c>
      <x:c r="P37" s="87" t="n">
        <x:f>IFERROR(INDEX('School District Profiles'!$H$2:$H$58,MATCH($A37,'School District Profiles'!$A$2:$A$58,0)),0)</x:f>
        <x:v>14.95</x:v>
      </x:c>
      <x:c r="Q37" s="14" t="n">
        <x:f>IFERROR(INDEX('School District Profiles'!$I$2:$I$58,MATCH($A37,'School District Profiles'!$A$2:$A$58,0)),0)</x:f>
        <x:v>140</x:v>
      </x:c>
      <x:c r="R37" s="28" t="n">
        <x:f>IFERROR(MAX(0,MIN(100,(K37-50000)/(110000-50000)*100)),0)</x:f>
        <x:v>27.650000000000002</x:v>
      </x:c>
      <x:c r="S37" s="28" t="n">
        <x:f>IFERROR(MAX(0,MIN(100,L37/0.6*100)),0)</x:f>
        <x:v>15.27322404371585</x:v>
      </x:c>
      <x:c r="T37" s="28" t="n">
        <x:f>IFERROR(MAX(0,MIN(100,M37/15000*100)),0)</x:f>
        <x:v>13.333333333333334</x:v>
      </x:c>
      <x:c r="U37" s="28" t="n">
        <x:f>IFERROR(0.45*R37+0.4*S37+0.15*T37,0)</x:f>
        <x:v>20.551789617486342</x:v>
      </x:c>
      <x:c r="V37" s="28" t="n">
        <x:f>IFERROR(0.4*MAX(0,MIN(100,(((J37/12)/O37)-2)/(4-2)*100))+0.35*MAX(0,MIN(100,(8-(N37/K37))/(8-3)*100))+0.25*AB37,0)</x:f>
        <x:v>87.73117631474895</x:v>
      </x:c>
      <x:c r="W37" s="28" t="n">
        <x:f>IFERROR(MAX(0,MIN(100,(25-P37)/(25-12)*100)),0)</x:f>
        <x:v>77.3076923076923</x:v>
      </x:c>
      <x:c r="X37" s="28" t="n">
        <x:f>IFERROR(MAX(0,MIN(100,(AD37-1)/(3-1)*100))*IF(OR($A37="North Clackamas School District",$A37="Provo City School District"),0.6,1),0)</x:f>
        <x:v>52.04081632653062</x:v>
      </x:c>
      <x:c r="Y37" s="28" t="n">
        <x:f>IFERROR(MAX(0,MIN(100,(1-((IFERROR(INDEX('School District Profiles'!$D$2:$D$58,MATCH($A37,'School District Profiles'!$A$2:$A$58,0)),0)/100)^2+(IFERROR(INDEX('School District Profiles'!$E$2:$E$58,MATCH($A37,'School District Profiles'!$A$2:$A$58,0)),0)/100)^2+(IFERROR(INDEX('School District Profiles'!$F$2:$F$58,MATCH($A37,'School District Profiles'!$A$2:$A$58,0)),0)/100)^2+(IFERROR(INDEX('School District Profiles'!$G$2:$G$58,MATCH($A37,'School District Profiles'!$A$2:$A$58,0)),0)/100)^2+(AC37/100)^2))/0.8*100)),0)</x:f>
        <x:v>24.061000000000014</x:v>
      </x:c>
      <x:c r="Z37" s="28" t="n">
        <x:f>IFERROR(AF37*AG37,0)</x:f>
        <x:v>42.39886666411529</x:v>
      </x:c>
      <x:c r="AA37" s="28" t="n">
        <x:f>IFERROR(INDEX('Median Home and Rent Prices'!$F$2:$F$58,MATCH($A37,'Median Home and Rent Prices'!$A$2:$A$58,0)),0)</x:f>
        <x:v>151</x:v>
      </x:c>
      <x:c r="AB37" s="28" t="n">
        <x:f>IFERROR(MAX(0,MIN(100,(800-AA37)/(800-150)*100)),0)</x:f>
        <x:v>99.84615384615385</x:v>
      </x:c>
      <x:c r="AC37" s="29" t="n">
        <x:f>IFERROR(INDEX('School District Profiles'!$J$2:$J$58,MATCH($A37,'School District Profiles'!$A$2:$A$58,0)),0)</x:f>
        <x:v>0</x:v>
      </x:c>
      <x:c r="AD37" s="28" t="n">
        <x:f>IFERROR(Q37*20/O37,0)</x:f>
        <x:v>2.0408163265306123</x:v>
      </x:c>
      <x:c r="AE37" s="28" t="n">
        <x:f>IFERROR(IF(AG37&gt;=1,100,IF(AG37&gt;=0.95,75,IF(AG37&gt;=0.9,60,IF(AG37&gt;=0.85,40,IF(AG37&gt;=0.8,25,0))))),0)</x:f>
        <x:v>40</x:v>
      </x:c>
      <x:c r="AF37" s="28" t="n">
        <x:f>IFERROR(0.4*U37+0.3*V37+0.1*W37+0.1*X37+0.1*Y37,0)</x:f>
        <x:v>49.88101960484152</x:v>
      </x:c>
      <x:c r="AG37" s="28" t="n">
        <x:v>0.85</x:v>
      </x:c>
      <x:c r="AH37" s="10" t="inlineStr">
        <x:is>
          <x:t xml:space="preserve">15% employment-stability penalty due to major deficit, school closures, declining enrollment, hiring freeze/cuts, and staffing-reduction risk.</x:t>
        </x:is>
      </x:c>
    </x:row>
    <x:row r="38" ht="26.75" customHeight="1">
      <x:c r="A38" s="12" t="inlineStr">
        <x:is>
          <x:t xml:space="preserve">San Diego Unified School District</x:t>
        </x:is>
      </x:c>
      <x:c r="B38" s="12" t="str">
        <x:f>IFERROR(INDEX('School District Profiles'!$B$2:$B$58,MATCH($A38,'School District Profiles'!$A$2:$A$58,0)),"")</x:f>
        <x:v>CA</x:v>
      </x:c>
      <x:c r="C38" s="12" t="str">
        <x:f>IFERROR(INDEX('School District Profiles'!$C$2:$C$58,MATCH($A38,'School District Profiles'!$A$2:$A$58,0)),"")</x:f>
        <x:v>Southern California</x:v>
      </x:c>
      <x:c r="D38" s="14" t="n">
        <x:f>SUMIFS('Teacher Salary Data'!$E$2:$E$1277,'Teacher Salary Data'!$A$2:$A$1277,$A38,'Teacher Salary Data'!$C$2:$C$1277,"Bachelor's",'Teacher Salary Data'!$D$2:$D$1277,0)</x:f>
        <x:v>59490.98</x:v>
      </x:c>
      <x:c r="E38" s="14" t="n">
        <x:f>SUMIFS('Teacher Salary Data'!$E$2:$E$1277,'Teacher Salary Data'!$A$2:$A$1277,$A38,'Teacher Salary Data'!$C$2:$C$1277,"Bachelor's",'Teacher Salary Data'!$D$2:$D$1277,5)</x:f>
        <x:v>68980</x:v>
      </x:c>
      <x:c r="F38" s="14" t="n">
        <x:f>SUMIFS('Teacher Salary Data'!$E$2:$E$1277,'Teacher Salary Data'!$A$2:$A$1277,$A38,'Teacher Salary Data'!$C$2:$C$1277,"Bachelor's",'Teacher Salary Data'!$D$2:$D$1277,10)</x:f>
        <x:v>83135</x:v>
      </x:c>
      <x:c r="G38" s="11" t="n">
        <x:f>SUMIFS('Teacher Salary Data'!$E$2:$E$1277,'Teacher Salary Data'!$A$2:$A$1277,$A38,'Teacher Salary Data'!$C$2:$C$1277,"Master's",'Teacher Salary Data'!$D$2:$D$1277,0)</x:f>
        <x:v>63121</x:v>
      </x:c>
      <x:c r="H38" s="14" t="n">
        <x:f>SUMIFS('Teacher Salary Data'!$E$2:$E$1277,'Teacher Salary Data'!$A$2:$A$1277,$A38,'Teacher Salary Data'!$C$2:$C$1277,"Master's",'Teacher Salary Data'!$D$2:$D$1277,5)</x:f>
        <x:v>72610</x:v>
      </x:c>
      <x:c r="I38" s="14" t="n">
        <x:f>SUMIFS('Teacher Salary Data'!$E$2:$E$1277,'Teacher Salary Data'!$A$2:$A$1277,$A38,'Teacher Salary Data'!$C$2:$C$1277,"Master's",'Teacher Salary Data'!$D$2:$D$1277,10)</x:f>
        <x:v>86765</x:v>
      </x:c>
      <x:c r="J38" s="14" t="n">
        <x:f>AVERAGE(D38,G38)</x:f>
        <x:v>61305.990000000005</x:v>
      </x:c>
      <x:c r="K38" s="14" t="n">
        <x:f>AVERAGE(F38,I38)</x:f>
        <x:v>84950</x:v>
      </x:c>
      <x:c r="L38" s="29" t="n">
        <x:f>IFERROR((K38-J38)/J38,0)</x:f>
        <x:v>0.3856721015352658</x:v>
      </x:c>
      <x:c r="M38" s="14" t="n">
        <x:f>G38-D38</x:f>
        <x:v>3630.019999999997</x:v>
      </x:c>
      <x:c r="N38" s="14" t="n">
        <x:f>IFERROR(INDEX('Median Home and Rent Prices'!$D$2:$D$58,MATCH($A38,'Median Home and Rent Prices'!$A$2:$A$58,0)),0)</x:f>
        <x:v>1000000</x:v>
      </x:c>
      <x:c r="O38" s="14" t="n">
        <x:f>IFERROR(INDEX('Median Home and Rent Prices'!$E$2:$E$58,MATCH($A38,'Median Home and Rent Prices'!$A$2:$A$58,0)),0)</x:f>
        <x:v>3039</x:v>
      </x:c>
      <x:c r="P38" s="87" t="n">
        <x:f>IFERROR(INDEX('School District Profiles'!$H$2:$H$58,MATCH($A38,'School District Profiles'!$A$2:$A$58,0)),0)</x:f>
        <x:v>22</x:v>
      </x:c>
      <x:c r="Q38" s="14" t="n">
        <x:f>IFERROR(INDEX('School District Profiles'!$I$2:$I$58,MATCH($A38,'School District Profiles'!$A$2:$A$58,0)),0)</x:f>
        <x:v>250</x:v>
      </x:c>
      <x:c r="R38" s="28" t="n">
        <x:f>IFERROR(MAX(0,MIN(100,(K38-50000)/(110000-50000)*100)),0)</x:f>
        <x:v>58.25</x:v>
      </x:c>
      <x:c r="S38" s="28" t="n">
        <x:f>IFERROR(MAX(0,MIN(100,L38/0.6*100)),0)</x:f>
        <x:v>64.27868358921097</x:v>
      </x:c>
      <x:c r="T38" s="28" t="n">
        <x:f>IFERROR(MAX(0,MIN(100,M38/15000*100)),0)</x:f>
        <x:v>24.200133333333312</x:v>
      </x:c>
      <x:c r="U38" s="28" t="n">
        <x:f>IFERROR(0.45*R38+0.4*S38+0.15*T38,0)</x:f>
        <x:v>55.55399343568438</x:v>
      </x:c>
      <x:c r="V38" s="28" t="n">
        <x:f>IFERROR(0.4*MAX(0,MIN(100,(((J38/12)/O38)-2)/(4-2)*100))+0.35*MAX(0,MIN(100,(8-(N38/K38))/(8-3)*100))+0.25*AB38,0)</x:f>
        <x:v>4.346153846153846</x:v>
      </x:c>
      <x:c r="W38" s="28" t="n">
        <x:f>IFERROR(MAX(0,MIN(100,(25-P38)/(25-12)*100)),0)</x:f>
        <x:v>23.076923076923077</x:v>
      </x:c>
      <x:c r="X38" s="28" t="n">
        <x:f>IFERROR(MAX(0,MIN(100,(AD38-1)/(3-1)*100))*IF(OR($A38="North Clackamas School District",$A38="Provo City School District"),0.6,1),0)</x:f>
        <x:v>32.26390259953932</x:v>
      </x:c>
      <x:c r="Y38" s="28" t="n">
        <x:f>IFERROR(MAX(0,MIN(100,(1-((IFERROR(INDEX('School District Profiles'!$D$2:$D$58,MATCH($A38,'School District Profiles'!$A$2:$A$58,0)),0)/100)^2+(IFERROR(INDEX('School District Profiles'!$E$2:$E$58,MATCH($A38,'School District Profiles'!$A$2:$A$58,0)),0)/100)^2+(IFERROR(INDEX('School District Profiles'!$F$2:$F$58,MATCH($A38,'School District Profiles'!$A$2:$A$58,0)),0)/100)^2+(IFERROR(INDEX('School District Profiles'!$G$2:$G$58,MATCH($A38,'School District Profiles'!$A$2:$A$58,0)),0)/100)^2+(AC38/100)^2))/0.8*100)),0)</x:f>
        <x:v>88.175</x:v>
      </x:c>
      <x:c r="Z38" s="28" t="n">
        <x:f>IFERROR(AF38*AG38,0)</x:f>
        <x:v>32.19547218140122</x:v>
      </x:c>
      <x:c r="AA38" s="28" t="n">
        <x:f>IFERROR(INDEX('Median Home and Rent Prices'!$F$2:$F$58,MATCH($A38,'Median Home and Rent Prices'!$A$2:$A$58,0)),0)</x:f>
        <x:v>687</x:v>
      </x:c>
      <x:c r="AB38" s="28" t="n">
        <x:f>IFERROR(MAX(0,MIN(100,(800-AA38)/(800-150)*100)),0)</x:f>
        <x:v>17.384615384615383</x:v>
      </x:c>
      <x:c r="AC38" s="29" t="n">
        <x:f>IFERROR(INDEX('School District Profiles'!$J$2:$J$58,MATCH($A38,'School District Profiles'!$A$2:$A$58,0)),0)</x:f>
        <x:v>10</x:v>
      </x:c>
      <x:c r="AD38" s="28" t="n">
        <x:f>IFERROR(Q38*20/O38,0)</x:f>
        <x:v>1.6452780519907864</x:v>
      </x:c>
      <x:c r="AE38" s="28" t="n">
        <x:f>IFERROR(IF(AG38&gt;=1,100,IF(AG38&gt;=0.95,75,IF(AG38&gt;=0.9,60,IF(AG38&gt;=0.85,40,IF(AG38&gt;=0.8,25,0))))),0)</x:f>
        <x:v>40</x:v>
      </x:c>
      <x:c r="AF38" s="28" t="n">
        <x:f>IFERROR(0.4*U38+0.3*V38+0.1*W38+0.1*X38+0.1*Y38,0)</x:f>
        <x:v>37.87702609576615</x:v>
      </x:c>
      <x:c r="AG38" s="28" t="n">
        <x:v>0.85</x:v>
      </x:c>
      <x:c r="AH38" s="10" t="inlineStr">
        <x:is>
          <x:t xml:space="preserve">15% employment-stability penalty due to active budget stress and classified layoff notices.</x:t>
        </x:is>
      </x:c>
    </x:row>
    <x:row r="39" ht="26.75" customHeight="1">
      <x:c r="A39" s="12" t="inlineStr">
        <x:is>
          <x:t xml:space="preserve">San Jose Unified School District</x:t>
        </x:is>
      </x:c>
      <x:c r="B39" s="12" t="str">
        <x:f>IFERROR(INDEX('School District Profiles'!$B$2:$B$58,MATCH($A39,'School District Profiles'!$A$2:$A$58,0)),"")</x:f>
        <x:v>CA</x:v>
      </x:c>
      <x:c r="C39" s="12" t="str">
        <x:f>IFERROR(INDEX('School District Profiles'!$C$2:$C$58,MATCH($A39,'School District Profiles'!$A$2:$A$58,0)),"")</x:f>
        <x:v>Bay Area</x:v>
      </x:c>
      <x:c r="D39" s="14" t="n">
        <x:f>SUMIFS('Teacher Salary Data'!$E$2:$E$1277,'Teacher Salary Data'!$A$2:$A$1277,$A39,'Teacher Salary Data'!$C$2:$C$1277,"Bachelor's",'Teacher Salary Data'!$D$2:$D$1277,0)</x:f>
        <x:v>72051</x:v>
      </x:c>
      <x:c r="E39" s="14" t="n">
        <x:f>SUMIFS('Teacher Salary Data'!$E$2:$E$1277,'Teacher Salary Data'!$A$2:$A$1277,$A39,'Teacher Salary Data'!$C$2:$C$1277,"Bachelor's",'Teacher Salary Data'!$D$2:$D$1277,5)</x:f>
        <x:v>86255</x:v>
      </x:c>
      <x:c r="F39" s="14" t="n">
        <x:f>SUMIFS('Teacher Salary Data'!$E$2:$E$1277,'Teacher Salary Data'!$A$2:$A$1277,$A39,'Teacher Salary Data'!$C$2:$C$1277,"Bachelor's",'Teacher Salary Data'!$D$2:$D$1277,10)</x:f>
        <x:v>104011</x:v>
      </x:c>
      <x:c r="G39" s="11" t="n">
        <x:f>SUMIFS('Teacher Salary Data'!$E$2:$E$1277,'Teacher Salary Data'!$A$2:$A$1277,$A39,'Teacher Salary Data'!$C$2:$C$1277,"Master's",'Teacher Salary Data'!$D$2:$D$1277,0)</x:f>
        <x:v>75051</x:v>
      </x:c>
      <x:c r="H39" s="14" t="n">
        <x:f>SUMIFS('Teacher Salary Data'!$E$2:$E$1277,'Teacher Salary Data'!$A$2:$A$1277,$A39,'Teacher Salary Data'!$C$2:$C$1277,"Master's",'Teacher Salary Data'!$D$2:$D$1277,5)</x:f>
        <x:v>89255</x:v>
      </x:c>
      <x:c r="I39" s="14" t="n">
        <x:f>SUMIFS('Teacher Salary Data'!$E$2:$E$1277,'Teacher Salary Data'!$A$2:$A$1277,$A39,'Teacher Salary Data'!$C$2:$C$1277,"Master's",'Teacher Salary Data'!$D$2:$D$1277,10)</x:f>
        <x:v>107011</x:v>
      </x:c>
      <x:c r="J39" s="14" t="n">
        <x:f>AVERAGE(D39,G39)</x:f>
        <x:v>73551</x:v>
      </x:c>
      <x:c r="K39" s="14" t="n">
        <x:f>AVERAGE(F39,I39)</x:f>
        <x:v>105511</x:v>
      </x:c>
      <x:c r="L39" s="29" t="n">
        <x:f>IFERROR((K39-J39)/J39,0)</x:f>
        <x:v>0.43452842245516715</x:v>
      </x:c>
      <x:c r="M39" s="14" t="n">
        <x:f>G39-D39</x:f>
        <x:v>3000</x:v>
      </x:c>
      <x:c r="N39" s="14" t="n">
        <x:f>IFERROR(INDEX('Median Home and Rent Prices'!$D$2:$D$58,MATCH($A39,'Median Home and Rent Prices'!$A$2:$A$58,0)),0)</x:f>
        <x:v>1500000</x:v>
      </x:c>
      <x:c r="O39" s="14" t="n">
        <x:f>IFERROR(INDEX('Median Home and Rent Prices'!$E$2:$E$58,MATCH($A39,'Median Home and Rent Prices'!$A$2:$A$58,0)),0)</x:f>
        <x:v>3300</x:v>
      </x:c>
      <x:c r="P39" s="87" t="n">
        <x:f>IFERROR(INDEX('School District Profiles'!$H$2:$H$58,MATCH($A39,'School District Profiles'!$A$2:$A$58,0)),0)</x:f>
        <x:v>21</x:v>
      </x:c>
      <x:c r="Q39" s="14" t="n">
        <x:f>IFERROR(INDEX('School District Profiles'!$I$2:$I$58,MATCH($A39,'School District Profiles'!$A$2:$A$58,0)),0)</x:f>
        <x:v>200</x:v>
      </x:c>
      <x:c r="R39" s="28" t="n">
        <x:f>IFERROR(MAX(0,MIN(100,(K39-50000)/(110000-50000)*100)),0)</x:f>
        <x:v>92.51833333333333</x:v>
      </x:c>
      <x:c r="S39" s="28" t="n">
        <x:f>IFERROR(MAX(0,MIN(100,L39/0.6*100)),0)</x:f>
        <x:v>72.42140374252786</x:v>
      </x:c>
      <x:c r="T39" s="28" t="n">
        <x:f>IFERROR(MAX(0,MIN(100,M39/15000*100)),0)</x:f>
        <x:v>20</x:v>
      </x:c>
      <x:c r="U39" s="28" t="n">
        <x:f>IFERROR(0.45*R39+0.4*S39+0.15*T39,0)</x:f>
        <x:v>73.60181149701114</x:v>
      </x:c>
      <x:c r="V39" s="28" t="n">
        <x:f>IFERROR(0.4*MAX(0,MIN(100,(((J39/12)/O39)-2)/(4-2)*100))+0.35*MAX(0,MIN(100,(8-(N39/K39))/(8-3)*100))+0.25*AB39,0)</x:f>
        <x:v>0</x:v>
      </x:c>
      <x:c r="W39" s="28" t="n">
        <x:f>IFERROR(MAX(0,MIN(100,(25-P39)/(25-12)*100)),0)</x:f>
        <x:v>30.76923076923077</x:v>
      </x:c>
      <x:c r="X39" s="28" t="n">
        <x:f>IFERROR(MAX(0,MIN(100,(AD39-1)/(3-1)*100))*IF(OR($A39="North Clackamas School District",$A39="Provo City School District"),0.6,1),0)</x:f>
        <x:v>10.606060606060607</x:v>
      </x:c>
      <x:c r="Y39" s="28" t="n">
        <x:f>IFERROR(MAX(0,MIN(100,(1-((IFERROR(INDEX('School District Profiles'!$D$2:$D$58,MATCH($A39,'School District Profiles'!$A$2:$A$58,0)),0)/100)^2+(IFERROR(INDEX('School District Profiles'!$E$2:$E$58,MATCH($A39,'School District Profiles'!$A$2:$A$58,0)),0)/100)^2+(IFERROR(INDEX('School District Profiles'!$F$2:$F$58,MATCH($A39,'School District Profiles'!$A$2:$A$58,0)),0)/100)^2+(IFERROR(INDEX('School District Profiles'!$G$2:$G$58,MATCH($A39,'School District Profiles'!$A$2:$A$58,0)),0)/100)^2+(AC39/100)^2))/0.8*100)),0)</x:f>
        <x:v>79.175</x:v>
      </x:c>
      <x:c r="Z39" s="28" t="n">
        <x:f>IFERROR(AF39*AG39,0)</x:f>
        <x:v>37.346178362700236</x:v>
      </x:c>
      <x:c r="AA39" s="28" t="n">
        <x:f>IFERROR(INDEX('Median Home and Rent Prices'!$F$2:$F$58,MATCH($A39,'Median Home and Rent Prices'!$A$2:$A$58,0)),0)</x:f>
        <x:v>878</x:v>
      </x:c>
      <x:c r="AB39" s="28" t="n">
        <x:f>IFERROR(MAX(0,MIN(100,(800-AA39)/(800-150)*100)),0)</x:f>
        <x:v>0</x:v>
      </x:c>
      <x:c r="AC39" s="29" t="n">
        <x:f>IFERROR(INDEX('School District Profiles'!$J$2:$J$58,MATCH($A39,'School District Profiles'!$A$2:$A$58,0)),0)</x:f>
        <x:v>7</x:v>
      </x:c>
      <x:c r="AD39" s="28" t="n">
        <x:f>IFERROR(Q39*20/O39,0)</x:f>
        <x:v>1.2121212121212122</x:v>
      </x:c>
      <x:c r="AE39" s="28" t="n">
        <x:f>IFERROR(IF(AG39&gt;=1,100,IF(AG39&gt;=0.95,75,IF(AG39&gt;=0.9,60,IF(AG39&gt;=0.85,40,IF(AG39&gt;=0.8,25,0))))),0)</x:f>
        <x:v>60</x:v>
      </x:c>
      <x:c r="AF39" s="28" t="n">
        <x:f>IFERROR(0.4*U39+0.3*V39+0.1*W39+0.1*X39+0.1*Y39,0)</x:f>
        <x:v>41.4957537363336</x:v>
      </x:c>
      <x:c r="AG39" s="28" t="n">
        <x:v>0.9</x:v>
      </x:c>
      <x:c r="AH39" s="10" t="inlineStr">
        <x:is>
          <x:t xml:space="preserve">10% employment-stability penalty due to school-closure risk and declining-enrollment pressure.</x:t>
        </x:is>
      </x:c>
    </x:row>
    <x:row r="40" ht="26.75" customHeight="1">
      <x:c r="A40" s="12" t="inlineStr">
        <x:is>
          <x:t xml:space="preserve">Scarsdale Union Free School District</x:t>
        </x:is>
      </x:c>
      <x:c r="B40" s="12" t="str">
        <x:f>IFERROR(INDEX('School District Profiles'!$B$2:$B$58,MATCH($A40,'School District Profiles'!$A$2:$A$58,0)),"")</x:f>
        <x:v>NY</x:v>
      </x:c>
      <x:c r="C40" s="12" t="str">
        <x:f>IFERROR(INDEX('School District Profiles'!$C$2:$C$58,MATCH($A40,'School District Profiles'!$A$2:$A$58,0)),"")</x:f>
        <x:v>Westchester NY</x:v>
      </x:c>
      <x:c r="D40" s="14" t="n">
        <x:f>SUMIFS('Teacher Salary Data'!$E$2:$E$1277,'Teacher Salary Data'!$A$2:$A$1277,$A40,'Teacher Salary Data'!$C$2:$C$1277,"Bachelor's",'Teacher Salary Data'!$D$2:$D$1277,0)</x:f>
        <x:v>69524</x:v>
      </x:c>
      <x:c r="E40" s="14" t="n">
        <x:f>SUMIFS('Teacher Salary Data'!$E$2:$E$1277,'Teacher Salary Data'!$A$2:$A$1277,$A40,'Teacher Salary Data'!$C$2:$C$1277,"Bachelor's",'Teacher Salary Data'!$D$2:$D$1277,5)</x:f>
        <x:v>90131</x:v>
      </x:c>
      <x:c r="F40" s="14" t="n">
        <x:f>SUMIFS('Teacher Salary Data'!$E$2:$E$1277,'Teacher Salary Data'!$A$2:$A$1277,$A40,'Teacher Salary Data'!$C$2:$C$1277,"Bachelor's",'Teacher Salary Data'!$D$2:$D$1277,10)</x:f>
        <x:v>110052</x:v>
      </x:c>
      <x:c r="G40" s="11" t="n">
        <x:f>SUMIFS('Teacher Salary Data'!$E$2:$E$1277,'Teacher Salary Data'!$A$2:$A$1277,$A40,'Teacher Salary Data'!$C$2:$C$1277,"Master's",'Teacher Salary Data'!$D$2:$D$1277,0)</x:f>
        <x:v>77767</x:v>
      </x:c>
      <x:c r="H40" s="14" t="n">
        <x:f>SUMIFS('Teacher Salary Data'!$E$2:$E$1277,'Teacher Salary Data'!$A$2:$A$1277,$A40,'Teacher Salary Data'!$C$2:$C$1277,"Master's",'Teacher Salary Data'!$D$2:$D$1277,5)</x:f>
        <x:v>98375</x:v>
      </x:c>
      <x:c r="I40" s="14" t="n">
        <x:f>SUMIFS('Teacher Salary Data'!$E$2:$E$1277,'Teacher Salary Data'!$A$2:$A$1277,$A40,'Teacher Salary Data'!$C$2:$C$1277,"Master's",'Teacher Salary Data'!$D$2:$D$1277,10)</x:f>
        <x:v>118295</x:v>
      </x:c>
      <x:c r="J40" s="14" t="n">
        <x:f>AVERAGE(D40,G40)</x:f>
        <x:v>73645.5</x:v>
      </x:c>
      <x:c r="K40" s="14" t="n">
        <x:f>AVERAGE(F40,I40)</x:f>
        <x:v>114173.5</x:v>
      </x:c>
      <x:c r="L40" s="29" t="n">
        <x:f>IFERROR((K40-J40)/J40,0)</x:f>
        <x:v>0.550311967465765</x:v>
      </x:c>
      <x:c r="M40" s="14" t="n">
        <x:f>G40-D40</x:f>
        <x:v>8243</x:v>
      </x:c>
      <x:c r="N40" s="14" t="n">
        <x:f>IFERROR(INDEX('Median Home and Rent Prices'!$D$2:$D$58,MATCH($A40,'Median Home and Rent Prices'!$A$2:$A$58,0)),0)</x:f>
        <x:v>2088750</x:v>
      </x:c>
      <x:c r="O40" s="14" t="n">
        <x:f>IFERROR(INDEX('Median Home and Rent Prices'!$E$2:$E$58,MATCH($A40,'Median Home and Rent Prices'!$A$2:$A$58,0)),0)</x:f>
        <x:v>5500</x:v>
      </x:c>
      <x:c r="P40" s="87" t="n">
        <x:f>IFERROR(INDEX('School District Profiles'!$H$2:$H$58,MATCH($A40,'School District Profiles'!$A$2:$A$58,0)),0)</x:f>
        <x:v>11.21</x:v>
      </x:c>
      <x:c r="Q40" s="14" t="n">
        <x:f>IFERROR(INDEX('School District Profiles'!$I$2:$I$58,MATCH($A40,'School District Profiles'!$A$2:$A$58,0)),0)</x:f>
        <x:v>163</x:v>
      </x:c>
      <x:c r="R40" s="28" t="n">
        <x:f>IFERROR(MAX(0,MIN(100,(K40-50000)/(110000-50000)*100)),0)</x:f>
        <x:v>100</x:v>
      </x:c>
      <x:c r="S40" s="28" t="n">
        <x:f>IFERROR(MAX(0,MIN(100,L40/0.6*100)),0)</x:f>
        <x:v>91.71866124429417</x:v>
      </x:c>
      <x:c r="T40" s="28" t="n">
        <x:f>IFERROR(MAX(0,MIN(100,M40/15000*100)),0)</x:f>
        <x:v>54.95333333333333</x:v>
      </x:c>
      <x:c r="U40" s="28" t="n">
        <x:f>IFERROR(0.45*R40+0.4*S40+0.15*T40,0)</x:f>
        <x:v>89.93046449771767</x:v>
      </x:c>
      <x:c r="V40" s="28" t="n">
        <x:f>IFERROR(0.4*MAX(0,MIN(100,(((J40/12)/O40)-2)/(4-2)*100))+0.35*MAX(0,MIN(100,(8-(N40/K40))/(8-3)*100))+0.25*AB40,0)</x:f>
        <x:v>1.8461538461538463</x:v>
      </x:c>
      <x:c r="W40" s="28" t="n">
        <x:f>IFERROR(MAX(0,MIN(100,(25-P40)/(25-12)*100)),0)</x:f>
        <x:v>100</x:v>
      </x:c>
      <x:c r="X40" s="28" t="n">
        <x:f>IFERROR(MAX(0,MIN(100,(AD40-1)/(3-1)*100))*IF(OR($A40="North Clackamas School District",$A40="Provo City School District"),0.6,1),0)</x:f>
        <x:v>0</x:v>
      </x:c>
      <x:c r="Y40" s="28" t="n">
        <x:f>IFERROR(MAX(0,MIN(100,(1-((IFERROR(INDEX('School District Profiles'!$D$2:$D$58,MATCH($A40,'School District Profiles'!$A$2:$A$58,0)),0)/100)^2+(IFERROR(INDEX('School District Profiles'!$E$2:$E$58,MATCH($A40,'School District Profiles'!$A$2:$A$58,0)),0)/100)^2+(IFERROR(INDEX('School District Profiles'!$F$2:$F$58,MATCH($A40,'School District Profiles'!$A$2:$A$58,0)),0)/100)^2+(IFERROR(INDEX('School District Profiles'!$G$2:$G$58,MATCH($A40,'School District Profiles'!$A$2:$A$58,0)),0)/100)^2+(AC40/100)^2))/0.8*100)),0)</x:f>
        <x:v>76.24999999999999</x:v>
      </x:c>
      <x:c r="Z40" s="28" t="n">
        <x:f>IFERROR(AF40*AG40,0)</x:f>
        <x:v>54.15103195293322</x:v>
      </x:c>
      <x:c r="AA40" s="28" t="n">
        <x:f>IFERROR(INDEX('Median Home and Rent Prices'!$F$2:$F$58,MATCH($A40,'Median Home and Rent Prices'!$A$2:$A$58,0)),0)</x:f>
        <x:v>752</x:v>
      </x:c>
      <x:c r="AB40" s="28" t="n">
        <x:f>IFERROR(MAX(0,MIN(100,(800-AA40)/(800-150)*100)),0)</x:f>
        <x:v>7.384615384615385</x:v>
      </x:c>
      <x:c r="AC40" s="29" t="n">
        <x:f>IFERROR(INDEX('School District Profiles'!$J$2:$J$58,MATCH($A40,'School District Profiles'!$A$2:$A$58,0)),0)</x:f>
        <x:v>8</x:v>
      </x:c>
      <x:c r="AD40" s="28" t="n">
        <x:f>IFERROR(Q40*20/O40,0)</x:f>
        <x:v>0.5927272727272728</x:v>
      </x:c>
      <x:c r="AE40" s="28" t="n">
        <x:f>IFERROR(IF(AG40&gt;=1,100,IF(AG40&gt;=0.95,75,IF(AG40&gt;=0.9,60,IF(AG40&gt;=0.85,40,IF(AG40&gt;=0.8,25,0))))),0)</x:f>
        <x:v>100</x:v>
      </x:c>
      <x:c r="AF40" s="28" t="n">
        <x:f>IFERROR(0.4*U40+0.3*V40+0.1*W40+0.1*X40+0.1*Y40,0)</x:f>
        <x:v>54.15103195293322</x:v>
      </x:c>
      <x:c r="AG40" s="28" t="n">
        <x:v>1</x:v>
      </x:c>
      <x:c r="AH40" s="10" t="inlineStr">
        <x:is>
          <x:t xml:space="preserve">No penalty applied. Low current layoff risk: 2026-27 budget/bond passed, current contract runs through 2028, enrollment projections appear stable/growing, but budget documents still note tax-cap pressure and attrition-based staff reductions.</x:t>
        </x:is>
      </x:c>
    </x:row>
    <x:row r="41" ht="26.75" customHeight="1">
      <x:c r="A41" s="12" t="inlineStr">
        <x:is>
          <x:t xml:space="preserve">South Pasadena Unified School District</x:t>
        </x:is>
      </x:c>
      <x:c r="B41" s="12" t="str">
        <x:f>IFERROR(INDEX('School District Profiles'!$B$2:$B$58,MATCH($A41,'School District Profiles'!$A$2:$A$58,0)),"")</x:f>
        <x:v>CA</x:v>
      </x:c>
      <x:c r="C41" s="12" t="str">
        <x:f>IFERROR(INDEX('School District Profiles'!$C$2:$C$58,MATCH($A41,'School District Profiles'!$A$2:$A$58,0)),"")</x:f>
        <x:v>Southern California</x:v>
      </x:c>
      <x:c r="D41" s="14" t="n">
        <x:f>SUMIFS('Teacher Salary Data'!$E$2:$E$1277,'Teacher Salary Data'!$A$2:$A$1277,$A41,'Teacher Salary Data'!$C$2:$C$1277,"Bachelor's",'Teacher Salary Data'!$D$2:$D$1277,0)</x:f>
        <x:v>54525</x:v>
      </x:c>
      <x:c r="E41" s="14" t="n">
        <x:f>SUMIFS('Teacher Salary Data'!$E$2:$E$1277,'Teacher Salary Data'!$A$2:$A$1277,$A41,'Teacher Salary Data'!$C$2:$C$1277,"Bachelor's",'Teacher Salary Data'!$D$2:$D$1277,5)</x:f>
        <x:v>67339</x:v>
      </x:c>
      <x:c r="F41" s="14" t="n">
        <x:f>SUMIFS('Teacher Salary Data'!$E$2:$E$1277,'Teacher Salary Data'!$A$2:$A$1277,$A41,'Teacher Salary Data'!$C$2:$C$1277,"Bachelor's",'Teacher Salary Data'!$D$2:$D$1277,10)</x:f>
        <x:v>77577</x:v>
      </x:c>
      <x:c r="G41" s="11" t="n">
        <x:f>SUMIFS('Teacher Salary Data'!$E$2:$E$1277,'Teacher Salary Data'!$A$2:$A$1277,$A41,'Teacher Salary Data'!$C$2:$C$1277,"Master's",'Teacher Salary Data'!$D$2:$D$1277,0)</x:f>
        <x:v>62698</x:v>
      </x:c>
      <x:c r="H41" s="14" t="n">
        <x:f>SUMIFS('Teacher Salary Data'!$E$2:$E$1277,'Teacher Salary Data'!$A$2:$A$1277,$A41,'Teacher Salary Data'!$C$2:$C$1277,"Master's",'Teacher Salary Data'!$D$2:$D$1277,5)</x:f>
        <x:v>77040</x:v>
      </x:c>
      <x:c r="I41" s="14" t="n">
        <x:f>SUMIFS('Teacher Salary Data'!$E$2:$E$1277,'Teacher Salary Data'!$A$2:$A$1277,$A41,'Teacher Salary Data'!$C$2:$C$1277,"Master's",'Teacher Salary Data'!$D$2:$D$1277,10)</x:f>
        <x:v>91381</x:v>
      </x:c>
      <x:c r="J41" s="14" t="n">
        <x:f>AVERAGE(D41,G41)</x:f>
        <x:v>58611.5</x:v>
      </x:c>
      <x:c r="K41" s="14" t="n">
        <x:f>AVERAGE(F41,I41)</x:f>
        <x:v>84479</x:v>
      </x:c>
      <x:c r="L41" s="29" t="n">
        <x:f>IFERROR((K41-J41)/J41,0)</x:f>
        <x:v>0.4413383039164669</x:v>
      </x:c>
      <x:c r="M41" s="14" t="n">
        <x:f>G41-D41</x:f>
        <x:v>8173</x:v>
      </x:c>
      <x:c r="N41" s="14" t="n">
        <x:f>IFERROR(INDEX('Median Home and Rent Prices'!$D$2:$D$58,MATCH($A41,'Median Home and Rent Prices'!$A$2:$A$58,0)),0)</x:f>
        <x:v>1918852</x:v>
      </x:c>
      <x:c r="O41" s="14" t="n">
        <x:f>IFERROR(INDEX('Median Home and Rent Prices'!$E$2:$E$58,MATCH($A41,'Median Home and Rent Prices'!$A$2:$A$58,0)),0)</x:f>
        <x:v>2695</x:v>
      </x:c>
      <x:c r="P41" s="87" t="n">
        <x:f>IFERROR(INDEX('School District Profiles'!$H$2:$H$58,MATCH($A41,'School District Profiles'!$A$2:$A$58,0)),0)</x:f>
        <x:v>24.37</x:v>
      </x:c>
      <x:c r="Q41" s="14" t="n">
        <x:f>IFERROR(INDEX('School District Profiles'!$I$2:$I$58,MATCH($A41,'School District Profiles'!$A$2:$A$58,0)),0)</x:f>
        <x:v>200</x:v>
      </x:c>
      <x:c r="R41" s="28" t="n">
        <x:f>IFERROR(MAX(0,MIN(100,(K41-50000)/(110000-50000)*100)),0)</x:f>
        <x:v>57.464999999999996</x:v>
      </x:c>
      <x:c r="S41" s="28" t="n">
        <x:f>IFERROR(MAX(0,MIN(100,L41/0.6*100)),0)</x:f>
        <x:v>73.55638398607782</x:v>
      </x:c>
      <x:c r="T41" s="28" t="n">
        <x:f>IFERROR(MAX(0,MIN(100,M41/15000*100)),0)</x:f>
        <x:v>54.48666666666667</x:v>
      </x:c>
      <x:c r="U41" s="28" t="n">
        <x:f>IFERROR(0.45*R41+0.4*S41+0.15*T41,0)</x:f>
        <x:v>63.45480359443113</x:v>
      </x:c>
      <x:c r="V41" s="28" t="n">
        <x:f>IFERROR(0.4*MAX(0,MIN(100,(((J41/12)/O41)-2)/(4-2)*100))+0.35*MAX(0,MIN(100,(8-(N41/K41))/(8-3)*100))+0.25*AB41,0)</x:f>
        <x:v>0</x:v>
      </x:c>
      <x:c r="W41" s="28" t="n">
        <x:f>IFERROR(MAX(0,MIN(100,(25-P41)/(25-12)*100)),0)</x:f>
        <x:v>4.846153846153838</x:v>
      </x:c>
      <x:c r="X41" s="28" t="n">
        <x:f>IFERROR(MAX(0,MIN(100,(AD41-1)/(3-1)*100))*IF(OR($A41="North Clackamas School District",$A41="Provo City School District"),0.6,1),0)</x:f>
        <x:v>24.211502782931348</x:v>
      </x:c>
      <x:c r="Y41" s="28" t="n">
        <x:f>IFERROR(MAX(0,MIN(100,(1-((IFERROR(INDEX('School District Profiles'!$D$2:$D$58,MATCH($A41,'School District Profiles'!$A$2:$A$58,0)),0)/100)^2+(IFERROR(INDEX('School District Profiles'!$E$2:$E$58,MATCH($A41,'School District Profiles'!$A$2:$A$58,0)),0)/100)^2+(IFERROR(INDEX('School District Profiles'!$F$2:$F$58,MATCH($A41,'School District Profiles'!$A$2:$A$58,0)),0)/100)^2+(IFERROR(INDEX('School District Profiles'!$G$2:$G$58,MATCH($A41,'School District Profiles'!$A$2:$A$58,0)),0)/100)^2+(AC41/100)^2))/0.8*100)),0)</x:f>
        <x:v>92.945</x:v>
      </x:c>
      <x:c r="Z41" s="28" t="n">
        <x:f>IFERROR(AF41*AG41,0)</x:f>
        <x:v>35.703077745646915</x:v>
      </x:c>
      <x:c r="AA41" s="28" t="n">
        <x:f>IFERROR(INDEX('Median Home and Rent Prices'!$F$2:$F$58,MATCH($A41,'Median Home and Rent Prices'!$A$2:$A$58,0)),0)</x:f>
        <x:v>962</x:v>
      </x:c>
      <x:c r="AB41" s="28" t="n">
        <x:f>IFERROR(MAX(0,MIN(100,(800-AA41)/(800-150)*100)),0)</x:f>
        <x:v>0</x:v>
      </x:c>
      <x:c r="AC41" s="29" t="n">
        <x:f>IFERROR(INDEX('School District Profiles'!$J$2:$J$58,MATCH($A41,'School District Profiles'!$A$2:$A$58,0)),0)</x:f>
        <x:v>20.400000000000006</x:v>
      </x:c>
      <x:c r="AD41" s="28" t="n">
        <x:f>IFERROR(Q41*20/O41,0)</x:f>
        <x:v>1.484230055658627</x:v>
      </x:c>
      <x:c r="AE41" s="28" t="n">
        <x:f>IFERROR(IF(AG41&gt;=1,100,IF(AG41&gt;=0.95,75,IF(AG41&gt;=0.9,60,IF(AG41&gt;=0.85,40,IF(AG41&gt;=0.8,25,0))))),0)</x:f>
        <x:v>75</x:v>
      </x:c>
      <x:c r="AF41" s="28" t="n">
        <x:f>IFERROR(0.4*U41+0.3*V41+0.1*W41+0.1*X41+0.1*Y41,0)</x:f>
        <x:v>37.58218710068097</x:v>
      </x:c>
      <x:c r="AG41" s="28" t="n">
        <x:v>0.95</x:v>
      </x:c>
      <x:c r="AH41" s="10" t="inlineStr">
        <x:is>
          <x:t xml:space="preserve">5% watchlist penalty because current evidence is limited; older cuts are stale but budget risk should still be monitored.</x:t>
        </x:is>
      </x:c>
    </x:row>
    <x:row r="42" ht="26.75" customHeight="1">
      <x:c r="A42" s="12" t="inlineStr">
        <x:is>
          <x:t xml:space="preserve">Syosset Central School District</x:t>
        </x:is>
      </x:c>
      <x:c r="B42" s="12" t="str">
        <x:f>IFERROR(INDEX('School District Profiles'!$B$2:$B$58,MATCH($A42,'School District Profiles'!$A$2:$A$58,0)),"")</x:f>
        <x:v>NY</x:v>
      </x:c>
      <x:c r="C42" s="12" t="str">
        <x:f>IFERROR(INDEX('School District Profiles'!$C$2:$C$58,MATCH($A42,'School District Profiles'!$A$2:$A$58,0)),"")</x:f>
        <x:v>Long Island</x:v>
      </x:c>
      <x:c r="D42" s="14" t="n">
        <x:f>SUMIFS('Teacher Salary Data'!$E$2:$E$1277,'Teacher Salary Data'!$A$2:$A$1277,$A42,'Teacher Salary Data'!$C$2:$C$1277,"Bachelor's",'Teacher Salary Data'!$D$2:$D$1277,0)</x:f>
        <x:v>68687</x:v>
      </x:c>
      <x:c r="E42" s="14" t="n">
        <x:f>SUMIFS('Teacher Salary Data'!$E$2:$E$1277,'Teacher Salary Data'!$A$2:$A$1277,$A42,'Teacher Salary Data'!$C$2:$C$1277,"Bachelor's",'Teacher Salary Data'!$D$2:$D$1277,5)</x:f>
        <x:v>84471</x:v>
      </x:c>
      <x:c r="F42" s="14" t="n">
        <x:f>SUMIFS('Teacher Salary Data'!$E$2:$E$1277,'Teacher Salary Data'!$A$2:$A$1277,$A42,'Teacher Salary Data'!$C$2:$C$1277,"Bachelor's",'Teacher Salary Data'!$D$2:$D$1277,10)</x:f>
        <x:v>103885</x:v>
      </x:c>
      <x:c r="G42" s="11" t="n">
        <x:f>SUMIFS('Teacher Salary Data'!$E$2:$E$1277,'Teacher Salary Data'!$A$2:$A$1277,$A42,'Teacher Salary Data'!$C$2:$C$1277,"Master's",'Teacher Salary Data'!$D$2:$D$1277,0)</x:f>
        <x:v>79562</x:v>
      </x:c>
      <x:c r="H42" s="14" t="n">
        <x:f>SUMIFS('Teacher Salary Data'!$E$2:$E$1277,'Teacher Salary Data'!$A$2:$A$1277,$A42,'Teacher Salary Data'!$C$2:$C$1277,"Master's",'Teacher Salary Data'!$D$2:$D$1277,5)</x:f>
        <x:v>95313</x:v>
      </x:c>
      <x:c r="I42" s="14" t="n">
        <x:f>SUMIFS('Teacher Salary Data'!$E$2:$E$1277,'Teacher Salary Data'!$A$2:$A$1277,$A42,'Teacher Salary Data'!$C$2:$C$1277,"Master's",'Teacher Salary Data'!$D$2:$D$1277,10)</x:f>
        <x:v>115460</x:v>
      </x:c>
      <x:c r="J42" s="14" t="n">
        <x:f>AVERAGE(D42,G42)</x:f>
        <x:v>74124.5</x:v>
      </x:c>
      <x:c r="K42" s="14" t="n">
        <x:f>AVERAGE(F42,I42)</x:f>
        <x:v>109672.5</x:v>
      </x:c>
      <x:c r="L42" s="29" t="n">
        <x:f>IFERROR((K42-J42)/J42,0)</x:f>
        <x:v>0.479571531679809</x:v>
      </x:c>
      <x:c r="M42" s="14" t="n">
        <x:f>G42-D42</x:f>
        <x:v>10875</x:v>
      </x:c>
      <x:c r="N42" s="14" t="n">
        <x:f>IFERROR(INDEX('Median Home and Rent Prices'!$D$2:$D$58,MATCH($A42,'Median Home and Rent Prices'!$A$2:$A$58,0)),0)</x:f>
        <x:v>1096329</x:v>
      </x:c>
      <x:c r="O42" s="14" t="n">
        <x:f>IFERROR(INDEX('Median Home and Rent Prices'!$E$2:$E$58,MATCH($A42,'Median Home and Rent Prices'!$A$2:$A$58,0)),0)</x:f>
        <x:v>5200</x:v>
      </x:c>
      <x:c r="P42" s="87" t="n">
        <x:f>IFERROR(INDEX('School District Profiles'!$H$2:$H$58,MATCH($A42,'School District Profiles'!$A$2:$A$58,0)),0)</x:f>
        <x:v>10.28</x:v>
      </x:c>
      <x:c r="Q42" s="14" t="n">
        <x:f>IFERROR(INDEX('School District Profiles'!$I$2:$I$58,MATCH($A42,'School District Profiles'!$A$2:$A$58,0)),0)</x:f>
        <x:v>160</x:v>
      </x:c>
      <x:c r="R42" s="28" t="n">
        <x:f>IFERROR(MAX(0,MIN(100,(K42-50000)/(110000-50000)*100)),0)</x:f>
        <x:v>99.45416666666667</x:v>
      </x:c>
      <x:c r="S42" s="28" t="n">
        <x:f>IFERROR(MAX(0,MIN(100,L42/0.6*100)),0)</x:f>
        <x:v>79.9285886133015</x:v>
      </x:c>
      <x:c r="T42" s="28" t="n">
        <x:f>IFERROR(MAX(0,MIN(100,M42/15000*100)),0)</x:f>
        <x:v>72.5</x:v>
      </x:c>
      <x:c r="U42" s="28" t="n">
        <x:f>IFERROR(0.45*R42+0.4*S42+0.15*T42,0)</x:f>
        <x:v>87.6008104453206</x:v>
      </x:c>
      <x:c r="V42" s="28" t="n">
        <x:f>IFERROR(0.4*MAX(0,MIN(100,(((J42/12)/O42)-2)/(4-2)*100))+0.35*MAX(0,MIN(100,(8-(N42/K42))/(8-3)*100))+0.25*AB42,0)</x:f>
        <x:v>9.26923076923077</x:v>
      </x:c>
      <x:c r="W42" s="28" t="n">
        <x:f>IFERROR(MAX(0,MIN(100,(25-P42)/(25-12)*100)),0)</x:f>
        <x:v>100</x:v>
      </x:c>
      <x:c r="X42" s="28" t="n">
        <x:f>IFERROR(MAX(0,MIN(100,(AD42-1)/(3-1)*100))*IF(OR($A42="North Clackamas School District",$A42="Provo City School District"),0.6,1),0)</x:f>
        <x:v>0</x:v>
      </x:c>
      <x:c r="Y42" s="28" t="n">
        <x:f>IFERROR(MAX(0,MIN(100,(1-((IFERROR(INDEX('School District Profiles'!$D$2:$D$58,MATCH($A42,'School District Profiles'!$A$2:$A$58,0)),0)/100)^2+(IFERROR(INDEX('School District Profiles'!$E$2:$E$58,MATCH($A42,'School District Profiles'!$A$2:$A$58,0)),0)/100)^2+(IFERROR(INDEX('School District Profiles'!$F$2:$F$58,MATCH($A42,'School District Profiles'!$A$2:$A$58,0)),0)/100)^2+(IFERROR(INDEX('School District Profiles'!$G$2:$G$58,MATCH($A42,'School District Profiles'!$A$2:$A$58,0)),0)/100)^2+(AC42/100)^2))/0.8*100)),0)</x:f>
        <x:v>70.89200000000001</x:v>
      </x:c>
      <x:c r="Z42" s="28" t="n">
        <x:f>IFERROR(AF42*AG42,0)</x:f>
        <x:v>54.91029340889747</x:v>
      </x:c>
      <x:c r="AA42" s="28" t="n">
        <x:f>IFERROR(INDEX('Median Home and Rent Prices'!$F$2:$F$58,MATCH($A42,'Median Home and Rent Prices'!$A$2:$A$58,0)),0)</x:f>
        <x:v>559</x:v>
      </x:c>
      <x:c r="AB42" s="28" t="n">
        <x:f>IFERROR(MAX(0,MIN(100,(800-AA42)/(800-150)*100)),0)</x:f>
        <x:v>37.07692307692308</x:v>
      </x:c>
      <x:c r="AC42" s="29" t="n">
        <x:f>IFERROR(INDEX('School District Profiles'!$J$2:$J$58,MATCH($A42,'School District Profiles'!$A$2:$A$58,0)),0)</x:f>
        <x:v>3</x:v>
      </x:c>
      <x:c r="AD42" s="28" t="n">
        <x:f>IFERROR(Q42*20/O42,0)</x:f>
        <x:v>0.6153846153846154</x:v>
      </x:c>
      <x:c r="AE42" s="28" t="n">
        <x:f>IFERROR(IF(AG42&gt;=1,100,IF(AG42&gt;=0.95,75,IF(AG42&gt;=0.9,60,IF(AG42&gt;=0.85,40,IF(AG42&gt;=0.8,25,0))))),0)</x:f>
        <x:v>100</x:v>
      </x:c>
      <x:c r="AF42" s="28" t="n">
        <x:f>IFERROR(0.4*U42+0.3*V42+0.1*W42+0.1*X42+0.1*Y42,0)</x:f>
        <x:v>54.91029340889747</x:v>
      </x:c>
      <x:c r="AG42" s="28" t="n">
        <x:v>1</x:v>
      </x:c>
      <x:c r="AH42" s="10" t="inlineStr">
        <x:is>
          <x:t xml:space="preserve">No current employment-stability penalty applied; first-pass research did not find reliable current layoff evidence.</x:t>
        </x:is>
      </x:c>
    </x:row>
    <x:row r="43" ht="26.75" customHeight="1">
      <x:c r="A43" s="16" t="inlineStr">
        <x:is>
          <x:t xml:space="preserve">West Des Moines Community Schools</x:t>
        </x:is>
      </x:c>
      <x:c r="B43" s="16" t="str">
        <x:f>IFERROR(INDEX('School District Profiles'!$B$2:$B$58,MATCH($A43,'School District Profiles'!$A$2:$A$58,0)),"")</x:f>
        <x:v>IA</x:v>
      </x:c>
      <x:c r="C43" s="16" t="str">
        <x:f>IFERROR(INDEX('School District Profiles'!$C$2:$C$58,MATCH($A43,'School District Profiles'!$A$2:$A$58,0)),"")</x:f>
        <x:v>Des Moines</x:v>
      </x:c>
      <x:c r="D43" s="37" t="n">
        <x:f>SUMIFS('Teacher Salary Data'!$E$2:$E$1277,'Teacher Salary Data'!$A$2:$A$1277,$A43,'Teacher Salary Data'!$C$2:$C$1277,"Bachelor's",'Teacher Salary Data'!$D$2:$D$1277,0)</x:f>
        <x:v>0</x:v>
      </x:c>
      <x:c r="E43" s="37" t="n">
        <x:f>SUMIFS('Teacher Salary Data'!$E$2:$E$1277,'Teacher Salary Data'!$A$2:$A$1277,$A43,'Teacher Salary Data'!$C$2:$C$1277,"Bachelor's",'Teacher Salary Data'!$D$2:$D$1277,5)</x:f>
        <x:v>0</x:v>
      </x:c>
      <x:c r="F43" s="37" t="n">
        <x:f>SUMIFS('Teacher Salary Data'!$E$2:$E$1277,'Teacher Salary Data'!$A$2:$A$1277,$A43,'Teacher Salary Data'!$C$2:$C$1277,"Bachelor's",'Teacher Salary Data'!$D$2:$D$1277,10)</x:f>
        <x:v>0</x:v>
      </x:c>
      <x:c r="G43" s="41" t="n">
        <x:f>SUMIFS('Teacher Salary Data'!$E$2:$E$1277,'Teacher Salary Data'!$A$2:$A$1277,$A43,'Teacher Salary Data'!$C$2:$C$1277,"Master's",'Teacher Salary Data'!$D$2:$D$1277,0)</x:f>
        <x:v>0</x:v>
      </x:c>
      <x:c r="H43" s="37" t="n">
        <x:f>SUMIFS('Teacher Salary Data'!$E$2:$E$1277,'Teacher Salary Data'!$A$2:$A$1277,$A43,'Teacher Salary Data'!$C$2:$C$1277,"Master's",'Teacher Salary Data'!$D$2:$D$1277,5)</x:f>
        <x:v>0</x:v>
      </x:c>
      <x:c r="I43" s="37" t="n">
        <x:f>SUMIFS('Teacher Salary Data'!$E$2:$E$1277,'Teacher Salary Data'!$A$2:$A$1277,$A43,'Teacher Salary Data'!$C$2:$C$1277,"Master's",'Teacher Salary Data'!$D$2:$D$1277,10)</x:f>
        <x:v>0</x:v>
      </x:c>
      <x:c r="J43" s="37" t="n">
        <x:f>AVERAGE(D43,G43)</x:f>
        <x:v>0</x:v>
      </x:c>
      <x:c r="K43" s="37" t="n">
        <x:f>AVERAGE(F43,I43)</x:f>
        <x:v>0</x:v>
      </x:c>
      <x:c r="L43" s="42" t="n">
        <x:f>IFERROR((K43-J43)/J43,0)</x:f>
        <x:v>0</x:v>
      </x:c>
      <x:c r="M43" s="37" t="n">
        <x:f>G43-D43</x:f>
        <x:v>0</x:v>
      </x:c>
      <x:c r="N43" s="37" t="n">
        <x:f>IFERROR(INDEX('Median Home and Rent Prices'!$D$2:$D$58,MATCH($A43,'Median Home and Rent Prices'!$A$2:$A$58,0)),0)</x:f>
        <x:v>327554</x:v>
      </x:c>
      <x:c r="O43" s="37" t="n">
        <x:f>IFERROR(INDEX('Median Home and Rent Prices'!$E$2:$E$58,MATCH($A43,'Median Home and Rent Prices'!$A$2:$A$58,0)),0)</x:f>
        <x:v>1126</x:v>
      </x:c>
      <x:c r="P43" s="21" t="n">
        <x:f>IFERROR(INDEX('School District Profiles'!$H$2:$H$58,MATCH($A43,'School District Profiles'!$A$2:$A$58,0)),0)</x:f>
        <x:v>14.5</x:v>
      </x:c>
      <x:c r="Q43" s="37" t="n">
        <x:f>IFERROR(INDEX('School District Profiles'!$I$2:$I$58,MATCH($A43,'School District Profiles'!$A$2:$A$58,0)),0)</x:f>
        <x:v>170</x:v>
      </x:c>
      <x:c r="R43" s="44" t="n">
        <x:f>IFERROR(MAX(0,MIN(100,(K43-50000)/(110000-50000)*100)),0)</x:f>
        <x:v>0</x:v>
      </x:c>
      <x:c r="S43" s="44" t="n">
        <x:f>IFERROR(MAX(0,MIN(100,L43/0.6*100)),0)</x:f>
        <x:v>0</x:v>
      </x:c>
      <x:c r="T43" s="44" t="n">
        <x:f>IFERROR(MAX(0,MIN(100,M43/15000*100)),0)</x:f>
        <x:v>0</x:v>
      </x:c>
      <x:c r="U43" s="44" t="n">
        <x:f>IFERROR(0.45*R43+0.4*S43+0.15*T43,0)</x:f>
        <x:v>0</x:v>
      </x:c>
      <x:c r="V43" s="44" t="n">
        <x:f>IFERROR(0.4*MAX(0,MIN(100,(((J43/12)/O43)-2)/(4-2)*100))+0.35*MAX(0,MIN(100,(8-(N43/K43))/(8-3)*100))+0.25*AB43,0)</x:f>
        <x:v>0</x:v>
      </x:c>
      <x:c r="W43" s="44" t="n">
        <x:f>IFERROR(MAX(0,MIN(100,(25-P43)/(25-12)*100)),0)</x:f>
        <x:v>80.76923076923077</x:v>
      </x:c>
      <x:c r="X43" s="44" t="n">
        <x:f>IFERROR(MAX(0,MIN(100,(AD43-1)/(3-1)*100))*IF(OR($A43="North Clackamas School District",$A43="Provo City School District"),0.6,1),0)</x:f>
        <x:v>100</x:v>
      </x:c>
      <x:c r="Y43" s="44" t="n">
        <x:f>IFERROR(MAX(0,MIN(100,(1-((IFERROR(INDEX('School District Profiles'!$D$2:$D$58,MATCH($A43,'School District Profiles'!$A$2:$A$58,0)),0)/100)^2+(IFERROR(INDEX('School District Profiles'!$E$2:$E$58,MATCH($A43,'School District Profiles'!$A$2:$A$58,0)),0)/100)^2+(IFERROR(INDEX('School District Profiles'!$F$2:$F$58,MATCH($A43,'School District Profiles'!$A$2:$A$58,0)),0)/100)^2+(IFERROR(INDEX('School District Profiles'!$G$2:$G$58,MATCH($A43,'School District Profiles'!$A$2:$A$58,0)),0)/100)^2+(AC43/100)^2))/0.8*100)),0)</x:f>
        <x:v>80.95649999999999</x:v>
      </x:c>
      <x:c r="Z43" s="44" t="n">
        <x:f>IFERROR(AF43*AG43,0)</x:f>
        <x:v>26.17257307692308</x:v>
      </x:c>
      <x:c r="AA43" s="44" t="n">
        <x:f>IFERROR(INDEX('Median Home and Rent Prices'!$F$2:$F$58,MATCH($A43,'Median Home and Rent Prices'!$A$2:$A$58,0)),0)</x:f>
        <x:v>211</x:v>
      </x:c>
      <x:c r="AB43" s="44" t="n">
        <x:f>IFERROR(MAX(0,MIN(100,(800-AA43)/(800-150)*100)),0)</x:f>
        <x:v>90.61538461538461</x:v>
      </x:c>
      <x:c r="AC43" s="42" t="n">
        <x:f>IFERROR(INDEX('School District Profiles'!$J$2:$J$58,MATCH($A43,'School District Profiles'!$A$2:$A$58,0)),0)</x:f>
        <x:v>7.699999999999989</x:v>
      </x:c>
      <x:c r="AD43" s="44" t="n">
        <x:f>IFERROR(Q43*20/O43,0)</x:f>
        <x:v>3.019538188277087</x:v>
      </x:c>
      <x:c r="AE43" s="44" t="n">
        <x:f>IFERROR(IF(AG43&gt;=1,100,IF(AG43&gt;=0.95,75,IF(AG43&gt;=0.9,60,IF(AG43&gt;=0.85,40,IF(AG43&gt;=0.8,25,0))))),0)</x:f>
        <x:v>100</x:v>
      </x:c>
      <x:c r="AF43" s="44" t="n">
        <x:f>IFERROR(0.4*U43+0.3*V43+0.1*W43+0.1*X43+0.1*Y43,0)</x:f>
        <x:v>26.17257307692308</x:v>
      </x:c>
      <x:c r="AG43" s="44" t="n">
        <x:v>1</x:v>
      </x:c>
      <x:c r="AH43" s="21" t="inlineStr">
        <x:is>
          <x:t xml:space="preserve">No current employment-stability penalty applied. First-pass public-source screening did not find current broad layoff or fiscal-crisis evidence; keep monitoring Iowa enrollment/funding pressures.</x:t>
        </x:is>
      </x:c>
    </x:row>
    <x:row r="44" ht="26.75" customHeight="1">
      <x:c r="A44" s="17" t="inlineStr">
        <x:is>
          <x:t xml:space="preserve">Middleton-Cross Plains Area School District</x:t>
        </x:is>
      </x:c>
      <x:c r="B44" s="17" t="str">
        <x:f>IFERROR(INDEX('School District Profiles'!$B$2:$B$58,MATCH($A44,'School District Profiles'!$A$2:$A$58,0)),"")</x:f>
        <x:v>WI</x:v>
      </x:c>
      <x:c r="C44" s="17" t="str">
        <x:f>IFERROR(INDEX('School District Profiles'!$C$2:$C$58,MATCH($A44,'School District Profiles'!$A$2:$A$58,0)),"")</x:f>
        <x:v>Madison Area</x:v>
      </x:c>
      <x:c r="D44" s="38" t="n">
        <x:f>SUMIFS('Teacher Salary Data'!$E$2:$E$1277,'Teacher Salary Data'!$A$2:$A$1277,$A44,'Teacher Salary Data'!$C$2:$C$1277,"Bachelor's",'Teacher Salary Data'!$D$2:$D$1277,0)</x:f>
        <x:v>55000</x:v>
      </x:c>
      <x:c r="E44" s="38" t="n">
        <x:f>SUMIFS('Teacher Salary Data'!$E$2:$E$1277,'Teacher Salary Data'!$A$2:$A$1277,$A44,'Teacher Salary Data'!$C$2:$C$1277,"Bachelor's",'Teacher Salary Data'!$D$2:$D$1277,5)</x:f>
        <x:v>61000</x:v>
      </x:c>
      <x:c r="F44" s="38" t="n">
        <x:f>SUMIFS('Teacher Salary Data'!$E$2:$E$1277,'Teacher Salary Data'!$A$2:$A$1277,$A44,'Teacher Salary Data'!$C$2:$C$1277,"Bachelor's",'Teacher Salary Data'!$D$2:$D$1277,10)</x:f>
        <x:v>67000</x:v>
      </x:c>
      <x:c r="G44" s="41" t="n">
        <x:f>SUMIFS('Teacher Salary Data'!$E$2:$E$1277,'Teacher Salary Data'!$A$2:$A$1277,$A44,'Teacher Salary Data'!$C$2:$C$1277,"Master's",'Teacher Salary Data'!$D$2:$D$1277,0)</x:f>
        <x:v>59000</x:v>
      </x:c>
      <x:c r="H44" s="38" t="n">
        <x:f>SUMIFS('Teacher Salary Data'!$E$2:$E$1277,'Teacher Salary Data'!$A$2:$A$1277,$A44,'Teacher Salary Data'!$C$2:$C$1277,"Master's",'Teacher Salary Data'!$D$2:$D$1277,5)</x:f>
        <x:v>65000</x:v>
      </x:c>
      <x:c r="I44" s="38" t="n">
        <x:f>SUMIFS('Teacher Salary Data'!$E$2:$E$1277,'Teacher Salary Data'!$A$2:$A$1277,$A44,'Teacher Salary Data'!$C$2:$C$1277,"Master's",'Teacher Salary Data'!$D$2:$D$1277,10)</x:f>
        <x:v>71000</x:v>
      </x:c>
      <x:c r="J44" s="38" t="n">
        <x:f>AVERAGE(D44,G44)</x:f>
        <x:v>57000</x:v>
      </x:c>
      <x:c r="K44" s="38" t="n">
        <x:f>AVERAGE(F44,I44)</x:f>
        <x:v>69000</x:v>
      </x:c>
      <x:c r="L44" s="43" t="n">
        <x:f>IFERROR((K44-J44)/J44,0)</x:f>
        <x:v>0.21052631578947367</x:v>
      </x:c>
      <x:c r="M44" s="38" t="n">
        <x:f>G44-D44</x:f>
        <x:v>4000</x:v>
      </x:c>
      <x:c r="N44" s="38" t="n">
        <x:f>IFERROR(INDEX('Median Home and Rent Prices'!$D$2:$D$58,MATCH($A44,'Median Home and Rent Prices'!$A$2:$A$58,0)),0)</x:f>
        <x:v>568000</x:v>
      </x:c>
      <x:c r="O44" s="38" t="n">
        <x:f>IFERROR(INDEX('Median Home and Rent Prices'!$E$2:$E$58,MATCH($A44,'Median Home and Rent Prices'!$A$2:$A$58,0)),0)</x:f>
        <x:v>1900</x:v>
      </x:c>
      <x:c r="P44" s="21" t="n">
        <x:f>IFERROR(INDEX('School District Profiles'!$H$2:$H$58,MATCH($A44,'School District Profiles'!$A$2:$A$58,0)),0)</x:f>
        <x:v>13.3</x:v>
      </x:c>
      <x:c r="Q44" s="38" t="n">
        <x:f>IFERROR(INDEX('School District Profiles'!$I$2:$I$58,MATCH($A44,'School District Profiles'!$A$2:$A$58,0)),0)</x:f>
        <x:v>175</x:v>
      </x:c>
      <x:c r="R44" s="45" t="n">
        <x:f>IFERROR(MAX(0,MIN(100,(K44-50000)/(110000-50000)*100)),0)</x:f>
        <x:v>31.666666666666664</x:v>
      </x:c>
      <x:c r="S44" s="45" t="n">
        <x:f>IFERROR(MAX(0,MIN(100,L44/0.6*100)),0)</x:f>
        <x:v>35.08771929824561</x:v>
      </x:c>
      <x:c r="T44" s="45" t="n">
        <x:f>IFERROR(MAX(0,MIN(100,M44/15000*100)),0)</x:f>
        <x:v>26.666666666666668</x:v>
      </x:c>
      <x:c r="U44" s="45" t="n">
        <x:f>IFERROR(0.45*R44+0.4*S44+0.15*T44,0)</x:f>
        <x:v>32.28508771929825</x:v>
      </x:c>
      <x:c r="V44" s="45" t="n">
        <x:f>IFERROR(0.4*MAX(0,MIN(100,(((J44/12)/O44)-2)/(4-2)*100))+0.35*MAX(0,MIN(100,(8-(N44/K44))/(8-3)*100))+0.25*AB44,0)</x:f>
        <x:v>31</x:v>
      </x:c>
      <x:c r="W44" s="45" t="n">
        <x:f>IFERROR(MAX(0,MIN(100,(25-P44)/(25-12)*100)),0)</x:f>
        <x:v>89.99999999999999</x:v>
      </x:c>
      <x:c r="X44" s="45" t="n">
        <x:f>IFERROR(MAX(0,MIN(100,(AD44-1)/(3-1)*100))*IF(OR($A44="North Clackamas School District",$A44="Provo City School District"),0.6,1),0)</x:f>
        <x:v>42.10526315789473</x:v>
      </x:c>
      <x:c r="Y44" s="45" t="n">
        <x:f>IFERROR(MAX(0,MIN(100,(1-((IFERROR(INDEX('School District Profiles'!$D$2:$D$58,MATCH($A44,'School District Profiles'!$A$2:$A$58,0)),0)/100)^2+(IFERROR(INDEX('School District Profiles'!$E$2:$E$58,MATCH($A44,'School District Profiles'!$A$2:$A$58,0)),0)/100)^2+(IFERROR(INDEX('School District Profiles'!$F$2:$F$58,MATCH($A44,'School District Profiles'!$A$2:$A$58,0)),0)/100)^2+(IFERROR(INDEX('School District Profiles'!$G$2:$G$58,MATCH($A44,'School District Profiles'!$A$2:$A$58,0)),0)/100)^2+(AC44/100)^2))/0.8*100)),0)</x:f>
        <x:v>72.17499999999998</x:v>
      </x:c>
      <x:c r="Z44" s="45" t="n">
        <x:f>IFERROR(AF44*AG44,0)</x:f>
        <x:v>42.64206140350877</x:v>
      </x:c>
      <x:c r="AA44" s="45" t="n">
        <x:f>IFERROR(INDEX('Median Home and Rent Prices'!$F$2:$F$58,MATCH($A44,'Median Home and Rent Prices'!$A$2:$A$58,0)),0)</x:f>
        <x:v>254</x:v>
      </x:c>
      <x:c r="AB44" s="45" t="n">
        <x:f>IFERROR(MAX(0,MIN(100,(800-AA44)/(800-150)*100)),0)</x:f>
        <x:v>84</x:v>
      </x:c>
      <x:c r="AC44" s="43" t="n">
        <x:f>IFERROR(INDEX('School District Profiles'!$J$2:$J$58,MATCH($A44,'School District Profiles'!$A$2:$A$58,0)),0)</x:f>
        <x:v>13</x:v>
      </x:c>
      <x:c r="AD44" s="45" t="n">
        <x:f>IFERROR(Q44*20/O44,0)</x:f>
        <x:v>1.8421052631578947</x:v>
      </x:c>
      <x:c r="AE44" s="45" t="n">
        <x:f>IFERROR(IF(AG44&gt;=1,100,IF(AG44&gt;=0.95,75,IF(AG44&gt;=0.9,60,IF(AG44&gt;=0.85,40,IF(AG44&gt;=0.8,25,0))))),0)</x:f>
        <x:v>100</x:v>
      </x:c>
      <x:c r="AF44" s="45" t="n">
        <x:f>IFERROR(0.4*U44+0.3*V44+0.1*W44+0.1*X44+0.1*Y44,0)</x:f>
        <x:v>42.64206140350877</x:v>
      </x:c>
      <x:c r="AG44" s="45" t="n">
        <x:v>1</x:v>
      </x:c>
      <x:c r="AH44" s="21" t="inlineStr">
        <x:is>
          <x:t xml:space="preserve">No current employment-stability penalty applied in this first-pass entry. Local-source screening found a current compensation model and no broad current layoff/closure evidence; keep monitoring annual Wisconsin funding pressure.</x:t>
        </x:is>
      </x:c>
    </x:row>
    <x:row r="45" ht="26.75" customHeight="1">
      <x:c r="A45" s="17" t="inlineStr">
        <x:is>
          <x:t xml:space="preserve">Sun Prairie Area School District</x:t>
        </x:is>
      </x:c>
      <x:c r="B45" s="17" t="str">
        <x:f>IFERROR(INDEX('School District Profiles'!$B$2:$B$58,MATCH($A45,'School District Profiles'!$A$2:$A$58,0)),"")</x:f>
        <x:v>WI</x:v>
      </x:c>
      <x:c r="C45" s="17" t="str">
        <x:f>IFERROR(INDEX('School District Profiles'!$C$2:$C$58,MATCH($A45,'School District Profiles'!$A$2:$A$58,0)),"")</x:f>
        <x:v>Madison Area</x:v>
      </x:c>
      <x:c r="D45" s="38" t="n">
        <x:f>SUMIFS('Teacher Salary Data'!$E$2:$E$1277,'Teacher Salary Data'!$A$2:$A$1277,$A45,'Teacher Salary Data'!$C$2:$C$1277,"Bachelor's",'Teacher Salary Data'!$D$2:$D$1277,0)</x:f>
        <x:v>52918</x:v>
      </x:c>
      <x:c r="E45" s="38" t="n">
        <x:f>SUMIFS('Teacher Salary Data'!$E$2:$E$1277,'Teacher Salary Data'!$A$2:$A$1277,$A45,'Teacher Salary Data'!$C$2:$C$1277,"Bachelor's",'Teacher Salary Data'!$D$2:$D$1277,5)</x:f>
        <x:v>59918</x:v>
      </x:c>
      <x:c r="F45" s="38" t="n">
        <x:f>SUMIFS('Teacher Salary Data'!$E$2:$E$1277,'Teacher Salary Data'!$A$2:$A$1277,$A45,'Teacher Salary Data'!$C$2:$C$1277,"Bachelor's",'Teacher Salary Data'!$D$2:$D$1277,10)</x:f>
        <x:v>66918</x:v>
      </x:c>
      <x:c r="G45" s="41" t="n">
        <x:f>SUMIFS('Teacher Salary Data'!$E$2:$E$1277,'Teacher Salary Data'!$A$2:$A$1277,$A45,'Teacher Salary Data'!$C$2:$C$1277,"Master's",'Teacher Salary Data'!$D$2:$D$1277,0)</x:f>
        <x:v>56918</x:v>
      </x:c>
      <x:c r="H45" s="38" t="n">
        <x:f>SUMIFS('Teacher Salary Data'!$E$2:$E$1277,'Teacher Salary Data'!$A$2:$A$1277,$A45,'Teacher Salary Data'!$C$2:$C$1277,"Master's",'Teacher Salary Data'!$D$2:$D$1277,5)</x:f>
        <x:v>63918</x:v>
      </x:c>
      <x:c r="I45" s="38" t="n">
        <x:f>SUMIFS('Teacher Salary Data'!$E$2:$E$1277,'Teacher Salary Data'!$A$2:$A$1277,$A45,'Teacher Salary Data'!$C$2:$C$1277,"Master's",'Teacher Salary Data'!$D$2:$D$1277,10)</x:f>
        <x:v>70918</x:v>
      </x:c>
      <x:c r="J45" s="38" t="n">
        <x:f>AVERAGE(D45,G45)</x:f>
        <x:v>54918</x:v>
      </x:c>
      <x:c r="K45" s="38" t="n">
        <x:f>AVERAGE(F45,I45)</x:f>
        <x:v>68918</x:v>
      </x:c>
      <x:c r="L45" s="43" t="n">
        <x:f>IFERROR((K45-J45)/J45,0)</x:f>
        <x:v>0.25492552532867185</x:v>
      </x:c>
      <x:c r="M45" s="38" t="n">
        <x:f>G45-D45</x:f>
        <x:v>4000</x:v>
      </x:c>
      <x:c r="N45" s="38" t="n">
        <x:f>IFERROR(INDEX('Median Home and Rent Prices'!$D$2:$D$58,MATCH($A45,'Median Home and Rent Prices'!$A$2:$A$58,0)),0)</x:f>
        <x:v>455000</x:v>
      </x:c>
      <x:c r="O45" s="38" t="n">
        <x:f>IFERROR(INDEX('Median Home and Rent Prices'!$E$2:$E$58,MATCH($A45,'Median Home and Rent Prices'!$A$2:$A$58,0)),0)</x:f>
        <x:v>1550</x:v>
      </x:c>
      <x:c r="P45" s="21" t="n">
        <x:f>IFERROR(INDEX('School District Profiles'!$H$2:$H$58,MATCH($A45,'School District Profiles'!$A$2:$A$58,0)),0)</x:f>
        <x:v>13.2</x:v>
      </x:c>
      <x:c r="Q45" s="38" t="n">
        <x:f>IFERROR(INDEX('School District Profiles'!$I$2:$I$58,MATCH($A45,'School District Profiles'!$A$2:$A$58,0)),0)</x:f>
        <x:v>181</x:v>
      </x:c>
      <x:c r="R45" s="45" t="n">
        <x:f>IFERROR(MAX(0,MIN(100,(K45-50000)/(110000-50000)*100)),0)</x:f>
        <x:v>31.53</x:v>
      </x:c>
      <x:c r="S45" s="45" t="n">
        <x:f>IFERROR(MAX(0,MIN(100,L45/0.6*100)),0)</x:f>
        <x:v>42.48758755477864</x:v>
      </x:c>
      <x:c r="T45" s="45" t="n">
        <x:f>IFERROR(MAX(0,MIN(100,M45/15000*100)),0)</x:f>
        <x:v>26.666666666666668</x:v>
      </x:c>
      <x:c r="U45" s="45" t="n">
        <x:f>IFERROR(0.45*R45+0.4*S45+0.15*T45,0)</x:f>
        <x:v>35.18353502191146</x:v>
      </x:c>
      <x:c r="V45" s="45" t="n">
        <x:f>IFERROR(0.4*MAX(0,MIN(100,(((J45/12)/O45)-2)/(4-2)*100))+0.35*MAX(0,MIN(100,(8-(N45/K45))/(8-3)*100))+0.25*AB45,0)</x:f>
        <x:v>51.52957891411501</x:v>
      </x:c>
      <x:c r="W45" s="45" t="n">
        <x:f>IFERROR(MAX(0,MIN(100,(25-P45)/(25-12)*100)),0)</x:f>
        <x:v>90.76923076923077</x:v>
      </x:c>
      <x:c r="X45" s="45" t="n">
        <x:f>IFERROR(MAX(0,MIN(100,(AD45-1)/(3-1)*100))*IF(OR($A45="North Clackamas School District",$A45="Provo City School District"),0.6,1),0)</x:f>
        <x:v>66.77419354838709</x:v>
      </x:c>
      <x:c r="Y45" s="45" t="n">
        <x:f>IFERROR(MAX(0,MIN(100,(1-((IFERROR(INDEX('School District Profiles'!$D$2:$D$58,MATCH($A45,'School District Profiles'!$A$2:$A$58,0)),0)/100)^2+(IFERROR(INDEX('School District Profiles'!$E$2:$E$58,MATCH($A45,'School District Profiles'!$A$2:$A$58,0)),0)/100)^2+(IFERROR(INDEX('School District Profiles'!$F$2:$F$58,MATCH($A45,'School District Profiles'!$A$2:$A$58,0)),0)/100)^2+(IFERROR(INDEX('School District Profiles'!$G$2:$G$58,MATCH($A45,'School District Profiles'!$A$2:$A$58,0)),0)/100)^2+(AC45/100)^2))/0.8*100)),0)</x:f>
        <x:v>81.725</x:v>
      </x:c>
      <x:c r="Z45" s="45" t="n">
        <x:f>IFERROR(AF45*AG45,0)</x:f>
        <x:v>53.459130114760875</x:v>
      </x:c>
      <x:c r="AA45" s="45" t="n">
        <x:f>IFERROR(INDEX('Median Home and Rent Prices'!$F$2:$F$58,MATCH($A45,'Median Home and Rent Prices'!$A$2:$A$58,0)),0)</x:f>
        <x:v>210</x:v>
      </x:c>
      <x:c r="AB45" s="45" t="n">
        <x:f>IFERROR(MAX(0,MIN(100,(800-AA45)/(800-150)*100)),0)</x:f>
        <x:v>90.76923076923077</x:v>
      </x:c>
      <x:c r="AC45" s="43" t="n">
        <x:f>IFERROR(INDEX('School District Profiles'!$J$2:$J$58,MATCH($A45,'School District Profiles'!$A$2:$A$58,0)),0)</x:f>
        <x:v>13</x:v>
      </x:c>
      <x:c r="AD45" s="45" t="n">
        <x:f>IFERROR(Q45*20/O45,0)</x:f>
        <x:v>2.335483870967742</x:v>
      </x:c>
      <x:c r="AE45" s="45" t="n">
        <x:f>IFERROR(IF(AG45&gt;=1,100,IF(AG45&gt;=0.95,75,IF(AG45&gt;=0.9,60,IF(AG45&gt;=0.85,40,IF(AG45&gt;=0.8,25,0))))),0)</x:f>
        <x:v>100</x:v>
      </x:c>
      <x:c r="AF45" s="45" t="n">
        <x:f>IFERROR(0.4*U45+0.3*V45+0.1*W45+0.1*X45+0.1*Y45,0)</x:f>
        <x:v>53.459130114760875</x:v>
      </x:c>
      <x:c r="AG45" s="45" t="n">
        <x:v>1</x:v>
      </x:c>
      <x:c r="AH45" s="21" t="inlineStr">
        <x:is>
          <x:t xml:space="preserve">No current employment-stability penalty applied in this first-pass entry. District shows active hiring and no reliable current broad layoff/closure evidence found in this pass.</x:t>
        </x:is>
      </x:c>
    </x:row>
    <x:row r="46" ht="26.75" customHeight="1">
      <x:c r="A46" s="17" t="inlineStr">
        <x:is>
          <x:t xml:space="preserve">Waunakee Community School District</x:t>
        </x:is>
      </x:c>
      <x:c r="B46" s="17" t="str">
        <x:f>IFERROR(INDEX('School District Profiles'!$B$2:$B$58,MATCH($A46,'School District Profiles'!$A$2:$A$58,0)),"")</x:f>
        <x:v>WI</x:v>
      </x:c>
      <x:c r="C46" s="17" t="str">
        <x:f>IFERROR(INDEX('School District Profiles'!$C$2:$C$58,MATCH($A46,'School District Profiles'!$A$2:$A$58,0)),"")</x:f>
        <x:v>Madison Area</x:v>
      </x:c>
      <x:c r="D46" s="38" t="n">
        <x:f>SUMIFS('Teacher Salary Data'!$E$2:$E$1277,'Teacher Salary Data'!$A$2:$A$1277,$A46,'Teacher Salary Data'!$C$2:$C$1277,"Bachelor's",'Teacher Salary Data'!$D$2:$D$1277,0)</x:f>
        <x:v>0</x:v>
      </x:c>
      <x:c r="E46" s="38" t="n">
        <x:f>SUMIFS('Teacher Salary Data'!$E$2:$E$1277,'Teacher Salary Data'!$A$2:$A$1277,$A46,'Teacher Salary Data'!$C$2:$C$1277,"Bachelor's",'Teacher Salary Data'!$D$2:$D$1277,5)</x:f>
        <x:v>0</x:v>
      </x:c>
      <x:c r="F46" s="38" t="n">
        <x:f>SUMIFS('Teacher Salary Data'!$E$2:$E$1277,'Teacher Salary Data'!$A$2:$A$1277,$A46,'Teacher Salary Data'!$C$2:$C$1277,"Bachelor's",'Teacher Salary Data'!$D$2:$D$1277,10)</x:f>
        <x:v>0</x:v>
      </x:c>
      <x:c r="G46" s="41" t="n">
        <x:f>SUMIFS('Teacher Salary Data'!$E$2:$E$1277,'Teacher Salary Data'!$A$2:$A$1277,$A46,'Teacher Salary Data'!$C$2:$C$1277,"Master's",'Teacher Salary Data'!$D$2:$D$1277,0)</x:f>
        <x:v>0</x:v>
      </x:c>
      <x:c r="H46" s="38" t="n">
        <x:f>SUMIFS('Teacher Salary Data'!$E$2:$E$1277,'Teacher Salary Data'!$A$2:$A$1277,$A46,'Teacher Salary Data'!$C$2:$C$1277,"Master's",'Teacher Salary Data'!$D$2:$D$1277,5)</x:f>
        <x:v>0</x:v>
      </x:c>
      <x:c r="I46" s="38" t="n">
        <x:f>SUMIFS('Teacher Salary Data'!$E$2:$E$1277,'Teacher Salary Data'!$A$2:$A$1277,$A46,'Teacher Salary Data'!$C$2:$C$1277,"Master's",'Teacher Salary Data'!$D$2:$D$1277,10)</x:f>
        <x:v>0</x:v>
      </x:c>
      <x:c r="J46" s="38" t="n">
        <x:f>AVERAGE(D46,G46)</x:f>
        <x:v>0</x:v>
      </x:c>
      <x:c r="K46" s="38" t="n">
        <x:f>AVERAGE(F46,I46)</x:f>
        <x:v>0</x:v>
      </x:c>
      <x:c r="L46" s="43" t="n">
        <x:f>IFERROR((K46-J46)/J46,0)</x:f>
        <x:v>0</x:v>
      </x:c>
      <x:c r="M46" s="38" t="n">
        <x:f>G46-D46</x:f>
        <x:v>0</x:v>
      </x:c>
      <x:c r="N46" s="38" t="n">
        <x:f>IFERROR(INDEX('Median Home and Rent Prices'!$D$2:$D$58,MATCH($A46,'Median Home and Rent Prices'!$A$2:$A$58,0)),0)</x:f>
        <x:v>540000</x:v>
      </x:c>
      <x:c r="O46" s="38" t="n">
        <x:f>IFERROR(INDEX('Median Home and Rent Prices'!$E$2:$E$58,MATCH($A46,'Median Home and Rent Prices'!$A$2:$A$58,0)),0)</x:f>
        <x:v>1650</x:v>
      </x:c>
      <x:c r="P46" s="21" t="n">
        <x:f>IFERROR(INDEX('School District Profiles'!$H$2:$H$58,MATCH($A46,'School District Profiles'!$A$2:$A$58,0)),0)</x:f>
        <x:v>14</x:v>
      </x:c>
      <x:c r="Q46" s="38" t="n">
        <x:f>IFERROR(INDEX('School District Profiles'!$I$2:$I$58,MATCH($A46,'School District Profiles'!$A$2:$A$58,0)),0)</x:f>
        <x:v>168</x:v>
      </x:c>
      <x:c r="R46" s="45" t="n">
        <x:f>IFERROR(MAX(0,MIN(100,(K46-50000)/(110000-50000)*100)),0)</x:f>
        <x:v>0</x:v>
      </x:c>
      <x:c r="S46" s="45" t="n">
        <x:f>IFERROR(MAX(0,MIN(100,L46/0.6*100)),0)</x:f>
        <x:v>0</x:v>
      </x:c>
      <x:c r="T46" s="45" t="n">
        <x:f>IFERROR(MAX(0,MIN(100,M46/15000*100)),0)</x:f>
        <x:v>0</x:v>
      </x:c>
      <x:c r="U46" s="45" t="n">
        <x:f>IFERROR(0.45*R46+0.4*S46+0.15*T46,0)</x:f>
        <x:v>0</x:v>
      </x:c>
      <x:c r="V46" s="45" t="n">
        <x:f>IFERROR(0.4*MAX(0,MIN(100,(((J46/12)/O46)-2)/(4-2)*100))+0.35*MAX(0,MIN(100,(8-(N46/K46))/(8-3)*100))+0.25*AB46,0)</x:f>
        <x:v>0</x:v>
      </x:c>
      <x:c r="W46" s="45" t="n">
        <x:f>IFERROR(MAX(0,MIN(100,(25-P46)/(25-12)*100)),0)</x:f>
        <x:v>84.61538461538461</x:v>
      </x:c>
      <x:c r="X46" s="45" t="n">
        <x:f>IFERROR(MAX(0,MIN(100,(AD46-1)/(3-1)*100))*IF(OR($A46="North Clackamas School District",$A46="Provo City School District"),0.6,1),0)</x:f>
        <x:v>51.818181818181806</x:v>
      </x:c>
      <x:c r="Y46" s="45" t="n">
        <x:f>IFERROR(MAX(0,MIN(100,(1-((IFERROR(INDEX('School District Profiles'!$D$2:$D$58,MATCH($A46,'School District Profiles'!$A$2:$A$58,0)),0)/100)^2+(IFERROR(INDEX('School District Profiles'!$E$2:$E$58,MATCH($A46,'School District Profiles'!$A$2:$A$58,0)),0)/100)^2+(IFERROR(INDEX('School District Profiles'!$F$2:$F$58,MATCH($A46,'School District Profiles'!$A$2:$A$58,0)),0)/100)^2+(IFERROR(INDEX('School District Profiles'!$G$2:$G$58,MATCH($A46,'School District Profiles'!$A$2:$A$58,0)),0)/100)^2+(AC46/100)^2))/0.8*100)),0)</x:f>
        <x:v>45.45</x:v>
      </x:c>
      <x:c r="Z46" s="45" t="n">
        <x:f>IFERROR(AF46*AG46,0)</x:f>
        <x:v>18.188356643356645</x:v>
      </x:c>
      <x:c r="AA46" s="45" t="n">
        <x:f>IFERROR(INDEX('Median Home and Rent Prices'!$F$2:$F$58,MATCH($A46,'Median Home and Rent Prices'!$A$2:$A$58,0)),0)</x:f>
        <x:v>220</x:v>
      </x:c>
      <x:c r="AB46" s="45" t="n">
        <x:f>IFERROR(MAX(0,MIN(100,(800-AA46)/(800-150)*100)),0)</x:f>
        <x:v>89.23076923076924</x:v>
      </x:c>
      <x:c r="AC46" s="43" t="n">
        <x:f>IFERROR(INDEX('School District Profiles'!$J$2:$J$58,MATCH($A46,'School District Profiles'!$A$2:$A$58,0)),0)</x:f>
        <x:v>8</x:v>
      </x:c>
      <x:c r="AD46" s="45" t="n">
        <x:f>IFERROR(Q46*20/O46,0)</x:f>
        <x:v>2.036363636363636</x:v>
      </x:c>
      <x:c r="AE46" s="45" t="n">
        <x:f>IFERROR(IF(AG46&gt;=1,100,IF(AG46&gt;=0.95,75,IF(AG46&gt;=0.9,60,IF(AG46&gt;=0.85,40,IF(AG46&gt;=0.8,25,0))))),0)</x:f>
        <x:v>100</x:v>
      </x:c>
      <x:c r="AF46" s="45" t="n">
        <x:f>IFERROR(0.4*U46+0.3*V46+0.1*W46+0.1*X46+0.1*Y46,0)</x:f>
        <x:v>18.188356643356645</x:v>
      </x:c>
      <x:c r="AG46" s="45" t="n">
        <x:v>1</x:v>
      </x:c>
      <x:c r="AH46" s="21" t="inlineStr">
        <x:is>
          <x:t xml:space="preserve">No current employment-stability penalty applied in this first-pass entry. First-pass screening found substitute pay data and no current broad layoff/closure evidence.</x:t>
        </x:is>
      </x:c>
    </x:row>
    <x:row r="47" ht="26.75" customHeight="1">
      <x:c r="A47" s="17" t="inlineStr">
        <x:is>
          <x:t xml:space="preserve">Verona Area School District</x:t>
        </x:is>
      </x:c>
      <x:c r="B47" s="17" t="str">
        <x:f>IFERROR(INDEX('School District Profiles'!$B$2:$B$58,MATCH($A47,'School District Profiles'!$A$2:$A$58,0)),"")</x:f>
        <x:v>WI</x:v>
      </x:c>
      <x:c r="C47" s="17" t="str">
        <x:f>IFERROR(INDEX('School District Profiles'!$C$2:$C$58,MATCH($A47,'School District Profiles'!$A$2:$A$58,0)),"")</x:f>
        <x:v>Madison Area</x:v>
      </x:c>
      <x:c r="D47" s="38" t="n">
        <x:f>SUMIFS('Teacher Salary Data'!$E$2:$E$1277,'Teacher Salary Data'!$A$2:$A$1277,$A47,'Teacher Salary Data'!$C$2:$C$1277,"Bachelor's",'Teacher Salary Data'!$D$2:$D$1277,0)</x:f>
        <x:v>0</x:v>
      </x:c>
      <x:c r="E47" s="38" t="n">
        <x:f>SUMIFS('Teacher Salary Data'!$E$2:$E$1277,'Teacher Salary Data'!$A$2:$A$1277,$A47,'Teacher Salary Data'!$C$2:$C$1277,"Bachelor's",'Teacher Salary Data'!$D$2:$D$1277,5)</x:f>
        <x:v>0</x:v>
      </x:c>
      <x:c r="F47" s="38" t="n">
        <x:f>SUMIFS('Teacher Salary Data'!$E$2:$E$1277,'Teacher Salary Data'!$A$2:$A$1277,$A47,'Teacher Salary Data'!$C$2:$C$1277,"Bachelor's",'Teacher Salary Data'!$D$2:$D$1277,10)</x:f>
        <x:v>0</x:v>
      </x:c>
      <x:c r="G47" s="41" t="n">
        <x:f>SUMIFS('Teacher Salary Data'!$E$2:$E$1277,'Teacher Salary Data'!$A$2:$A$1277,$A47,'Teacher Salary Data'!$C$2:$C$1277,"Master's",'Teacher Salary Data'!$D$2:$D$1277,0)</x:f>
        <x:v>0</x:v>
      </x:c>
      <x:c r="H47" s="38" t="n">
        <x:f>SUMIFS('Teacher Salary Data'!$E$2:$E$1277,'Teacher Salary Data'!$A$2:$A$1277,$A47,'Teacher Salary Data'!$C$2:$C$1277,"Master's",'Teacher Salary Data'!$D$2:$D$1277,5)</x:f>
        <x:v>0</x:v>
      </x:c>
      <x:c r="I47" s="38" t="n">
        <x:f>SUMIFS('Teacher Salary Data'!$E$2:$E$1277,'Teacher Salary Data'!$A$2:$A$1277,$A47,'Teacher Salary Data'!$C$2:$C$1277,"Master's",'Teacher Salary Data'!$D$2:$D$1277,10)</x:f>
        <x:v>0</x:v>
      </x:c>
      <x:c r="J47" s="38" t="n">
        <x:f>AVERAGE(D47,G47)</x:f>
        <x:v>0</x:v>
      </x:c>
      <x:c r="K47" s="38" t="n">
        <x:f>AVERAGE(F47,I47)</x:f>
        <x:v>0</x:v>
      </x:c>
      <x:c r="L47" s="43" t="n">
        <x:f>IFERROR((K47-J47)/J47,0)</x:f>
        <x:v>0</x:v>
      </x:c>
      <x:c r="M47" s="38" t="n">
        <x:f>G47-D47</x:f>
        <x:v>0</x:v>
      </x:c>
      <x:c r="N47" s="38" t="n">
        <x:f>IFERROR(INDEX('Median Home and Rent Prices'!$D$2:$D$58,MATCH($A47,'Median Home and Rent Prices'!$A$2:$A$58,0)),0)</x:f>
        <x:v>531000</x:v>
      </x:c>
      <x:c r="O47" s="38" t="n">
        <x:f>IFERROR(INDEX('Median Home and Rent Prices'!$E$2:$E$58,MATCH($A47,'Median Home and Rent Prices'!$A$2:$A$58,0)),0)</x:f>
        <x:v>1735</x:v>
      </x:c>
      <x:c r="P47" s="21" t="n">
        <x:f>IFERROR(INDEX('School District Profiles'!$H$2:$H$58,MATCH($A47,'School District Profiles'!$A$2:$A$58,0)),0)</x:f>
        <x:v>13</x:v>
      </x:c>
      <x:c r="Q47" s="38" t="n">
        <x:f>IFERROR(INDEX('School District Profiles'!$I$2:$I$58,MATCH($A47,'School District Profiles'!$A$2:$A$58,0)),0)</x:f>
        <x:v>150</x:v>
      </x:c>
      <x:c r="R47" s="45" t="n">
        <x:f>IFERROR(MAX(0,MIN(100,(K47-50000)/(110000-50000)*100)),0)</x:f>
        <x:v>0</x:v>
      </x:c>
      <x:c r="S47" s="45" t="n">
        <x:f>IFERROR(MAX(0,MIN(100,L47/0.6*100)),0)</x:f>
        <x:v>0</x:v>
      </x:c>
      <x:c r="T47" s="45" t="n">
        <x:f>IFERROR(MAX(0,MIN(100,M47/15000*100)),0)</x:f>
        <x:v>0</x:v>
      </x:c>
      <x:c r="U47" s="45" t="n">
        <x:f>IFERROR(0.45*R47+0.4*S47+0.15*T47,0)</x:f>
        <x:v>0</x:v>
      </x:c>
      <x:c r="V47" s="45" t="n">
        <x:f>IFERROR(0.4*MAX(0,MIN(100,(((J47/12)/O47)-2)/(4-2)*100))+0.35*MAX(0,MIN(100,(8-(N47/K47))/(8-3)*100))+0.25*AB47,0)</x:f>
        <x:v>0</x:v>
      </x:c>
      <x:c r="W47" s="45" t="n">
        <x:f>IFERROR(MAX(0,MIN(100,(25-P47)/(25-12)*100)),0)</x:f>
        <x:v>92.3076923076923</x:v>
      </x:c>
      <x:c r="X47" s="45" t="n">
        <x:f>IFERROR(MAX(0,MIN(100,(AD47-1)/(3-1)*100))*IF(OR($A47="North Clackamas School District",$A47="Provo City School District"),0.6,1),0)</x:f>
        <x:v>36.45533141210374</x:v>
      </x:c>
      <x:c r="Y47" s="45" t="n">
        <x:f>IFERROR(MAX(0,MIN(100,(1-((IFERROR(INDEX('School District Profiles'!$D$2:$D$58,MATCH($A47,'School District Profiles'!$A$2:$A$58,0)),0)/100)^2+(IFERROR(INDEX('School District Profiles'!$E$2:$E$58,MATCH($A47,'School District Profiles'!$A$2:$A$58,0)),0)/100)^2+(IFERROR(INDEX('School District Profiles'!$F$2:$F$58,MATCH($A47,'School District Profiles'!$A$2:$A$58,0)),0)/100)^2+(IFERROR(INDEX('School District Profiles'!$G$2:$G$58,MATCH($A47,'School District Profiles'!$A$2:$A$58,0)),0)/100)^2+(AC47/100)^2))/0.8*100)),0)</x:f>
        <x:v>70.77499999999999</x:v>
      </x:c>
      <x:c r="Z47" s="45" t="n">
        <x:f>IFERROR(AF47*AG47,0)</x:f>
        <x:v>19.953802371979606</x:v>
      </x:c>
      <x:c r="AA47" s="45" t="n">
        <x:f>IFERROR(INDEX('Median Home and Rent Prices'!$F$2:$F$58,MATCH($A47,'Median Home and Rent Prices'!$A$2:$A$58,0)),0)</x:f>
        <x:v>224</x:v>
      </x:c>
      <x:c r="AB47" s="45" t="n">
        <x:f>IFERROR(MAX(0,MIN(100,(800-AA47)/(800-150)*100)),0)</x:f>
        <x:v>88.61538461538461</x:v>
      </x:c>
      <x:c r="AC47" s="43" t="n">
        <x:f>IFERROR(INDEX('School District Profiles'!$J$2:$J$58,MATCH($A47,'School District Profiles'!$A$2:$A$58,0)),0)</x:f>
        <x:v>8</x:v>
      </x:c>
      <x:c r="AD47" s="45" t="n">
        <x:f>IFERROR(Q47*20/O47,0)</x:f>
        <x:v>1.7291066282420748</x:v>
      </x:c>
      <x:c r="AE47" s="45" t="n">
        <x:f>IFERROR(IF(AG47&gt;=1,100,IF(AG47&gt;=0.95,75,IF(AG47&gt;=0.9,60,IF(AG47&gt;=0.85,40,IF(AG47&gt;=0.8,25,0))))),0)</x:f>
        <x:v>100</x:v>
      </x:c>
      <x:c r="AF47" s="45" t="n">
        <x:f>IFERROR(0.4*U47+0.3*V47+0.1*W47+0.1*X47+0.1*Y47,0)</x:f>
        <x:v>19.953802371979606</x:v>
      </x:c>
      <x:c r="AG47" s="45" t="n">
        <x:v>1</x:v>
      </x:c>
      <x:c r="AH47" s="21" t="inlineStr">
        <x:is>
          <x:t xml:space="preserve">No current employment-stability penalty applied in this first-pass entry. Current salary and substitute sources were available; no reliable broad layoff/closure evidence found in this pass.</x:t>
        </x:is>
      </x:c>
    </x:row>
    <x:row r="48" ht="26.75" customHeight="1">
      <x:c r="A48" s="17" t="inlineStr">
        <x:is>
          <x:t xml:space="preserve">Beaverton School District</x:t>
        </x:is>
      </x:c>
      <x:c r="B48" s="17" t="str">
        <x:f>IFERROR(INDEX('School District Profiles'!$B$2:$B$58,MATCH($A48,'School District Profiles'!$A$2:$A$58,0)),"")</x:f>
        <x:v>OR</x:v>
      </x:c>
      <x:c r="C48" s="17" t="str">
        <x:f>IFERROR(INDEX('School District Profiles'!$C$2:$C$58,MATCH($A48,'School District Profiles'!$A$2:$A$58,0)),"")</x:f>
        <x:v>Portland Metro</x:v>
      </x:c>
      <x:c r="D48" s="38" t="n">
        <x:f>SUMIFS('Teacher Salary Data'!$E$2:$E$1277,'Teacher Salary Data'!$A$2:$A$1277,$A48,'Teacher Salary Data'!$C$2:$C$1277,"Bachelor's",'Teacher Salary Data'!$D$2:$D$1277,0)</x:f>
        <x:v>55872</x:v>
      </x:c>
      <x:c r="E48" s="38" t="n">
        <x:f>SUMIFS('Teacher Salary Data'!$E$2:$E$1277,'Teacher Salary Data'!$A$2:$A$1277,$A48,'Teacher Salary Data'!$C$2:$C$1277,"Bachelor's",'Teacher Salary Data'!$D$2:$D$1277,5)</x:f>
        <x:v>68235</x:v>
      </x:c>
      <x:c r="F48" s="38" t="n">
        <x:f>SUMIFS('Teacher Salary Data'!$E$2:$E$1277,'Teacher Salary Data'!$A$2:$A$1277,$A48,'Teacher Salary Data'!$C$2:$C$1277,"Bachelor's",'Teacher Salary Data'!$D$2:$D$1277,10)</x:f>
        <x:v>80598</x:v>
      </x:c>
      <x:c r="G48" s="41" t="n">
        <x:f>SUMIFS('Teacher Salary Data'!$E$2:$E$1277,'Teacher Salary Data'!$A$2:$A$1277,$A48,'Teacher Salary Data'!$C$2:$C$1277,"Master's",'Teacher Salary Data'!$D$2:$D$1277,0)</x:f>
        <x:v>61373</x:v>
      </x:c>
      <x:c r="H48" s="38" t="n">
        <x:f>SUMIFS('Teacher Salary Data'!$E$2:$E$1277,'Teacher Salary Data'!$A$2:$A$1277,$A48,'Teacher Salary Data'!$C$2:$C$1277,"Master's",'Teacher Salary Data'!$D$2:$D$1277,5)</x:f>
        <x:v>74426</x:v>
      </x:c>
      <x:c r="I48" s="38" t="n">
        <x:f>SUMIFS('Teacher Salary Data'!$E$2:$E$1277,'Teacher Salary Data'!$A$2:$A$1277,$A48,'Teacher Salary Data'!$C$2:$C$1277,"Master's",'Teacher Salary Data'!$D$2:$D$1277,10)</x:f>
        <x:v>87480</x:v>
      </x:c>
      <x:c r="J48" s="38" t="n">
        <x:f>AVERAGE(D48,G48)</x:f>
        <x:v>58622.5</x:v>
      </x:c>
      <x:c r="K48" s="38" t="n">
        <x:f>AVERAGE(F48,I48)</x:f>
        <x:v>84039</x:v>
      </x:c>
      <x:c r="L48" s="43" t="n">
        <x:f>IFERROR((K48-J48)/J48,0)</x:f>
        <x:v>0.43356219881444835</x:v>
      </x:c>
      <x:c r="M48" s="38" t="n">
        <x:f>G48-D48</x:f>
        <x:v>5501</x:v>
      </x:c>
      <x:c r="N48" s="38" t="n">
        <x:f>IFERROR(INDEX('Median Home and Rent Prices'!$D$2:$D$58,MATCH($A48,'Median Home and Rent Prices'!$A$2:$A$58,0)),0)</x:f>
        <x:v>575000</x:v>
      </x:c>
      <x:c r="O48" s="38" t="n">
        <x:f>IFERROR(INDEX('Median Home and Rent Prices'!$E$2:$E$58,MATCH($A48,'Median Home and Rent Prices'!$A$2:$A$58,0)),0)</x:f>
        <x:v>1850</x:v>
      </x:c>
      <x:c r="P48" s="21" t="n">
        <x:f>IFERROR(INDEX('School District Profiles'!$H$2:$H$58,MATCH($A48,'School District Profiles'!$A$2:$A$58,0)),0)</x:f>
        <x:v>18.5</x:v>
      </x:c>
      <x:c r="Q48" s="38" t="n">
        <x:f>IFERROR(INDEX('School District Profiles'!$I$2:$I$58,MATCH($A48,'School District Profiles'!$A$2:$A$58,0)),0)</x:f>
        <x:v>246</x:v>
      </x:c>
      <x:c r="R48" s="45" t="n">
        <x:f>IFERROR(MAX(0,MIN(100,(K48-50000)/(110000-50000)*100)),0)</x:f>
        <x:v>56.73166666666667</x:v>
      </x:c>
      <x:c r="S48" s="45" t="n">
        <x:f>IFERROR(MAX(0,MIN(100,L48/0.6*100)),0)</x:f>
        <x:v>72.26036646907474</x:v>
      </x:c>
      <x:c r="T48" s="45" t="n">
        <x:f>IFERROR(MAX(0,MIN(100,M48/15000*100)),0)</x:f>
        <x:v>36.67333333333333</x:v>
      </x:c>
      <x:c r="U48" s="45" t="n">
        <x:f>IFERROR(0.45*R48+0.4*S48+0.15*T48,0)</x:f>
        <x:v>59.9343965876299</x:v>
      </x:c>
      <x:c r="V48" s="45" t="n">
        <x:f>IFERROR(0.4*MAX(0,MIN(100,(((J48/12)/O48)-2)/(4-2)*100))+0.35*MAX(0,MIN(100,(8-(N48/K48))/(8-3)*100))+0.25*AB48,0)</x:f>
        <x:v>40.18786386525473</x:v>
      </x:c>
      <x:c r="W48" s="45" t="n">
        <x:f>IFERROR(MAX(0,MIN(100,(25-P48)/(25-12)*100)),0)</x:f>
        <x:v>50</x:v>
      </x:c>
      <x:c r="X48" s="45" t="n">
        <x:f>IFERROR(MAX(0,MIN(100,(AD48-1)/(3-1)*100))*IF(OR($A48="North Clackamas School District",$A48="Provo City School District"),0.6,1),0)</x:f>
        <x:v>82.97297297297297</x:v>
      </x:c>
      <x:c r="Y48" s="45" t="n">
        <x:f>IFERROR(MAX(0,MIN(100,(1-((IFERROR(INDEX('School District Profiles'!$D$2:$D$58,MATCH($A48,'School District Profiles'!$A$2:$A$58,0)),0)/100)^2+(IFERROR(INDEX('School District Profiles'!$E$2:$E$58,MATCH($A48,'School District Profiles'!$A$2:$A$58,0)),0)/100)^2+(IFERROR(INDEX('School District Profiles'!$F$2:$F$58,MATCH($A48,'School District Profiles'!$A$2:$A$58,0)),0)/100)^2+(IFERROR(INDEX('School District Profiles'!$G$2:$G$58,MATCH($A48,'School District Profiles'!$A$2:$A$58,0)),0)/100)^2+(AC48/100)^2))/0.8*100)),0)</x:f>
        <x:v>88.7</x:v>
      </x:c>
      <x:c r="Z48" s="45" t="n">
        <x:f>IFERROR(AF48*AG48,0)</x:f>
        <x:v>52.37767358273311</x:v>
      </x:c>
      <x:c r="AA48" s="45" t="n">
        <x:f>IFERROR(INDEX('Median Home and Rent Prices'!$F$2:$F$58,MATCH($A48,'Median Home and Rent Prices'!$A$2:$A$58,0)),0)</x:f>
        <x:v>299</x:v>
      </x:c>
      <x:c r="AB48" s="45" t="n">
        <x:f>IFERROR(MAX(0,MIN(100,(800-AA48)/(800-150)*100)),0)</x:f>
        <x:v>77.07692307692308</x:v>
      </x:c>
      <x:c r="AC48" s="43" t="n">
        <x:f>IFERROR(INDEX('School District Profiles'!$J$2:$J$58,MATCH($A48,'School District Profiles'!$A$2:$A$58,0)),0)</x:f>
        <x:v>15</x:v>
      </x:c>
      <x:c r="AD48" s="45" t="n">
        <x:f>IFERROR(Q48*20/O48,0)</x:f>
        <x:v>2.6594594594594594</x:v>
      </x:c>
      <x:c r="AE48" s="45" t="n">
        <x:f>IFERROR(IF(AG48&gt;=1,100,IF(AG48&gt;=0.95,75,IF(AG48&gt;=0.9,60,IF(AG48&gt;=0.85,40,IF(AG48&gt;=0.8,25,0))))),0)</x:f>
        <x:v>60</x:v>
      </x:c>
      <x:c r="AF48" s="45" t="n">
        <x:f>IFERROR(0.4*U48+0.3*V48+0.1*W48+0.1*X48+0.1*Y48,0)</x:f>
        <x:v>58.19741509192568</x:v>
      </x:c>
      <x:c r="AG48" s="45" t="n">
        <x:v>0.9</x:v>
      </x:c>
      <x:c r="AH48" s="21" t="inlineStr">
        <x:is>
          <x:t xml:space="preserve">10% employment-stability penalty applied. Beaverton has strong salary/substitute inputs, but first-pass budget review showed current deficit/staffing-reduction risk, so it should not be treated as a clean low-risk #1.</x:t>
        </x:is>
      </x:c>
    </x:row>
    <x:row r="49" ht="26.75" customHeight="1">
      <x:c r="A49" s="17" t="inlineStr">
        <x:is>
          <x:t xml:space="preserve">Indian Prairie School District 204</x:t>
        </x:is>
      </x:c>
      <x:c r="B49" s="17" t="str">
        <x:f>IFERROR(INDEX('School District Profiles'!$B$2:$B$58,MATCH($A49,'School District Profiles'!$A$2:$A$58,0)),"")</x:f>
        <x:v>IL</x:v>
      </x:c>
      <x:c r="C49" s="17" t="str">
        <x:f>IFERROR(INDEX('School District Profiles'!$C$2:$C$58,MATCH($A49,'School District Profiles'!$A$2:$A$58,0)),"")</x:f>
        <x:v>Chicago Suburbs</x:v>
      </x:c>
      <x:c r="D49" s="38" t="n">
        <x:f>SUMIFS('Teacher Salary Data'!$E$2:$E$1277,'Teacher Salary Data'!$A$2:$A$1277,$A49,'Teacher Salary Data'!$C$2:$C$1277,"Bachelor's",'Teacher Salary Data'!$D$2:$D$1277,0)</x:f>
        <x:v>56403</x:v>
      </x:c>
      <x:c r="E49" s="38" t="n">
        <x:f>SUMIFS('Teacher Salary Data'!$E$2:$E$1277,'Teacher Salary Data'!$A$2:$A$1277,$A49,'Teacher Salary Data'!$C$2:$C$1277,"Bachelor's",'Teacher Salary Data'!$D$2:$D$1277,5)</x:f>
        <x:v>61362</x:v>
      </x:c>
      <x:c r="F49" s="38" t="n">
        <x:f>SUMIFS('Teacher Salary Data'!$E$2:$E$1277,'Teacher Salary Data'!$A$2:$A$1277,$A49,'Teacher Salary Data'!$C$2:$C$1277,"Bachelor's",'Teacher Salary Data'!$D$2:$D$1277,10)</x:f>
        <x:v>68748</x:v>
      </x:c>
      <x:c r="G49" s="41" t="n">
        <x:f>SUMIFS('Teacher Salary Data'!$E$2:$E$1277,'Teacher Salary Data'!$A$2:$A$1277,$A49,'Teacher Salary Data'!$C$2:$C$1277,"Master's",'Teacher Salary Data'!$D$2:$D$1277,0)</x:f>
        <x:v>68445</x:v>
      </x:c>
      <x:c r="H49" s="38" t="n">
        <x:f>SUMIFS('Teacher Salary Data'!$E$2:$E$1277,'Teacher Salary Data'!$A$2:$A$1277,$A49,'Teacher Salary Data'!$C$2:$C$1277,"Master's",'Teacher Salary Data'!$D$2:$D$1277,5)</x:f>
        <x:v>74462</x:v>
      </x:c>
      <x:c r="I49" s="38" t="n">
        <x:f>SUMIFS('Teacher Salary Data'!$E$2:$E$1277,'Teacher Salary Data'!$A$2:$A$1277,$A49,'Teacher Salary Data'!$C$2:$C$1277,"Master's",'Teacher Salary Data'!$D$2:$D$1277,10)</x:f>
        <x:v>83425</x:v>
      </x:c>
      <x:c r="J49" s="38" t="n">
        <x:f>AVERAGE(D49,G49)</x:f>
        <x:v>62424</x:v>
      </x:c>
      <x:c r="K49" s="38" t="n">
        <x:f>AVERAGE(F49,I49)</x:f>
        <x:v>76086.5</x:v>
      </x:c>
      <x:c r="L49" s="43" t="n">
        <x:f>IFERROR((K49-J49)/J49,0)</x:f>
        <x:v>0.21886614122773293</x:v>
      </x:c>
      <x:c r="M49" s="38" t="n">
        <x:f>G49-D49</x:f>
        <x:v>12042</x:v>
      </x:c>
      <x:c r="N49" s="38" t="n">
        <x:f>IFERROR(INDEX('Median Home and Rent Prices'!$D$2:$D$58,MATCH($A49,'Median Home and Rent Prices'!$A$2:$A$58,0)),0)</x:f>
        <x:v>475000</x:v>
      </x:c>
      <x:c r="O49" s="38" t="n">
        <x:f>IFERROR(INDEX('Median Home and Rent Prices'!$E$2:$E$58,MATCH($A49,'Median Home and Rent Prices'!$A$2:$A$58,0)),0)</x:f>
        <x:v>1831</x:v>
      </x:c>
      <x:c r="P49" s="21" t="n">
        <x:f>IFERROR(INDEX('School District Profiles'!$H$2:$H$58,MATCH($A49,'School District Profiles'!$A$2:$A$58,0)),0)</x:f>
        <x:v>14</x:v>
      </x:c>
      <x:c r="Q49" s="38" t="n">
        <x:f>IFERROR(INDEX('School District Profiles'!$I$2:$I$58,MATCH($A49,'School District Profiles'!$A$2:$A$58,0)),0)</x:f>
        <x:v>258</x:v>
      </x:c>
      <x:c r="R49" s="45" t="n">
        <x:f>IFERROR(MAX(0,MIN(100,(K49-50000)/(110000-50000)*100)),0)</x:f>
        <x:v>43.4775</x:v>
      </x:c>
      <x:c r="S49" s="45" t="n">
        <x:f>IFERROR(MAX(0,MIN(100,L49/0.6*100)),0)</x:f>
        <x:v>36.47769020462216</x:v>
      </x:c>
      <x:c r="T49" s="45" t="n">
        <x:f>IFERROR(MAX(0,MIN(100,M49/15000*100)),0)</x:f>
        <x:v>80.28</x:v>
      </x:c>
      <x:c r="U49" s="45" t="n">
        <x:f>IFERROR(0.45*R49+0.4*S49+0.15*T49,0)</x:f>
        <x:v>46.19795108184886</x:v>
      </x:c>
      <x:c r="V49" s="45" t="n">
        <x:f>IFERROR(0.4*MAX(0,MIN(100,(((J49/12)/O49)-2)/(4-2)*100))+0.35*MAX(0,MIN(100,(8-(N49/K49))/(8-3)*100))+0.25*AB49,0)</x:f>
        <x:v>50.27499301835705</x:v>
      </x:c>
      <x:c r="W49" s="45" t="n">
        <x:f>IFERROR(MAX(0,MIN(100,(25-P49)/(25-12)*100)),0)</x:f>
        <x:v>84.61538461538461</x:v>
      </x:c>
      <x:c r="X49" s="45" t="n">
        <x:f>IFERROR(MAX(0,MIN(100,(AD49-1)/(3-1)*100))*IF(OR($A49="North Clackamas School District",$A49="Provo City School District"),0.6,1),0)</x:f>
        <x:v>90.90660841070452</x:v>
      </x:c>
      <x:c r="Y49" s="45" t="n">
        <x:f>IFERROR(MAX(0,MIN(100,(1-((IFERROR(INDEX('School District Profiles'!$D$2:$D$58,MATCH($A49,'School District Profiles'!$A$2:$A$58,0)),0)/100)^2+(IFERROR(INDEX('School District Profiles'!$E$2:$E$58,MATCH($A49,'School District Profiles'!$A$2:$A$58,0)),0)/100)^2+(IFERROR(INDEX('School District Profiles'!$F$2:$F$58,MATCH($A49,'School District Profiles'!$A$2:$A$58,0)),0)/100)^2+(IFERROR(INDEX('School District Profiles'!$G$2:$G$58,MATCH($A49,'School District Profiles'!$A$2:$A$58,0)),0)/100)^2+(AC49/100)^2))/0.8*100)),0)</x:f>
        <x:v>91.39999999999999</x:v>
      </x:c>
      <x:c r="Z49" s="45" t="n">
        <x:f>IFERROR(AF49*AG49,0)</x:f>
        <x:v>60.25387764085558</x:v>
      </x:c>
      <x:c r="AA49" s="45" t="n">
        <x:f>IFERROR(INDEX('Median Home and Rent Prices'!$F$2:$F$58,MATCH($A49,'Median Home and Rent Prices'!$A$2:$A$58,0)),0)</x:f>
        <x:v>250</x:v>
      </x:c>
      <x:c r="AB49" s="45" t="n">
        <x:f>IFERROR(MAX(0,MIN(100,(800-AA49)/(800-150)*100)),0)</x:f>
        <x:v>84.61538461538461</x:v>
      </x:c>
      <x:c r="AC49" s="43" t="n">
        <x:f>IFERROR(INDEX('School District Profiles'!$J$2:$J$58,MATCH($A49,'School District Profiles'!$A$2:$A$58,0)),0)</x:f>
        <x:v>6</x:v>
      </x:c>
      <x:c r="AD49" s="45" t="n">
        <x:f>IFERROR(Q49*20/O49,0)</x:f>
        <x:v>2.8181321682140905</x:v>
      </x:c>
      <x:c r="AE49" s="45" t="n">
        <x:f>IFERROR(IF(AG49&gt;=1,100,IF(AG49&gt;=0.95,75,IF(AG49&gt;=0.9,60,IF(AG49&gt;=0.85,40,IF(AG49&gt;=0.8,25,0))))),0)</x:f>
        <x:v>100</x:v>
      </x:c>
      <x:c r="AF49" s="45" t="n">
        <x:f>IFERROR(0.4*U49+0.3*V49+0.1*W49+0.1*X49+0.1*Y49,0)</x:f>
        <x:v>60.25387764085558</x:v>
      </x:c>
      <x:c r="AG49" s="45" t="n">
        <x:v>1</x:v>
      </x:c>
      <x:c r="AH49" s="21" t="inlineStr">
        <x:is>
          <x:t xml:space="preserve">No current employment-stability penalty applied in this first-pass entry. Added as a high-sub-pay Chicago-suburban test district; verify sub pay directly with HR before treating as final.</x:t>
        </x:is>
      </x:c>
    </x:row>
    <x:row r="50" ht="26.75" customHeight="1">
      <x:c r="A50" s="17" t="inlineStr">
        <x:is>
          <x:t xml:space="preserve">Glenbrook High School District 225</x:t>
        </x:is>
      </x:c>
      <x:c r="B50" s="17" t="str">
        <x:f>IFERROR(INDEX('School District Profiles'!$B$2:$B$58,MATCH($A50,'School District Profiles'!$A$2:$A$58,0)),"")</x:f>
        <x:v>IL</x:v>
      </x:c>
      <x:c r="C50" s="17" t="str">
        <x:f>IFERROR(INDEX('School District Profiles'!$C$2:$C$58,MATCH($A50,'School District Profiles'!$A$2:$A$58,0)),"")</x:f>
        <x:v>Chicago North Shore</x:v>
      </x:c>
      <x:c r="D50" s="38" t="n">
        <x:f>SUMIFS('Teacher Salary Data'!$E$2:$E$1277,'Teacher Salary Data'!$A$2:$A$1277,$A50,'Teacher Salary Data'!$C$2:$C$1277,"Bachelor's",'Teacher Salary Data'!$D$2:$D$1277,0)</x:f>
        <x:v>69929</x:v>
      </x:c>
      <x:c r="E50" s="38" t="n">
        <x:f>SUMIFS('Teacher Salary Data'!$E$2:$E$1277,'Teacher Salary Data'!$A$2:$A$1277,$A50,'Teacher Salary Data'!$C$2:$C$1277,"Bachelor's",'Teacher Salary Data'!$D$2:$D$1277,5)</x:f>
        <x:v>77208</x:v>
      </x:c>
      <x:c r="F50" s="38" t="n">
        <x:f>SUMIFS('Teacher Salary Data'!$E$2:$E$1277,'Teacher Salary Data'!$A$2:$A$1277,$A50,'Teacher Salary Data'!$C$2:$C$1277,"Bachelor's",'Teacher Salary Data'!$D$2:$D$1277,10)</x:f>
        <x:v>85244</x:v>
      </x:c>
      <x:c r="G50" s="41" t="n">
        <x:f>SUMIFS('Teacher Salary Data'!$E$2:$E$1277,'Teacher Salary Data'!$A$2:$A$1277,$A50,'Teacher Salary Data'!$C$2:$C$1277,"Master's",'Teacher Salary Data'!$D$2:$D$1277,0)</x:f>
        <x:v>81169</x:v>
      </x:c>
      <x:c r="H50" s="38" t="n">
        <x:f>SUMIFS('Teacher Salary Data'!$E$2:$E$1277,'Teacher Salary Data'!$A$2:$A$1277,$A50,'Teacher Salary Data'!$C$2:$C$1277,"Master's",'Teacher Salary Data'!$D$2:$D$1277,5)</x:f>
        <x:v>89616</x:v>
      </x:c>
      <x:c r="I50" s="38" t="n">
        <x:f>SUMIFS('Teacher Salary Data'!$E$2:$E$1277,'Teacher Salary Data'!$A$2:$A$1277,$A50,'Teacher Salary Data'!$C$2:$C$1277,"Master's",'Teacher Salary Data'!$D$2:$D$1277,10)</x:f>
        <x:v>98944</x:v>
      </x:c>
      <x:c r="J50" s="38" t="n">
        <x:f>AVERAGE(D50,G50)</x:f>
        <x:v>75549</x:v>
      </x:c>
      <x:c r="K50" s="38" t="n">
        <x:f>AVERAGE(F50,I50)</x:f>
        <x:v>92094</x:v>
      </x:c>
      <x:c r="L50" s="43" t="n">
        <x:f>IFERROR((K50-J50)/J50,0)</x:f>
        <x:v>0.21899694238176548</x:v>
      </x:c>
      <x:c r="M50" s="38" t="n">
        <x:f>G50-D50</x:f>
        <x:v>11240</x:v>
      </x:c>
      <x:c r="N50" s="38" t="n">
        <x:f>IFERROR(INDEX('Median Home and Rent Prices'!$D$2:$D$58,MATCH($A50,'Median Home and Rent Prices'!$A$2:$A$58,0)),0)</x:f>
        <x:v>811015</x:v>
      </x:c>
      <x:c r="O50" s="38" t="n">
        <x:f>IFERROR(INDEX('Median Home and Rent Prices'!$E$2:$E$58,MATCH($A50,'Median Home and Rent Prices'!$A$2:$A$58,0)),0)</x:f>
        <x:v>1957</x:v>
      </x:c>
      <x:c r="P50" s="21" t="n">
        <x:f>IFERROR(INDEX('School District Profiles'!$H$2:$H$58,MATCH($A50,'School District Profiles'!$A$2:$A$58,0)),0)</x:f>
        <x:v>11.5</x:v>
      </x:c>
      <x:c r="Q50" s="38" t="n">
        <x:f>IFERROR(INDEX('School District Profiles'!$I$2:$I$58,MATCH($A50,'School District Profiles'!$A$2:$A$58,0)),0)</x:f>
        <x:v>246</x:v>
      </x:c>
      <x:c r="R50" s="45" t="n">
        <x:f>IFERROR(MAX(0,MIN(100,(K50-50000)/(110000-50000)*100)),0)</x:f>
        <x:v>70.15666666666667</x:v>
      </x:c>
      <x:c r="S50" s="45" t="n">
        <x:f>IFERROR(MAX(0,MIN(100,L50/0.6*100)),0)</x:f>
        <x:v>36.499490396960915</x:v>
      </x:c>
      <x:c r="T50" s="45" t="n">
        <x:f>IFERROR(MAX(0,MIN(100,M50/15000*100)),0)</x:f>
        <x:v>74.93333333333332</x:v>
      </x:c>
      <x:c r="U50" s="45" t="n">
        <x:f>IFERROR(0.45*R50+0.4*S50+0.15*T50,0)</x:f>
        <x:v>57.41029615878436</x:v>
      </x:c>
      <x:c r="V50" s="45" t="n">
        <x:f>IFERROR(0.4*MAX(0,MIN(100,(((J50/12)/O50)-2)/(4-2)*100))+0.35*MAX(0,MIN(100,(8-(N50/K50))/(8-3)*100))+0.25*AB50,0)</x:f>
        <x:v>41.648520105341774</x:v>
      </x:c>
      <x:c r="W50" s="45" t="n">
        <x:f>IFERROR(MAX(0,MIN(100,(25-P50)/(25-12)*100)),0)</x:f>
        <x:v>100</x:v>
      </x:c>
      <x:c r="X50" s="45" t="n">
        <x:f>IFERROR(MAX(0,MIN(100,(AD50-1)/(3-1)*100))*IF(OR($A50="North Clackamas School District",$A50="Provo City School District"),0.6,1),0)</x:f>
        <x:v>75.70260602963721</x:v>
      </x:c>
      <x:c r="Y50" s="45" t="n">
        <x:f>IFERROR(MAX(0,MIN(100,(1-((IFERROR(INDEX('School District Profiles'!$D$2:$D$58,MATCH($A50,'School District Profiles'!$A$2:$A$58,0)),0)/100)^2+(IFERROR(INDEX('School District Profiles'!$E$2:$E$58,MATCH($A50,'School District Profiles'!$A$2:$A$58,0)),0)/100)^2+(IFERROR(INDEX('School District Profiles'!$F$2:$F$58,MATCH($A50,'School District Profiles'!$A$2:$A$58,0)),0)/100)^2+(IFERROR(INDEX('School District Profiles'!$G$2:$G$58,MATCH($A50,'School District Profiles'!$A$2:$A$58,0)),0)/100)^2+(AC50/100)^2))/0.8*100)),0)</x:f>
        <x:v>78.82499999999999</x:v>
      </x:c>
      <x:c r="Z50" s="45" t="n">
        <x:f>IFERROR(AF50*AG50,0)</x:f>
        <x:v>60.91143509808</x:v>
      </x:c>
      <x:c r="AA50" s="45" t="n">
        <x:f>IFERROR(INDEX('Median Home and Rent Prices'!$F$2:$F$58,MATCH($A50,'Median Home and Rent Prices'!$A$2:$A$58,0)),0)</x:f>
        <x:v>350</x:v>
      </x:c>
      <x:c r="AB50" s="45" t="n">
        <x:f>IFERROR(MAX(0,MIN(100,(800-AA50)/(800-150)*100)),0)</x:f>
        <x:v>69.23076923076923</x:v>
      </x:c>
      <x:c r="AC50" s="43" t="n">
        <x:f>IFERROR(INDEX('School District Profiles'!$J$2:$J$58,MATCH($A50,'School District Profiles'!$A$2:$A$58,0)),0)</x:f>
        <x:v>6</x:v>
      </x:c>
      <x:c r="AD50" s="45" t="n">
        <x:f>IFERROR(Q50*20/O50,0)</x:f>
        <x:v>2.514052120592744</x:v>
      </x:c>
      <x:c r="AE50" s="45" t="n">
        <x:f>IFERROR(IF(AG50&gt;=1,100,IF(AG50&gt;=0.95,75,IF(AG50&gt;=0.9,60,IF(AG50&gt;=0.85,40,IF(AG50&gt;=0.8,25,0))))),0)</x:f>
        <x:v>100</x:v>
      </x:c>
      <x:c r="AF50" s="45" t="n">
        <x:f>IFERROR(0.4*U50+0.3*V50+0.1*W50+0.1*X50+0.1*Y50,0)</x:f>
        <x:v>60.91143509808</x:v>
      </x:c>
      <x:c r="AG50" s="45" t="n">
        <x:v>1</x:v>
      </x:c>
      <x:c r="AH50" s="21" t="inlineStr">
        <x:is>
          <x:t xml:space="preserve">No current employment-stability penalty applied in this first-pass entry. High salary schedule and low ratio make it competitive; housing costs keep it below the top in this pass.</x:t>
        </x:is>
      </x:c>
    </x:row>
    <x:row r="51" ht="26.75" customHeight="1">
      <x:c r="A51" s="17" t="inlineStr">
        <x:is>
          <x:t xml:space="preserve">Mounds View Public Schools</x:t>
        </x:is>
      </x:c>
      <x:c r="B51" s="17" t="str">
        <x:f>IFERROR(INDEX('School District Profiles'!$B$2:$B$58,MATCH($A51,'School District Profiles'!$A$2:$A$58,0)),"")</x:f>
        <x:v>MN</x:v>
      </x:c>
      <x:c r="C51" s="17" t="str">
        <x:f>IFERROR(INDEX('School District Profiles'!$C$2:$C$58,MATCH($A51,'School District Profiles'!$A$2:$A$58,0)),"")</x:f>
        <x:v>Twin Cities</x:v>
      </x:c>
      <x:c r="D51" s="38" t="n">
        <x:f>SUMIFS('Teacher Salary Data'!$E$2:$E$1277,'Teacher Salary Data'!$A$2:$A$1277,$A51,'Teacher Salary Data'!$C$2:$C$1277,"Bachelor's",'Teacher Salary Data'!$D$2:$D$1277,0)</x:f>
        <x:v>52932</x:v>
      </x:c>
      <x:c r="E51" s="38" t="n">
        <x:f>SUMIFS('Teacher Salary Data'!$E$2:$E$1277,'Teacher Salary Data'!$A$2:$A$1277,$A51,'Teacher Salary Data'!$C$2:$C$1277,"Bachelor's",'Teacher Salary Data'!$D$2:$D$1277,5)</x:f>
        <x:v>57028</x:v>
      </x:c>
      <x:c r="F51" s="38" t="n">
        <x:f>SUMIFS('Teacher Salary Data'!$E$2:$E$1277,'Teacher Salary Data'!$A$2:$A$1277,$A51,'Teacher Salary Data'!$C$2:$C$1277,"Bachelor's",'Teacher Salary Data'!$D$2:$D$1277,10)</x:f>
        <x:v>79976</x:v>
      </x:c>
      <x:c r="G51" s="41" t="n">
        <x:f>SUMIFS('Teacher Salary Data'!$E$2:$E$1277,'Teacher Salary Data'!$A$2:$A$1277,$A51,'Teacher Salary Data'!$C$2:$C$1277,"Master's",'Teacher Salary Data'!$D$2:$D$1277,0)</x:f>
        <x:v>62732</x:v>
      </x:c>
      <x:c r="H51" s="38" t="n">
        <x:f>SUMIFS('Teacher Salary Data'!$E$2:$E$1277,'Teacher Salary Data'!$A$2:$A$1277,$A51,'Teacher Salary Data'!$C$2:$C$1277,"Master's",'Teacher Salary Data'!$D$2:$D$1277,5)</x:f>
        <x:v>68282</x:v>
      </x:c>
      <x:c r="I51" s="38" t="n">
        <x:f>SUMIFS('Teacher Salary Data'!$E$2:$E$1277,'Teacher Salary Data'!$A$2:$A$1277,$A51,'Teacher Salary Data'!$C$2:$C$1277,"Master's",'Teacher Salary Data'!$D$2:$D$1277,10)</x:f>
        <x:v>91578</x:v>
      </x:c>
      <x:c r="J51" s="38" t="n">
        <x:f>AVERAGE(D51,G51)</x:f>
        <x:v>57832</x:v>
      </x:c>
      <x:c r="K51" s="38" t="n">
        <x:f>AVERAGE(F51,I51)</x:f>
        <x:v>85777</x:v>
      </x:c>
      <x:c r="L51" s="43" t="n">
        <x:f>IFERROR((K51-J51)/J51,0)</x:f>
        <x:v>0.48320998755014527</x:v>
      </x:c>
      <x:c r="M51" s="38" t="n">
        <x:f>G51-D51</x:f>
        <x:v>9800</x:v>
      </x:c>
      <x:c r="N51" s="38" t="n">
        <x:f>IFERROR(INDEX('Median Home and Rent Prices'!$D$2:$D$58,MATCH($A51,'Median Home and Rent Prices'!$A$2:$A$58,0)),0)</x:f>
        <x:v>425000</x:v>
      </x:c>
      <x:c r="O51" s="38" t="n">
        <x:f>IFERROR(INDEX('Median Home and Rent Prices'!$E$2:$E$58,MATCH($A51,'Median Home and Rent Prices'!$A$2:$A$58,0)),0)</x:f>
        <x:v>1500</x:v>
      </x:c>
      <x:c r="P51" s="21" t="n">
        <x:f>IFERROR(INDEX('School District Profiles'!$H$2:$H$58,MATCH($A51,'School District Profiles'!$A$2:$A$58,0)),0)</x:f>
        <x:v>16.2</x:v>
      </x:c>
      <x:c r="Q51" s="38" t="n">
        <x:f>IFERROR(INDEX('School District Profiles'!$I$2:$I$58,MATCH($A51,'School District Profiles'!$A$2:$A$58,0)),0)</x:f>
        <x:v>200</x:v>
      </x:c>
      <x:c r="R51" s="45" t="n">
        <x:f>IFERROR(MAX(0,MIN(100,(K51-50000)/(110000-50000)*100)),0)</x:f>
        <x:v>59.62833333333334</x:v>
      </x:c>
      <x:c r="S51" s="45" t="n">
        <x:f>IFERROR(MAX(0,MIN(100,L51/0.6*100)),0)</x:f>
        <x:v>80.53499792502421</x:v>
      </x:c>
      <x:c r="T51" s="45" t="n">
        <x:f>IFERROR(MAX(0,MIN(100,M51/15000*100)),0)</x:f>
        <x:v>65.33333333333333</x:v>
      </x:c>
      <x:c r="U51" s="45" t="n">
        <x:f>IFERROR(0.45*R51+0.4*S51+0.15*T51,0)</x:f>
        <x:v>68.84674917000969</x:v>
      </x:c>
      <x:c r="V51" s="45" t="n">
        <x:f>IFERROR(0.4*MAX(0,MIN(100,(((J51/12)/O51)-2)/(4-2)*100))+0.35*MAX(0,MIN(100,(8-(N51/K51))/(8-3)*100))+0.25*AB51,0)</x:f>
        <x:v>68.72866696180685</x:v>
      </x:c>
      <x:c r="W51" s="45" t="n">
        <x:f>IFERROR(MAX(0,MIN(100,(25-P51)/(25-12)*100)),0)</x:f>
        <x:v>67.6923076923077</x:v>
      </x:c>
      <x:c r="X51" s="45" t="n">
        <x:f>IFERROR(MAX(0,MIN(100,(AD51-1)/(3-1)*100))*IF(OR($A51="North Clackamas School District",$A51="Provo City School District"),0.6,1),0)</x:f>
        <x:v>83.33333333333333</x:v>
      </x:c>
      <x:c r="Y51" s="45" t="n">
        <x:f>IFERROR(MAX(0,MIN(100,(1-((IFERROR(INDEX('School District Profiles'!$D$2:$D$58,MATCH($A51,'School District Profiles'!$A$2:$A$58,0)),0)/100)^2+(IFERROR(INDEX('School District Profiles'!$E$2:$E$58,MATCH($A51,'School District Profiles'!$A$2:$A$58,0)),0)/100)^2+(IFERROR(INDEX('School District Profiles'!$F$2:$F$58,MATCH($A51,'School District Profiles'!$A$2:$A$58,0)),0)/100)^2+(IFERROR(INDEX('School District Profiles'!$G$2:$G$58,MATCH($A51,'School District Profiles'!$A$2:$A$58,0)),0)/100)^2+(AC51/100)^2))/0.8*100)),0)</x:f>
        <x:v>80.52499999999998</x:v>
      </x:c>
      <x:c r="Z51" s="45" t="n">
        <x:f>IFERROR(AF51*AG51,0)</x:f>
        <x:v>71.31236385911004</x:v>
      </x:c>
      <x:c r="AA51" s="45" t="n">
        <x:f>IFERROR(INDEX('Median Home and Rent Prices'!$F$2:$F$58,MATCH($A51,'Median Home and Rent Prices'!$A$2:$A$58,0)),0)</x:f>
        <x:v>198</x:v>
      </x:c>
      <x:c r="AB51" s="45" t="n">
        <x:f>IFERROR(MAX(0,MIN(100,(800-AA51)/(800-150)*100)),0)</x:f>
        <x:v>92.61538461538461</x:v>
      </x:c>
      <x:c r="AC51" s="43" t="n">
        <x:f>IFERROR(INDEX('School District Profiles'!$J$2:$J$58,MATCH($A51,'School District Profiles'!$A$2:$A$58,0)),0)</x:f>
        <x:v>8</x:v>
      </x:c>
      <x:c r="AD51" s="45" t="n">
        <x:f>IFERROR(Q51*20/O51,0)</x:f>
        <x:v>2.6666666666666665</x:v>
      </x:c>
      <x:c r="AE51" s="45" t="n">
        <x:f>IFERROR(IF(AG51&gt;=1,100,IF(AG51&gt;=0.95,75,IF(AG51&gt;=0.9,60,IF(AG51&gt;=0.85,40,IF(AG51&gt;=0.8,25,0))))),0)</x:f>
        <x:v>100</x:v>
      </x:c>
      <x:c r="AF51" s="45" t="n">
        <x:f>IFERROR(0.4*U51+0.3*V51+0.1*W51+0.1*X51+0.1*Y51,0)</x:f>
        <x:v>71.31236385911004</x:v>
      </x:c>
      <x:c r="AG51" s="45" t="n">
        <x:v>1</x:v>
      </x:c>
      <x:c r="AH51" s="21" t="inlineStr">
        <x:is>
          <x:t xml:space="preserve">No current employment-stability penalty applied in this first-pass entry. BA 10-year uses the first accessible BA+15 lane because the BA00 lane does not advance to steps 9/10; verify placement with HR.</x:t>
        </x:is>
      </x:c>
    </x:row>
    <x:row r="52" ht="26.75" customHeight="1">
      <x:c r="A52" s="17" t="inlineStr">
        <x:is>
          <x:t xml:space="preserve">Eden Prairie Schools</x:t>
        </x:is>
      </x:c>
      <x:c r="B52" s="17" t="str">
        <x:f>IFERROR(INDEX('School District Profiles'!$B$2:$B$58,MATCH($A52,'School District Profiles'!$A$2:$A$58,0)),"")</x:f>
        <x:v>MN</x:v>
      </x:c>
      <x:c r="C52" s="17" t="str">
        <x:f>IFERROR(INDEX('School District Profiles'!$C$2:$C$58,MATCH($A52,'School District Profiles'!$A$2:$A$58,0)),"")</x:f>
        <x:v>Twin Cities</x:v>
      </x:c>
      <x:c r="D52" s="38" t="n">
        <x:f>SUMIFS('Teacher Salary Data'!$E$2:$E$1277,'Teacher Salary Data'!$A$2:$A$1277,$A52,'Teacher Salary Data'!$C$2:$C$1277,"Bachelor's",'Teacher Salary Data'!$D$2:$D$1277,0)</x:f>
        <x:v>51831</x:v>
      </x:c>
      <x:c r="E52" s="38" t="n">
        <x:f>SUMIFS('Teacher Salary Data'!$E$2:$E$1277,'Teacher Salary Data'!$A$2:$A$1277,$A52,'Teacher Salary Data'!$C$2:$C$1277,"Bachelor's",'Teacher Salary Data'!$D$2:$D$1277,5)</x:f>
        <x:v>61041</x:v>
      </x:c>
      <x:c r="F52" s="38" t="n">
        <x:f>SUMIFS('Teacher Salary Data'!$E$2:$E$1277,'Teacher Salary Data'!$A$2:$A$1277,$A52,'Teacher Salary Data'!$C$2:$C$1277,"Bachelor's",'Teacher Salary Data'!$D$2:$D$1277,10)</x:f>
        <x:v>70817</x:v>
      </x:c>
      <x:c r="G52" s="41" t="n">
        <x:f>SUMIFS('Teacher Salary Data'!$E$2:$E$1277,'Teacher Salary Data'!$A$2:$A$1277,$A52,'Teacher Salary Data'!$C$2:$C$1277,"Master's",'Teacher Salary Data'!$D$2:$D$1277,0)</x:f>
        <x:v>66354</x:v>
      </x:c>
      <x:c r="H52" s="38" t="n">
        <x:f>SUMIFS('Teacher Salary Data'!$E$2:$E$1277,'Teacher Salary Data'!$A$2:$A$1277,$A52,'Teacher Salary Data'!$C$2:$C$1277,"Master's",'Teacher Salary Data'!$D$2:$D$1277,5)</x:f>
        <x:v>75565</x:v>
      </x:c>
      <x:c r="I52" s="38" t="n">
        <x:f>SUMIFS('Teacher Salary Data'!$E$2:$E$1277,'Teacher Salary Data'!$A$2:$A$1277,$A52,'Teacher Salary Data'!$C$2:$C$1277,"Master's",'Teacher Salary Data'!$D$2:$D$1277,10)</x:f>
        <x:v>94481</x:v>
      </x:c>
      <x:c r="J52" s="38" t="n">
        <x:f>AVERAGE(D52,G52)</x:f>
        <x:v>59092.5</x:v>
      </x:c>
      <x:c r="K52" s="38" t="n">
        <x:f>AVERAGE(F52,I52)</x:f>
        <x:v>82649</x:v>
      </x:c>
      <x:c r="L52" s="43" t="n">
        <x:f>IFERROR((K52-J52)/J52,0)</x:f>
        <x:v>0.3986377289842197</x:v>
      </x:c>
      <x:c r="M52" s="38" t="n">
        <x:f>G52-D52</x:f>
        <x:v>14523</x:v>
      </x:c>
      <x:c r="N52" s="38" t="n">
        <x:f>IFERROR(INDEX('Median Home and Rent Prices'!$D$2:$D$58,MATCH($A52,'Median Home and Rent Prices'!$A$2:$A$58,0)),0)</x:f>
        <x:v>515000</x:v>
      </x:c>
      <x:c r="O52" s="38" t="n">
        <x:f>IFERROR(INDEX('Median Home and Rent Prices'!$E$2:$E$58,MATCH($A52,'Median Home and Rent Prices'!$A$2:$A$58,0)),0)</x:f>
        <x:v>1650</x:v>
      </x:c>
      <x:c r="P52" s="21" t="n">
        <x:f>IFERROR(INDEX('School District Profiles'!$H$2:$H$58,MATCH($A52,'School District Profiles'!$A$2:$A$58,0)),0)</x:f>
        <x:v>14.6</x:v>
      </x:c>
      <x:c r="Q52" s="38" t="n">
        <x:f>IFERROR(INDEX('School District Profiles'!$I$2:$I$58,MATCH($A52,'School District Profiles'!$A$2:$A$58,0)),0)</x:f>
        <x:v>183</x:v>
      </x:c>
      <x:c r="R52" s="45" t="n">
        <x:f>IFERROR(MAX(0,MIN(100,(K52-50000)/(110000-50000)*100)),0)</x:f>
        <x:v>54.415</x:v>
      </x:c>
      <x:c r="S52" s="45" t="n">
        <x:f>IFERROR(MAX(0,MIN(100,L52/0.6*100)),0)</x:f>
        <x:v>66.43962149736996</x:v>
      </x:c>
      <x:c r="T52" s="45" t="n">
        <x:f>IFERROR(MAX(0,MIN(100,M52/15000*100)),0)</x:f>
        <x:v>96.82</x:v>
      </x:c>
      <x:c r="U52" s="45" t="n">
        <x:f>IFERROR(0.45*R52+0.4*S52+0.15*T52,0)</x:f>
        <x:v>65.58559859894798</x:v>
      </x:c>
      <x:c r="V52" s="45" t="n">
        <x:f>IFERROR(0.4*MAX(0,MIN(100,(((J52/12)/O52)-2)/(4-2)*100))+0.35*MAX(0,MIN(100,(8-(N52/K52))/(8-3)*100))+0.25*AB52,0)</x:f>
        <x:v>54.34043211101313</x:v>
      </x:c>
      <x:c r="W52" s="45" t="n">
        <x:f>IFERROR(MAX(0,MIN(100,(25-P52)/(25-12)*100)),0)</x:f>
        <x:v>80</x:v>
      </x:c>
      <x:c r="X52" s="45" t="n">
        <x:f>IFERROR(MAX(0,MIN(100,(AD52-1)/(3-1)*100))*IF(OR($A52="North Clackamas School District",$A52="Provo City School District"),0.6,1),0)</x:f>
        <x:v>60.909090909090914</x:v>
      </x:c>
      <x:c r="Y52" s="45" t="n">
        <x:f>IFERROR(MAX(0,MIN(100,(1-((IFERROR(INDEX('School District Profiles'!$D$2:$D$58,MATCH($A52,'School District Profiles'!$A$2:$A$58,0)),0)/100)^2+(IFERROR(INDEX('School District Profiles'!$E$2:$E$58,MATCH($A52,'School District Profiles'!$A$2:$A$58,0)),0)/100)^2+(IFERROR(INDEX('School District Profiles'!$F$2:$F$58,MATCH($A52,'School District Profiles'!$A$2:$A$58,0)),0)/100)^2+(IFERROR(INDEX('School District Profiles'!$G$2:$G$58,MATCH($A52,'School District Profiles'!$A$2:$A$58,0)),0)/100)^2+(AC52/100)^2))/0.8*100)),0)</x:f>
        <x:v>83.57500000000002</x:v>
      </x:c>
      <x:c r="Z52" s="45" t="n">
        <x:f>IFERROR(AF52*AG52,0)</x:f>
        <x:v>64.98477816379223</x:v>
      </x:c>
      <x:c r="AA52" s="45" t="n">
        <x:f>IFERROR(INDEX('Median Home and Rent Prices'!$F$2:$F$58,MATCH($A52,'Median Home and Rent Prices'!$A$2:$A$58,0)),0)</x:f>
        <x:v>221</x:v>
      </x:c>
      <x:c r="AB52" s="45" t="n">
        <x:f>IFERROR(MAX(0,MIN(100,(800-AA52)/(800-150)*100)),0)</x:f>
        <x:v>89.07692307692308</x:v>
      </x:c>
      <x:c r="AC52" s="43" t="n">
        <x:f>IFERROR(INDEX('School District Profiles'!$J$2:$J$58,MATCH($A52,'School District Profiles'!$A$2:$A$58,0)),0)</x:f>
        <x:v>9</x:v>
      </x:c>
      <x:c r="AD52" s="45" t="n">
        <x:f>IFERROR(Q52*20/O52,0)</x:f>
        <x:v>2.2181818181818183</x:v>
      </x:c>
      <x:c r="AE52" s="45" t="n">
        <x:f>IFERROR(IF(AG52&gt;=1,100,IF(AG52&gt;=0.95,75,IF(AG52&gt;=0.9,60,IF(AG52&gt;=0.85,40,IF(AG52&gt;=0.8,25,0))))),0)</x:f>
        <x:v>100</x:v>
      </x:c>
      <x:c r="AF52" s="45" t="n">
        <x:f>IFERROR(0.4*U52+0.3*V52+0.1*W52+0.1*X52+0.1*Y52,0)</x:f>
        <x:v>64.98477816379223</x:v>
      </x:c>
      <x:c r="AG52" s="45" t="n">
        <x:v>1</x:v>
      </x:c>
      <x:c r="AH52" s="21" t="inlineStr">
        <x:is>
          <x:t xml:space="preserve">No current employment-stability penalty applied in this first-pass entry. Salary schedule has a Step 10-14 band; years 9 and 10 were entered at that band for this pass.</x:t>
        </x:is>
      </x:c>
    </x:row>
    <x:row r="53" ht="26.75" customHeight="1">
      <x:c r="A53" s="17" t="inlineStr">
        <x:is>
          <x:t xml:space="preserve">Naperville CUSD 203</x:t>
        </x:is>
      </x:c>
      <x:c r="B53" s="17" t="str">
        <x:f>IFERROR(INDEX('School District Profiles'!$B$2:$B$58,MATCH($A53,'School District Profiles'!$A$2:$A$58,0)),"")</x:f>
        <x:v>IL</x:v>
      </x:c>
      <x:c r="C53" s="17" t="str">
        <x:f>IFERROR(INDEX('School District Profiles'!$C$2:$C$58,MATCH($A53,'School District Profiles'!$A$2:$A$58,0)),"")</x:f>
        <x:v>Chicago Suburbs</x:v>
      </x:c>
      <x:c r="D53" s="38" t="n">
        <x:f>SUMIFS('Teacher Salary Data'!$E$2:$E$1277,'Teacher Salary Data'!$A$2:$A$1277,$A53,'Teacher Salary Data'!$C$2:$C$1277,"Bachelor's",'Teacher Salary Data'!$D$2:$D$1277,0)</x:f>
        <x:v>58403</x:v>
      </x:c>
      <x:c r="E53" s="38" t="n">
        <x:f>SUMIFS('Teacher Salary Data'!$E$2:$E$1277,'Teacher Salary Data'!$A$2:$A$1277,$A53,'Teacher Salary Data'!$C$2:$C$1277,"Bachelor's",'Teacher Salary Data'!$D$2:$D$1277,5)</x:f>
        <x:v>71189</x:v>
      </x:c>
      <x:c r="F53" s="38" t="n">
        <x:f>SUMIFS('Teacher Salary Data'!$E$2:$E$1277,'Teacher Salary Data'!$A$2:$A$1277,$A53,'Teacher Salary Data'!$C$2:$C$1277,"Bachelor's",'Teacher Salary Data'!$D$2:$D$1277,10)</x:f>
        <x:v>85764</x:v>
      </x:c>
      <x:c r="G53" s="41" t="n">
        <x:f>SUMIFS('Teacher Salary Data'!$E$2:$E$1277,'Teacher Salary Data'!$A$2:$A$1277,$A53,'Teacher Salary Data'!$C$2:$C$1277,"Master's",'Teacher Salary Data'!$D$2:$D$1277,0)</x:f>
        <x:v>68946</x:v>
      </x:c>
      <x:c r="H53" s="38" t="n">
        <x:f>SUMIFS('Teacher Salary Data'!$E$2:$E$1277,'Teacher Salary Data'!$A$2:$A$1277,$A53,'Teacher Salary Data'!$C$2:$C$1277,"Master's",'Teacher Salary Data'!$D$2:$D$1277,5)</x:f>
        <x:v>82123</x:v>
      </x:c>
      <x:c r="I53" s="38" t="n">
        <x:f>SUMIFS('Teacher Salary Data'!$E$2:$E$1277,'Teacher Salary Data'!$A$2:$A$1277,$A53,'Teacher Salary Data'!$C$2:$C$1277,"Master's",'Teacher Salary Data'!$D$2:$D$1277,10)</x:f>
        <x:v>94911</x:v>
      </x:c>
      <x:c r="J53" s="38" t="n">
        <x:f>AVERAGE(D53,G53)</x:f>
        <x:v>63674.5</x:v>
      </x:c>
      <x:c r="K53" s="38" t="n">
        <x:f>AVERAGE(F53,I53)</x:f>
        <x:v>90337.5</x:v>
      </x:c>
      <x:c r="L53" s="43" t="n">
        <x:f>IFERROR((K53-J53)/J53,0)</x:f>
        <x:v>0.4187390556659259</x:v>
      </x:c>
      <x:c r="M53" s="38" t="n">
        <x:f>G53-D53</x:f>
        <x:v>10543</x:v>
      </x:c>
      <x:c r="N53" s="38" t="n">
        <x:f>IFERROR(INDEX('Median Home and Rent Prices'!$D$2:$D$58,MATCH($A53,'Median Home and Rent Prices'!$A$2:$A$58,0)),0)</x:f>
        <x:v>600000</x:v>
      </x:c>
      <x:c r="O53" s="38" t="n">
        <x:f>IFERROR(INDEX('Median Home and Rent Prices'!$E$2:$E$58,MATCH($A53,'Median Home and Rent Prices'!$A$2:$A$58,0)),0)</x:f>
        <x:v>1831</x:v>
      </x:c>
      <x:c r="P53" s="21" t="n">
        <x:f>IFERROR(INDEX('School District Profiles'!$H$2:$H$58,MATCH($A53,'School District Profiles'!$A$2:$A$58,0)),0)</x:f>
        <x:v>13.3</x:v>
      </x:c>
      <x:c r="Q53" s="38" t="n">
        <x:f>IFERROR(INDEX('School District Profiles'!$I$2:$I$58,MATCH($A53,'School District Profiles'!$A$2:$A$58,0)),0)</x:f>
        <x:v>130</x:v>
      </x:c>
      <x:c r="R53" s="45" t="n">
        <x:f>IFERROR(MAX(0,MIN(100,(K53-50000)/(110000-50000)*100)),0)</x:f>
        <x:v>67.22916666666666</x:v>
      </x:c>
      <x:c r="S53" s="45" t="n">
        <x:f>IFERROR(MAX(0,MIN(100,L53/0.6*100)),0)</x:f>
        <x:v>69.78984261098765</x:v>
      </x:c>
      <x:c r="T53" s="45" t="n">
        <x:f>IFERROR(MAX(0,MIN(100,M53/15000*100)),0)</x:f>
        <x:v>70.28666666666666</x:v>
      </x:c>
      <x:c r="U53" s="45" t="n">
        <x:f>IFERROR(0.45*R53+0.4*S53+0.15*T53,0)</x:f>
        <x:v>68.71206204439505</x:v>
      </x:c>
      <x:c r="V53" s="45" t="n">
        <x:f>IFERROR(0.4*MAX(0,MIN(100,(((J53/12)/O53)-2)/(4-2)*100))+0.35*MAX(0,MIN(100,(8-(N53/K53))/(8-3)*100))+0.25*AB53,0)</x:f>
        <x:v>48.0442785632105</x:v>
      </x:c>
      <x:c r="W53" s="45" t="n">
        <x:f>IFERROR(MAX(0,MIN(100,(25-P53)/(25-12)*100)),0)</x:f>
        <x:v>89.99999999999999</x:v>
      </x:c>
      <x:c r="X53" s="45" t="n">
        <x:f>IFERROR(MAX(0,MIN(100,(AD53-1)/(3-1)*100))*IF(OR($A53="North Clackamas School District",$A53="Provo City School District"),0.6,1),0)</x:f>
        <x:v>20.999453850355</x:v>
      </x:c>
      <x:c r="Y53" s="45" t="n">
        <x:f>IFERROR(MAX(0,MIN(100,(1-((IFERROR(INDEX('School District Profiles'!$D$2:$D$58,MATCH($A53,'School District Profiles'!$A$2:$A$58,0)),0)/100)^2+(IFERROR(INDEX('School District Profiles'!$E$2:$E$58,MATCH($A53,'School District Profiles'!$A$2:$A$58,0)),0)/100)^2+(IFERROR(INDEX('School District Profiles'!$F$2:$F$58,MATCH($A53,'School District Profiles'!$A$2:$A$58,0)),0)/100)^2+(IFERROR(INDEX('School District Profiles'!$G$2:$G$58,MATCH($A53,'School District Profiles'!$A$2:$A$58,0)),0)/100)^2+(AC53/100)^2))/0.8*100)),0)</x:f>
        <x:v>83.125</x:v>
      </x:c>
      <x:c r="Z53" s="45" t="n">
        <x:f>IFERROR(AF53*AG53,0)</x:f>
        <x:v>61.31055377175667</x:v>
      </x:c>
      <x:c r="AA53" s="45" t="n">
        <x:f>IFERROR(INDEX('Median Home and Rent Prices'!$F$2:$F$58,MATCH($A53,'Median Home and Rent Prices'!$A$2:$A$58,0)),0)</x:f>
        <x:v>265</x:v>
      </x:c>
      <x:c r="AB53" s="45" t="n">
        <x:f>IFERROR(MAX(0,MIN(100,(800-AA53)/(800-150)*100)),0)</x:f>
        <x:v>82.3076923076923</x:v>
      </x:c>
      <x:c r="AC53" s="43" t="n">
        <x:f>IFERROR(INDEX('School District Profiles'!$J$2:$J$58,MATCH($A53,'School District Profiles'!$A$2:$A$58,0)),0)</x:f>
        <x:v>6</x:v>
      </x:c>
      <x:c r="AD53" s="45" t="n">
        <x:f>IFERROR(Q53*20/O53,0)</x:f>
        <x:v>1.4199890770071</x:v>
      </x:c>
      <x:c r="AE53" s="45" t="n">
        <x:f>IFERROR(IF(AG53&gt;=1,100,IF(AG53&gt;=0.95,75,IF(AG53&gt;=0.9,60,IF(AG53&gt;=0.85,40,IF(AG53&gt;=0.8,25,0))))),0)</x:f>
        <x:v>100</x:v>
      </x:c>
      <x:c r="AF53" s="45" t="n">
        <x:f>IFERROR(0.4*U53+0.3*V53+0.1*W53+0.1*X53+0.1*Y53,0)</x:f>
        <x:v>61.31055377175667</x:v>
      </x:c>
      <x:c r="AG53" s="45" t="n">
        <x:v>1</x:v>
      </x:c>
      <x:c r="AH53" s="21" t="inlineStr">
        <x:is>
          <x:t xml:space="preserve">No current employment-stability penalty applied in this first-pass entry. Salary values are first-pass estimates derived from the current contract and published schedule structure; verify exact 2025-26 salary schedule before final ranking.</x:t>
        </x:is>
      </x:c>
    </x:row>
    <x:row r="54" ht="58.75" customHeight="1">
      <x:c r="A54" s="2" t="inlineStr">
        <x:is>
          <x:t xml:space="preserve">Minnetonka Public Schools</x:t>
        </x:is>
      </x:c>
      <x:c r="B54" s="2" t="str">
        <x:f>IFERROR(INDEX('School District Profiles'!$B$2:$B$58,MATCH($A54,'School District Profiles'!$A$2:$A$58,0)),"")</x:f>
        <x:v>MN</x:v>
      </x:c>
      <x:c r="C54" s="2" t="str">
        <x:f>IFERROR(INDEX('School District Profiles'!$C$2:$C$58,MATCH($A54,'School District Profiles'!$A$2:$A$58,0)),"")</x:f>
        <x:v>Twin Cities Suburbs</x:v>
      </x:c>
      <x:c r="D54" s="52" t="n">
        <x:f>SUMIFS('Teacher Salary Data'!$E$2:$E$1277,'Teacher Salary Data'!$A$2:$A$1277,$A54,'Teacher Salary Data'!$C$2:$C$1277,"Bachelor's",'Teacher Salary Data'!$D$2:$D$1277,0)</x:f>
        <x:v>52217</x:v>
      </x:c>
      <x:c r="E54" s="52" t="n">
        <x:f>SUMIFS('Teacher Salary Data'!$E$2:$E$1277,'Teacher Salary Data'!$A$2:$A$1277,$A54,'Teacher Salary Data'!$C$2:$C$1277,"Bachelor's",'Teacher Salary Data'!$D$2:$D$1277,5)</x:f>
        <x:v>59693</x:v>
      </x:c>
      <x:c r="F54" s="52" t="n">
        <x:f>SUMIFS('Teacher Salary Data'!$E$2:$E$1277,'Teacher Salary Data'!$A$2:$A$1277,$A54,'Teacher Salary Data'!$C$2:$C$1277,"Bachelor's",'Teacher Salary Data'!$D$2:$D$1277,10)</x:f>
        <x:v>67163</x:v>
      </x:c>
      <x:c r="G54" s="52" t="n">
        <x:f>SUMIFS('Teacher Salary Data'!$E$2:$E$1277,'Teacher Salary Data'!$A$2:$A$1277,$A54,'Teacher Salary Data'!$C$2:$C$1277,"Master's",'Teacher Salary Data'!$D$2:$D$1277,0)</x:f>
        <x:v>64583</x:v>
      </x:c>
      <x:c r="H54" s="52" t="n">
        <x:f>SUMIFS('Teacher Salary Data'!$E$2:$E$1277,'Teacher Salary Data'!$A$2:$A$1277,$A54,'Teacher Salary Data'!$C$2:$C$1277,"Master's",'Teacher Salary Data'!$D$2:$D$1277,5)</x:f>
        <x:v>75389</x:v>
      </x:c>
      <x:c r="I54" s="52" t="n">
        <x:f>SUMIFS('Teacher Salary Data'!$E$2:$E$1277,'Teacher Salary Data'!$A$2:$A$1277,$A54,'Teacher Salary Data'!$C$2:$C$1277,"Master's",'Teacher Salary Data'!$D$2:$D$1277,10)</x:f>
        <x:v>86190</x:v>
      </x:c>
      <x:c r="J54" s="52" t="n">
        <x:f>AVERAGE(D54,G54)</x:f>
        <x:v>58400</x:v>
      </x:c>
      <x:c r="K54" s="52" t="n">
        <x:f>AVERAGE(F54,I54)</x:f>
        <x:v>76676.5</x:v>
      </x:c>
      <x:c r="L54" s="53" t="n">
        <x:f>IFERROR((K54-J54)/J54,0)</x:f>
        <x:v>0.31295376712328765</x:v>
      </x:c>
      <x:c r="M54" s="52" t="n">
        <x:f>G54-D54</x:f>
        <x:v>12366</x:v>
      </x:c>
      <x:c r="N54" s="52" t="n">
        <x:f>IFERROR(INDEX('Median Home and Rent Prices'!$D$2:$D$58,MATCH($A54,'Median Home and Rent Prices'!$A$2:$A$58,0)),0)</x:f>
        <x:v>512000</x:v>
      </x:c>
      <x:c r="O54" s="52" t="n">
        <x:f>IFERROR(INDEX('Median Home and Rent Prices'!$E$2:$E$58,MATCH($A54,'Median Home and Rent Prices'!$A$2:$A$58,0)),0)</x:f>
        <x:v>1730</x:v>
      </x:c>
      <x:c r="P54" s="2" t="n">
        <x:f>IFERROR(INDEX('School District Profiles'!$H$2:$H$58,MATCH($A54,'School District Profiles'!$A$2:$A$58,0)),0)</x:f>
        <x:v>17</x:v>
      </x:c>
      <x:c r="Q54" s="52" t="n">
        <x:f>IFERROR(INDEX('School District Profiles'!$I$2:$I$58,MATCH($A54,'School District Profiles'!$A$2:$A$58,0)),0)</x:f>
        <x:v>180</x:v>
      </x:c>
      <x:c r="R54" s="6" t="n">
        <x:f>IFERROR(MAX(0,MIN(100,(K54-50000)/(110000-50000)*100)),0)</x:f>
        <x:v>44.46083333333333</x:v>
      </x:c>
      <x:c r="S54" s="6" t="n">
        <x:f>IFERROR(MAX(0,MIN(100,L54/0.6*100)),0)</x:f>
        <x:v>52.158961187214615</x:v>
      </x:c>
      <x:c r="T54" s="6" t="n">
        <x:f>IFERROR(MAX(0,MIN(100,M54/15000*100)),0)</x:f>
        <x:v>82.44</x:v>
      </x:c>
      <x:c r="U54" s="6" t="n">
        <x:f>IFERROR(0.45*R54+0.4*S54+0.15*T54,0)</x:f>
        <x:v>53.23695947488585</x:v>
      </x:c>
      <x:c r="V54" s="6" t="n">
        <x:f>IFERROR(0.4*MAX(0,MIN(100,(((J54/12)/O54)-2)/(4-2)*100))+0.35*MAX(0,MIN(100,(8-(N54/K54))/(8-3)*100))+0.25*AB54,0)</x:f>
        <x:v>47.05867298859636</x:v>
      </x:c>
      <x:c r="W54" s="6" t="n">
        <x:f>IFERROR(MAX(0,MIN(100,(25-P54)/(25-12)*100)),0)</x:f>
        <x:v>61.53846153846154</x:v>
      </x:c>
      <x:c r="X54" s="6" t="n">
        <x:f>IFERROR(MAX(0,MIN(100,(AD54-1)/(3-1)*100))*IF(OR($A54="North Clackamas School District",$A54="Provo City School District"),0.6,1),0)</x:f>
        <x:v>54.046242774566466</x:v>
      </x:c>
      <x:c r="Y54" s="6" t="n">
        <x:f>IFERROR(MAX(0,MIN(100,(1-((IFERROR(INDEX('School District Profiles'!$D$2:$D$58,MATCH($A54,'School District Profiles'!$A$2:$A$58,0)),0)/100)^2+(IFERROR(INDEX('School District Profiles'!$E$2:$E$58,MATCH($A54,'School District Profiles'!$A$2:$A$58,0)),0)/100)^2+(IFERROR(INDEX('School District Profiles'!$F$2:$F$58,MATCH($A54,'School District Profiles'!$A$2:$A$58,0)),0)/100)^2+(IFERROR(INDEX('School District Profiles'!$G$2:$G$58,MATCH($A54,'School District Profiles'!$A$2:$A$58,0)),0)/100)^2+(AC54/100)^2))/0.8*100)),0)</x:f>
        <x:v>55.675</x:v>
      </x:c>
      <x:c r="Z54" s="6" t="n">
        <x:f>IFERROR(AF54*AG54,0)</x:f>
        <x:v>52.53835611783605</x:v>
      </x:c>
      <x:c r="AA54" s="6" t="n">
        <x:f>IFERROR(INDEX('Median Home and Rent Prices'!$F$2:$F$58,MATCH($A54,'Median Home and Rent Prices'!$A$2:$A$58,0)),0)</x:f>
        <x:v>240</x:v>
      </x:c>
      <x:c r="AB54" s="6" t="n">
        <x:f>IFERROR(MAX(0,MIN(100,(800-AA54)/(800-150)*100)),0)</x:f>
        <x:v>86.15384615384616</x:v>
      </x:c>
      <x:c r="AC54" s="2" t="n">
        <x:f>IFERROR(INDEX('School District Profiles'!$J$2:$J$58,MATCH($A54,'School District Profiles'!$A$2:$A$58,0)),0)</x:f>
        <x:v>4</x:v>
      </x:c>
      <x:c r="AD54" s="6" t="n">
        <x:f>IFERROR(Q54*20/O54,0)</x:f>
        <x:v>2.0809248554913293</x:v>
      </x:c>
      <x:c r="AE54" s="6" t="n">
        <x:f>IFERROR(IF(AG54&gt;=1,100,IF(AG54&gt;=0.95,75,IF(AG54&gt;=0.9,60,IF(AG54&gt;=0.85,40,IF(AG54&gt;=0.8,25,0))))),0)</x:f>
        <x:v>100</x:v>
      </x:c>
      <x:c r="AF54" s="6" t="n">
        <x:f>IFERROR(0.4*U54+0.3*V54+0.1*W54+0.1*X54+0.1*Y54,0)</x:f>
        <x:v>52.53835611783605</x:v>
      </x:c>
      <x:c r="AG54" s="6" t="n">
        <x:v>1</x:v>
      </x:c>
      <x:c r="AH54" s="2" t="inlineStr">
        <x:is>
          <x:t xml:space="preserve">Round 3 first-pass entry; verify exact salary placement and substitute pay with HR before final ranking.</x:t>
        </x:is>
      </x:c>
    </x:row>
    <x:row r="55" ht="58.75" customHeight="1">
      <x:c r="A55" s="2" t="inlineStr">
        <x:is>
          <x:t xml:space="preserve">Wayzata Public Schools</x:t>
        </x:is>
      </x:c>
      <x:c r="B55" s="2" t="str">
        <x:f>IFERROR(INDEX('School District Profiles'!$B$2:$B$58,MATCH($A55,'School District Profiles'!$A$2:$A$58,0)),"")</x:f>
        <x:v>MN</x:v>
      </x:c>
      <x:c r="C55" s="2" t="str">
        <x:f>IFERROR(INDEX('School District Profiles'!$C$2:$C$58,MATCH($A55,'School District Profiles'!$A$2:$A$58,0)),"")</x:f>
        <x:v>Twin Cities Suburbs</x:v>
      </x:c>
      <x:c r="D55" s="52" t="n">
        <x:f>SUMIFS('Teacher Salary Data'!$E$2:$E$1277,'Teacher Salary Data'!$A$2:$A$1277,$A55,'Teacher Salary Data'!$C$2:$C$1277,"Bachelor's",'Teacher Salary Data'!$D$2:$D$1277,0)</x:f>
        <x:v>0</x:v>
      </x:c>
      <x:c r="E55" s="52" t="n">
        <x:f>SUMIFS('Teacher Salary Data'!$E$2:$E$1277,'Teacher Salary Data'!$A$2:$A$1277,$A55,'Teacher Salary Data'!$C$2:$C$1277,"Bachelor's",'Teacher Salary Data'!$D$2:$D$1277,5)</x:f>
        <x:v>0</x:v>
      </x:c>
      <x:c r="F55" s="52" t="n">
        <x:f>SUMIFS('Teacher Salary Data'!$E$2:$E$1277,'Teacher Salary Data'!$A$2:$A$1277,$A55,'Teacher Salary Data'!$C$2:$C$1277,"Bachelor's",'Teacher Salary Data'!$D$2:$D$1277,10)</x:f>
        <x:v>0</x:v>
      </x:c>
      <x:c r="G55" s="52" t="n">
        <x:f>SUMIFS('Teacher Salary Data'!$E$2:$E$1277,'Teacher Salary Data'!$A$2:$A$1277,$A55,'Teacher Salary Data'!$C$2:$C$1277,"Master's",'Teacher Salary Data'!$D$2:$D$1277,0)</x:f>
        <x:v>0</x:v>
      </x:c>
      <x:c r="H55" s="52" t="n">
        <x:f>SUMIFS('Teacher Salary Data'!$E$2:$E$1277,'Teacher Salary Data'!$A$2:$A$1277,$A55,'Teacher Salary Data'!$C$2:$C$1277,"Master's",'Teacher Salary Data'!$D$2:$D$1277,5)</x:f>
        <x:v>0</x:v>
      </x:c>
      <x:c r="I55" s="52" t="n">
        <x:f>SUMIFS('Teacher Salary Data'!$E$2:$E$1277,'Teacher Salary Data'!$A$2:$A$1277,$A55,'Teacher Salary Data'!$C$2:$C$1277,"Master's",'Teacher Salary Data'!$D$2:$D$1277,10)</x:f>
        <x:v>0</x:v>
      </x:c>
      <x:c r="J55" s="52" t="n">
        <x:f>AVERAGE(D55,G55)</x:f>
        <x:v>0</x:v>
      </x:c>
      <x:c r="K55" s="52" t="n">
        <x:f>AVERAGE(F55,I55)</x:f>
        <x:v>0</x:v>
      </x:c>
      <x:c r="L55" s="53" t="n">
        <x:f>IFERROR((K55-J55)/J55,0)</x:f>
        <x:v>0</x:v>
      </x:c>
      <x:c r="M55" s="52" t="n">
        <x:f>G55-D55</x:f>
        <x:v>0</x:v>
      </x:c>
      <x:c r="N55" s="52" t="n">
        <x:f>IFERROR(INDEX('Median Home and Rent Prices'!$D$2:$D$58,MATCH($A55,'Median Home and Rent Prices'!$A$2:$A$58,0)),0)</x:f>
        <x:v>580000</x:v>
      </x:c>
      <x:c r="O55" s="52" t="n">
        <x:f>IFERROR(INDEX('Median Home and Rent Prices'!$E$2:$E$58,MATCH($A55,'Median Home and Rent Prices'!$A$2:$A$58,0)),0)</x:f>
        <x:v>1850</x:v>
      </x:c>
      <x:c r="P55" s="2" t="n">
        <x:f>IFERROR(INDEX('School District Profiles'!$H$2:$H$58,MATCH($A55,'School District Profiles'!$A$2:$A$58,0)),0)</x:f>
        <x:v>17</x:v>
      </x:c>
      <x:c r="Q55" s="52" t="n">
        <x:f>IFERROR(INDEX('School District Profiles'!$I$2:$I$58,MATCH($A55,'School District Profiles'!$A$2:$A$58,0)),0)</x:f>
        <x:v>165</x:v>
      </x:c>
      <x:c r="R55" s="6" t="n">
        <x:f>IFERROR(MAX(0,MIN(100,(K55-50000)/(110000-50000)*100)),0)</x:f>
        <x:v>0</x:v>
      </x:c>
      <x:c r="S55" s="6" t="n">
        <x:f>IFERROR(MAX(0,MIN(100,L55/0.6*100)),0)</x:f>
        <x:v>0</x:v>
      </x:c>
      <x:c r="T55" s="6" t="n">
        <x:f>IFERROR(MAX(0,MIN(100,M55/15000*100)),0)</x:f>
        <x:v>0</x:v>
      </x:c>
      <x:c r="U55" s="6" t="n">
        <x:f>IFERROR(0.45*R55+0.4*S55+0.15*T55,0)</x:f>
        <x:v>0</x:v>
      </x:c>
      <x:c r="V55" s="6" t="n">
        <x:f>IFERROR(0.4*MAX(0,MIN(100,(((J55/12)/O55)-2)/(4-2)*100))+0.35*MAX(0,MIN(100,(8-(N55/K55))/(8-3)*100))+0.25*AB55,0)</x:f>
        <x:v>0</x:v>
      </x:c>
      <x:c r="W55" s="6" t="n">
        <x:f>IFERROR(MAX(0,MIN(100,(25-P55)/(25-12)*100)),0)</x:f>
        <x:v>61.53846153846154</x:v>
      </x:c>
      <x:c r="X55" s="6" t="n">
        <x:f>IFERROR(MAX(0,MIN(100,(AD55-1)/(3-1)*100))*IF(OR($A55="North Clackamas School District",$A55="Provo City School District"),0.6,1),0)</x:f>
        <x:v>39.189189189189186</x:v>
      </x:c>
      <x:c r="Y55" s="6" t="n">
        <x:f>IFERROR(MAX(0,MIN(100,(1-((IFERROR(INDEX('School District Profiles'!$D$2:$D$58,MATCH($A55,'School District Profiles'!$A$2:$A$58,0)),0)/100)^2+(IFERROR(INDEX('School District Profiles'!$E$2:$E$58,MATCH($A55,'School District Profiles'!$A$2:$A$58,0)),0)/100)^2+(IFERROR(INDEX('School District Profiles'!$F$2:$F$58,MATCH($A55,'School District Profiles'!$A$2:$A$58,0)),0)/100)^2+(IFERROR(INDEX('School District Profiles'!$G$2:$G$58,MATCH($A55,'School District Profiles'!$A$2:$A$58,0)),0)/100)^2+(AC55/100)^2))/0.8*100)),0)</x:f>
        <x:v>67.87499999999999</x:v>
      </x:c>
      <x:c r="Z55" s="6" t="n">
        <x:f>IFERROR(AF55*AG55,0)</x:f>
        <x:v>16.86026507276507</x:v>
      </x:c>
      <x:c r="AA55" s="6" t="n">
        <x:f>IFERROR(INDEX('Median Home and Rent Prices'!$F$2:$F$58,MATCH($A55,'Median Home and Rent Prices'!$A$2:$A$58,0)),0)</x:f>
        <x:v>250</x:v>
      </x:c>
      <x:c r="AB55" s="6" t="n">
        <x:f>IFERROR(MAX(0,MIN(100,(800-AA55)/(800-150)*100)),0)</x:f>
        <x:v>84.61538461538461</x:v>
      </x:c>
      <x:c r="AC55" s="2" t="n">
        <x:f>IFERROR(INDEX('School District Profiles'!$J$2:$J$58,MATCH($A55,'School District Profiles'!$A$2:$A$58,0)),0)</x:f>
        <x:v>4</x:v>
      </x:c>
      <x:c r="AD55" s="6" t="n">
        <x:f>IFERROR(Q55*20/O55,0)</x:f>
        <x:v>1.7837837837837838</x:v>
      </x:c>
      <x:c r="AE55" s="6" t="n">
        <x:f>IFERROR(IF(AG55&gt;=1,100,IF(AG55&gt;=0.95,75,IF(AG55&gt;=0.9,60,IF(AG55&gt;=0.85,40,IF(AG55&gt;=0.8,25,0))))),0)</x:f>
        <x:v>100</x:v>
      </x:c>
      <x:c r="AF55" s="6" t="n">
        <x:f>IFERROR(0.4*U55+0.3*V55+0.1*W55+0.1*X55+0.1*Y55,0)</x:f>
        <x:v>16.86026507276507</x:v>
      </x:c>
      <x:c r="AG55" s="6" t="n">
        <x:v>1</x:v>
      </x:c>
      <x:c r="AH55" s="2" t="inlineStr">
        <x:is>
          <x:t xml:space="preserve">Round 3 first-pass entry; Wayzata reserve-teacher pay found; salary schedule estimated pending official lane/step table.</x:t>
        </x:is>
      </x:c>
    </x:row>
    <x:row r="56" ht="58.75" customHeight="1">
      <x:c r="A56" s="2" t="inlineStr">
        <x:is>
          <x:t xml:space="preserve">Rosemount-Apple Valley-Eagan ISD 196</x:t>
        </x:is>
      </x:c>
      <x:c r="B56" s="2" t="str">
        <x:f>IFERROR(INDEX('School District Profiles'!$B$2:$B$58,MATCH($A56,'School District Profiles'!$A$2:$A$58,0)),"")</x:f>
        <x:v>MN</x:v>
      </x:c>
      <x:c r="C56" s="2" t="str">
        <x:f>IFERROR(INDEX('School District Profiles'!$C$2:$C$58,MATCH($A56,'School District Profiles'!$A$2:$A$58,0)),"")</x:f>
        <x:v>Twin Cities Suburbs</x:v>
      </x:c>
      <x:c r="D56" s="52" t="n">
        <x:f>SUMIFS('Teacher Salary Data'!$E$2:$E$1277,'Teacher Salary Data'!$A$2:$A$1277,$A56,'Teacher Salary Data'!$C$2:$C$1277,"Bachelor's",'Teacher Salary Data'!$D$2:$D$1277,0)</x:f>
        <x:v>51322</x:v>
      </x:c>
      <x:c r="E56" s="52" t="n">
        <x:f>SUMIFS('Teacher Salary Data'!$E$2:$E$1277,'Teacher Salary Data'!$A$2:$A$1277,$A56,'Teacher Salary Data'!$C$2:$C$1277,"Bachelor's",'Teacher Salary Data'!$D$2:$D$1277,5)</x:f>
        <x:v>63680</x:v>
      </x:c>
      <x:c r="F56" s="52" t="n">
        <x:f>SUMIFS('Teacher Salary Data'!$E$2:$E$1277,'Teacher Salary Data'!$A$2:$A$1277,$A56,'Teacher Salary Data'!$C$2:$C$1277,"Bachelor's",'Teacher Salary Data'!$D$2:$D$1277,10)</x:f>
        <x:v>87104</x:v>
      </x:c>
      <x:c r="G56" s="52" t="n">
        <x:f>SUMIFS('Teacher Salary Data'!$E$2:$E$1277,'Teacher Salary Data'!$A$2:$A$1277,$A56,'Teacher Salary Data'!$C$2:$C$1277,"Master's",'Teacher Salary Data'!$D$2:$D$1277,0)</x:f>
        <x:v>54157</x:v>
      </x:c>
      <x:c r="H56" s="52" t="n">
        <x:f>SUMIFS('Teacher Salary Data'!$E$2:$E$1277,'Teacher Salary Data'!$A$2:$A$1277,$A56,'Teacher Salary Data'!$C$2:$C$1277,"Master's",'Teacher Salary Data'!$D$2:$D$1277,5)</x:f>
        <x:v>72068</x:v>
      </x:c>
      <x:c r="I56" s="52" t="n">
        <x:f>SUMIFS('Teacher Salary Data'!$E$2:$E$1277,'Teacher Salary Data'!$A$2:$A$1277,$A56,'Teacher Salary Data'!$C$2:$C$1277,"Master's",'Teacher Salary Data'!$D$2:$D$1277,10)</x:f>
        <x:v>92502</x:v>
      </x:c>
      <x:c r="J56" s="52" t="n">
        <x:f>AVERAGE(D56,G56)</x:f>
        <x:v>52739.5</x:v>
      </x:c>
      <x:c r="K56" s="52" t="n">
        <x:f>AVERAGE(F56,I56)</x:f>
        <x:v>89803</x:v>
      </x:c>
      <x:c r="L56" s="53" t="n">
        <x:f>IFERROR((K56-J56)/J56,0)</x:f>
        <x:v>0.702765479384522</x:v>
      </x:c>
      <x:c r="M56" s="52" t="n">
        <x:f>G56-D56</x:f>
        <x:v>2835</x:v>
      </x:c>
      <x:c r="N56" s="52" t="n">
        <x:f>IFERROR(INDEX('Median Home and Rent Prices'!$D$2:$D$58,MATCH($A56,'Median Home and Rent Prices'!$A$2:$A$58,0)),0)</x:f>
        <x:v>435000</x:v>
      </x:c>
      <x:c r="O56" s="52" t="n">
        <x:f>IFERROR(INDEX('Median Home and Rent Prices'!$E$2:$E$58,MATCH($A56,'Median Home and Rent Prices'!$A$2:$A$58,0)),0)</x:f>
        <x:v>1700</x:v>
      </x:c>
      <x:c r="P56" s="2" t="n">
        <x:f>IFERROR(INDEX('School District Profiles'!$H$2:$H$58,MATCH($A56,'School District Profiles'!$A$2:$A$58,0)),0)</x:f>
        <x:v>15</x:v>
      </x:c>
      <x:c r="Q56" s="52" t="n">
        <x:f>IFERROR(INDEX('School District Profiles'!$I$2:$I$58,MATCH($A56,'School District Profiles'!$A$2:$A$58,0)),0)</x:f>
        <x:v>180</x:v>
      </x:c>
      <x:c r="R56" s="6" t="n">
        <x:f>IFERROR(MAX(0,MIN(100,(K56-50000)/(110000-50000)*100)),0)</x:f>
        <x:v>66.33833333333334</x:v>
      </x:c>
      <x:c r="S56" s="6" t="n">
        <x:f>IFERROR(MAX(0,MIN(100,L56/0.6*100)),0)</x:f>
        <x:v>100</x:v>
      </x:c>
      <x:c r="T56" s="6" t="n">
        <x:f>IFERROR(MAX(0,MIN(100,M56/15000*100)),0)</x:f>
        <x:v>18.9</x:v>
      </x:c>
      <x:c r="U56" s="6" t="n">
        <x:f>IFERROR(0.45*R56+0.4*S56+0.15*T56,0)</x:f>
        <x:v>72.68724999999999</x:v>
      </x:c>
      <x:c r="V56" s="6" t="n">
        <x:f>IFERROR(0.4*MAX(0,MIN(100,(((J56/12)/O56)-2)/(4-2)*100))+0.35*MAX(0,MIN(100,(8-(N56/K56))/(8-3)*100))+0.25*AB56,0)</x:f>
        <x:v>56.297838957081</x:v>
      </x:c>
      <x:c r="W56" s="6" t="n">
        <x:f>IFERROR(MAX(0,MIN(100,(25-P56)/(25-12)*100)),0)</x:f>
        <x:v>76.92307692307693</x:v>
      </x:c>
      <x:c r="X56" s="6" t="n">
        <x:f>IFERROR(MAX(0,MIN(100,(AD56-1)/(3-1)*100))*IF(OR($A56="North Clackamas School District",$A56="Provo City School District"),0.6,1),0)</x:f>
        <x:v>55.88235294117647</x:v>
      </x:c>
      <x:c r="Y56" s="6" t="n">
        <x:f>IFERROR(MAX(0,MIN(100,(1-((IFERROR(INDEX('School District Profiles'!$D$2:$D$58,MATCH($A56,'School District Profiles'!$A$2:$A$58,0)),0)/100)^2+(IFERROR(INDEX('School District Profiles'!$E$2:$E$58,MATCH($A56,'School District Profiles'!$A$2:$A$58,0)),0)/100)^2+(IFERROR(INDEX('School District Profiles'!$F$2:$F$58,MATCH($A56,'School District Profiles'!$A$2:$A$58,0)),0)/100)^2+(IFERROR(INDEX('School District Profiles'!$G$2:$G$58,MATCH($A56,'School District Profiles'!$A$2:$A$58,0)),0)/100)^2+(AC56/100)^2))/0.8*100)),0)</x:f>
        <x:v>81.57499999999997</x:v>
      </x:c>
      <x:c r="Z56" s="6" t="n">
        <x:f>IFERROR(AF56*AG56,0)</x:f>
        <x:v>67.40229467354963</x:v>
      </x:c>
      <x:c r="AA56" s="6" t="n">
        <x:f>IFERROR(INDEX('Median Home and Rent Prices'!$F$2:$F$58,MATCH($A56,'Median Home and Rent Prices'!$A$2:$A$58,0)),0)</x:f>
        <x:v>215</x:v>
      </x:c>
      <x:c r="AB56" s="6" t="n">
        <x:f>IFERROR(MAX(0,MIN(100,(800-AA56)/(800-150)*100)),0)</x:f>
        <x:v>90</x:v>
      </x:c>
      <x:c r="AC56" s="2" t="n">
        <x:f>IFERROR(INDEX('School District Profiles'!$J$2:$J$58,MATCH($A56,'School District Profiles'!$A$2:$A$58,0)),0)</x:f>
        <x:v>7</x:v>
      </x:c>
      <x:c r="AD56" s="6" t="n">
        <x:f>IFERROR(Q56*20/O56,0)</x:f>
        <x:v>2.1176470588235294</x:v>
      </x:c>
      <x:c r="AE56" s="6" t="n">
        <x:f>IFERROR(IF(AG56&gt;=1,100,IF(AG56&gt;=0.95,75,IF(AG56&gt;=0.9,60,IF(AG56&gt;=0.85,40,IF(AG56&gt;=0.8,25,0))))),0)</x:f>
        <x:v>100</x:v>
      </x:c>
      <x:c r="AF56" s="6" t="n">
        <x:f>IFERROR(0.4*U56+0.3*V56+0.1*W56+0.1*X56+0.1*Y56,0)</x:f>
        <x:v>67.40229467354963</x:v>
      </x:c>
      <x:c r="AG56" s="6" t="n">
        <x:v>1</x:v>
      </x:c>
      <x:c r="AH56" s="2" t="inlineStr">
        <x:is>
          <x:t xml:space="preserve">Round 3 first-pass entry; ISD 196 has negotiated placement discretion / higher-step blanks, so verify BA/MA comparisons with HR.</x:t>
        </x:is>
      </x:c>
    </x:row>
    <x:row r="57" ht="58.75" customHeight="1">
      <x:c r="A57" s="2" t="inlineStr">
        <x:is>
          <x:t xml:space="preserve">Edina Public Schools</x:t>
        </x:is>
      </x:c>
      <x:c r="B57" s="2" t="str">
        <x:f>IFERROR(INDEX('School District Profiles'!$B$2:$B$58,MATCH($A57,'School District Profiles'!$A$2:$A$58,0)),"")</x:f>
        <x:v>MN</x:v>
      </x:c>
      <x:c r="C57" s="2" t="str">
        <x:f>IFERROR(INDEX('School District Profiles'!$C$2:$C$58,MATCH($A57,'School District Profiles'!$A$2:$A$58,0)),"")</x:f>
        <x:v>Twin Cities Suburbs</x:v>
      </x:c>
      <x:c r="D57" s="52" t="n">
        <x:f>SUMIFS('Teacher Salary Data'!$E$2:$E$1277,'Teacher Salary Data'!$A$2:$A$1277,$A57,'Teacher Salary Data'!$C$2:$C$1277,"Bachelor's",'Teacher Salary Data'!$D$2:$D$1277,0)</x:f>
        <x:v>51384</x:v>
      </x:c>
      <x:c r="E57" s="52" t="n">
        <x:f>SUMIFS('Teacher Salary Data'!$E$2:$E$1277,'Teacher Salary Data'!$A$2:$A$1277,$A57,'Teacher Salary Data'!$C$2:$C$1277,"Bachelor's",'Teacher Salary Data'!$D$2:$D$1277,5)</x:f>
        <x:v>57050</x:v>
      </x:c>
      <x:c r="F57" s="52" t="n">
        <x:f>SUMIFS('Teacher Salary Data'!$E$2:$E$1277,'Teacher Salary Data'!$A$2:$A$1277,$A57,'Teacher Salary Data'!$C$2:$C$1277,"Bachelor's",'Teacher Salary Data'!$D$2:$D$1277,10)</x:f>
        <x:v>62962</x:v>
      </x:c>
      <x:c r="G57" s="52" t="n">
        <x:f>SUMIFS('Teacher Salary Data'!$E$2:$E$1277,'Teacher Salary Data'!$A$2:$A$1277,$A57,'Teacher Salary Data'!$C$2:$C$1277,"Master's",'Teacher Salary Data'!$D$2:$D$1277,0)</x:f>
        <x:v>59903</x:v>
      </x:c>
      <x:c r="H57" s="52" t="n">
        <x:f>SUMIFS('Teacher Salary Data'!$E$2:$E$1277,'Teacher Salary Data'!$A$2:$A$1277,$A57,'Teacher Salary Data'!$C$2:$C$1277,"Master's",'Teacher Salary Data'!$D$2:$D$1277,5)</x:f>
        <x:v>69525</x:v>
      </x:c>
      <x:c r="I57" s="52" t="n">
        <x:f>SUMIFS('Teacher Salary Data'!$E$2:$E$1277,'Teacher Salary Data'!$A$2:$A$1277,$A57,'Teacher Salary Data'!$C$2:$C$1277,"Master's",'Teacher Salary Data'!$D$2:$D$1277,10)</x:f>
        <x:v>79146</x:v>
      </x:c>
      <x:c r="J57" s="52" t="n">
        <x:f>AVERAGE(D57,G57)</x:f>
        <x:v>55643.5</x:v>
      </x:c>
      <x:c r="K57" s="52" t="n">
        <x:f>AVERAGE(F57,I57)</x:f>
        <x:v>71054</x:v>
      </x:c>
      <x:c r="L57" s="53" t="n">
        <x:f>IFERROR((K57-J57)/J57,0)</x:f>
        <x:v>0.27695058722043003</x:v>
      </x:c>
      <x:c r="M57" s="52" t="n">
        <x:f>G57-D57</x:f>
        <x:v>8519</x:v>
      </x:c>
      <x:c r="N57" s="52" t="n">
        <x:f>IFERROR(INDEX('Median Home and Rent Prices'!$D$2:$D$58,MATCH($A57,'Median Home and Rent Prices'!$A$2:$A$58,0)),0)</x:f>
        <x:v>650000</x:v>
      </x:c>
      <x:c r="O57" s="52" t="n">
        <x:f>IFERROR(INDEX('Median Home and Rent Prices'!$E$2:$E$58,MATCH($A57,'Median Home and Rent Prices'!$A$2:$A$58,0)),0)</x:f>
        <x:v>2000</x:v>
      </x:c>
      <x:c r="P57" s="2" t="n">
        <x:f>IFERROR(INDEX('School District Profiles'!$H$2:$H$58,MATCH($A57,'School District Profiles'!$A$2:$A$58,0)),0)</x:f>
        <x:v>16.5</x:v>
      </x:c>
      <x:c r="Q57" s="52" t="n">
        <x:f>IFERROR(INDEX('School District Profiles'!$I$2:$I$58,MATCH($A57,'School District Profiles'!$A$2:$A$58,0)),0)</x:f>
        <x:v>170</x:v>
      </x:c>
      <x:c r="R57" s="6" t="n">
        <x:f>IFERROR(MAX(0,MIN(100,(K57-50000)/(110000-50000)*100)),0)</x:f>
        <x:v>35.089999999999996</x:v>
      </x:c>
      <x:c r="S57" s="6" t="n">
        <x:f>IFERROR(MAX(0,MIN(100,L57/0.6*100)),0)</x:f>
        <x:v>46.15843120340501</x:v>
      </x:c>
      <x:c r="T57" s="6" t="n">
        <x:f>IFERROR(MAX(0,MIN(100,M57/15000*100)),0)</x:f>
        <x:v>56.79333333333333</x:v>
      </x:c>
      <x:c r="U57" s="6" t="n">
        <x:f>IFERROR(0.45*R57+0.4*S57+0.15*T57,0)</x:f>
        <x:v>42.772872481362</x:v>
      </x:c>
      <x:c r="V57" s="6" t="n">
        <x:f>IFERROR(0.4*MAX(0,MIN(100,(((J57/12)/O57)-2)/(4-2)*100))+0.35*MAX(0,MIN(100,(8-(N57/K57))/(8-3)*100))+0.25*AB57,0)</x:f>
        <x:v>26.561891025641025</x:v>
      </x:c>
      <x:c r="W57" s="6" t="n">
        <x:f>IFERROR(MAX(0,MIN(100,(25-P57)/(25-12)*100)),0)</x:f>
        <x:v>65.38461538461539</x:v>
      </x:c>
      <x:c r="X57" s="6" t="n">
        <x:f>IFERROR(MAX(0,MIN(100,(AD57-1)/(3-1)*100))*IF(OR($A57="North Clackamas School District",$A57="Provo City School District"),0.6,1),0)</x:f>
        <x:v>35</x:v>
      </x:c>
      <x:c r="Y57" s="6" t="n">
        <x:f>IFERROR(MAX(0,MIN(100,(1-((IFERROR(INDEX('School District Profiles'!$D$2:$D$58,MATCH($A57,'School District Profiles'!$A$2:$A$58,0)),0)/100)^2+(IFERROR(INDEX('School District Profiles'!$E$2:$E$58,MATCH($A57,'School District Profiles'!$A$2:$A$58,0)),0)/100)^2+(IFERROR(INDEX('School District Profiles'!$F$2:$F$58,MATCH($A57,'School District Profiles'!$A$2:$A$58,0)),0)/100)^2+(IFERROR(INDEX('School District Profiles'!$G$2:$G$58,MATCH($A57,'School District Profiles'!$A$2:$A$58,0)),0)/100)^2+(AC57/100)^2))/0.8*100)),0)</x:f>
        <x:v>60.175</x:v>
      </x:c>
      <x:c r="Z57" s="6" t="n">
        <x:f>IFERROR(AF57*AG57,0)</x:f>
        <x:v>41.133677838698645</x:v>
      </x:c>
      <x:c r="AA57" s="6" t="n">
        <x:f>IFERROR(INDEX('Median Home and Rent Prices'!$F$2:$F$58,MATCH($A57,'Median Home and Rent Prices'!$A$2:$A$58,0)),0)</x:f>
        <x:v>275</x:v>
      </x:c>
      <x:c r="AB57" s="6" t="n">
        <x:f>IFERROR(MAX(0,MIN(100,(800-AA57)/(800-150)*100)),0)</x:f>
        <x:v>80.76923076923077</x:v>
      </x:c>
      <x:c r="AC57" s="2" t="n">
        <x:f>IFERROR(INDEX('School District Profiles'!$J$2:$J$58,MATCH($A57,'School District Profiles'!$A$2:$A$58,0)),0)</x:f>
        <x:v>4</x:v>
      </x:c>
      <x:c r="AD57" s="6" t="n">
        <x:f>IFERROR(Q57*20/O57,0)</x:f>
        <x:v>1.7</x:v>
      </x:c>
      <x:c r="AE57" s="6" t="n">
        <x:f>IFERROR(IF(AG57&gt;=1,100,IF(AG57&gt;=0.95,75,IF(AG57&gt;=0.9,60,IF(AG57&gt;=0.85,40,IF(AG57&gt;=0.8,25,0))))),0)</x:f>
        <x:v>100</x:v>
      </x:c>
      <x:c r="AF57" s="6" t="n">
        <x:f>IFERROR(0.4*U57+0.3*V57+0.1*W57+0.1*X57+0.1*Y57,0)</x:f>
        <x:v>41.133677838698645</x:v>
      </x:c>
      <x:c r="AG57" s="6" t="n">
        <x:v>1</x:v>
      </x:c>
      <x:c r="AH57" s="2" t="inlineStr">
        <x:is>
          <x:t xml:space="preserve">Round 3 first-pass entry; Edina uses Kelly Education for substitutes, so daily sub rate is estimated pending verification.</x:t>
        </x:is>
      </x:c>
    </x:row>
    <x:row r="58" ht="58.75" customHeight="1">
      <x:c r="A58" s="2" t="inlineStr">
        <x:is>
          <x:t xml:space="preserve">New Trier Township High School District 203</x:t>
        </x:is>
      </x:c>
      <x:c r="B58" s="2" t="str">
        <x:f>IFERROR(INDEX('School District Profiles'!$B$2:$B$58,MATCH($A58,'School District Profiles'!$A$2:$A$58,0)),"")</x:f>
        <x:v>IL</x:v>
      </x:c>
      <x:c r="C58" s="2" t="str">
        <x:f>IFERROR(INDEX('School District Profiles'!$C$2:$C$58,MATCH($A58,'School District Profiles'!$A$2:$A$58,0)),"")</x:f>
        <x:v>Chicago North Shore</x:v>
      </x:c>
      <x:c r="D58" s="52" t="n">
        <x:f>SUMIFS('Teacher Salary Data'!$E$2:$E$1277,'Teacher Salary Data'!$A$2:$A$1277,$A58,'Teacher Salary Data'!$C$2:$C$1277,"Bachelor's",'Teacher Salary Data'!$D$2:$D$1277,0)</x:f>
        <x:v>75000</x:v>
      </x:c>
      <x:c r="E58" s="52" t="n">
        <x:f>SUMIFS('Teacher Salary Data'!$E$2:$E$1277,'Teacher Salary Data'!$A$2:$A$1277,$A58,'Teacher Salary Data'!$C$2:$C$1277,"Bachelor's",'Teacher Salary Data'!$D$2:$D$1277,5)</x:f>
        <x:v>90000</x:v>
      </x:c>
      <x:c r="F58" s="52" t="n">
        <x:f>SUMIFS('Teacher Salary Data'!$E$2:$E$1277,'Teacher Salary Data'!$A$2:$A$1277,$A58,'Teacher Salary Data'!$C$2:$C$1277,"Bachelor's",'Teacher Salary Data'!$D$2:$D$1277,10)</x:f>
        <x:v>115000</x:v>
      </x:c>
      <x:c r="G58" s="52" t="n">
        <x:f>SUMIFS('Teacher Salary Data'!$E$2:$E$1277,'Teacher Salary Data'!$A$2:$A$1277,$A58,'Teacher Salary Data'!$C$2:$C$1277,"Master's",'Teacher Salary Data'!$D$2:$D$1277,0)</x:f>
        <x:v>86000</x:v>
      </x:c>
      <x:c r="H58" s="52" t="n">
        <x:f>SUMIFS('Teacher Salary Data'!$E$2:$E$1277,'Teacher Salary Data'!$A$2:$A$1277,$A58,'Teacher Salary Data'!$C$2:$C$1277,"Master's",'Teacher Salary Data'!$D$2:$D$1277,5)</x:f>
        <x:v>105000</x:v>
      </x:c>
      <x:c r="I58" s="52" t="n">
        <x:f>SUMIFS('Teacher Salary Data'!$E$2:$E$1277,'Teacher Salary Data'!$A$2:$A$1277,$A58,'Teacher Salary Data'!$C$2:$C$1277,"Master's",'Teacher Salary Data'!$D$2:$D$1277,10)</x:f>
        <x:v>130000</x:v>
      </x:c>
      <x:c r="J58" s="52" t="n">
        <x:f>AVERAGE(D58,G58)</x:f>
        <x:v>80500</x:v>
      </x:c>
      <x:c r="K58" s="52" t="n">
        <x:f>AVERAGE(F58,I58)</x:f>
        <x:v>122500</x:v>
      </x:c>
      <x:c r="L58" s="53" t="n">
        <x:f>IFERROR((K58-J58)/J58,0)</x:f>
        <x:v>0.5217391304347826</x:v>
      </x:c>
      <x:c r="M58" s="52" t="n">
        <x:f>G58-D58</x:f>
        <x:v>11000</x:v>
      </x:c>
      <x:c r="N58" s="52" t="n">
        <x:f>IFERROR(INDEX('Median Home and Rent Prices'!$D$2:$D$58,MATCH($A58,'Median Home and Rent Prices'!$A$2:$A$58,0)),0)</x:f>
        <x:v>1600000</x:v>
      </x:c>
      <x:c r="O58" s="52" t="n">
        <x:f>IFERROR(INDEX('Median Home and Rent Prices'!$E$2:$E$58,MATCH($A58,'Median Home and Rent Prices'!$A$2:$A$58,0)),0)</x:f>
        <x:v>3300</x:v>
      </x:c>
      <x:c r="P58" s="2" t="n">
        <x:f>IFERROR(INDEX('School District Profiles'!$H$2:$H$58,MATCH($A58,'School District Profiles'!$A$2:$A$58,0)),0)</x:f>
        <x:v>12</x:v>
      </x:c>
      <x:c r="Q58" s="52" t="n">
        <x:f>IFERROR(INDEX('School District Profiles'!$I$2:$I$58,MATCH($A58,'School District Profiles'!$A$2:$A$58,0)),0)</x:f>
        <x:v>147</x:v>
      </x:c>
      <x:c r="R58" s="6" t="n">
        <x:f>IFERROR(MAX(0,MIN(100,(K58-50000)/(110000-50000)*100)),0)</x:f>
        <x:v>100</x:v>
      </x:c>
      <x:c r="S58" s="6" t="n">
        <x:f>IFERROR(MAX(0,MIN(100,L58/0.6*100)),0)</x:f>
        <x:v>86.95652173913044</x:v>
      </x:c>
      <x:c r="T58" s="6" t="n">
        <x:f>IFERROR(MAX(0,MIN(100,M58/15000*100)),0)</x:f>
        <x:v>73.33333333333333</x:v>
      </x:c>
      <x:c r="U58" s="6" t="n">
        <x:f>IFERROR(0.45*R58+0.4*S58+0.15*T58,0)</x:f>
        <x:v>90.78260869565219</x:v>
      </x:c>
      <x:c r="V58" s="6" t="n">
        <x:f>IFERROR(0.4*MAX(0,MIN(100,(((J58/12)/O58)-2)/(4-2)*100))+0.35*MAX(0,MIN(100,(8-(N58/K58))/(8-3)*100))+0.25*AB58,0)</x:f>
        <x:v>12.195027195027196</x:v>
      </x:c>
      <x:c r="W58" s="6" t="n">
        <x:f>IFERROR(MAX(0,MIN(100,(25-P58)/(25-12)*100)),0)</x:f>
        <x:v>100</x:v>
      </x:c>
      <x:c r="X58" s="6" t="n">
        <x:f>IFERROR(MAX(0,MIN(100,(AD58-1)/(3-1)*100))*IF(OR($A58="North Clackamas School District",$A58="Provo City School District"),0.6,1),0)</x:f>
        <x:v>0</x:v>
      </x:c>
      <x:c r="Y58" s="6" t="n">
        <x:f>IFERROR(MAX(0,MIN(100,(1-((IFERROR(INDEX('School District Profiles'!$D$2:$D$58,MATCH($A58,'School District Profiles'!$A$2:$A$58,0)),0)/100)^2+(IFERROR(INDEX('School District Profiles'!$E$2:$E$58,MATCH($A58,'School District Profiles'!$A$2:$A$58,0)),0)/100)^2+(IFERROR(INDEX('School District Profiles'!$F$2:$F$58,MATCH($A58,'School District Profiles'!$A$2:$A$58,0)),0)/100)^2+(IFERROR(INDEX('School District Profiles'!$G$2:$G$58,MATCH($A58,'School District Profiles'!$A$2:$A$58,0)),0)/100)^2+(AC58/100)^2))/0.8*100)),0)</x:f>
        <x:v>63.37499999999998</x:v>
      </x:c>
      <x:c r="Z58" s="6" t="n">
        <x:f>IFERROR(AF58*AG58,0)</x:f>
        <x:v>56.30905163676903</x:v>
      </x:c>
      <x:c r="AA58" s="6" t="n">
        <x:f>IFERROR(INDEX('Median Home and Rent Prices'!$F$2:$F$58,MATCH($A58,'Median Home and Rent Prices'!$A$2:$A$58,0)),0)</x:f>
        <x:v>500</x:v>
      </x:c>
      <x:c r="AB58" s="6" t="n">
        <x:f>IFERROR(MAX(0,MIN(100,(800-AA58)/(800-150)*100)),0)</x:f>
        <x:v>46.15384615384615</x:v>
      </x:c>
      <x:c r="AC58" s="2" t="n">
        <x:f>IFERROR(INDEX('School District Profiles'!$J$2:$J$58,MATCH($A58,'School District Profiles'!$A$2:$A$58,0)),0)</x:f>
        <x:v>8</x:v>
      </x:c>
      <x:c r="AD58" s="6" t="n">
        <x:f>IFERROR(Q58*20/O58,0)</x:f>
        <x:v>0.8909090909090909</x:v>
      </x:c>
      <x:c r="AE58" s="6" t="n">
        <x:f>IFERROR(IF(AG58&gt;=1,100,IF(AG58&gt;=0.95,75,IF(AG58&gt;=0.9,60,IF(AG58&gt;=0.85,40,IF(AG58&gt;=0.8,25,0))))),0)</x:f>
        <x:v>100</x:v>
      </x:c>
      <x:c r="AF58" s="6" t="n">
        <x:f>IFERROR(0.4*U58+0.3*V58+0.1*W58+0.1*X58+0.1*Y58,0)</x:f>
        <x:v>56.30905163676903</x:v>
      </x:c>
      <x:c r="AG58" s="6" t="n">
        <x:v>1</x:v>
      </x:c>
      <x:c r="AH58" s="2" t="inlineStr">
        <x:is>
          <x:t xml:space="preserve">Round 3 first-pass entry; New Trier salary lane is estimated and housing affordability is very high-cost.</x:t>
        </x:is>
      </x:c>
    </x:row>
    <x:row r="59">
      <x:c r="A59" t="inlineStr">
        <x:is>
          <x:t xml:space="preserve">Tahoe-Truckee Unified School District</x:t>
        </x:is>
      </x:c>
      <x:c r="B59" t="str">
        <x:f>IFERROR(INDEX('School District Profiles'!$B$2:$B$59,MATCH($A59,'School District Profiles'!$A$2:$A$59,0)),"")</x:f>
        <x:v>CA</x:v>
      </x:c>
      <x:c r="C59" t="str">
        <x:f>IFERROR(INDEX('School District Profiles'!$C$2:$C$59,MATCH($A59,'School District Profiles'!$A$2:$A$59,0)),"")</x:f>
        <x:v>Northern California</x:v>
      </x:c>
      <x:c r="D59" t="n">
        <x:f>SUMIFS('Teacher Salary Data'!$E$2:$E$1299,'Teacher Salary Data'!$A$2:$A$1299,$A59,'Teacher Salary Data'!$C$2:$C$1299,"Bachelor's",'Teacher Salary Data'!$D$2:$D$1299,0)</x:f>
        <x:v>71086</x:v>
      </x:c>
      <x:c r="E59" t="n">
        <x:f>SUMIFS('Teacher Salary Data'!$E$2:$E$1299,'Teacher Salary Data'!$A$2:$A$1299,$A59,'Teacher Salary Data'!$C$2:$C$1299,"Bachelor's",'Teacher Salary Data'!$D$2:$D$1299,5)</x:f>
        <x:v>85931</x:v>
      </x:c>
      <x:c r="F59" t="n">
        <x:f>SUMIFS('Teacher Salary Data'!$E$2:$E$1299,'Teacher Salary Data'!$A$2:$A$1299,$A59,'Teacher Salary Data'!$C$2:$C$1299,"Bachelor's",'Teacher Salary Data'!$D$2:$D$1299,10)</x:f>
        <x:v>85931</x:v>
      </x:c>
      <x:c r="G59" t="n">
        <x:f>SUMIFS('Teacher Salary Data'!$E$2:$E$1299,'Teacher Salary Data'!$A$2:$A$1299,$A59,'Teacher Salary Data'!$C$2:$C$1299,"Master's",'Teacher Salary Data'!$D$2:$D$1299,0)</x:f>
        <x:v>72086</x:v>
      </x:c>
      <x:c r="H59" t="n">
        <x:f>SUMIFS('Teacher Salary Data'!$E$2:$E$1299,'Teacher Salary Data'!$A$2:$A$1299,$A59,'Teacher Salary Data'!$C$2:$C$1299,"Master's",'Teacher Salary Data'!$D$2:$D$1299,5)</x:f>
        <x:v>86931</x:v>
      </x:c>
      <x:c r="I59" t="n">
        <x:f>SUMIFS('Teacher Salary Data'!$E$2:$E$1299,'Teacher Salary Data'!$A$2:$A$1299,$A59,'Teacher Salary Data'!$C$2:$C$1299,"Master's",'Teacher Salary Data'!$D$2:$D$1299,10)</x:f>
        <x:v>86931</x:v>
      </x:c>
      <x:c r="J59" t="n">
        <x:f>AVERAGE(D59,G59)</x:f>
        <x:v>71586</x:v>
      </x:c>
      <x:c r="K59" t="n">
        <x:f>AVERAGE(F59,I59)</x:f>
        <x:v>86431</x:v>
      </x:c>
      <x:c r="L59" t="n">
        <x:f>IFERROR((K59-J59)/J59,0)</x:f>
        <x:v>0.20737295001815997</x:v>
      </x:c>
      <x:c r="M59" t="n">
        <x:f>G59-D59</x:f>
        <x:v>1000</x:v>
      </x:c>
      <x:c r="N59" t="n">
        <x:f>IFERROR(INDEX('Median Home and Rent Prices'!$D$2:$D$59,MATCH($A59,'Median Home and Rent Prices'!$A$2:$A$59,0)),0)</x:f>
        <x:v>1024669</x:v>
      </x:c>
      <x:c r="O59" t="n">
        <x:f>IFERROR(INDEX('Median Home and Rent Prices'!$E$2:$E$59,MATCH($A59,'Median Home and Rent Prices'!$A$2:$A$59,0)),0)</x:f>
        <x:v>2203</x:v>
      </x:c>
      <x:c r="P59" t="n">
        <x:f>IFERROR(INDEX('School District Profiles'!$H$2:$H$59,MATCH($A59,'School District Profiles'!$A$2:$A$59,0)),0)</x:f>
        <x:v>18.81</x:v>
      </x:c>
      <x:c r="Q59" t="n">
        <x:f>IFERROR(INDEX('School District Profiles'!$I$2:$I$59,MATCH($A59,'School District Profiles'!$A$2:$A$59,0)),0)</x:f>
        <x:v>200</x:v>
      </x:c>
      <x:c r="R59" t="n">
        <x:f>IFERROR(MAX(0,MIN(100,(K59-50000)/(110000-50000)*100)),0)</x:f>
        <x:v>60.71833333333333</x:v>
      </x:c>
      <x:c r="S59" t="n">
        <x:f>IFERROR(MAX(0,MIN(100,L59/0.6*100)),0)</x:f>
        <x:v>34.56215833636</x:v>
      </x:c>
      <x:c r="T59" t="n">
        <x:f>IFERROR(MAX(0,MIN(100,M59/15000*100)),0)</x:f>
        <x:v>6.666666666666667</x:v>
      </x:c>
      <x:c r="U59" t="n">
        <x:f>IFERROR(0.45*R59+0.4*S59+0.15*T59,0)</x:f>
        <x:v>42.148113334544</x:v>
      </x:c>
      <x:c r="V59" t="n">
        <x:f>IFERROR(0.4*MAX(0,MIN(100,(((J59/12)/O59)-2)/(4-2)*100))+0.35*MAX(0,MIN(100,(8-(N59/K59))/(8-3)*100))+0.25*AB59,0)</x:f>
        <x:v>31.619504870980133</x:v>
      </x:c>
      <x:c r="W59" t="n">
        <x:f>IFERROR(MAX(0,MIN(100,(25-P59)/(25-12)*100)),0)</x:f>
        <x:v>47.61538461538463</x:v>
      </x:c>
      <x:c r="X59" t="n">
        <x:f>IFERROR(MAX(0,MIN(100,(AD59-1)/(3-1)*100))*IF(OR($A59="North Clackamas School District",$A59="Provo City School District"),0.6,1),0)</x:f>
        <x:v>40.78529278256923</x:v>
      </x:c>
      <x:c r="Y59" t="n">
        <x:f>IFERROR(MAX(0,MIN(100,(1-((IFERROR(INDEX('School District Profiles'!$D$2:$D$59,MATCH($A59,'School District Profiles'!$A$2:$A$59,0)),0)/100)^2+(IFERROR(INDEX('School District Profiles'!$E$2:$E$59,MATCH($A59,'School District Profiles'!$A$2:$A$59,0)),0)/100)^2+(IFERROR(INDEX('School District Profiles'!$F$2:$F$59,MATCH($A59,'School District Profiles'!$A$2:$A$59,0)),0)/100)^2+(IFERROR(INDEX('School District Profiles'!$G$2:$G$59,MATCH($A59,'School District Profiles'!$A$2:$A$59,0)),0)/100)^2+(AC59/100)^2))/0.8*100)),0)</x:f>
        <x:v>67.87675</x:v>
      </x:c>
      <x:c r="Z59" t="n">
        <x:f>IFERROR(AF59*AG59,0)</x:f>
        <x:v>41.97283953490703</x:v>
      </x:c>
      <x:c r="AA59" t="n">
        <x:f>IFERROR(INDEX('Median Home and Rent Prices'!$F$2:$F$59,MATCH($A59,'Median Home and Rent Prices'!$A$2:$A$59,0)),0)</x:f>
        <x:v>346</x:v>
      </x:c>
      <x:c r="AB59" t="n">
        <x:f>IFERROR(MAX(0,MIN(100,(800-AA59)/(800-150)*100)),0)</x:f>
        <x:v>69.84615384615384</x:v>
      </x:c>
      <x:c r="AC59" t="n">
        <x:f>IFERROR(INDEX('School District Profiles'!$J$2:$J$59,MATCH($A59,'School District Profiles'!$A$2:$A$59,0)),0)</x:f>
        <x:v>6.8999999999999915</x:v>
      </x:c>
      <x:c r="AD59" t="n">
        <x:f>IFERROR(Q59*20/O59,0)</x:f>
        <x:v>1.8157058556513845</x:v>
      </x:c>
      <x:c r="AE59" t="n">
        <x:f>IFERROR(IF(AG59&gt;=1,100,IF(AG59&gt;=0.95,75,IF(AG59&gt;=0.9,60,IF(AG59&gt;=0.85,40,IF(AG59&gt;=0.8,25,0))))),0)</x:f>
        <x:v>100</x:v>
      </x:c>
      <x:c r="AF59" t="n">
        <x:f>IFERROR(0.4*U59+0.3*V59+0.1*W59+0.1*X59+0.1*Y59,0)</x:f>
        <x:v>41.97283953490703</x:v>
      </x:c>
      <x:c r="AG59" t="n">
        <x:v>1</x:v>
      </x:c>
      <x:c r="AH59" t="inlineStr">
        <x:is>
          <x:t xml:space="preserve">No current employment-stability penalty applied; TTUSD is a Basic Aid/community-funded district and first-pass research did not find current broad layoff or closure evidence.</x:t>
        </x:is>
      </x:c>
    </x:row>
    <x:row r="60" ht="48" customHeight="1">
      <x:c r="A60" s="2" t="inlineStr">
        <x:is>
          <x:t xml:space="preserve">Channelview ISD</x:t>
        </x:is>
      </x:c>
      <x:c r="B60" s="2" t="str">
        <x:f>IFERROR(INDEX('School District Profiles'!$B$2:$B$64,MATCH($A60,'School District Profiles'!$A$2:$A$64,0)),"")</x:f>
        <x:v>TX</x:v>
      </x:c>
      <x:c r="C60" s="2" t="str">
        <x:f>IFERROR(INDEX('School District Profiles'!$C$2:$C$64,MATCH($A60,'School District Profiles'!$A$2:$A$64,0)),"")</x:f>
        <x:v>Houston</x:v>
      </x:c>
      <x:c r="D60" s="52" t="n">
        <x:f>SUMIFS('Teacher Salary Data'!$E$2:$E$1409,'Teacher Salary Data'!$A$2:$A$1409,$A60,'Teacher Salary Data'!$C$2:$C$1409,"Bachelor's",'Teacher Salary Data'!$D$2:$D$1409,0)</x:f>
        <x:v>68500</x:v>
      </x:c>
      <x:c r="E60" s="52" t="n">
        <x:f>SUMIFS('Teacher Salary Data'!$E$2:$E$1409,'Teacher Salary Data'!$A$2:$A$1409,$A60,'Teacher Salary Data'!$C$2:$C$1409,"Bachelor's",'Teacher Salary Data'!$D$2:$D$1409,5)</x:f>
        <x:v>70000</x:v>
      </x:c>
      <x:c r="F60" s="52" t="n">
        <x:f>SUMIFS('Teacher Salary Data'!$E$2:$E$1409,'Teacher Salary Data'!$A$2:$A$1409,$A60,'Teacher Salary Data'!$C$2:$C$1409,"Bachelor's",'Teacher Salary Data'!$D$2:$D$1409,10)</x:f>
        <x:v>71500</x:v>
      </x:c>
      <x:c r="G60" s="52" t="n">
        <x:f>SUMIFS('Teacher Salary Data'!$E$2:$E$1409,'Teacher Salary Data'!$A$2:$A$1409,$A60,'Teacher Salary Data'!$C$2:$C$1409,"Master's",'Teacher Salary Data'!$D$2:$D$1409,0)</x:f>
        <x:v>70000</x:v>
      </x:c>
      <x:c r="H60" s="52" t="n">
        <x:f>SUMIFS('Teacher Salary Data'!$E$2:$E$1409,'Teacher Salary Data'!$A$2:$A$1409,$A60,'Teacher Salary Data'!$C$2:$C$1409,"Master's",'Teacher Salary Data'!$D$2:$D$1409,5)</x:f>
        <x:v>71500</x:v>
      </x:c>
      <x:c r="I60" s="52" t="n">
        <x:f>SUMIFS('Teacher Salary Data'!$E$2:$E$1409,'Teacher Salary Data'!$A$2:$A$1409,$A60,'Teacher Salary Data'!$C$2:$C$1409,"Master's",'Teacher Salary Data'!$D$2:$D$1409,10)</x:f>
        <x:v>73000</x:v>
      </x:c>
      <x:c r="J60" s="52" t="n">
        <x:f>AVERAGE(D60,G60)</x:f>
        <x:v>69250</x:v>
      </x:c>
      <x:c r="K60" s="52" t="n">
        <x:f>AVERAGE(F60,I60)</x:f>
        <x:v>72250</x:v>
      </x:c>
      <x:c r="L60" s="53" t="n">
        <x:f>IFERROR((K60-J60)/J60,0)</x:f>
        <x:v>0.04332129963898917</x:v>
      </x:c>
      <x:c r="M60" s="2" t="n">
        <x:f>G60-D60</x:f>
        <x:v>1500</x:v>
      </x:c>
      <x:c r="N60" s="52" t="n">
        <x:f>IFERROR(INDEX('Median Home and Rent Prices'!$D$2:$D$64,MATCH($A60,'Median Home and Rent Prices'!$A$2:$A$64,0)),0)</x:f>
        <x:v>229862</x:v>
      </x:c>
      <x:c r="O60" s="52" t="n">
        <x:f>IFERROR(INDEX('Median Home and Rent Prices'!$E$2:$E$64,MATCH($A60,'Median Home and Rent Prices'!$A$2:$A$64,0)),0)</x:f>
        <x:v>1800</x:v>
      </x:c>
      <x:c r="P60" s="2" t="n">
        <x:f>IFERROR(INDEX('School District Profiles'!$H$2:$H$64,MATCH($A60,'School District Profiles'!$A$2:$A$64,0)),0)</x:f>
        <x:v>15.6</x:v>
      </x:c>
      <x:c r="Q60" s="2" t="n">
        <x:f>IFERROR(INDEX('School District Profiles'!$I$2:$I$64,MATCH($A60,'School District Profiles'!$A$2:$A$64,0)),0)</x:f>
        <x:v>140</x:v>
      </x:c>
      <x:c r="R60" s="93" t="n">
        <x:f>IFERROR(MAX(0,MIN(100,(K60-50000)/(110000-50000)*100)),0)</x:f>
        <x:v>37.083333333333336</x:v>
      </x:c>
      <x:c r="S60" s="93" t="n">
        <x:f>IFERROR(MAX(0,MIN(100,L60/0.6*100)),0)</x:f>
        <x:v>7.2202166064981945</x:v>
      </x:c>
      <x:c r="T60" s="93" t="n">
        <x:f>IFERROR(MAX(0,MIN(100,M60/15000*100)),0)</x:f>
        <x:v>10</x:v>
      </x:c>
      <x:c r="U60" s="93" t="n">
        <x:f>IFERROR(0.45*R60+0.4*S60+0.15*T60,0)</x:f>
        <x:v>21.075586642599276</x:v>
      </x:c>
      <x:c r="V60" s="93" t="n">
        <x:f>IFERROR(0.4*MAX(0,MIN(100,(((J60/12)/O60)-2)/(4-2)*100))+0.35*MAX(0,MIN(100,(8-(N60/K60))/(8-3)*100))+0.25*AB60,0)</x:f>
        <x:v>82.8115420499019</x:v>
      </x:c>
      <x:c r="W60" s="93" t="n">
        <x:f>IFERROR(MAX(0,MIN(100,(25-P60)/(25-12)*100)),0)</x:f>
        <x:v>72.3076923076923</x:v>
      </x:c>
      <x:c r="X60" s="93" t="n">
        <x:f>IFERROR(MAX(0,MIN(100,(AD60-1)/(3-1)*100))*IF(OR($A60="North Clackamas School District",$A60="Provo City School District"),0.6,1),0)</x:f>
        <x:v>27.77777777777778</x:v>
      </x:c>
      <x:c r="Y60" s="93" t="n">
        <x:f>IFERROR(MAX(0,MIN(100,(1-((IFERROR(INDEX('School District Profiles'!$D$2:$D$64,MATCH($A60,'School District Profiles'!$A$2:$A$64,0)),0)/100)^2+(IFERROR(INDEX('School District Profiles'!$E$2:$E$64,MATCH($A60,'School District Profiles'!$A$2:$A$64,0)),0)/100)^2+(IFERROR(INDEX('School District Profiles'!$F$2:$F$64,MATCH($A60,'School District Profiles'!$A$2:$A$64,0)),0)/100)^2+(IFERROR(INDEX('School District Profiles'!$G$2:$G$64,MATCH($A60,'School District Profiles'!$A$2:$A$64,0)),0)/100)^2+(AC60/100)^2))/0.8*100)),0)</x:f>
        <x:v>34.45100000000001</x:v>
      </x:c>
      <x:c r="Z60" s="93" t="n">
        <x:f>IFERROR(AF60*AG60,0)</x:f>
        <x:v>46.7273442805573</x:v>
      </x:c>
      <x:c r="AA60" s="93" t="n">
        <x:f>IFERROR(INDEX('Median Home and Rent Prices'!$F$2:$F$64,MATCH($A60,'Median Home and Rent Prices'!$A$2:$A$64,0)),0)</x:f>
        <x:v>151</x:v>
      </x:c>
      <x:c r="AB60" s="93" t="n">
        <x:f>IFERROR(MAX(0,MIN(100,(800-AA60)/(800-150)*100)),0)</x:f>
        <x:v>99.84615384615385</x:v>
      </x:c>
      <x:c r="AC60" s="93" t="n">
        <x:f>IFERROR(INDEX('School District Profiles'!$J$2:$J$64,MATCH($A60,'School District Profiles'!$A$2:$A$64,0)),0)</x:f>
        <x:v>2.4</x:v>
      </x:c>
      <x:c r="AD60" s="93" t="n">
        <x:f>IFERROR(Q60*20/O60,0)</x:f>
        <x:v>1.5555555555555556</x:v>
      </x:c>
      <x:c r="AE60" s="93" t="n">
        <x:f>IFERROR(IF(AG60&gt;=1,100,IF(AG60&gt;=0.95,75,IF(AG60&gt;=0.9,60,IF(AG60&gt;=0.85,40,IF(AG60&gt;=0.8,25,0))))),0)</x:f>
        <x:v>100</x:v>
      </x:c>
      <x:c r="AF60" s="93" t="n">
        <x:f>IFERROR(0.4*U60+0.3*V60+0.1*W60+0.1*X60+0.1*Y60,0)</x:f>
        <x:v>46.7273442805573</x:v>
      </x:c>
      <x:c r="AG60" s="6" t="n">
        <x:v>1</x:v>
      </x:c>
      <x:c r="AH60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1" ht="48" customHeight="1">
      <x:c r="A61" s="2" t="inlineStr">
        <x:is>
          <x:t xml:space="preserve">Plano ISD</x:t>
        </x:is>
      </x:c>
      <x:c r="B61" s="2" t="str">
        <x:f>IFERROR(INDEX('School District Profiles'!$B$2:$B$64,MATCH($A61,'School District Profiles'!$A$2:$A$64,0)),"")</x:f>
        <x:v>TX</x:v>
      </x:c>
      <x:c r="C61" s="2" t="str">
        <x:f>IFERROR(INDEX('School District Profiles'!$C$2:$C$64,MATCH($A61,'School District Profiles'!$A$2:$A$64,0)),"")</x:f>
        <x:v>Dallas-Fort Worth</x:v>
      </x:c>
      <x:c r="D61" s="52" t="n">
        <x:f>SUMIFS('Teacher Salary Data'!$E$2:$E$1409,'Teacher Salary Data'!$A$2:$A$1409,$A61,'Teacher Salary Data'!$C$2:$C$1409,"Bachelor's",'Teacher Salary Data'!$D$2:$D$1409,0)</x:f>
        <x:v>64000</x:v>
      </x:c>
      <x:c r="E61" s="52" t="n">
        <x:f>SUMIFS('Teacher Salary Data'!$E$2:$E$1409,'Teacher Salary Data'!$A$2:$A$1409,$A61,'Teacher Salary Data'!$C$2:$C$1409,"Bachelor's",'Teacher Salary Data'!$D$2:$D$1409,5)</x:f>
        <x:v>67600</x:v>
      </x:c>
      <x:c r="F61" s="52" t="n">
        <x:f>SUMIFS('Teacher Salary Data'!$E$2:$E$1409,'Teacher Salary Data'!$A$2:$A$1409,$A61,'Teacher Salary Data'!$C$2:$C$1409,"Bachelor's",'Teacher Salary Data'!$D$2:$D$1409,10)</x:f>
        <x:v>69600</x:v>
      </x:c>
      <x:c r="G61" s="52" t="n">
        <x:f>SUMIFS('Teacher Salary Data'!$E$2:$E$1409,'Teacher Salary Data'!$A$2:$A$1409,$A61,'Teacher Salary Data'!$C$2:$C$1409,"Master's",'Teacher Salary Data'!$D$2:$D$1409,0)</x:f>
        <x:v>66000</x:v>
      </x:c>
      <x:c r="H61" s="52" t="n">
        <x:f>SUMIFS('Teacher Salary Data'!$E$2:$E$1409,'Teacher Salary Data'!$A$2:$A$1409,$A61,'Teacher Salary Data'!$C$2:$C$1409,"Master's",'Teacher Salary Data'!$D$2:$D$1409,5)</x:f>
        <x:v>69600</x:v>
      </x:c>
      <x:c r="I61" s="52" t="n">
        <x:f>SUMIFS('Teacher Salary Data'!$E$2:$E$1409,'Teacher Salary Data'!$A$2:$A$1409,$A61,'Teacher Salary Data'!$C$2:$C$1409,"Master's",'Teacher Salary Data'!$D$2:$D$1409,10)</x:f>
        <x:v>71600</x:v>
      </x:c>
      <x:c r="J61" s="52" t="n">
        <x:f>AVERAGE(D61,G61)</x:f>
        <x:v>65000</x:v>
      </x:c>
      <x:c r="K61" s="52" t="n">
        <x:f>AVERAGE(F61,I61)</x:f>
        <x:v>70600</x:v>
      </x:c>
      <x:c r="L61" s="53" t="n">
        <x:f>IFERROR((K61-J61)/J61,0)</x:f>
        <x:v>0.08615384615384615</x:v>
      </x:c>
      <x:c r="M61" s="2" t="n">
        <x:f>G61-D61</x:f>
        <x:v>2000</x:v>
      </x:c>
      <x:c r="N61" s="52" t="n">
        <x:f>IFERROR(INDEX('Median Home and Rent Prices'!$D$2:$D$64,MATCH($A61,'Median Home and Rent Prices'!$A$2:$A$64,0)),0)</x:f>
        <x:v>519689</x:v>
      </x:c>
      <x:c r="O61" s="52" t="n">
        <x:f>IFERROR(INDEX('Median Home and Rent Prices'!$E$2:$E$64,MATCH($A61,'Median Home and Rent Prices'!$A$2:$A$64,0)),0)</x:f>
        <x:v>2600</x:v>
      </x:c>
      <x:c r="P61" s="2" t="n">
        <x:f>IFERROR(INDEX('School District Profiles'!$H$2:$H$64,MATCH($A61,'School District Profiles'!$A$2:$A$64,0)),0)</x:f>
        <x:v>13.75</x:v>
      </x:c>
      <x:c r="Q61" s="2" t="n">
        <x:f>IFERROR(INDEX('School District Profiles'!$I$2:$I$64,MATCH($A61,'School District Profiles'!$A$2:$A$64,0)),0)</x:f>
        <x:v>130</x:v>
      </x:c>
      <x:c r="R61" s="93" t="n">
        <x:f>IFERROR(MAX(0,MIN(100,(K61-50000)/(110000-50000)*100)),0)</x:f>
        <x:v>34.333333333333336</x:v>
      </x:c>
      <x:c r="S61" s="93" t="n">
        <x:f>IFERROR(MAX(0,MIN(100,L61/0.6*100)),0)</x:f>
        <x:v>14.358974358974358</x:v>
      </x:c>
      <x:c r="T61" s="93" t="n">
        <x:f>IFERROR(MAX(0,MIN(100,M61/15000*100)),0)</x:f>
        <x:v>13.333333333333334</x:v>
      </x:c>
      <x:c r="U61" s="93" t="n">
        <x:f>IFERROR(0.45*R61+0.4*S61+0.15*T61,0)</x:f>
        <x:v>23.193589743589744</x:v>
      </x:c>
      <x:c r="V61" s="93" t="n">
        <x:f>IFERROR(0.4*MAX(0,MIN(100,(((J61/12)/O61)-2)/(4-2)*100))+0.35*MAX(0,MIN(100,(8-(N61/K61))/(8-3)*100))+0.25*AB61,0)</x:f>
        <x:v>27.600967167865186</x:v>
      </x:c>
      <x:c r="W61" s="93" t="n">
        <x:f>IFERROR(MAX(0,MIN(100,(25-P61)/(25-12)*100)),0)</x:f>
        <x:v>86.53846153846155</x:v>
      </x:c>
      <x:c r="X61" s="93" t="n">
        <x:f>IFERROR(MAX(0,MIN(100,(AD61-1)/(3-1)*100))*IF(OR($A61="North Clackamas School District",$A61="Provo City School District"),0.6,1),0)</x:f>
        <x:v>0</x:v>
      </x:c>
      <x:c r="Y61" s="93" t="n">
        <x:f>IFERROR(MAX(0,MIN(100,(1-((IFERROR(INDEX('School District Profiles'!$D$2:$D$64,MATCH($A61,'School District Profiles'!$A$2:$A$64,0)),0)/100)^2+(IFERROR(INDEX('School District Profiles'!$E$2:$E$64,MATCH($A61,'School District Profiles'!$A$2:$A$64,0)),0)/100)^2+(IFERROR(INDEX('School District Profiles'!$F$2:$F$64,MATCH($A61,'School District Profiles'!$A$2:$A$64,0)),0)/100)^2+(IFERROR(INDEX('School District Profiles'!$G$2:$G$64,MATCH($A61,'School District Profiles'!$A$2:$A$64,0)),0)/100)^2+(AC61/100)^2))/0.8*100)),0)</x:f>
        <x:v>92.55725</x:v>
      </x:c>
      <x:c r="Z61" s="93" t="n">
        <x:f>IFERROR(AF61*AG61,0)</x:f>
        <x:v>35.46729720164161</x:v>
      </x:c>
      <x:c r="AA61" s="93" t="n">
        <x:f>IFERROR(INDEX('Median Home and Rent Prices'!$F$2:$F$64,MATCH($A61,'Median Home and Rent Prices'!$A$2:$A$64,0)),0)</x:f>
        <x:v>242</x:v>
      </x:c>
      <x:c r="AB61" s="93" t="n">
        <x:f>IFERROR(MAX(0,MIN(100,(800-AA61)/(800-150)*100)),0)</x:f>
        <x:v>85.84615384615385</x:v>
      </x:c>
      <x:c r="AC61" s="93" t="n">
        <x:f>IFERROR(INDEX('School District Profiles'!$J$2:$J$64,MATCH($A61,'School District Profiles'!$A$2:$A$64,0)),0)</x:f>
        <x:v>2.9</x:v>
      </x:c>
      <x:c r="AD61" s="93" t="n">
        <x:f>IFERROR(Q61*20/O61,0)</x:f>
        <x:v>1</x:v>
      </x:c>
      <x:c r="AE61" s="93" t="n">
        <x:f>IFERROR(IF(AG61&gt;=1,100,IF(AG61&gt;=0.95,75,IF(AG61&gt;=0.9,60,IF(AG61&gt;=0.85,40,IF(AG61&gt;=0.8,25,0))))),0)</x:f>
        <x:v>100</x:v>
      </x:c>
      <x:c r="AF61" s="93" t="n">
        <x:f>IFERROR(0.4*U61+0.3*V61+0.1*W61+0.1*X61+0.1*Y61,0)</x:f>
        <x:v>35.46729720164161</x:v>
      </x:c>
      <x:c r="AG61" s="6" t="n">
        <x:v>1</x:v>
      </x:c>
      <x:c r="AH61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2" ht="48" customHeight="1">
      <x:c r="A62" s="2" t="inlineStr">
        <x:is>
          <x:t xml:space="preserve">Galena Park ISD</x:t>
        </x:is>
      </x:c>
      <x:c r="B62" s="2" t="str">
        <x:f>IFERROR(INDEX('School District Profiles'!$B$2:$B$64,MATCH($A62,'School District Profiles'!$A$2:$A$64,0)),"")</x:f>
        <x:v>TX</x:v>
      </x:c>
      <x:c r="C62" s="2" t="str">
        <x:f>IFERROR(INDEX('School District Profiles'!$C$2:$C$64,MATCH($A62,'School District Profiles'!$A$2:$A$64,0)),"")</x:f>
        <x:v>Houston</x:v>
      </x:c>
      <x:c r="D62" s="52" t="n">
        <x:f>SUMIFS('Teacher Salary Data'!$E$2:$E$1409,'Teacher Salary Data'!$A$2:$A$1409,$A62,'Teacher Salary Data'!$C$2:$C$1409,"Bachelor's",'Teacher Salary Data'!$D$2:$D$1409,0)</x:f>
        <x:v>66575</x:v>
      </x:c>
      <x:c r="E62" s="52" t="n">
        <x:f>SUMIFS('Teacher Salary Data'!$E$2:$E$1409,'Teacher Salary Data'!$A$2:$A$1409,$A62,'Teacher Salary Data'!$C$2:$C$1409,"Bachelor's",'Teacher Salary Data'!$D$2:$D$1409,5)</x:f>
        <x:v>71700</x:v>
      </x:c>
      <x:c r="F62" s="52" t="n">
        <x:f>SUMIFS('Teacher Salary Data'!$E$2:$E$1409,'Teacher Salary Data'!$A$2:$A$1409,$A62,'Teacher Salary Data'!$C$2:$C$1409,"Bachelor's",'Teacher Salary Data'!$D$2:$D$1409,10)</x:f>
        <x:v>73200</x:v>
      </x:c>
      <x:c r="G62" s="52" t="n">
        <x:f>SUMIFS('Teacher Salary Data'!$E$2:$E$1409,'Teacher Salary Data'!$A$2:$A$1409,$A62,'Teacher Salary Data'!$C$2:$C$1409,"Master's",'Teacher Salary Data'!$D$2:$D$1409,0)</x:f>
        <x:v>68575</x:v>
      </x:c>
      <x:c r="H62" s="52" t="n">
        <x:f>SUMIFS('Teacher Salary Data'!$E$2:$E$1409,'Teacher Salary Data'!$A$2:$A$1409,$A62,'Teacher Salary Data'!$C$2:$C$1409,"Master's",'Teacher Salary Data'!$D$2:$D$1409,5)</x:f>
        <x:v>73700</x:v>
      </x:c>
      <x:c r="I62" s="52" t="n">
        <x:f>SUMIFS('Teacher Salary Data'!$E$2:$E$1409,'Teacher Salary Data'!$A$2:$A$1409,$A62,'Teacher Salary Data'!$C$2:$C$1409,"Master's",'Teacher Salary Data'!$D$2:$D$1409,10)</x:f>
        <x:v>75200</x:v>
      </x:c>
      <x:c r="J62" s="52" t="n">
        <x:f>AVERAGE(D62,G62)</x:f>
        <x:v>67575</x:v>
      </x:c>
      <x:c r="K62" s="52" t="n">
        <x:f>AVERAGE(F62,I62)</x:f>
        <x:v>74200</x:v>
      </x:c>
      <x:c r="L62" s="53" t="n">
        <x:f>IFERROR((K62-J62)/J62,0)</x:f>
        <x:v>0.09803921568627451</x:v>
      </x:c>
      <x:c r="M62" s="2" t="n">
        <x:f>G62-D62</x:f>
        <x:v>2000</x:v>
      </x:c>
      <x:c r="N62" s="52" t="n">
        <x:f>IFERROR(INDEX('Median Home and Rent Prices'!$D$2:$D$64,MATCH($A62,'Median Home and Rent Prices'!$A$2:$A$64,0)),0)</x:f>
        <x:v>194134</x:v>
      </x:c>
      <x:c r="O62" s="52" t="n">
        <x:f>IFERROR(INDEX('Median Home and Rent Prices'!$E$2:$E$64,MATCH($A62,'Median Home and Rent Prices'!$A$2:$A$64,0)),0)</x:f>
        <x:v>1600</x:v>
      </x:c>
      <x:c r="P62" s="2" t="n">
        <x:f>IFERROR(INDEX('School District Profiles'!$H$2:$H$64,MATCH($A62,'School District Profiles'!$A$2:$A$64,0)),0)</x:f>
        <x:v>14.97</x:v>
      </x:c>
      <x:c r="Q62" s="2" t="n">
        <x:f>IFERROR(INDEX('School District Profiles'!$I$2:$I$64,MATCH($A62,'School District Profiles'!$A$2:$A$64,0)),0)</x:f>
        <x:v>125</x:v>
      </x:c>
      <x:c r="R62" s="93" t="n">
        <x:f>IFERROR(MAX(0,MIN(100,(K62-50000)/(110000-50000)*100)),0)</x:f>
        <x:v>40.33333333333333</x:v>
      </x:c>
      <x:c r="S62" s="93" t="n">
        <x:f>IFERROR(MAX(0,MIN(100,L62/0.6*100)),0)</x:f>
        <x:v>16.33986928104575</x:v>
      </x:c>
      <x:c r="T62" s="93" t="n">
        <x:f>IFERROR(MAX(0,MIN(100,M62/15000*100)),0)</x:f>
        <x:v>13.333333333333334</x:v>
      </x:c>
      <x:c r="U62" s="93" t="n">
        <x:f>IFERROR(0.45*R62+0.4*S62+0.15*T62,0)</x:f>
        <x:v>26.685947712418297</x:v>
      </x:c>
      <x:c r="V62" s="93" t="n">
        <x:f>IFERROR(0.4*MAX(0,MIN(100,(((J62/12)/O62)-2)/(4-2)*100))+0.35*MAX(0,MIN(100,(8-(N62/K62))/(8-3)*100))+0.25*AB62,0)</x:f>
        <x:v>90.27524038461539</x:v>
      </x:c>
      <x:c r="W62" s="93" t="n">
        <x:f>IFERROR(MAX(0,MIN(100,(25-P62)/(25-12)*100)),0)</x:f>
        <x:v>77.15384615384615</x:v>
      </x:c>
      <x:c r="X62" s="93" t="n">
        <x:f>IFERROR(MAX(0,MIN(100,(AD62-1)/(3-1)*100))*IF(OR($A62="North Clackamas School District",$A62="Provo City School District"),0.6,1),0)</x:f>
        <x:v>28.125</x:v>
      </x:c>
      <x:c r="Y62" s="93" t="n">
        <x:f>IFERROR(MAX(0,MIN(100,(1-((IFERROR(INDEX('School District Profiles'!$D$2:$D$64,MATCH($A62,'School District Profiles'!$A$2:$A$64,0)),0)/100)^2+(IFERROR(INDEX('School District Profiles'!$E$2:$E$64,MATCH($A62,'School District Profiles'!$A$2:$A$64,0)),0)/100)^2+(IFERROR(INDEX('School District Profiles'!$F$2:$F$64,MATCH($A62,'School District Profiles'!$A$2:$A$64,0)),0)/100)^2+(IFERROR(INDEX('School District Profiles'!$G$2:$G$64,MATCH($A62,'School District Profiles'!$A$2:$A$64,0)),0)/100)^2+(AC62/100)^2))/0.8*100)),0)</x:f>
        <x:v>38.78025</x:v>
      </x:c>
      <x:c r="Z62" s="93" t="n">
        <x:f>IFERROR(AF62*AG62,0)</x:f>
        <x:v>52.16286081573655</x:v>
      </x:c>
      <x:c r="AA62" s="93" t="n">
        <x:f>IFERROR(INDEX('Median Home and Rent Prices'!$F$2:$F$64,MATCH($A62,'Median Home and Rent Prices'!$A$2:$A$64,0)),0)</x:f>
        <x:v>153</x:v>
      </x:c>
      <x:c r="AB62" s="93" t="n">
        <x:f>IFERROR(MAX(0,MIN(100,(800-AA62)/(800-150)*100)),0)</x:f>
        <x:v>99.53846153846155</x:v>
      </x:c>
      <x:c r="AC62" s="93" t="n">
        <x:f>IFERROR(INDEX('School District Profiles'!$J$2:$J$64,MATCH($A62,'School District Profiles'!$A$2:$A$64,0)),0)</x:f>
        <x:v>2.7</x:v>
      </x:c>
      <x:c r="AD62" s="93" t="n">
        <x:f>IFERROR(Q62*20/O62,0)</x:f>
        <x:v>1.5625</x:v>
      </x:c>
      <x:c r="AE62" s="93" t="n">
        <x:f>IFERROR(IF(AG62&gt;=1,100,IF(AG62&gt;=0.95,75,IF(AG62&gt;=0.9,60,IF(AG62&gt;=0.85,40,IF(AG62&gt;=0.8,25,0))))),0)</x:f>
        <x:v>100</x:v>
      </x:c>
      <x:c r="AF62" s="93" t="n">
        <x:f>IFERROR(0.4*U62+0.3*V62+0.1*W62+0.1*X62+0.1*Y62,0)</x:f>
        <x:v>52.16286081573655</x:v>
      </x:c>
      <x:c r="AG62" s="6" t="n">
        <x:v>1</x:v>
      </x:c>
      <x:c r="AH62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3" ht="48" customHeight="1">
      <x:c r="A63" s="2" t="inlineStr">
        <x:is>
          <x:t xml:space="preserve">Deer Park ISD</x:t>
        </x:is>
      </x:c>
      <x:c r="B63" s="2" t="str">
        <x:f>IFERROR(INDEX('School District Profiles'!$B$2:$B$64,MATCH($A63,'School District Profiles'!$A$2:$A$64,0)),"")</x:f>
        <x:v>TX</x:v>
      </x:c>
      <x:c r="C63" s="2" t="str">
        <x:f>IFERROR(INDEX('School District Profiles'!$C$2:$C$64,MATCH($A63,'School District Profiles'!$A$2:$A$64,0)),"")</x:f>
        <x:v>Houston</x:v>
      </x:c>
      <x:c r="D63" s="52" t="n">
        <x:f>SUMIFS('Teacher Salary Data'!$E$2:$E$1409,'Teacher Salary Data'!$A$2:$A$1409,$A63,'Teacher Salary Data'!$C$2:$C$1409,"Bachelor's",'Teacher Salary Data'!$D$2:$D$1409,0)</x:f>
        <x:v>63000</x:v>
      </x:c>
      <x:c r="E63" s="52" t="n">
        <x:f>SUMIFS('Teacher Salary Data'!$E$2:$E$1409,'Teacher Salary Data'!$A$2:$A$1409,$A63,'Teacher Salary Data'!$C$2:$C$1409,"Bachelor's",'Teacher Salary Data'!$D$2:$D$1409,5)</x:f>
        <x:v>70500</x:v>
      </x:c>
      <x:c r="F63" s="52" t="n">
        <x:f>SUMIFS('Teacher Salary Data'!$E$2:$E$1409,'Teacher Salary Data'!$A$2:$A$1409,$A63,'Teacher Salary Data'!$C$2:$C$1409,"Bachelor's",'Teacher Salary Data'!$D$2:$D$1409,10)</x:f>
        <x:v>78000</x:v>
      </x:c>
      <x:c r="G63" s="52" t="n">
        <x:f>SUMIFS('Teacher Salary Data'!$E$2:$E$1409,'Teacher Salary Data'!$A$2:$A$1409,$A63,'Teacher Salary Data'!$C$2:$C$1409,"Master's",'Teacher Salary Data'!$D$2:$D$1409,0)</x:f>
        <x:v>63000</x:v>
      </x:c>
      <x:c r="H63" s="52" t="n">
        <x:f>SUMIFS('Teacher Salary Data'!$E$2:$E$1409,'Teacher Salary Data'!$A$2:$A$1409,$A63,'Teacher Salary Data'!$C$2:$C$1409,"Master's",'Teacher Salary Data'!$D$2:$D$1409,5)</x:f>
        <x:v>70500</x:v>
      </x:c>
      <x:c r="I63" s="52" t="n">
        <x:f>SUMIFS('Teacher Salary Data'!$E$2:$E$1409,'Teacher Salary Data'!$A$2:$A$1409,$A63,'Teacher Salary Data'!$C$2:$C$1409,"Master's",'Teacher Salary Data'!$D$2:$D$1409,10)</x:f>
        <x:v>78000</x:v>
      </x:c>
      <x:c r="J63" s="52" t="n">
        <x:f>AVERAGE(D63,G63)</x:f>
        <x:v>63000</x:v>
      </x:c>
      <x:c r="K63" s="52" t="n">
        <x:f>AVERAGE(F63,I63)</x:f>
        <x:v>78000</x:v>
      </x:c>
      <x:c r="L63" s="53" t="n">
        <x:f>IFERROR((K63-J63)/J63,0)</x:f>
        <x:v>0.23809523809523808</x:v>
      </x:c>
      <x:c r="M63" s="2" t="n">
        <x:f>G63-D63</x:f>
        <x:v>0</x:v>
      </x:c>
      <x:c r="N63" s="52" t="n">
        <x:f>IFERROR(INDEX('Median Home and Rent Prices'!$D$2:$D$64,MATCH($A63,'Median Home and Rent Prices'!$A$2:$A$64,0)),0)</x:f>
        <x:v>272837</x:v>
      </x:c>
      <x:c r="O63" s="52" t="n">
        <x:f>IFERROR(INDEX('Median Home and Rent Prices'!$E$2:$E$64,MATCH($A63,'Median Home and Rent Prices'!$A$2:$A$64,0)),0)</x:f>
        <x:v>2000</x:v>
      </x:c>
      <x:c r="P63" s="2" t="n">
        <x:f>IFERROR(INDEX('School District Profiles'!$H$2:$H$64,MATCH($A63,'School District Profiles'!$A$2:$A$64,0)),0)</x:f>
        <x:v>14.17</x:v>
      </x:c>
      <x:c r="Q63" s="2" t="n">
        <x:f>IFERROR(INDEX('School District Profiles'!$I$2:$I$64,MATCH($A63,'School District Profiles'!$A$2:$A$64,0)),0)</x:f>
        <x:v>130</x:v>
      </x:c>
      <x:c r="R63" s="93" t="n">
        <x:f>IFERROR(MAX(0,MIN(100,(K63-50000)/(110000-50000)*100)),0)</x:f>
        <x:v>46.666666666666664</x:v>
      </x:c>
      <x:c r="S63" s="93" t="n">
        <x:f>IFERROR(MAX(0,MIN(100,L63/0.6*100)),0)</x:f>
        <x:v>39.682539682539684</x:v>
      </x:c>
      <x:c r="T63" s="93" t="n">
        <x:f>IFERROR(MAX(0,MIN(100,M63/15000*100)),0)</x:f>
        <x:v>0</x:v>
      </x:c>
      <x:c r="U63" s="93" t="n">
        <x:f>IFERROR(0.45*R63+0.4*S63+0.15*T63,0)</x:f>
        <x:v>36.87301587301587</x:v>
      </x:c>
      <x:c r="V63" s="93" t="n">
        <x:f>IFERROR(0.4*MAX(0,MIN(100,(((J63/12)/O63)-2)/(4-2)*100))+0.35*MAX(0,MIN(100,(8-(N63/K63))/(8-3)*100))+0.25*AB63,0)</x:f>
        <x:v>68.86078205128206</x:v>
      </x:c>
      <x:c r="W63" s="93" t="n">
        <x:f>IFERROR(MAX(0,MIN(100,(25-P63)/(25-12)*100)),0)</x:f>
        <x:v>83.3076923076923</x:v>
      </x:c>
      <x:c r="X63" s="93" t="n">
        <x:f>IFERROR(MAX(0,MIN(100,(AD63-1)/(3-1)*100))*IF(OR($A63="North Clackamas School District",$A63="Provo City School District"),0.6,1),0)</x:f>
        <x:v>15.000000000000002</x:v>
      </x:c>
      <x:c r="Y63" s="93" t="n">
        <x:f>IFERROR(MAX(0,MIN(100,(1-((IFERROR(INDEX('School District Profiles'!$D$2:$D$64,MATCH($A63,'School District Profiles'!$A$2:$A$64,0)),0)/100)^2+(IFERROR(INDEX('School District Profiles'!$E$2:$E$64,MATCH($A63,'School District Profiles'!$A$2:$A$64,0)),0)/100)^2+(IFERROR(INDEX('School District Profiles'!$F$2:$F$64,MATCH($A63,'School District Profiles'!$A$2:$A$64,0)),0)/100)^2+(IFERROR(INDEX('School District Profiles'!$G$2:$G$64,MATCH($A63,'School District Profiles'!$A$2:$A$64,0)),0)/100)^2+(AC63/100)^2))/0.8*100)),0)</x:f>
        <x:v>63.32499999999999</x:v>
      </x:c>
      <x:c r="Z63" s="93" t="n">
        <x:f>IFERROR(AF63*AG63,0)</x:f>
        <x:v>51.57071019536019</x:v>
      </x:c>
      <x:c r="AA63" s="93" t="n">
        <x:f>IFERROR(INDEX('Median Home and Rent Prices'!$F$2:$F$64,MATCH($A63,'Median Home and Rent Prices'!$A$2:$A$64,0)),0)</x:f>
        <x:v>154</x:v>
      </x:c>
      <x:c r="AB63" s="93" t="n">
        <x:f>IFERROR(MAX(0,MIN(100,(800-AA63)/(800-150)*100)),0)</x:f>
        <x:v>99.38461538461539</x:v>
      </x:c>
      <x:c r="AC63" s="93" t="n">
        <x:f>IFERROR(INDEX('School District Profiles'!$J$2:$J$64,MATCH($A63,'School District Profiles'!$A$2:$A$64,0)),0)</x:f>
        <x:v>3</x:v>
      </x:c>
      <x:c r="AD63" s="93" t="n">
        <x:f>IFERROR(Q63*20/O63,0)</x:f>
        <x:v>1.3</x:v>
      </x:c>
      <x:c r="AE63" s="93" t="n">
        <x:f>IFERROR(IF(AG63&gt;=1,100,IF(AG63&gt;=0.95,75,IF(AG63&gt;=0.9,60,IF(AG63&gt;=0.85,40,IF(AG63&gt;=0.8,25,0))))),0)</x:f>
        <x:v>100</x:v>
      </x:c>
      <x:c r="AF63" s="93" t="n">
        <x:f>IFERROR(0.4*U63+0.3*V63+0.1*W63+0.1*X63+0.1*Y63,0)</x:f>
        <x:v>51.57071019536019</x:v>
      </x:c>
      <x:c r="AG63" s="6" t="n">
        <x:v>1</x:v>
      </x:c>
      <x:c r="AH63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4" ht="48" customHeight="1">
      <x:c r="A64" s="2" t="inlineStr">
        <x:is>
          <x:t xml:space="preserve">Port Arthur ISD</x:t>
        </x:is>
      </x:c>
      <x:c r="B64" s="2" t="str">
        <x:f>IFERROR(INDEX('School District Profiles'!$B$2:$B$64,MATCH($A64,'School District Profiles'!$A$2:$A$64,0)),"")</x:f>
        <x:v>TX</x:v>
      </x:c>
      <x:c r="C64" s="2" t="str">
        <x:f>IFERROR(INDEX('School District Profiles'!$C$2:$C$64,MATCH($A64,'School District Profiles'!$A$2:$A$64,0)),"")</x:f>
        <x:v>Beaumont-Port Arthur</x:v>
      </x:c>
      <x:c r="D64" s="52" t="n">
        <x:f>SUMIFS('Teacher Salary Data'!$E$2:$E$1409,'Teacher Salary Data'!$A$2:$A$1409,$A64,'Teacher Salary Data'!$C$2:$C$1409,"Bachelor's",'Teacher Salary Data'!$D$2:$D$1409,0)</x:f>
        <x:v>55500</x:v>
      </x:c>
      <x:c r="E64" s="52" t="n">
        <x:f>SUMIFS('Teacher Salary Data'!$E$2:$E$1409,'Teacher Salary Data'!$A$2:$A$1409,$A64,'Teacher Salary Data'!$C$2:$C$1409,"Bachelor's",'Teacher Salary Data'!$D$2:$D$1409,5)</x:f>
        <x:v>60500</x:v>
      </x:c>
      <x:c r="F64" s="52" t="n">
        <x:f>SUMIFS('Teacher Salary Data'!$E$2:$E$1409,'Teacher Salary Data'!$A$2:$A$1409,$A64,'Teacher Salary Data'!$C$2:$C$1409,"Bachelor's",'Teacher Salary Data'!$D$2:$D$1409,10)</x:f>
        <x:v>60500</x:v>
      </x:c>
      <x:c r="G64" s="52" t="n">
        <x:f>SUMIFS('Teacher Salary Data'!$E$2:$E$1409,'Teacher Salary Data'!$A$2:$A$1409,$A64,'Teacher Salary Data'!$C$2:$C$1409,"Master's",'Teacher Salary Data'!$D$2:$D$1409,0)</x:f>
        <x:v>56980</x:v>
      </x:c>
      <x:c r="H64" s="52" t="n">
        <x:f>SUMIFS('Teacher Salary Data'!$E$2:$E$1409,'Teacher Salary Data'!$A$2:$A$1409,$A64,'Teacher Salary Data'!$C$2:$C$1409,"Master's",'Teacher Salary Data'!$D$2:$D$1409,5)</x:f>
        <x:v>61980</x:v>
      </x:c>
      <x:c r="I64" s="52" t="n">
        <x:f>SUMIFS('Teacher Salary Data'!$E$2:$E$1409,'Teacher Salary Data'!$A$2:$A$1409,$A64,'Teacher Salary Data'!$C$2:$C$1409,"Master's",'Teacher Salary Data'!$D$2:$D$1409,10)</x:f>
        <x:v>61980</x:v>
      </x:c>
      <x:c r="J64" s="52" t="n">
        <x:f>AVERAGE(D64,G64)</x:f>
        <x:v>56240</x:v>
      </x:c>
      <x:c r="K64" s="52" t="n">
        <x:f>AVERAGE(F64,I64)</x:f>
        <x:v>61240</x:v>
      </x:c>
      <x:c r="L64" s="53" t="n">
        <x:f>IFERROR((K64-J64)/J64,0)</x:f>
        <x:v>0.08890469416785206</x:v>
      </x:c>
      <x:c r="M64" s="2" t="n">
        <x:f>G64-D64</x:f>
        <x:v>1480</x:v>
      </x:c>
      <x:c r="N64" s="52" t="n">
        <x:f>IFERROR(INDEX('Median Home and Rent Prices'!$D$2:$D$64,MATCH($A64,'Median Home and Rent Prices'!$A$2:$A$64,0)),0)</x:f>
        <x:v>154907</x:v>
      </x:c>
      <x:c r="O64" s="52" t="n">
        <x:f>IFERROR(INDEX('Median Home and Rent Prices'!$E$2:$E$64,MATCH($A64,'Median Home and Rent Prices'!$A$2:$A$64,0)),0)</x:f>
        <x:v>1331</x:v>
      </x:c>
      <x:c r="P64" s="2" t="n">
        <x:f>IFERROR(INDEX('School District Profiles'!$H$2:$H$64,MATCH($A64,'School District Profiles'!$A$2:$A$64,0)),0)</x:f>
        <x:v>13.19</x:v>
      </x:c>
      <x:c r="Q64" s="2" t="n">
        <x:f>IFERROR(INDEX('School District Profiles'!$I$2:$I$64,MATCH($A64,'School District Profiles'!$A$2:$A$64,0)),0)</x:f>
        <x:v>115</x:v>
      </x:c>
      <x:c r="R64" s="93" t="n">
        <x:f>IFERROR(MAX(0,MIN(100,(K64-50000)/(110000-50000)*100)),0)</x:f>
        <x:v>18.73333333333333</x:v>
      </x:c>
      <x:c r="S64" s="93" t="n">
        <x:f>IFERROR(MAX(0,MIN(100,L64/0.6*100)),0)</x:f>
        <x:v>14.817449027975343</x:v>
      </x:c>
      <x:c r="T64" s="93" t="n">
        <x:f>IFERROR(MAX(0,MIN(100,M64/15000*100)),0)</x:f>
        <x:v>9.866666666666667</x:v>
      </x:c>
      <x:c r="U64" s="93" t="n">
        <x:f>IFERROR(0.45*R64+0.4*S64+0.15*T64,0)</x:f>
        <x:v>15.836979611190138</x:v>
      </x:c>
      <x:c r="V64" s="93" t="n">
        <x:f>IFERROR(0.4*MAX(0,MIN(100,(((J64/12)/O64)-2)/(4-2)*100))+0.35*MAX(0,MIN(100,(8-(N64/K64))/(8-3)*100))+0.25*AB64,0)</x:f>
        <x:v>90.42324067117457</x:v>
      </x:c>
      <x:c r="W64" s="93" t="n">
        <x:f>IFERROR(MAX(0,MIN(100,(25-P64)/(25-12)*100)),0)</x:f>
        <x:v>90.84615384615385</x:v>
      </x:c>
      <x:c r="X64" s="93" t="n">
        <x:f>IFERROR(MAX(0,MIN(100,(AD64-1)/(3-1)*100))*IF(OR($A64="North Clackamas School District",$A64="Provo City School District"),0.6,1),0)</x:f>
        <x:v>36.40120210368144</x:v>
      </x:c>
      <x:c r="Y64" s="93" t="n">
        <x:f>IFERROR(MAX(0,MIN(100,(1-((IFERROR(INDEX('School District Profiles'!$D$2:$D$64,MATCH($A64,'School District Profiles'!$A$2:$A$64,0)),0)/100)^2+(IFERROR(INDEX('School District Profiles'!$E$2:$E$64,MATCH($A64,'School District Profiles'!$A$2:$A$64,0)),0)/100)^2+(IFERROR(INDEX('School District Profiles'!$F$2:$F$64,MATCH($A64,'School District Profiles'!$A$2:$A$64,0)),0)/100)^2+(IFERROR(INDEX('School District Profiles'!$G$2:$G$64,MATCH($A64,'School District Profiles'!$A$2:$A$64,0)),0)/100)^2+(AC64/100)^2))/0.8*100)),0)</x:f>
        <x:v>68.801</x:v>
      </x:c>
      <x:c r="Z64" s="93" t="n">
        <x:f>IFERROR(AF64*AG64,0)</x:f>
        <x:v>53.06659964081195</x:v>
      </x:c>
      <x:c r="AA64" s="93" t="n">
        <x:f>IFERROR(INDEX('Median Home and Rent Prices'!$F$2:$F$64,MATCH($A64,'Median Home and Rent Prices'!$A$2:$A$64,0)),0)</x:f>
        <x:v>96</x:v>
      </x:c>
      <x:c r="AB64" s="93" t="n">
        <x:f>IFERROR(MAX(0,MIN(100,(800-AA64)/(800-150)*100)),0)</x:f>
        <x:v>100</x:v>
      </x:c>
      <x:c r="AC64" s="93" t="n">
        <x:f>IFERROR(INDEX('School District Profiles'!$J$2:$J$64,MATCH($A64,'School District Profiles'!$A$2:$A$64,0)),0)</x:f>
        <x:v>1.6</x:v>
      </x:c>
      <x:c r="AD64" s="93" t="n">
        <x:f>IFERROR(Q64*20/O64,0)</x:f>
        <x:v>1.7280240420736288</x:v>
      </x:c>
      <x:c r="AE64" s="93" t="n">
        <x:f>IFERROR(IF(AG64&gt;=1,100,IF(AG64&gt;=0.95,75,IF(AG64&gt;=0.9,60,IF(AG64&gt;=0.85,40,IF(AG64&gt;=0.8,25,0))))),0)</x:f>
        <x:v>100</x:v>
      </x:c>
      <x:c r="AF64" s="93" t="n">
        <x:f>IFERROR(0.4*U64+0.3*V64+0.1*W64+0.1*X64+0.1*Y64,0)</x:f>
        <x:v>53.06659964081195</x:v>
      </x:c>
      <x:c r="AG64" s="6" t="n">
        <x:v>1</x:v>
      </x:c>
      <x:c r="AH64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5">
      <x:c r="A65" t="str">
        <x:v>Dublin City Schools</x:v>
      </x:c>
      <x:c r="B65" t="str">
        <x:v>OH</x:v>
      </x:c>
      <x:c r="C65" t="str">
        <x:v>Ohio / Columbus suburbs</x:v>
      </x:c>
      <x:c r="D65" t="n">
        <x:v>52078</x:v>
      </x:c>
      <x:c r="E65" t="n">
        <x:v>72000</x:v>
      </x:c>
      <x:c r="F65" t="n">
        <x:v>78000</x:v>
      </x:c>
      <x:c r="G65" t="n">
        <x:v>57286</x:v>
      </x:c>
      <x:c r="H65" t="n">
        <x:v>76500</x:v>
      </x:c>
      <x:c r="I65" t="n">
        <x:v>86000</x:v>
      </x:c>
      <x:c r="J65" t="n">
        <x:v>54682</x:v>
      </x:c>
      <x:c r="K65" t="n">
        <x:v>82000</x:v>
      </x:c>
      <x:c r="L65" t="n">
        <x:v>0.499579</x:v>
      </x:c>
      <x:c r="M65" t="n">
        <x:v>5208</x:v>
      </x:c>
      <x:c r="N65" t="n">
        <x:v>569539</x:v>
      </x:c>
      <x:c r="O65" t="n">
        <x:v>2300</x:v>
      </x:c>
      <x:c r="P65" t="n">
        <x:v>15</x:v>
      </x:c>
      <x:c r="Q65" t="n">
        <x:v>155</x:v>
      </x:c>
      <x:c r="R65" t="n">
        <x:v>53.3333</x:v>
      </x:c>
      <x:c r="S65" t="n">
        <x:v>83.2632</x:v>
      </x:c>
      <x:c r="T65" t="n">
        <x:v>34.72</x:v>
      </x:c>
      <x:c r="U65" t="n">
        <x:v>62.5133</x:v>
      </x:c>
      <x:c r="V65" t="n">
        <x:v>28.8424</x:v>
      </x:c>
      <x:c r="W65" t="n">
        <x:v>76.9231</x:v>
      </x:c>
      <x:c r="X65" t="n">
        <x:v>17.3913</x:v>
      </x:c>
      <x:c r="Y65" t="n">
        <x:v>100</x:v>
      </x:c>
      <x:c r="Z65" t="n">
        <x:v>53.0895</x:v>
      </x:c>
      <x:c r="AA65" t="n">
        <x:v>242</x:v>
      </x:c>
      <x:c r="AB65" t="n">
        <x:v>85.8462</x:v>
      </x:c>
      <x:c r="AC65" t="n">
        <x:v>7</x:v>
      </x:c>
      <x:c r="AD65" t="n">
        <x:v>1.3478</x:v>
      </x:c>
      <x:c r="AE65" t="n">
        <x:v>100</x:v>
      </x:c>
      <x:c r="AF65" t="n">
        <x:v>53.0895</x:v>
      </x:c>
      <x:c r="AG65" t="n">
        <x:v>1</x:v>
      </x:c>
      <x:c r="AH65" t="str">
        <x:v>No employment-stability penalty applied in this first-pass addition; verify with adopted budget, enrollment trend, board packets, and HR/union notices before final scoring.</x:v>
      </x:c>
    </x:row>
    <x:row r="66">
      <x:c r="A66" t="str">
        <x:v>Mariemont City Schools</x:v>
      </x:c>
      <x:c r="B66" t="str">
        <x:v>OH</x:v>
      </x:c>
      <x:c r="C66" t="str">
        <x:v>Ohio / Cincinnati suburbs</x:v>
      </x:c>
      <x:c r="D66" t="n">
        <x:v>51000</x:v>
      </x:c>
      <x:c r="E66" t="n">
        <x:v>62000</x:v>
      </x:c>
      <x:c r="F66" t="n">
        <x:v>74000</x:v>
      </x:c>
      <x:c r="G66" t="n">
        <x:v>56000</x:v>
      </x:c>
      <x:c r="H66" t="n">
        <x:v>68500</x:v>
      </x:c>
      <x:c r="I66" t="n">
        <x:v>82000</x:v>
      </x:c>
      <x:c r="J66" t="n">
        <x:v>53500</x:v>
      </x:c>
      <x:c r="K66" t="n">
        <x:v>78000</x:v>
      </x:c>
      <x:c r="L66" t="n">
        <x:v>0.457944</x:v>
      </x:c>
      <x:c r="M66" t="n">
        <x:v>5000</x:v>
      </x:c>
      <x:c r="N66" t="n">
        <x:v>593962</x:v>
      </x:c>
      <x:c r="O66" t="n">
        <x:v>1600</x:v>
      </x:c>
      <x:c r="P66" t="n">
        <x:v>13</x:v>
      </x:c>
      <x:c r="Q66" t="n">
        <x:v>150</x:v>
      </x:c>
      <x:c r="R66" t="n">
        <x:v>46.6667</x:v>
      </x:c>
      <x:c r="S66" t="n">
        <x:v>76.324</x:v>
      </x:c>
      <x:c r="T66" t="n">
        <x:v>33.3333</x:v>
      </x:c>
      <x:c r="U66" t="n">
        <x:v>56.5296</x:v>
      </x:c>
      <x:c r="V66" t="n">
        <x:v>37.271</x:v>
      </x:c>
      <x:c r="W66" t="n">
        <x:v>92.3077</x:v>
      </x:c>
      <x:c r="X66" t="n">
        <x:v>43.75</x:v>
      </x:c>
      <x:c r="Y66" t="n">
        <x:v>83.3</x:v>
      </x:c>
      <x:c r="Z66" t="n">
        <x:v>55.7289</x:v>
      </x:c>
      <x:c r="AA66" t="n">
        <x:v>310</x:v>
      </x:c>
      <x:c r="AB66" t="n">
        <x:v>75.3846</x:v>
      </x:c>
      <x:c r="AC66" t="n">
        <x:v>6</x:v>
      </x:c>
      <x:c r="AD66" t="n">
        <x:v>1.875</x:v>
      </x:c>
      <x:c r="AE66" t="n">
        <x:v>100</x:v>
      </x:c>
      <x:c r="AF66" t="n">
        <x:v>55.7289</x:v>
      </x:c>
      <x:c r="AG66" t="n">
        <x:v>1</x:v>
      </x:c>
      <x:c r="AH66" t="str">
        <x:v>No employment-stability penalty applied in this first-pass addition; verify with adopted budget, enrollment trend, board packets, and HR/union notices before final scoring.</x:v>
      </x:c>
    </x:row>
    <x:row r="67">
      <x:c r="A67" s="97" t="str">
        <x:v>Las Cruces Public Schools</x:v>
      </x:c>
      <x:c r="B67" s="97" t="str">
        <x:v>NM</x:v>
      </x:c>
      <x:c r="C67" s="97" t="str">
        <x:v>Southern New Mexico</x:v>
      </x:c>
      <x:c r="D67" s="97" t="n">
        <x:v>55000</x:v>
      </x:c>
      <x:c r="E67" s="97" t="n">
        <x:v>66000</x:v>
      </x:c>
      <x:c r="F67" s="97" t="n">
        <x:v>75000</x:v>
      </x:c>
      <x:c r="G67" s="97" t="n">
        <x:v>59000</x:v>
      </x:c>
      <x:c r="H67" s="97" t="n">
        <x:v>70000</x:v>
      </x:c>
      <x:c r="I67" s="97" t="n">
        <x:v>79000</x:v>
      </x:c>
      <x:c r="J67" s="97" t="n">
        <x:v>57000</x:v>
      </x:c>
      <x:c r="K67" s="97" t="n">
        <x:v>77000</x:v>
      </x:c>
      <x:c r="L67" s="97" t="n">
        <x:v>0.350877</x:v>
      </x:c>
      <x:c r="M67" s="97" t="n">
        <x:v>4000</x:v>
      </x:c>
      <x:c r="N67" s="97" t="n">
        <x:v>310000</x:v>
      </x:c>
      <x:c r="O67" s="97" t="n">
        <x:v>1450</x:v>
      </x:c>
      <x:c r="P67" s="97" t="n">
        <x:v>16.1</x:v>
      </x:c>
      <x:c r="Q67" s="97" t="n">
        <x:v>180</x:v>
      </x:c>
      <x:c r="R67" s="97" t="n">
        <x:v>45</x:v>
      </x:c>
      <x:c r="S67" s="97" t="n">
        <x:v>58.4795</x:v>
      </x:c>
      <x:c r="T67" s="97" t="n">
        <x:v>26.6667</x:v>
      </x:c>
      <x:c r="U67" s="97" t="n">
        <x:v>46.0512</x:v>
      </x:c>
      <x:c r="V67" s="97" t="n">
        <x:v>85.9528</x:v>
      </x:c>
      <x:c r="W67" s="97" t="n">
        <x:v>68.4615</x:v>
      </x:c>
      <x:c r="X67" s="97" t="n">
        <x:v>74.14</x:v>
      </x:c>
      <x:c r="Y67" s="97" t="n">
        <x:v>100</x:v>
      </x:c>
      <x:c r="Z67" s="97" t="n">
        <x:v>72.5686</x:v>
      </x:c>
      <x:c r="AA67" s="97" t="n">
        <x:v>185</x:v>
      </x:c>
      <x:c r="AB67" s="97" t="n">
        <x:v>96.9231</x:v>
      </x:c>
      <x:c r="AC67" s="97" t="n">
        <x:v>8</x:v>
      </x:c>
      <x:c r="AD67" s="97" t="n">
        <x:v>2.4828</x:v>
      </x:c>
      <x:c r="AE67" s="97" t="n">
        <x:v>100</x:v>
      </x:c>
      <x:c r="AF67" s="97" t="n">
        <x:v>72.5686</x:v>
      </x:c>
      <x:c r="AG67" s="97" t="n">
        <x:v>1</x:v>
      </x:c>
      <x:c r="AH67" s="97" t="str">
        <x:v>First-pass addition from public salary/housing sources. Verify official step placement, current sub pay, enrollment/budget stability, and district-boundary housing before final public ranking claims.</x:v>
      </x:c>
    </x:row>
    <x:row r="68">
      <x:c r="A68" s="97" t="str">
        <x:v>Rio Rancho Public Schools</x:v>
      </x:c>
      <x:c r="B68" s="97" t="str">
        <x:v>NM</x:v>
      </x:c>
      <x:c r="C68" s="97" t="str">
        <x:v>Albuquerque / Rio Rancho</x:v>
      </x:c>
      <x:c r="D68" s="97" t="n">
        <x:v>56000</x:v>
      </x:c>
      <x:c r="E68" s="97" t="n">
        <x:v>67000</x:v>
      </x:c>
      <x:c r="F68" s="97" t="n">
        <x:v>76000</x:v>
      </x:c>
      <x:c r="G68" s="97" t="n">
        <x:v>60000</x:v>
      </x:c>
      <x:c r="H68" s="97" t="n">
        <x:v>72000</x:v>
      </x:c>
      <x:c r="I68" s="97" t="n">
        <x:v>81000</x:v>
      </x:c>
      <x:c r="J68" s="97" t="n">
        <x:v>58000</x:v>
      </x:c>
      <x:c r="K68" s="97" t="n">
        <x:v>78500</x:v>
      </x:c>
      <x:c r="L68" s="97" t="n">
        <x:v>0.353448</x:v>
      </x:c>
      <x:c r="M68" s="97" t="n">
        <x:v>4000</x:v>
      </x:c>
      <x:c r="N68" s="97" t="n">
        <x:v>350000</x:v>
      </x:c>
      <x:c r="O68" s="97" t="n">
        <x:v>1650</x:v>
      </x:c>
      <x:c r="P68" s="97" t="n">
        <x:v>16.3</x:v>
      </x:c>
      <x:c r="Q68" s="97" t="n">
        <x:v>180</x:v>
      </x:c>
      <x:c r="R68" s="97" t="n">
        <x:v>47.5</x:v>
      </x:c>
      <x:c r="S68" s="97" t="n">
        <x:v>58.908</x:v>
      </x:c>
      <x:c r="T68" s="97" t="n">
        <x:v>26.6667</x:v>
      </x:c>
      <x:c r="U68" s="97" t="n">
        <x:v>47.3261</x:v>
      </x:c>
      <x:c r="V68" s="97" t="n">
        <x:v>80.4493</x:v>
      </x:c>
      <x:c r="W68" s="97" t="n">
        <x:v>66.9231</x:v>
      </x:c>
      <x:c r="X68" s="97" t="n">
        <x:v>59.09</x:v>
      </x:c>
      <x:c r="Y68" s="97" t="n">
        <x:v>100</x:v>
      </x:c>
      <x:c r="Z68" s="97" t="n">
        <x:v>70.2553</x:v>
      </x:c>
      <x:c r="AA68" s="97" t="n">
        <x:v>205</x:v>
      </x:c>
      <x:c r="AB68" s="97" t="n">
        <x:v>90.7692</x:v>
      </x:c>
      <x:c r="AC68" s="97" t="n">
        <x:v>8</x:v>
      </x:c>
      <x:c r="AD68" s="97" t="n">
        <x:v>2.1818</x:v>
      </x:c>
      <x:c r="AE68" s="97" t="n">
        <x:v>100</x:v>
      </x:c>
      <x:c r="AF68" s="97" t="n">
        <x:v>70.2553</x:v>
      </x:c>
      <x:c r="AG68" s="97" t="n">
        <x:v>1</x:v>
      </x:c>
      <x:c r="AH68" s="97" t="str">
        <x:v>First-pass addition from public salary/housing sources. Verify official step placement, current sub pay, enrollment/budget stability, and district-boundary housing before final public ranking claims.</x:v>
      </x:c>
    </x:row>
    <x:row r="69">
      <x:c r="A69" s="97" t="str">
        <x:v>Gilbert Public Schools</x:v>
      </x:c>
      <x:c r="B69" s="97" t="str">
        <x:v>AZ</x:v>
      </x:c>
      <x:c r="C69" s="97" t="str">
        <x:v>Phoenix East Valley</x:v>
      </x:c>
      <x:c r="D69" s="97" t="n">
        <x:v>53530</x:v>
      </x:c>
      <x:c r="E69" s="97" t="n">
        <x:v>65000</x:v>
      </x:c>
      <x:c r="F69" s="97" t="n">
        <x:v>70000</x:v>
      </x:c>
      <x:c r="G69" s="97" t="n">
        <x:v>58500</x:v>
      </x:c>
      <x:c r="H69" s="97" t="n">
        <x:v>70000</x:v>
      </x:c>
      <x:c r="I69" s="97" t="n">
        <x:v>75500</x:v>
      </x:c>
      <x:c r="J69" s="97" t="n">
        <x:v>56015</x:v>
      </x:c>
      <x:c r="K69" s="97" t="n">
        <x:v>72750</x:v>
      </x:c>
      <x:c r="L69" s="97" t="n">
        <x:v>0.298759</x:v>
      </x:c>
      <x:c r="M69" s="97" t="n">
        <x:v>4970</x:v>
      </x:c>
      <x:c r="N69" s="97" t="n">
        <x:v>565000</x:v>
      </x:c>
      <x:c r="O69" s="97" t="n">
        <x:v>2250</x:v>
      </x:c>
      <x:c r="P69" s="97" t="n">
        <x:v>18.1</x:v>
      </x:c>
      <x:c r="Q69" s="97" t="n">
        <x:v>150</x:v>
      </x:c>
      <x:c r="R69" s="97" t="n">
        <x:v>37.9167</x:v>
      </x:c>
      <x:c r="S69" s="97" t="n">
        <x:v>49.7932</x:v>
      </x:c>
      <x:c r="T69" s="97" t="n">
        <x:v>33.1333</x:v>
      </x:c>
      <x:c r="U69" s="97" t="n">
        <x:v>41.1168</x:v>
      </x:c>
      <x:c r="V69" s="97" t="n">
        <x:v>59.6853</x:v>
      </x:c>
      <x:c r="W69" s="97" t="n">
        <x:v>53.0769</x:v>
      </x:c>
      <x:c r="X69" s="97" t="n">
        <x:v>16.665</x:v>
      </x:c>
      <x:c r="Y69" s="97" t="n">
        <x:v>100</x:v>
      </x:c>
      <x:c r="Z69" s="97" t="n">
        <x:v>58.3021</x:v>
      </x:c>
      <x:c r="AA69" s="97" t="n">
        <x:v>285</x:v>
      </x:c>
      <x:c r="AB69" s="97" t="n">
        <x:v>66.1538</x:v>
      </x:c>
      <x:c r="AC69" s="97" t="n">
        <x:v>7</x:v>
      </x:c>
      <x:c r="AD69" s="97" t="n">
        <x:v>1.3333</x:v>
      </x:c>
      <x:c r="AE69" s="97" t="n">
        <x:v>100</x:v>
      </x:c>
      <x:c r="AF69" s="97" t="n">
        <x:v>58.3021</x:v>
      </x:c>
      <x:c r="AG69" s="97" t="n">
        <x:v>1</x:v>
      </x:c>
      <x:c r="AH69" s="97" t="str">
        <x:v>First-pass addition from public salary/housing sources. Verify official step placement, current sub pay, enrollment/budget stability, and district-boundary housing before final public ranking claims.</x:v>
      </x:c>
    </x:row>
    <x:row r="70">
      <x:c r="A70" s="97" t="str">
        <x:v>Queen Creek Unified School District</x:v>
      </x:c>
      <x:c r="B70" s="97" t="str">
        <x:v>AZ</x:v>
      </x:c>
      <x:c r="C70" s="97" t="str">
        <x:v>Phoenix Southeast Valley</x:v>
      </x:c>
      <x:c r="D70" s="97" t="n">
        <x:v>52000</x:v>
      </x:c>
      <x:c r="E70" s="97" t="n">
        <x:v>63500</x:v>
      </x:c>
      <x:c r="F70" s="97" t="n">
        <x:v>70000</x:v>
      </x:c>
      <x:c r="G70" s="97" t="n">
        <x:v>57000</x:v>
      </x:c>
      <x:c r="H70" s="97" t="n">
        <x:v>68500</x:v>
      </x:c>
      <x:c r="I70" s="97" t="n">
        <x:v>75000</x:v>
      </x:c>
      <x:c r="J70" s="97" t="n">
        <x:v>54500</x:v>
      </x:c>
      <x:c r="K70" s="97" t="n">
        <x:v>72500</x:v>
      </x:c>
      <x:c r="L70" s="97" t="n">
        <x:v>0.330275</x:v>
      </x:c>
      <x:c r="M70" s="97" t="n">
        <x:v>5000</x:v>
      </x:c>
      <x:c r="N70" s="97" t="n">
        <x:v>670000</x:v>
      </x:c>
      <x:c r="O70" s="97" t="n">
        <x:v>2450</x:v>
      </x:c>
      <x:c r="P70" s="97" t="n">
        <x:v>17.8</x:v>
      </x:c>
      <x:c r="Q70" s="97" t="n">
        <x:v>145</x:v>
      </x:c>
      <x:c r="R70" s="97" t="n">
        <x:v>37.5</x:v>
      </x:c>
      <x:c r="S70" s="97" t="n">
        <x:v>55.0458</x:v>
      </x:c>
      <x:c r="T70" s="97" t="n">
        <x:v>33.3333</x:v>
      </x:c>
      <x:c r="U70" s="97" t="n">
        <x:v>42.8077</x:v>
      </x:c>
      <x:c r="V70" s="97" t="n">
        <x:v>52.4213</x:v>
      </x:c>
      <x:c r="W70" s="97" t="n">
        <x:v>55.3846</x:v>
      </x:c>
      <x:c r="X70" s="97" t="n">
        <x:v>9.185</x:v>
      </x:c>
      <x:c r="Y70" s="97" t="n">
        <x:v>100</x:v>
      </x:c>
      <x:c r="Z70" s="97" t="n">
        <x:v>56.9239</x:v>
      </x:c>
      <x:c r="AA70" s="97" t="n">
        <x:v>300</x:v>
      </x:c>
      <x:c r="AB70" s="97" t="n">
        <x:v>61.5385</x:v>
      </x:c>
      <x:c r="AC70" s="97" t="n">
        <x:v>6</x:v>
      </x:c>
      <x:c r="AD70" s="97" t="n">
        <x:v>1.1837</x:v>
      </x:c>
      <x:c r="AE70" s="97" t="n">
        <x:v>100</x:v>
      </x:c>
      <x:c r="AF70" s="97" t="n">
        <x:v>56.9239</x:v>
      </x:c>
      <x:c r="AG70" s="97" t="n">
        <x:v>1</x:v>
      </x:c>
      <x:c r="AH70" s="97" t="str">
        <x:v>First-pass addition from public salary/housing sources. Verify official step placement, current sub pay, enrollment/budget stability, and district-boundary housing before final public ranking claims.</x:v>
      </x:c>
    </x:row>
    <x:row r="71">
      <x:c r="A71" s="97" t="str">
        <x:v>Vail School District</x:v>
      </x:c>
      <x:c r="B71" s="97" t="str">
        <x:v>AZ</x:v>
      </x:c>
      <x:c r="C71" s="97" t="str">
        <x:v>Tucson / Vail</x:v>
      </x:c>
      <x:c r="D71" s="97" t="n">
        <x:v>50250</x:v>
      </x:c>
      <x:c r="E71" s="97" t="n">
        <x:v>62000</x:v>
      </x:c>
      <x:c r="F71" s="97" t="n">
        <x:v>69500</x:v>
      </x:c>
      <x:c r="G71" s="97" t="n">
        <x:v>55250</x:v>
      </x:c>
      <x:c r="H71" s="97" t="n">
        <x:v>67000</x:v>
      </x:c>
      <x:c r="I71" s="97" t="n">
        <x:v>75500</x:v>
      </x:c>
      <x:c r="J71" s="97" t="n">
        <x:v>52750</x:v>
      </x:c>
      <x:c r="K71" s="97" t="n">
        <x:v>72500</x:v>
      </x:c>
      <x:c r="L71" s="97" t="n">
        <x:v>0.374408</x:v>
      </x:c>
      <x:c r="M71" s="97" t="n">
        <x:v>5000</x:v>
      </x:c>
      <x:c r="N71" s="97" t="n">
        <x:v>370000</x:v>
      </x:c>
      <x:c r="O71" s="97" t="n">
        <x:v>1700</x:v>
      </x:c>
      <x:c r="P71" s="97" t="n">
        <x:v>18</x:v>
      </x:c>
      <x:c r="Q71" s="97" t="n">
        <x:v>140</x:v>
      </x:c>
      <x:c r="R71" s="97" t="n">
        <x:v>37.5</x:v>
      </x:c>
      <x:c r="S71" s="97" t="n">
        <x:v>62.4013</x:v>
      </x:c>
      <x:c r="T71" s="97" t="n">
        <x:v>33.3333</x:v>
      </x:c>
      <x:c r="U71" s="97" t="n">
        <x:v>45.3821</x:v>
      </x:c>
      <x:c r="V71" s="97" t="n">
        <x:v>78.1399</x:v>
      </x:c>
      <x:c r="W71" s="97" t="n">
        <x:v>53.8462</x:v>
      </x:c>
      <x:c r="X71" s="97" t="n">
        <x:v>32.355</x:v>
      </x:c>
      <x:c r="Y71" s="97" t="n">
        <x:v>100</x:v>
      </x:c>
      <x:c r="Z71" s="97" t="n">
        <x:v>65.1318</x:v>
      </x:c>
      <x:c r="AA71" s="97" t="n">
        <x:v>220</x:v>
      </x:c>
      <x:c r="AB71" s="97" t="n">
        <x:v>86.1538</x:v>
      </x:c>
      <x:c r="AC71" s="97" t="n">
        <x:v>8</x:v>
      </x:c>
      <x:c r="AD71" s="97" t="n">
        <x:v>1.6471</x:v>
      </x:c>
      <x:c r="AE71" s="97" t="n">
        <x:v>100</x:v>
      </x:c>
      <x:c r="AF71" s="97" t="n">
        <x:v>65.1318</x:v>
      </x:c>
      <x:c r="AG71" s="97" t="n">
        <x:v>1</x:v>
      </x:c>
      <x:c r="AH71" s="97" t="str">
        <x:v>First-pass addition from public salary/housing sources. Verify official step placement, current sub pay, enrollment/budget stability, and district-boundary housing before final public ranking claims.</x:v>
      </x:c>
    </x:row>
    <x:row r="72">
      <x:c r="A72" s="97" t="str">
        <x:v>West Ada School District</x:v>
      </x:c>
      <x:c r="B72" s="97" t="str">
        <x:v>ID</x:v>
      </x:c>
      <x:c r="C72" s="97" t="str">
        <x:v>Boise / Meridian</x:v>
      </x:c>
      <x:c r="D72" s="97" t="n">
        <x:v>50252</x:v>
      </x:c>
      <x:c r="E72" s="97" t="n">
        <x:v>61000</x:v>
      </x:c>
      <x:c r="F72" s="97" t="n">
        <x:v>68500</x:v>
      </x:c>
      <x:c r="G72" s="97" t="n">
        <x:v>56000</x:v>
      </x:c>
      <x:c r="H72" s="97" t="n">
        <x:v>67500</x:v>
      </x:c>
      <x:c r="I72" s="97" t="n">
        <x:v>77500</x:v>
      </x:c>
      <x:c r="J72" s="97" t="n">
        <x:v>53126</x:v>
      </x:c>
      <x:c r="K72" s="97" t="n">
        <x:v>73000</x:v>
      </x:c>
      <x:c r="L72" s="97" t="n">
        <x:v>0.374092</x:v>
      </x:c>
      <x:c r="M72" s="97" t="n">
        <x:v>5748</x:v>
      </x:c>
      <x:c r="N72" s="97" t="n">
        <x:v>525000</x:v>
      </x:c>
      <x:c r="O72" s="97" t="n">
        <x:v>1850</x:v>
      </x:c>
      <x:c r="P72" s="97" t="n">
        <x:v>18.9</x:v>
      </x:c>
      <x:c r="Q72" s="97" t="n">
        <x:v>125</x:v>
      </x:c>
      <x:c r="R72" s="97" t="n">
        <x:v>38.3333</x:v>
      </x:c>
      <x:c r="S72" s="97" t="n">
        <x:v>62.3487</x:v>
      </x:c>
      <x:c r="T72" s="97" t="n">
        <x:v>38.32</x:v>
      </x:c>
      <x:c r="U72" s="97" t="n">
        <x:v>46.736</x:v>
      </x:c>
      <x:c r="V72" s="97" t="n">
        <x:v>68.4965</x:v>
      </x:c>
      <x:c r="W72" s="97" t="n">
        <x:v>46.9231</x:v>
      </x:c>
      <x:c r="X72" s="97" t="n">
        <x:v>17.57</x:v>
      </x:c>
      <x:c r="Y72" s="97" t="n">
        <x:v>90</x:v>
      </x:c>
      <x:c r="Z72" s="97" t="n">
        <x:v>60.0062</x:v>
      </x:c>
      <x:c r="AA72" s="97" t="n">
        <x:v>260</x:v>
      </x:c>
      <x:c r="AB72" s="97" t="n">
        <x:v>73.8462</x:v>
      </x:c>
      <x:c r="AC72" s="97" t="n">
        <x:v>7</x:v>
      </x:c>
      <x:c r="AD72" s="97" t="n">
        <x:v>1.3514</x:v>
      </x:c>
      <x:c r="AE72" s="97" t="n">
        <x:v>100</x:v>
      </x:c>
      <x:c r="AF72" s="97" t="n">
        <x:v>60.0062</x:v>
      </x:c>
      <x:c r="AG72" s="97" t="n">
        <x:v>1</x:v>
      </x:c>
      <x:c r="AH72" s="97" t="str">
        <x:v>First-pass addition from public salary/housing sources. Verify official step placement, current sub pay, enrollment/budget stability, and district-boundary housing before final public ranking claims.</x:v>
      </x:c>
    </x:row>
    <x:row r="73">
      <x:c r="A73" s="97" t="str">
        <x:v>Twin Falls School District</x:v>
      </x:c>
      <x:c r="B73" s="97" t="str">
        <x:v>ID</x:v>
      </x:c>
      <x:c r="C73" s="97" t="str">
        <x:v>Magic Valley</x:v>
      </x:c>
      <x:c r="D73" s="97" t="n">
        <x:v>50252</x:v>
      </x:c>
      <x:c r="E73" s="97" t="n">
        <x:v>59000</x:v>
      </x:c>
      <x:c r="F73" s="97" t="n">
        <x:v>66000</x:v>
      </x:c>
      <x:c r="G73" s="97" t="n">
        <x:v>56000</x:v>
      </x:c>
      <x:c r="H73" s="97" t="n">
        <x:v>66000</x:v>
      </x:c>
      <x:c r="I73" s="97" t="n">
        <x:v>73500</x:v>
      </x:c>
      <x:c r="J73" s="97" t="n">
        <x:v>53126</x:v>
      </x:c>
      <x:c r="K73" s="97" t="n">
        <x:v>69750</x:v>
      </x:c>
      <x:c r="L73" s="97" t="n">
        <x:v>0.312916</x:v>
      </x:c>
      <x:c r="M73" s="97" t="n">
        <x:v>5748</x:v>
      </x:c>
      <x:c r="N73" s="97" t="n">
        <x:v>370000</x:v>
      </x:c>
      <x:c r="O73" s="97" t="n">
        <x:v>1450</x:v>
      </x:c>
      <x:c r="P73" s="97" t="n">
        <x:v>17.2</x:v>
      </x:c>
      <x:c r="Q73" s="97" t="n">
        <x:v>125</x:v>
      </x:c>
      <x:c r="R73" s="97" t="n">
        <x:v>32.9167</x:v>
      </x:c>
      <x:c r="S73" s="97" t="n">
        <x:v>52.1527</x:v>
      </x:c>
      <x:c r="T73" s="97" t="n">
        <x:v>38.32</x:v>
      </x:c>
      <x:c r="U73" s="97" t="n">
        <x:v>40.73</x:v>
      </x:c>
      <x:c r="V73" s="97" t="n">
        <x:v>82.1976</x:v>
      </x:c>
      <x:c r="W73" s="97" t="n">
        <x:v>60</x:v>
      </x:c>
      <x:c r="X73" s="97" t="n">
        <x:v>36.205</x:v>
      </x:c>
      <x:c r="Y73" s="97" t="n">
        <x:v>100</x:v>
      </x:c>
      <x:c r="Z73" s="97" t="n">
        <x:v>65.3155</x:v>
      </x:c>
      <x:c r="AA73" s="97" t="n">
        <x:v>215</x:v>
      </x:c>
      <x:c r="AB73" s="97" t="n">
        <x:v>87.6923</x:v>
      </x:c>
      <x:c r="AC73" s="97" t="n">
        <x:v>7</x:v>
      </x:c>
      <x:c r="AD73" s="97" t="n">
        <x:v>1.7241</x:v>
      </x:c>
      <x:c r="AE73" s="97" t="n">
        <x:v>100</x:v>
      </x:c>
      <x:c r="AF73" s="97" t="n">
        <x:v>65.3155</x:v>
      </x:c>
      <x:c r="AG73" s="97" t="n">
        <x:v>1</x:v>
      </x:c>
      <x:c r="AH73" s="97" t="str">
        <x:v>First-pass addition from public salary/housing sources. Verify official step placement, current sub pay, enrollment/budget stability, and district-boundary housing before final public ranking claims.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</x:v>
      </x:c>
      <x:c r="D74" s="97" t="n">
        <x:v>63000</x:v>
      </x:c>
      <x:c r="E74" s="97" t="n">
        <x:v>70500</x:v>
      </x:c>
      <x:c r="F74" s="97" t="n">
        <x:v>78000</x:v>
      </x:c>
      <x:c r="G74" s="97" t="n">
        <x:v>68000</x:v>
      </x:c>
      <x:c r="H74" s="97" t="n">
        <x:v>78000</x:v>
      </x:c>
      <x:c r="I74" s="97" t="n">
        <x:v>88000</x:v>
      </x:c>
      <x:c r="J74" s="97" t="n">
        <x:v>65500</x:v>
      </x:c>
      <x:c r="K74" s="97" t="n">
        <x:v>83000</x:v>
      </x:c>
      <x:c r="L74" s="97" t="n">
        <x:v>0.267176</x:v>
      </x:c>
      <x:c r="M74" s="97" t="n">
        <x:v>5000</x:v>
      </x:c>
      <x:c r="N74" s="97" t="n">
        <x:v>550000</x:v>
      </x:c>
      <x:c r="O74" s="97" t="n">
        <x:v>1850</x:v>
      </x:c>
      <x:c r="P74" s="97" t="n">
        <x:v>17.4</x:v>
      </x:c>
      <x:c r="Q74" s="97" t="n">
        <x:v>150</x:v>
      </x:c>
      <x:c r="R74" s="97" t="n">
        <x:v>55</x:v>
      </x:c>
      <x:c r="S74" s="97" t="n">
        <x:v>44.5293</x:v>
      </x:c>
      <x:c r="T74" s="97" t="n">
        <x:v>33.3333</x:v>
      </x:c>
      <x:c r="U74" s="97" t="n">
        <x:v>47.0019</x:v>
      </x:c>
      <x:c r="V74" s="97" t="n">
        <x:v>65.2395</x:v>
      </x:c>
      <x:c r="W74" s="97" t="n">
        <x:v>58.4615</x:v>
      </x:c>
      <x:c r="X74" s="97" t="n">
        <x:v>31.08</x:v>
      </x:c>
      <x:c r="Y74" s="97" t="n">
        <x:v>100</x:v>
      </x:c>
      <x:c r="Z74" s="97" t="n">
        <x:v>57.9051</x:v>
      </x:c>
      <x:c r="AA74" s="97" t="n">
        <x:v>300</x:v>
      </x:c>
      <x:c r="AB74" s="97" t="n">
        <x:v>61.5385</x:v>
      </x:c>
      <x:c r="AC74" s="97" t="n">
        <x:v>9</x:v>
      </x:c>
      <x:c r="AD74" s="97" t="n">
        <x:v>1.6216</x:v>
      </x:c>
      <x:c r="AE74" s="97" t="n">
        <x:v>75</x:v>
      </x:c>
      <x:c r="AF74" s="97" t="n">
        <x:v>60.9527</x:v>
      </x:c>
      <x:c r="AG74" s="97" t="n">
        <x:v>0.95</x:v>
      </x:c>
      <x:c r="AH74" s="97" t="str">
        <x:v>First-pass addition from public salary/housing sources. Verify official step placement, current sub pay, enrollment/budget stability, and district-boundary housing before final public ranking claims.</x:v>
      </x:c>
    </x:row>
    <x:row r="75">
      <x:c r="A75" s="97" t="str">
        <x:v>Kern High School District</x:v>
      </x:c>
      <x:c r="B75" s="97" t="str">
        <x:v>CA</x:v>
      </x:c>
      <x:c r="C75" s="97" t="str">
        <x:v>Central Valley / Bakersfield</x:v>
      </x:c>
      <x:c r="D75" s="97" t="n">
        <x:v>64147</x:v>
      </x:c>
      <x:c r="E75" s="97" t="n">
        <x:v>67705</x:v>
      </x:c>
      <x:c r="F75" s="97" t="n">
        <x:v>80601</x:v>
      </x:c>
      <x:c r="G75" s="97" t="n">
        <x:v>68844</x:v>
      </x:c>
      <x:c r="H75" s="97" t="n">
        <x:v>81740</x:v>
      </x:c>
      <x:c r="I75" s="97" t="n">
        <x:v>94638</x:v>
      </x:c>
      <x:c r="J75" s="97" t="n">
        <x:v>66495.5</x:v>
      </x:c>
      <x:c r="K75" s="97" t="n">
        <x:v>87619.5</x:v>
      </x:c>
      <x:c r="L75" s="97" t="n">
        <x:v>0.3176756321856366</x:v>
      </x:c>
      <x:c r="M75" s="97" t="n">
        <x:v>4697</x:v>
      </x:c>
      <x:c r="N75" s="97" t="n">
        <x:v>395000</x:v>
      </x:c>
      <x:c r="O75" s="97" t="n">
        <x:v>1695</x:v>
      </x:c>
      <x:c r="P75" s="97" t="n">
        <x:v>21.5</x:v>
      </x:c>
      <x:c r="Q75" s="97" t="n">
        <x:v>200</x:v>
      </x:c>
      <x:c r="R75" s="97" t="n">
        <x:v>62.69916666666666</x:v>
      </x:c>
      <x:c r="S75" s="97" t="n">
        <x:v>52.945938697606096</x:v>
      </x:c>
      <x:c r="T75" s="97" t="n">
        <x:v>31.313333333333333</x:v>
      </x:c>
      <x:c r="U75" s="97" t="n">
        <x:v>54.090000479042445</x:v>
      </x:c>
      <x:c r="V75" s="97" t="n">
        <x:v>76.804</x:v>
      </x:c>
      <x:c r="W75" s="97" t="n">
        <x:v>26.9231</x:v>
      </x:c>
      <x:c r="X75" s="97" t="n">
        <x:v>67.995</x:v>
      </x:c>
      <x:c r="Y75" s="97" t="n">
        <x:v>90</x:v>
      </x:c>
      <x:c r="Z75" s="97" t="n">
        <x:v>63.16901019161698</x:v>
      </x:c>
      <x:c r="AA75" s="97" t="n">
        <x:v>230</x:v>
      </x:c>
      <x:c r="AB75" s="97" t="n">
        <x:v>83.0769</x:v>
      </x:c>
      <x:c r="AC75" s="97" t="n">
        <x:v>3</x:v>
      </x:c>
      <x:c r="AD75" s="97" t="n">
        <x:v>2.3599</x:v>
      </x:c>
      <x:c r="AE75" s="97" t="n">
        <x:v>100</x:v>
      </x:c>
      <x:c r="AF75" s="97" t="n">
        <x:v>63.16901019161698</x:v>
      </x:c>
      <x:c r="AG75" s="97" t="n">
        <x:v>1</x:v>
      </x:c>
      <x:c r="AH75" s="97" t="str">
        <x:v>Corrected 2025-26 Kern High School District salary schedule using uploaded certificated base salary schedule; BA mapped to Class I without masters and Master's mapped to Class III with masters. Housing, sub pay, demographics, and stability unchanged from prior pass.</x:v>
      </x:c>
    </x:row>
    <x:row r="76">
      <x:c r="A76" s="97" t="str">
        <x:v>Clovis Unified School District</x:v>
      </x:c>
      <x:c r="B76" s="97" t="str">
        <x:v>CA</x:v>
      </x:c>
      <x:c r="C76" s="97" t="str">
        <x:v>Central Valley / Fresno-Clovis</x:v>
      </x:c>
      <x:c r="D76" s="97" t="n">
        <x:v>60822</x:v>
      </x:c>
      <x:c r="E76" s="97" t="n">
        <x:v>76800</x:v>
      </x:c>
      <x:c r="F76" s="97" t="n">
        <x:v>92800</x:v>
      </x:c>
      <x:c r="G76" s="97" t="n">
        <x:v>65822</x:v>
      </x:c>
      <x:c r="H76" s="97" t="n">
        <x:v>84300</x:v>
      </x:c>
      <x:c r="I76" s="97" t="n">
        <x:v>102800</x:v>
      </x:c>
      <x:c r="J76" s="97" t="n">
        <x:v>63322</x:v>
      </x:c>
      <x:c r="K76" s="97" t="n">
        <x:v>97800</x:v>
      </x:c>
      <x:c r="L76" s="97" t="n">
        <x:v>0.544487</x:v>
      </x:c>
      <x:c r="M76" s="97" t="n">
        <x:v>5000</x:v>
      </x:c>
      <x:c r="N76" s="97" t="n">
        <x:v>505000</x:v>
      </x:c>
      <x:c r="O76" s="97" t="n">
        <x:v>1900</x:v>
      </x:c>
      <x:c r="P76" s="97" t="n">
        <x:v>22.8</x:v>
      </x:c>
      <x:c r="Q76" s="97" t="n">
        <x:v>210</x:v>
      </x:c>
      <x:c r="R76" s="97" t="n">
        <x:v>79.6667</x:v>
      </x:c>
      <x:c r="S76" s="97" t="n">
        <x:v>90.7478</x:v>
      </x:c>
      <x:c r="T76" s="97" t="n">
        <x:v>33.3333</x:v>
      </x:c>
      <x:c r="U76" s="97" t="n">
        <x:v>74.2784</x:v>
      </x:c>
      <x:c r="V76" s="97" t="n">
        <x:v>68.3829</x:v>
      </x:c>
      <x:c r="W76" s="97" t="n">
        <x:v>16.9231</x:v>
      </x:c>
      <x:c r="X76" s="97" t="n">
        <x:v>60.525</x:v>
      </x:c>
      <x:c r="Y76" s="97" t="n">
        <x:v>100</x:v>
      </x:c>
      <x:c r="Z76" s="97" t="n">
        <x:v>72.4188</x:v>
      </x:c>
      <x:c r="AA76" s="97" t="n">
        <x:v>260</x:v>
      </x:c>
      <x:c r="AB76" s="97" t="n">
        <x:v>73.8462</x:v>
      </x:c>
      <x:c r="AC76" s="97" t="n">
        <x:v>11</x:v>
      </x:c>
      <x:c r="AD76" s="97" t="n">
        <x:v>2.2105</x:v>
      </x:c>
      <x:c r="AE76" s="97" t="n">
        <x:v>100</x:v>
      </x:c>
      <x:c r="AF76" s="97" t="n">
        <x:v>72.4188</x:v>
      </x:c>
      <x:c r="AG76" s="97" t="n">
        <x:v>1</x:v>
      </x:c>
      <x:c r="AH76" s="97" t="str">
        <x:v>First-pass addition from public salary/housing sources. Verify official step placement, current sub pay, enrollment/budget stability, and district-boundary housing before final public ranking claims.</x:v>
      </x:c>
    </x:row>
    <x:row r="77">
      <x:c r="A77" t="str">
        <x:v>Hobbs Municipal Schools</x:v>
      </x:c>
      <x:c r="B77" t="str">
        <x:v>NM</x:v>
      </x:c>
      <x:c r="C77" t="str">
        <x:v>Southeast New Mexico</x:v>
      </x:c>
      <x:c r="D77" t="n">
        <x:v>63024</x:v>
      </x:c>
      <x:c r="E77" t="n">
        <x:v>65178</x:v>
      </x:c>
      <x:c r="F77" t="n">
        <x:v>72786</x:v>
      </x:c>
      <x:c r="G77" t="n">
        <x:v>73022</x:v>
      </x:c>
      <x:c r="H77" t="n">
        <x:v>73263</x:v>
      </x:c>
      <x:c r="I77" t="n">
        <x:v>75724</x:v>
      </x:c>
      <x:c r="J77" t="n">
        <x:v>68023</x:v>
      </x:c>
      <x:c r="K77" t="n">
        <x:v>74255</x:v>
      </x:c>
      <x:c r="L77" t="n">
        <x:v>0.09161607103479708</x:v>
      </x:c>
      <x:c r="M77" t="n">
        <x:v>9998</x:v>
      </x:c>
      <x:c r="N77" t="n">
        <x:v>240000</x:v>
      </x:c>
      <x:c r="O77" t="n">
        <x:v>1250</x:v>
      </x:c>
      <x:c r="P77" t="n">
        <x:v>17</x:v>
      </x:c>
      <x:c r="Q77" t="n">
        <x:v>150</x:v>
      </x:c>
      <x:c r="R77" t="n">
        <x:v>40.425</x:v>
      </x:c>
      <x:c r="S77" t="n">
        <x:v>15.2693</x:v>
      </x:c>
      <x:c r="T77" t="n">
        <x:v>66.6533</x:v>
      </x:c>
      <x:c r="U77" t="n">
        <x:v>34.297</x:v>
      </x:c>
      <x:c r="V77" t="n">
        <x:v>98.3753</x:v>
      </x:c>
      <x:c r="W77" t="n">
        <x:v>61.5385</x:v>
      </x:c>
      <x:c r="X77" t="n">
        <x:v>70</x:v>
      </x:c>
      <x:c r="Y77" t="n">
        <x:v>75</x:v>
      </x:c>
      <x:c r="Z77" t="n">
        <x:v>63.8852</x:v>
      </x:c>
      <x:c r="AA77" t="n">
        <x:v>150</x:v>
      </x:c>
      <x:c r="AB77" t="n">
        <x:v>100</x:v>
      </x:c>
      <x:c r="AC77" t="n">
        <x:v>4</x:v>
      </x:c>
      <x:c r="AD77" t="n">
        <x:v>2.4</x:v>
      </x:c>
      <x:c r="AE77" t="n">
        <x:v>100</x:v>
      </x:c>
      <x:c r="AF77" t="n">
        <x:v>63.8852</x:v>
      </x:c>
      <x:c r="AG77" t="n">
        <x:v>1</x:v>
      </x:c>
      <x:c r="AH77" t="str">
        <x:v>Salary schedule uses Level 1 for BA and Level 2 for MA/progression proxy. Verify NM licensure-level mapping before final ranking.</x:v>
      </x:c>
    </x:row>
    <x:row r="78">
      <x:c r="A78" t="str">
        <x:v>Farmington Municipal Schools</x:v>
      </x:c>
      <x:c r="B78" t="str">
        <x:v>NM</x:v>
      </x:c>
      <x:c r="C78" t="str">
        <x:v>Four Corners New Mexico</x:v>
      </x:c>
      <x:c r="D78" t="n">
        <x:v>57231</x:v>
      </x:c>
      <x:c r="E78" t="n">
        <x:v>57504</x:v>
      </x:c>
      <x:c r="F78" t="n">
        <x:v>70272</x:v>
      </x:c>
      <x:c r="G78" t="n">
        <x:v>58838</x:v>
      </x:c>
      <x:c r="H78" t="n">
        <x:v>59110</x:v>
      </x:c>
      <x:c r="I78" t="n">
        <x:v>72195</x:v>
      </x:c>
      <x:c r="J78" t="n">
        <x:v>58034.5</x:v>
      </x:c>
      <x:c r="K78" t="n">
        <x:v>71233.5</x:v>
      </x:c>
      <x:c r="L78" t="n">
        <x:v>0.22743368168933986</x:v>
      </x:c>
      <x:c r="M78" t="n">
        <x:v>1607</x:v>
      </x:c>
      <x:c r="N78" t="n">
        <x:v>285000</x:v>
      </x:c>
      <x:c r="O78" t="n">
        <x:v>1350</x:v>
      </x:c>
      <x:c r="P78" t="n">
        <x:v>17.5</x:v>
      </x:c>
      <x:c r="Q78" t="n">
        <x:v>140</x:v>
      </x:c>
      <x:c r="R78" t="n">
        <x:v>35.3892</x:v>
      </x:c>
      <x:c r="S78" t="n">
        <x:v>37.9056</x:v>
      </x:c>
      <x:c r="T78" t="n">
        <x:v>10.7133</x:v>
      </x:c>
      <x:c r="U78" t="n">
        <x:v>32.6944</x:v>
      </x:c>
      <x:c r="V78" t="n">
        <x:v>83.6795</x:v>
      </x:c>
      <x:c r="W78" t="n">
        <x:v>57.6923</x:v>
      </x:c>
      <x:c r="X78" t="n">
        <x:v>53.7037</x:v>
      </x:c>
      <x:c r="Y78" t="n">
        <x:v>80</x:v>
      </x:c>
      <x:c r="Z78" t="n">
        <x:v>57.3212</x:v>
      </x:c>
      <x:c r="AA78" t="n">
        <x:v>175</x:v>
      </x:c>
      <x:c r="AB78" t="n">
        <x:v>96.1538</x:v>
      </x:c>
      <x:c r="AC78" t="n">
        <x:v>15</x:v>
      </x:c>
      <x:c r="AD78" t="n">
        <x:v>2.0741</x:v>
      </x:c>
      <x:c r="AE78" t="n">
        <x:v>100</x:v>
      </x:c>
      <x:c r="AF78" t="n">
        <x:v>57.3212</x:v>
      </x:c>
      <x:c r="AG78" t="n">
        <x:v>1</x:v>
      </x:c>
      <x:c r="AH78" t="str">
        <x:v>Official teacher schedule extracted. BA uses BA01; MA uses MA01. Sub pay/housing/demographics remain first-pass.</x:v>
      </x:c>
    </x:row>
    <x:row r="79">
      <x:c r="A79" t="str">
        <x:v>Carlsbad Municipal Schools</x:v>
      </x:c>
      <x:c r="B79" t="str">
        <x:v>NM</x:v>
      </x:c>
      <x:c r="C79" t="str">
        <x:v>Southeast New Mexico</x:v>
      </x:c>
      <x:c r="D79" t="n">
        <x:v>60000</x:v>
      </x:c>
      <x:c r="E79" t="n">
        <x:v>65000</x:v>
      </x:c>
      <x:c r="F79" t="n">
        <x:v>73500</x:v>
      </x:c>
      <x:c r="G79" t="n">
        <x:v>64000</x:v>
      </x:c>
      <x:c r="H79" t="n">
        <x:v>70000</x:v>
      </x:c>
      <x:c r="I79" t="n">
        <x:v>79000</x:v>
      </x:c>
      <x:c r="J79" t="n">
        <x:v>62000</x:v>
      </x:c>
      <x:c r="K79" t="n">
        <x:v>76250</x:v>
      </x:c>
      <x:c r="L79" t="n">
        <x:v>0.22983870967741926</x:v>
      </x:c>
      <x:c r="M79" t="n">
        <x:v>4000</x:v>
      </x:c>
      <x:c r="N79" t="n">
        <x:v>290000</x:v>
      </x:c>
      <x:c r="O79" t="n">
        <x:v>1450</x:v>
      </x:c>
      <x:c r="P79" t="n">
        <x:v>16.5</x:v>
      </x:c>
      <x:c r="Q79" t="n">
        <x:v>150</x:v>
      </x:c>
      <x:c r="R79" t="n">
        <x:v>43.75</x:v>
      </x:c>
      <x:c r="S79" t="n">
        <x:v>38.3065</x:v>
      </x:c>
      <x:c r="T79" t="n">
        <x:v>26.6667</x:v>
      </x:c>
      <x:c r="U79" t="n">
        <x:v>39.0101</x:v>
      </x:c>
      <x:c r="V79" t="n">
        <x:v>84.2953</x:v>
      </x:c>
      <x:c r="W79" t="n">
        <x:v>65.3846</x:v>
      </x:c>
      <x:c r="X79" t="n">
        <x:v>53.4483</x:v>
      </x:c>
      <x:c r="Y79" t="n">
        <x:v>80</x:v>
      </x:c>
      <x:c r="Z79" t="n">
        <x:v>60.7759</x:v>
      </x:c>
      <x:c r="AA79" t="n">
        <x:v>185</x:v>
      </x:c>
      <x:c r="AB79" t="n">
        <x:v>94.6154</x:v>
      </x:c>
      <x:c r="AC79" t="n">
        <x:v>5</x:v>
      </x:c>
      <x:c r="AD79" t="n">
        <x:v>2.069</x:v>
      </x:c>
      <x:c r="AE79" t="n">
        <x:v>100</x:v>
      </x:c>
      <x:c r="AF79" t="n">
        <x:v>60.7759</x:v>
      </x:c>
      <x:c r="AG79" t="n">
        <x:v>1</x:v>
      </x:c>
      <x:c r="AH79" t="str">
        <x:v>Salary source located as district Google Sheet, but teacher tab did not extract cleanly in this pass; salary values are first-pass NM schedule estimates and must be audited.</x:v>
      </x:c>
    </x:row>
    <x:row r="80">
      <x:c r="A80" t="str">
        <x:v>Chaffey Joint Union High School District</x:v>
      </x:c>
      <x:c r="B80" t="str">
        <x:v>CA</x:v>
      </x:c>
      <x:c r="C80" t="str">
        <x:v>Inland Empire / San Bernardino County</x:v>
      </x:c>
      <x:c r="D80" t="n">
        <x:v>66385</x:v>
      </x:c>
      <x:c r="E80" t="n">
        <x:v>86301</x:v>
      </x:c>
      <x:c r="F80" t="n">
        <x:v>106216</x:v>
      </x:c>
      <x:c r="G80" t="n">
        <x:v>80326</x:v>
      </x:c>
      <x:c r="H80" t="n">
        <x:v>100241</x:v>
      </x:c>
      <x:c r="I80" t="n">
        <x:v>120157</x:v>
      </x:c>
      <x:c r="J80" t="n">
        <x:v>73355.5</x:v>
      </x:c>
      <x:c r="K80" t="n">
        <x:v>113186.5</x:v>
      </x:c>
      <x:c r="L80" t="n">
        <x:v>0.54298587018015</x:v>
      </x:c>
      <x:c r="M80" t="n">
        <x:v>13941</x:v>
      </x:c>
      <x:c r="N80" t="n">
        <x:v>675000</x:v>
      </x:c>
      <x:c r="O80" t="n">
        <x:v>2600</x:v>
      </x:c>
      <x:c r="P80" t="n">
        <x:v>22.5</x:v>
      </x:c>
      <x:c r="Q80" t="n">
        <x:v>180</x:v>
      </x:c>
      <x:c r="R80" t="n">
        <x:v>100</x:v>
      </x:c>
      <x:c r="S80" t="n">
        <x:v>90.4976</x:v>
      </x:c>
      <x:c r="T80" t="n">
        <x:v>92.94</x:v>
      </x:c>
      <x:c r="U80" t="n">
        <x:v>95.1401</x:v>
      </x:c>
      <x:c r="V80" t="n">
        <x:v>35.8929</x:v>
      </x:c>
      <x:c r="W80" t="n">
        <x:v>19.2308</x:v>
      </x:c>
      <x:c r="X80" t="n">
        <x:v>19.2308</x:v>
      </x:c>
      <x:c r="Y80" t="n">
        <x:v>65</x:v>
      </x:c>
      <x:c r="Z80" t="n">
        <x:v>59.17</x:v>
      </x:c>
      <x:c r="AA80" t="n">
        <x:v>420</x:v>
      </x:c>
      <x:c r="AB80" t="n">
        <x:v>58.4615</x:v>
      </x:c>
      <x:c r="AC80" t="n">
        <x:v>4</x:v>
      </x:c>
      <x:c r="AD80" t="n">
        <x:v>1.3846</x:v>
      </x:c>
      <x:c r="AE80" t="n">
        <x:v>100</x:v>
      </x:c>
      <x:c r="AF80" t="n">
        <x:v>59.17</x:v>
      </x:c>
      <x:c r="AG80" t="n">
        <x:v>1</x:v>
      </x:c>
      <x:c r="AH80" t="str">
        <x:v>Official salary schedule extracted. BA maps to Class A; MA maps to Class D. High Hispanic concentration triggers demographic-balance caution.</x:v>
      </x:c>
    </x:row>
    <x:row r="81">
      <x:c r="A81" t="str">
        <x:v>Antelope Valley Union High School District</x:v>
      </x:c>
      <x:c r="B81" t="str">
        <x:v>CA</x:v>
      </x:c>
      <x:c r="C81" t="str">
        <x:v>Northern Los Angeles County / Antelope Valley</x:v>
      </x:c>
      <x:c r="D81" t="n">
        <x:v>64000</x:v>
      </x:c>
      <x:c r="E81" t="n">
        <x:v>80000</x:v>
      </x:c>
      <x:c r="F81" t="n">
        <x:v>94000</x:v>
      </x:c>
      <x:c r="G81" t="n">
        <x:v>70000</x:v>
      </x:c>
      <x:c r="H81" t="n">
        <x:v>89000</x:v>
      </x:c>
      <x:c r="I81" t="n">
        <x:v>105000</x:v>
      </x:c>
      <x:c r="J81" t="n">
        <x:v>67000</x:v>
      </x:c>
      <x:c r="K81" t="n">
        <x:v>99500</x:v>
      </x:c>
      <x:c r="L81" t="n">
        <x:v>0.4850746268656716</x:v>
      </x:c>
      <x:c r="M81" t="n">
        <x:v>6000</x:v>
      </x:c>
      <x:c r="N81" t="n">
        <x:v>470000</x:v>
      </x:c>
      <x:c r="O81" t="n">
        <x:v>2050</x:v>
      </x:c>
      <x:c r="P81" t="n">
        <x:v>21.5</x:v>
      </x:c>
      <x:c r="Q81" t="n">
        <x:v>230</x:v>
      </x:c>
      <x:c r="R81" t="n">
        <x:v>82.5</x:v>
      </x:c>
      <x:c r="S81" t="n">
        <x:v>80.8458</x:v>
      </x:c>
      <x:c r="T81" t="n">
        <x:v>40</x:v>
      </x:c>
      <x:c r="U81" t="n">
        <x:v>75.4633</x:v>
      </x:c>
      <x:c r="V81" t="n">
        <x:v>57.2139</x:v>
      </x:c>
      <x:c r="W81" t="n">
        <x:v>26.9231</x:v>
      </x:c>
      <x:c r="X81" t="n">
        <x:v>62.1951</x:v>
      </x:c>
      <x:c r="Y81" t="n">
        <x:v>70</x:v>
      </x:c>
      <x:c r="Z81" t="n">
        <x:v>63.2613</x:v>
      </x:c>
      <x:c r="AA81" t="n">
        <x:v>285</x:v>
      </x:c>
      <x:c r="AB81" t="n">
        <x:v>79.2308</x:v>
      </x:c>
      <x:c r="AC81" t="n">
        <x:v>2</x:v>
      </x:c>
      <x:c r="AD81" t="n">
        <x:v>2.2439</x:v>
      </x:c>
      <x:c r="AE81" t="n">
        <x:v>100</x:v>
      </x:c>
      <x:c r="AF81" t="n">
        <x:v>63.2613</x:v>
      </x:c>
      <x:c r="AG81" t="n">
        <x:v>1</x:v>
      </x:c>
      <x:c r="AH81" t="str">
        <x:v>Agreement confirms 2025-26 schedule exists and 3% increase over 2024-25; exact table did not extract cleanly. Sub pay source shows $230-$280; this entry uses $230.</x:v>
      </x:c>
    </x:row>
    <x:row r="82">
      <x:c r="A82" t="str">
        <x:v>Grossmont Union High School District</x:v>
      </x:c>
      <x:c r="B82" t="str">
        <x:v>CA</x:v>
      </x:c>
      <x:c r="C82" t="str">
        <x:v>San Diego County / East County</x:v>
      </x:c>
      <x:c r="D82" t="n">
        <x:v>66000</x:v>
      </x:c>
      <x:c r="E82" t="n">
        <x:v>84000</x:v>
      </x:c>
      <x:c r="F82" t="n">
        <x:v>98000</x:v>
      </x:c>
      <x:c r="G82" t="n">
        <x:v>76000</x:v>
      </x:c>
      <x:c r="H82" t="n">
        <x:v>94000</x:v>
      </x:c>
      <x:c r="I82" t="n">
        <x:v>110000</x:v>
      </x:c>
      <x:c r="J82" t="n">
        <x:v>71000</x:v>
      </x:c>
      <x:c r="K82" t="n">
        <x:v>104000</x:v>
      </x:c>
      <x:c r="L82" t="n">
        <x:v>0.46478873239436624</x:v>
      </x:c>
      <x:c r="M82" t="n">
        <x:v>10000</x:v>
      </x:c>
      <x:c r="N82" t="n">
        <x:v>760000</x:v>
      </x:c>
      <x:c r="O82" t="n">
        <x:v>2600</x:v>
      </x:c>
      <x:c r="P82" t="n">
        <x:v>22</x:v>
      </x:c>
      <x:c r="Q82" t="n">
        <x:v>180</x:v>
      </x:c>
      <x:c r="R82" t="n">
        <x:v>90</x:v>
      </x:c>
      <x:c r="S82" t="n">
        <x:v>77.4648</x:v>
      </x:c>
      <x:c r="T82" t="n">
        <x:v>66.6667</x:v>
      </x:c>
      <x:c r="U82" t="n">
        <x:v>81.4859</x:v>
      </x:c>
      <x:c r="V82" t="n">
        <x:v>21.8974</x:v>
      </x:c>
      <x:c r="W82" t="n">
        <x:v>23.0769</x:v>
      </x:c>
      <x:c r="X82" t="n">
        <x:v>19.2308</x:v>
      </x:c>
      <x:c r="Y82" t="n">
        <x:v>78</x:v>
      </x:c>
      <x:c r="Z82" t="n">
        <x:v>51.1944</x:v>
      </x:c>
      <x:c r="AA82" t="n">
        <x:v>500</x:v>
      </x:c>
      <x:c r="AB82" t="n">
        <x:v>46.1538</x:v>
      </x:c>
      <x:c r="AC82" t="n">
        <x:v>11</x:v>
      </x:c>
      <x:c r="AD82" t="n">
        <x:v>1.3846</x:v>
      </x:c>
      <x:c r="AE82" t="n">
        <x:v>100</x:v>
      </x:c>
      <x:c r="AF82" t="n">
        <x:v>51.1944</x:v>
      </x:c>
      <x:c r="AG82" t="n">
        <x:v>1</x:v>
      </x:c>
      <x:c r="AH82" t="str">
        <x:v>Official 2025-26 salary-schedule page located, but table did not extract cleanly in this pass; salary and sub pay are first-pass estimates requiring audit.</x:v>
      </x:c>
    </x:row>
    <x:row r="83">
      <x:c r="A83" t="str">
        <x:v>Clear Creek ISD</x:v>
      </x:c>
      <x:c r="B83" t="str">
        <x:v>TX</x:v>
      </x:c>
      <x:c r="C83" t="str">
        <x:v>Houston / Bay Area</x:v>
      </x:c>
      <x:c r="D83" t="n">
        <x:v>64000</x:v>
      </x:c>
      <x:c r="E83" t="n">
        <x:v>67500</x:v>
      </x:c>
      <x:c r="F83" t="n">
        <x:v>69780</x:v>
      </x:c>
      <x:c r="G83" t="n">
        <x:v>65000</x:v>
      </x:c>
      <x:c r="H83" t="n">
        <x:v>68500</x:v>
      </x:c>
      <x:c r="I83" t="n">
        <x:v>70780</x:v>
      </x:c>
      <x:c r="J83" t="n">
        <x:v>64500</x:v>
      </x:c>
      <x:c r="K83" t="n">
        <x:v>70280</x:v>
      </x:c>
      <x:c r="L83" t="n">
        <x:v>0.08961240310077523</x:v>
      </x:c>
      <x:c r="M83" t="n">
        <x:v>1000</x:v>
      </x:c>
      <x:c r="N83" t="n">
        <x:v>390000</x:v>
      </x:c>
      <x:c r="O83" t="n">
        <x:v>1700</x:v>
      </x:c>
      <x:c r="P83" t="n">
        <x:v>14.5</x:v>
      </x:c>
      <x:c r="Q83" t="n">
        <x:v>125</x:v>
      </x:c>
      <x:c r="R83" t="n">
        <x:v>33.8</x:v>
      </x:c>
      <x:c r="S83" t="n">
        <x:v>14.9354</x:v>
      </x:c>
      <x:c r="T83" t="n">
        <x:v>6.6667</x:v>
      </x:c>
      <x:c r="U83" t="n">
        <x:v>22.1842</x:v>
      </x:c>
      <x:c r="V83" t="n">
        <x:v>63.8522</x:v>
      </x:c>
      <x:c r="W83" t="n">
        <x:v>80.7692</x:v>
      </x:c>
      <x:c r="X83" t="n">
        <x:v>23.5294</x:v>
      </x:c>
      <x:c r="Y83" t="n">
        <x:v>80</x:v>
      </x:c>
      <x:c r="Z83" t="n">
        <x:v>46.4592</x:v>
      </x:c>
      <x:c r="AA83" t="n">
        <x:v>190</x:v>
      </x:c>
      <x:c r="AB83" t="n">
        <x:v>93.8462</x:v>
      </x:c>
      <x:c r="AC83" t="n">
        <x:v>7</x:v>
      </x:c>
      <x:c r="AD83" t="n">
        <x:v>1.4706</x:v>
      </x:c>
      <x:c r="AE83" t="n">
        <x:v>100</x:v>
      </x:c>
      <x:c r="AF83" t="n">
        <x:v>46.4592</x:v>
      </x:c>
      <x:c r="AG83" t="n">
        <x:v>1</x:v>
      </x:c>
      <x:c r="AH83" t="str">
        <x:v>Official salary schedule extracted. Bachelor and master values come from the published 2025-26 table. Sub pay is first-pass and needs district confirmation.</x:v>
      </x:c>
    </x:row>
    <x:row r="84">
      <x:c r="A84" t="str">
        <x:v>Pearland ISD</x:v>
      </x:c>
      <x:c r="B84" t="str">
        <x:v>TX</x:v>
      </x:c>
      <x:c r="C84" t="str">
        <x:v>Houston / Brazoria County</x:v>
      </x:c>
      <x:c r="D84" t="n">
        <x:v>64250</x:v>
      </x:c>
      <x:c r="E84" t="n">
        <x:v>70000</x:v>
      </x:c>
      <x:c r="F84" t="n">
        <x:v>76000</x:v>
      </x:c>
      <x:c r="G84" t="n">
        <x:v>65650</x:v>
      </x:c>
      <x:c r="H84" t="n">
        <x:v>71400</x:v>
      </x:c>
      <x:c r="I84" t="n">
        <x:v>77400</x:v>
      </x:c>
      <x:c r="J84" t="n">
        <x:v>64950</x:v>
      </x:c>
      <x:c r="K84" t="n">
        <x:v>76700</x:v>
      </x:c>
      <x:c r="L84" t="n">
        <x:v>0.18090839107005396</x:v>
      </x:c>
      <x:c r="M84" t="n">
        <x:v>1400</x:v>
      </x:c>
      <x:c r="N84" t="n">
        <x:v>385000</x:v>
      </x:c>
      <x:c r="O84" t="n">
        <x:v>1800</x:v>
      </x:c>
      <x:c r="P84" t="n">
        <x:v>14</x:v>
      </x:c>
      <x:c r="Q84" t="n">
        <x:v>105</x:v>
      </x:c>
      <x:c r="R84" t="n">
        <x:v>44.5</x:v>
      </x:c>
      <x:c r="S84" t="n">
        <x:v>30.1514</x:v>
      </x:c>
      <x:c r="T84" t="n">
        <x:v>9.3333</x:v>
      </x:c>
      <x:c r="U84" t="n">
        <x:v>33.4856</x:v>
      </x:c>
      <x:c r="V84" t="n">
        <x:v>64.6558</x:v>
      </x:c>
      <x:c r="W84" t="n">
        <x:v>84.6154</x:v>
      </x:c>
      <x:c r="X84" t="n">
        <x:v>8.3333</x:v>
      </x:c>
      <x:c r="Y84" t="n">
        <x:v>78</x:v>
      </x:c>
      <x:c r="Z84" t="n">
        <x:v>49.8858</x:v>
      </x:c>
      <x:c r="AA84" t="n">
        <x:v>185</x:v>
      </x:c>
      <x:c r="AB84" t="n">
        <x:v>94.6154</x:v>
      </x:c>
      <x:c r="AC84" t="n">
        <x:v>4</x:v>
      </x:c>
      <x:c r="AD84" t="n">
        <x:v>1.1667</x:v>
      </x:c>
      <x:c r="AE84" t="n">
        <x:v>100</x:v>
      </x:c>
      <x:c r="AF84" t="n">
        <x:v>49.8858</x:v>
      </x:c>
      <x:c r="AG84" t="n">
        <x:v>1</x:v>
      </x:c>
      <x:c r="AH84" t="str">
        <x:v>Pearland publishes min/control/max rather than a traditional experience schedule; BA 5-year uses control point, MA adds $1,400 stipend. 10-year is a simplified placement estimate.</x:v>
      </x:c>
    </x:row>
    <x:row r="85">
      <x:c r="A85" t="str">
        <x:v>Anoka-Hennepin Schools</x:v>
      </x:c>
      <x:c r="B85" t="str">
        <x:v>MN</x:v>
      </x:c>
      <x:c r="C85" t="str">
        <x:v>Twin Cities North Metro</x:v>
      </x:c>
      <x:c r="D85" t="n">
        <x:v>53864</x:v>
      </x:c>
      <x:c r="E85" t="n">
        <x:v>61000</x:v>
      </x:c>
      <x:c r="F85" t="n">
        <x:v>73000</x:v>
      </x:c>
      <x:c r="G85" t="n">
        <x:v>63291</x:v>
      </x:c>
      <x:c r="H85" t="n">
        <x:v>71000</x:v>
      </x:c>
      <x:c r="I85" t="n">
        <x:v>90000</x:v>
      </x:c>
      <x:c r="J85" t="n">
        <x:v>58577.5</x:v>
      </x:c>
      <x:c r="K85" t="n">
        <x:v>81500</x:v>
      </x:c>
      <x:c r="L85" t="n">
        <x:v>0.3913191925227264</x:v>
      </x:c>
      <x:c r="M85" t="n">
        <x:v>9427</x:v>
      </x:c>
      <x:c r="N85" t="n">
        <x:v>375000</x:v>
      </x:c>
      <x:c r="O85" t="n">
        <x:v>1500</x:v>
      </x:c>
      <x:c r="P85" t="n">
        <x:v>17.4</x:v>
      </x:c>
      <x:c r="Q85" t="n">
        <x:v>200</x:v>
      </x:c>
      <x:c r="R85" t="n">
        <x:v>52.5</x:v>
      </x:c>
      <x:c r="S85" t="n">
        <x:v>65.2199</x:v>
      </x:c>
      <x:c r="T85" t="n">
        <x:v>62.8467</x:v>
      </x:c>
      <x:c r="U85" t="n">
        <x:v>59.1399</x:v>
      </x:c>
      <x:c r="V85" t="n">
        <x:v>72.3391</x:v>
      </x:c>
      <x:c r="W85" t="n">
        <x:v>58.4615</x:v>
      </x:c>
      <x:c r="X85" t="n">
        <x:v>83.3333</x:v>
      </x:c>
      <x:c r="Y85" t="n">
        <x:v>82</x:v>
      </x:c>
      <x:c r="Z85" t="n">
        <x:v>67.7372</x:v>
      </x:c>
      <x:c r="AA85" t="n">
        <x:v>190</x:v>
      </x:c>
      <x:c r="AB85" t="n">
        <x:v>93.8462</x:v>
      </x:c>
      <x:c r="AC85" t="n">
        <x:v>7</x:v>
      </x:c>
      <x:c r="AD85" t="n">
        <x:v>2.6667</x:v>
      </x:c>
      <x:c r="AE85" t="n">
        <x:v>100</x:v>
      </x:c>
      <x:c r="AF85" t="n">
        <x:v>67.7372</x:v>
      </x:c>
      <x:c r="AG85" t="n">
        <x:v>1</x:v>
      </x:c>
      <x:c r="AH85" t="str">
        <x:v>Official contract and sub-pay pages located; exact salary table did not extract cleanly. Starting BA/MA values use public job/schedule references; later steps are first-pass estimates.</x:v>
      </x:c>
    </x:row>
    <x:row r="86">
      <x:c r="A86" t="str">
        <x:v>Osseo Area Schools / ISD 279</x:v>
      </x:c>
      <x:c r="B86" t="str">
        <x:v>MN</x:v>
      </x:c>
      <x:c r="C86" t="str">
        <x:v>Twin Cities Northwest Metro</x:v>
      </x:c>
      <x:c r="D86" t="n">
        <x:v>53073</x:v>
      </x:c>
      <x:c r="E86" t="n">
        <x:v>57376</x:v>
      </x:c>
      <x:c r="F86" t="n">
        <x:v>67097</x:v>
      </x:c>
      <x:c r="G86" t="n">
        <x:v>64423</x:v>
      </x:c>
      <x:c r="H86" t="n">
        <x:v>70721</x:v>
      </x:c>
      <x:c r="I86" t="n">
        <x:v>85795</x:v>
      </x:c>
      <x:c r="J86" t="n">
        <x:v>58748</x:v>
      </x:c>
      <x:c r="K86" t="n">
        <x:v>76446</x:v>
      </x:c>
      <x:c r="L86" t="n">
        <x:v>0.3012528086062505</x:v>
      </x:c>
      <x:c r="M86" t="n">
        <x:v>11350</x:v>
      </x:c>
      <x:c r="N86" t="n">
        <x:v>400000</x:v>
      </x:c>
      <x:c r="O86" t="n">
        <x:v>1600</x:v>
      </x:c>
      <x:c r="P86" t="n">
        <x:v>16.8</x:v>
      </x:c>
      <x:c r="Q86" t="n">
        <x:v>200</x:v>
      </x:c>
      <x:c r="R86" t="n">
        <x:v>44.0767</x:v>
      </x:c>
      <x:c r="S86" t="n">
        <x:v>50.2088</x:v>
      </x:c>
      <x:c r="T86" t="n">
        <x:v>75.6667</x:v>
      </x:c>
      <x:c r="U86" t="n">
        <x:v>51.268</x:v>
      </x:c>
      <x:c r="V86" t="n">
        <x:v>63.8379</x:v>
      </x:c>
      <x:c r="W86" t="n">
        <x:v>63.0769</x:v>
      </x:c>
      <x:c r="X86" t="n">
        <x:v>75</x:v>
      </x:c>
      <x:c r="Y86" t="n">
        <x:v>80</x:v>
      </x:c>
      <x:c r="Z86" t="n">
        <x:v>61.4663</x:v>
      </x:c>
      <x:c r="AA86" t="n">
        <x:v>195</x:v>
      </x:c>
      <x:c r="AB86" t="n">
        <x:v>93.0769</x:v>
      </x:c>
      <x:c r="AC86" t="n">
        <x:v>9</x:v>
      </x:c>
      <x:c r="AD86" t="n">
        <x:v>2.5</x:v>
      </x:c>
      <x:c r="AE86" t="n">
        <x:v>100</x:v>
      </x:c>
      <x:c r="AF86" t="n">
        <x:v>61.4663</x:v>
      </x:c>
      <x:c r="AG86" t="n">
        <x:v>1</x:v>
      </x:c>
      <x:c r="AH86" t="str">
        <x:v>Official salary schedule extracted. BA maps to Lane 1; MA maps to Lane 5. Years 0-2 use Step A because the agreement groups beginning years together.</x:v>
      </x:c>
    </x:row>
  </x:sheetData>
  <x:conditionalFormatting sqref="R2:R42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R2:X13 Z2:Z13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S2:S42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2:T42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U2:U42">
    <x:cfRule type="colorScale" priority="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2:V42">
    <x:cfRule type="colorScale" priority="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W2:W42">
    <x:cfRule type="colorScale" priority="1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X2:X42">
    <x:cfRule type="colorScale" priority="1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42">
    <x:cfRule type="colorScale" priority="1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42">
    <x:cfRule type="colorScale" priority="1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53">
    <x:cfRule type="colorScale" priority="17">
      <x:colorScale>
        <x:cfvo type="min"/>
        <x:cfvo type="percentile" val="50"/>
        <x:cfvo type="max"/>
        <x:color rgb="FFFCA5A5"/>
        <x:color rgb="FFFDE68A"/>
        <x:color rgb="FFBBF7D0"/>
      </x:colorScale>
    </x:cfRule>
  </x:conditionalFormatting>
  <x:conditionalFormatting sqref="Z2:Z58">
    <x:cfRule type="colorScale" priority="1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B2:AB42">
    <x:cfRule type="colorScale" priority="1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3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E2:AE35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42">
    <x:cfRule type="colorScale" priority="1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F2:AF42">
    <x:cfRule type="colorScale" priority="1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36" customWidth="1"/>
    <x:col min="3" max="3" width="62" customWidth="1"/>
    <x:col min="4" max="5" width="12" customWidth="1"/>
    <x:col min="6" max="6" width="40" customWidth="1"/>
  </x:cols>
  <x:sheetData>
    <x:row r="1">
      <x:c r="A1" s="73" t="inlineStr">
        <x:is>
          <x:t xml:space="preserve">Benchmark-Based Scoring System</x:t>
        </x:is>
      </x:c>
      <x:c r="B1" s="74" t="n"/>
      <x:c r="C1" s="74" t="n"/>
      <x:c r="D1" s="74" t="n"/>
      <x:c r="E1" s="74" t="n"/>
      <x:c r="F1" s="75" t="n"/>
    </x:row>
    <x:row r="2" ht="48" customHeight="1">
      <x:c r="A2" s="61" t="inlineStr">
        <x:is>
          <x:t xml:space="preserve">Purpose</x:t>
        </x:is>
      </x:c>
      <x:c r="B2" s="61" t="inlineStr">
        <x:is>
          <x:t xml:space="preserve">Replaces relative normalization with fixed real-world benchmarks so scores stay stable when new districts are added.</x:t>
        </x:is>
      </x:c>
      <x:c r="C2" s="61" t="inlineStr">
        <x:is>
          <x:t xml:space="preserve"/>
        </x:is>
      </x:c>
      <x:c r="D2" s="61" t="inlineStr">
        <x:is>
          <x:t xml:space="preserve"/>
        </x:is>
      </x:c>
      <x:c r="E2" s="61" t="inlineStr">
        <x:is>
          <x:t xml:space="preserve"/>
        </x:is>
      </x:c>
      <x:c r="F2" s="61" t="inlineStr">
        <x:is>
          <x:t xml:space="preserve"/>
        </x:is>
      </x:c>
    </x:row>
    <x:row r="3" ht="16" customHeight="1">
      <x:c r="A3" s="61" t="inlineStr">
        <x:is>
          <x:t xml:space="preserve">Updated</x:t>
        </x:is>
      </x:c>
      <x:c r="B3" s="61" t="inlineStr">
        <x:is>
          <x:t xml:space="preserve">2026-06-16</x:t>
        </x:is>
      </x:c>
      <x:c r="C3" s="61" t="inlineStr">
        <x:is>
          <x:t xml:space="preserve"/>
        </x:is>
      </x:c>
      <x:c r="D3" s="61" t="inlineStr">
        <x:is>
          <x:t xml:space="preserve"/>
        </x:is>
      </x:c>
      <x:c r="E3" s="61" t="inlineStr">
        <x:is>
          <x:t xml:space="preserve"/>
        </x:is>
      </x:c>
      <x:c r="F3" s="61" t="inlineStr">
        <x:is>
          <x:t xml:space="preserve"/>
        </x:is>
      </x:c>
    </x:row>
    <x:row r="4" ht="16" customHeight="1">
      <x:c r="A4" s="61" t="inlineStr">
        <x:is>
          <x:t xml:space="preserve"/>
        </x:is>
      </x:c>
      <x:c r="B4" s="61" t="inlineStr">
        <x:is>
          <x:t xml:space="preserve"/>
        </x:is>
      </x:c>
      <x:c r="C4" s="61" t="inlineStr">
        <x:is>
          <x:t xml:space="preserve"/>
        </x:is>
      </x:c>
      <x:c r="D4" s="61" t="inlineStr">
        <x:is>
          <x:t xml:space="preserve"/>
        </x:is>
      </x:c>
      <x:c r="E4" s="61" t="inlineStr">
        <x:is>
          <x:t xml:space="preserve"/>
        </x:is>
      </x:c>
      <x:c r="F4" s="61" t="inlineStr">
        <x:is>
          <x:t xml:space="preserve"/>
        </x:is>
      </x:c>
    </x:row>
    <x:row r="5" ht="16" customHeight="1">
      <x:c r="A5" s="62" t="inlineStr">
        <x:is>
          <x:t xml:space="preserve">Score Component</x:t>
        </x:is>
      </x:c>
      <x:c r="B5" s="62" t="inlineStr">
        <x:is>
          <x:t xml:space="preserve">Old Method</x:t>
        </x:is>
      </x:c>
      <x:c r="C5" s="62" t="inlineStr">
        <x:is>
          <x:t xml:space="preserve">New Formula / Benchmark</x:t>
        </x:is>
      </x:c>
      <x:c r="D5" s="62" t="inlineStr">
        <x:is>
          <x:t xml:space="preserve">Floor</x:t>
        </x:is>
      </x:c>
      <x:c r="E5" s="62" t="inlineStr">
        <x:is>
          <x:t xml:space="preserve">Ceiling</x:t>
        </x:is>
      </x:c>
      <x:c r="F5" s="62" t="inlineStr">
        <x:is>
          <x:t xml:space="preserve">Notes</x:t>
        </x:is>
      </x:c>
    </x:row>
    <x:row r="6" ht="32" customHeight="1">
      <x:c r="A6" s="61" t="inlineStr">
        <x:is>
          <x:t xml:space="preserve">Salary Level Score</x:t>
        </x:is>
      </x:c>
      <x:c r="B6" s="61" t="inlineStr">
        <x:is>
          <x:t xml:space="preserve">Relative normalization of Avg 10-Year Salary against current workbook min/max</x:t>
        </x:is>
      </x:c>
      <x:c r="C6" s="61" t="inlineStr">
        <x:is>
          <x:t xml:space="preserve">Avg 10-Year Salary: $50,000 = 0; $110,000 = 100</x:t>
        </x:is>
      </x:c>
      <x:c r="D6" s="61" t="n">
        <x:v>50000</x:v>
      </x:c>
      <x:c r="E6" s="61" t="n">
        <x:v>110000</x:v>
      </x:c>
      <x:c r="F6" s="61" t="inlineStr">
        <x:is>
          <x:t xml:space="preserve">Uses column K</x:t>
        </x:is>
      </x:c>
    </x:row>
    <x:row r="7" ht="32" customHeight="1">
      <x:c r="A7" s="61" t="inlineStr">
        <x:is>
          <x:t xml:space="preserve">Growth Score</x:t>
        </x:is>
      </x:c>
      <x:c r="B7" s="61" t="inlineStr">
        <x:is>
          <x:t xml:space="preserve">Relative normalization of Avg Growth % against current workbook min/max</x:t>
        </x:is>
      </x:c>
      <x:c r="C7" s="61" t="inlineStr">
        <x:is>
          <x:t xml:space="preserve">Avg Growth %: 0% = 0; 60% = 100</x:t>
        </x:is>
      </x:c>
      <x:c r="D7" s="61" t="n">
        <x:v>0</x:v>
      </x:c>
      <x:c r="E7" s="61" t="n">
        <x:v>0.6</x:v>
      </x:c>
      <x:c r="F7" s="61" t="inlineStr">
        <x:is>
          <x:t xml:space="preserve">Uses column L</x:t>
        </x:is>
      </x:c>
    </x:row>
    <x:row r="8" ht="48" customHeight="1">
      <x:c r="A8" s="61" t="inlineStr">
        <x:is>
          <x:t xml:space="preserve">Master's Premium Score</x:t>
        </x:is>
      </x:c>
      <x:c r="B8" s="61" t="inlineStr">
        <x:is>
          <x:t xml:space="preserve">Relative normalization of Master's Premium against current workbook min/max</x:t>
        </x:is>
      </x:c>
      <x:c r="C8" s="61" t="inlineStr">
        <x:is>
          <x:t xml:space="preserve">Master's Premium: $0 = 0; $15,000 = 100</x:t>
        </x:is>
      </x:c>
      <x:c r="D8" s="61" t="n">
        <x:v>0</x:v>
      </x:c>
      <x:c r="E8" s="61" t="n">
        <x:v>15000</x:v>
      </x:c>
      <x:c r="F8" s="61" t="inlineStr">
        <x:is>
          <x:t xml:space="preserve">Uses column M</x:t>
        </x:is>
      </x:c>
    </x:row>
    <x:row r="9" ht="32" customHeight="1">
      <x:c r="A9" s="61" t="inlineStr">
        <x:is>
          <x:t xml:space="preserve">Salary Score</x:t>
        </x:is>
      </x:c>
      <x:c r="B9" s="61" t="inlineStr">
        <x:is>
          <x:t xml:space="preserve">Weighted blend of salary level, growth, and master's premium</x:t>
        </x:is>
      </x:c>
      <x:c r="C9" s="61" t="inlineStr">
        <x:is>
          <x:t xml:space="preserve">Unchanged weight blend: 45% salary level + 40% growth + 15% master's premium</x:t>
        </x:is>
      </x:c>
      <x:c r="D9" s="61" t="inlineStr">
        <x:is>
          <x:t xml:space="preserve"/>
        </x:is>
      </x:c>
      <x:c r="E9" s="61" t="inlineStr">
        <x:is>
          <x:t xml:space="preserve"/>
        </x:is>
      </x:c>
      <x:c r="F9" s="61" t="inlineStr">
        <x:is>
          <x:t xml:space="preserve">Uses R, S, T</x:t>
        </x:is>
      </x:c>
    </x:row>
    <x:row r="10" ht="16" customHeight="1">
      <x:c r="A10" s="61" t="inlineStr">
        <x:is>
          <x:t xml:space="preserve">Rent Affordability Component</x:t>
        </x:is>
      </x:c>
      <x:c r="B10" s="61" t="inlineStr">
        <x:is>
          <x:t xml:space="preserve">Relative normalization of median rent</x:t>
        </x:is>
      </x:c>
      <x:c r="C10" s="61" t="inlineStr">
        <x:is>
          <x:t xml:space="preserve">Monthly Avg Start Salary ÷ Median Rent: 2.0 = 0; 4.0 = 100</x:t>
        </x:is>
      </x:c>
      <x:c r="D10" s="61" t="n">
        <x:v>2</x:v>
      </x:c>
      <x:c r="E10" s="61" t="n">
        <x:v>4</x:v>
      </x:c>
      <x:c r="F10" s="61" t="inlineStr">
        <x:is>
          <x:t xml:space="preserve">Embedded inside Affordability Score</x:t>
        </x:is>
      </x:c>
    </x:row>
    <x:row r="11" ht="32" customHeight="1">
      <x:c r="A11" s="61" t="inlineStr">
        <x:is>
          <x:t xml:space="preserve">Home Affordability Component</x:t>
        </x:is>
      </x:c>
      <x:c r="B11" s="61" t="inlineStr">
        <x:is>
          <x:t xml:space="preserve">Relative normalization of median home price</x:t>
        </x:is>
      </x:c>
      <x:c r="C11" s="61" t="inlineStr">
        <x:is>
          <x:t xml:space="preserve">Median Home Price ÷ Avg 10-Year Salary: 8.0 = 0; 3.0 = 100</x:t>
        </x:is>
      </x:c>
      <x:c r="D11" s="61" t="n">
        <x:v>8</x:v>
      </x:c>
      <x:c r="E11" s="61" t="n">
        <x:v>3</x:v>
      </x:c>
      <x:c r="F11" s="61" t="inlineStr">
        <x:is>
          <x:t xml:space="preserve">Embedded inside Affordability Score</x:t>
        </x:is>
      </x:c>
    </x:row>
    <x:row r="12" ht="16" customHeight="1">
      <x:c r="A12" s="61" t="inlineStr">
        <x:is>
          <x:t xml:space="preserve">Price per Sq Ft Score</x:t>
        </x:is>
      </x:c>
      <x:c r="B12" s="61" t="inlineStr">
        <x:is>
          <x:t xml:space="preserve">Relative normalization of price per sq ft</x:t>
        </x:is>
      </x:c>
      <x:c r="C12" s="61" t="inlineStr">
        <x:is>
          <x:t xml:space="preserve">Price per Sq Ft: $800 = 0; $150 = 100</x:t>
        </x:is>
      </x:c>
      <x:c r="D12" s="61" t="n">
        <x:v>800</x:v>
      </x:c>
      <x:c r="E12" s="61" t="n">
        <x:v>150</x:v>
      </x:c>
      <x:c r="F12" s="61" t="inlineStr">
        <x:is>
          <x:t xml:space="preserve">Uses column AA</x:t>
        </x:is>
      </x:c>
    </x:row>
    <x:row r="13" ht="32" customHeight="1">
      <x:c r="A13" s="61" t="inlineStr">
        <x:is>
          <x:t xml:space="preserve">Affordability Score</x:t>
        </x:is>
      </x:c>
      <x:c r="B13" s="61" t="inlineStr">
        <x:is>
          <x:t xml:space="preserve">Weighted blend of relative rent/home/price per sq ft scores</x:t>
        </x:is>
      </x:c>
      <x:c r="C13" s="61" t="inlineStr">
        <x:is>
          <x:t xml:space="preserve">40% rent affordability + 35% home affordability + 25% price per sq ft</x:t>
        </x:is>
      </x:c>
      <x:c r="D13" s="61" t="inlineStr">
        <x:is>
          <x:t xml:space="preserve"/>
        </x:is>
      </x:c>
      <x:c r="E13" s="61" t="inlineStr">
        <x:is>
          <x:t xml:space="preserve"/>
        </x:is>
      </x:c>
      <x:c r="F13" s="61" t="inlineStr">
        <x:is>
          <x:t xml:space="preserve">Uses benchmark components</x:t>
        </x:is>
      </x:c>
    </x:row>
    <x:row r="14" ht="32" customHeight="1">
      <x:c r="A14" s="61" t="inlineStr">
        <x:is>
          <x:t xml:space="preserve">Student-Teacher Ratio Score</x:t>
        </x:is>
      </x:c>
      <x:c r="B14" s="61" t="inlineStr">
        <x:is>
          <x:t xml:space="preserve">Relative normalization of student-teacher ratio</x:t>
        </x:is>
      </x:c>
      <x:c r="C14" s="61" t="inlineStr">
        <x:is>
          <x:t xml:space="preserve">12 or lower = 100; 25 or higher = 0</x:t>
        </x:is>
      </x:c>
      <x:c r="D14" s="61" t="n">
        <x:v>12</x:v>
      </x:c>
      <x:c r="E14" s="61" t="n">
        <x:v>25</x:v>
      </x:c>
      <x:c r="F14" s="61" t="inlineStr">
        <x:is>
          <x:t xml:space="preserve">Lower ratio is better</x:t>
        </x:is>
      </x:c>
    </x:row>
    <x:row r="15" ht="32" customHeight="1">
      <x:c r="A15" s="61" t="inlineStr">
        <x:is>
          <x:t xml:space="preserve">Sub Pay Score</x:t>
        </x:is>
      </x:c>
      <x:c r="B15" s="61" t="inlineStr">
        <x:is>
          <x:t xml:space="preserve">Relative normalization of Sub Pay Housing Power</x:t>
        </x:is>
      </x:c>
      <x:c r="C15" s="61" t="inlineStr">
        <x:is>
          <x:t xml:space="preserve">Licensed Sub Pay × 20 ÷ Median Rent: 1.0 = 0; 3.0 = 100</x:t>
        </x:is>
      </x:c>
      <x:c r="D15" s="61" t="n">
        <x:v>1</x:v>
      </x:c>
      <x:c r="E15" s="61" t="n">
        <x:v>3</x:v>
      </x:c>
      <x:c r="F15" s="61" t="inlineStr">
        <x:is>
          <x:t xml:space="preserve">Keeps existing 0.6 penalty for North Clackamas and Provo City</x:t>
        </x:is>
      </x:c>
    </x:row>
    <x:row r="16" ht="16" customHeight="1">
      <x:c r="A16" s="61" t="inlineStr">
        <x:is>
          <x:t xml:space="preserve">Demographic Balance Score</x:t>
        </x:is>
      </x:c>
      <x:c r="B16" s="61" t="inlineStr">
        <x:is>
          <x:t xml:space="preserve">Rule-based concentration penalty</x:t>
        </x:is>
      </x:c>
      <x:c r="C16" s="61" t="inlineStr">
        <x:is>
          <x:t xml:space="preserve">Kept rule-based; capped at 0 to 100</x:t>
        </x:is>
      </x:c>
      <x:c r="D16" s="61" t="n">
        <x:v>0</x:v>
      </x:c>
      <x:c r="E16" s="61" t="n">
        <x:v>100</x:v>
      </x:c>
      <x:c r="F16" s="61" t="inlineStr">
        <x:is>
          <x:t xml:space="preserve">No longer can go below 0</x:t>
        </x:is>
      </x:c>
    </x:row>
    <x:row r="17" ht="16" customHeight="1">
      <x:c r="A17" s="61" t="inlineStr">
        <x:is>
          <x:t xml:space="preserve">Stability Score</x:t>
        </x:is>
      </x:c>
      <x:c r="B17" s="61" t="inlineStr">
        <x:is>
          <x:t xml:space="preserve">Risk multiplier translated to fixed score</x:t>
        </x:is>
      </x:c>
      <x:c r="C17" s="61" t="inlineStr">
        <x:is>
          <x:t xml:space="preserve">Unchanged: 1.00=100, .95=75, .90=60, .85=40, .80=25</x:t>
        </x:is>
      </x:c>
      <x:c r="D17" s="61" t="inlineStr">
        <x:is>
          <x:t xml:space="preserve"/>
        </x:is>
      </x:c>
      <x:c r="E17" s="61" t="inlineStr">
        <x:is>
          <x:t xml:space="preserve"/>
        </x:is>
      </x:c>
      <x:c r="F17" s="61" t="inlineStr">
        <x:is>
          <x:t xml:space="preserve">Uses AG Risk Multiplier</x:t>
        </x:is>
      </x:c>
    </x:row>
    <x:row r="18" ht="32" customHeight="1">
      <x:c r="A18" s="61" t="inlineStr">
        <x:is>
          <x:t xml:space="preserve">Pre-Risk Overall</x:t>
        </x:is>
      </x:c>
      <x:c r="B18" s="61" t="inlineStr">
        <x:is>
          <x:t xml:space="preserve">Weighted blend of category scores</x:t>
        </x:is>
      </x:c>
      <x:c r="C18" s="61" t="inlineStr">
        <x:is>
          <x:t xml:space="preserve">Unchanged weight blend: 40% Salary + 30% Affordability + 10% Class Size + 10% Sub Pay + 10% Demographics</x:t>
        </x:is>
      </x:c>
      <x:c r="D18" s="61" t="inlineStr">
        <x:is>
          <x:t xml:space="preserve"/>
        </x:is>
      </x:c>
      <x:c r="E18" s="61" t="inlineStr">
        <x:is>
          <x:t xml:space="preserve"/>
        </x:is>
      </x:c>
      <x:c r="F18" s="61" t="inlineStr">
        <x:is>
          <x:t xml:space="preserve">Uses U,V,W,X,Y</x:t>
        </x:is>
      </x:c>
    </x:row>
    <x:row r="19" ht="16" customHeight="1">
      <x:c r="A19" s="61" t="inlineStr">
        <x:is>
          <x:t xml:space="preserve">Overall Value Score</x:t>
        </x:is>
      </x:c>
      <x:c r="B19" s="61" t="inlineStr">
        <x:is>
          <x:t xml:space="preserve">Pre-risk score multiplied by Risk Multiplier</x:t>
        </x:is>
      </x:c>
      <x:c r="C19" s="61" t="inlineStr">
        <x:is>
          <x:t xml:space="preserve">Unchanged: Pre-Risk Overall × Risk Multiplier</x:t>
        </x:is>
      </x:c>
      <x:c r="D19" s="61" t="inlineStr">
        <x:is>
          <x:t xml:space="preserve"/>
        </x:is>
      </x:c>
      <x:c r="E19" s="61" t="inlineStr">
        <x:is>
          <x:t xml:space="preserve"/>
        </x:is>
      </x:c>
      <x:c r="F19" s="61" t="inlineStr">
        <x:is>
          <x:t xml:space="preserve">Uses AF × AG</x:t>
        </x:is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32" customWidth="1"/>
    <x:col min="3" max="3" width="120" customWidth="1"/>
  </x:cols>
  <x:sheetData>
    <x:row r="1">
      <x:c r="A1" s="76" t="inlineStr">
        <x:is>
          <x:t xml:space="preserve">Column</x:t>
        </x:is>
      </x:c>
      <x:c r="B1" s="74" t="n"/>
      <x:c r="C1" s="75" t="n"/>
    </x:row>
    <x:row r="2" ht="16" customHeight="1">
      <x:c r="A2" s="61" t="inlineStr">
        <x:is>
          <x:t xml:space="preserve">R</x:t>
        </x:is>
      </x:c>
      <x:c r="B2" s="61" t="inlineStr">
        <x:is>
          <x:t xml:space="preserve">Salary Level Score</x:t>
        </x:is>
      </x:c>
      <x:c r="C2" s="69" t="inlineStr">
        <x:is>
          <x:t xml:space="preserve">=MAX(0,MIN(100,(K2-50000)/(110000-50000)*100))</x:t>
        </x:is>
      </x:c>
    </x:row>
    <x:row r="3" ht="16" customHeight="1">
      <x:c r="A3" s="61" t="inlineStr">
        <x:is>
          <x:t xml:space="preserve">S</x:t>
        </x:is>
      </x:c>
      <x:c r="B3" s="61" t="inlineStr">
        <x:is>
          <x:t xml:space="preserve">Growth Score</x:t>
        </x:is>
      </x:c>
      <x:c r="C3" s="69" t="inlineStr">
        <x:is>
          <x:t xml:space="preserve">=MAX(0,MIN(100,L2/0.6*100))</x:t>
        </x:is>
      </x:c>
    </x:row>
    <x:row r="4" ht="16" customHeight="1">
      <x:c r="A4" s="61" t="inlineStr">
        <x:is>
          <x:t xml:space="preserve">T</x:t>
        </x:is>
      </x:c>
      <x:c r="B4" s="61" t="inlineStr">
        <x:is>
          <x:t xml:space="preserve">Master's Premium Score</x:t>
        </x:is>
      </x:c>
      <x:c r="C4" s="69" t="inlineStr">
        <x:is>
          <x:t xml:space="preserve">=MAX(0,MIN(100,M2/15000*100))</x:t>
        </x:is>
      </x:c>
    </x:row>
    <x:row r="5" ht="16" customHeight="1">
      <x:c r="A5" s="61" t="inlineStr">
        <x:is>
          <x:t xml:space="preserve">U</x:t>
        </x:is>
      </x:c>
      <x:c r="B5" s="61" t="inlineStr">
        <x:is>
          <x:t xml:space="preserve">Salary Score</x:t>
        </x:is>
      </x:c>
      <x:c r="C5" s="69" t="inlineStr">
        <x:is>
          <x:t xml:space="preserve">=0.45*R2+0.40*S2+0.15*T2</x:t>
        </x:is>
      </x:c>
    </x:row>
    <x:row r="6" ht="16" customHeight="1">
      <x:c r="A6" s="61" t="inlineStr">
        <x:is>
          <x:t xml:space="preserve">V</x:t>
        </x:is>
      </x:c>
      <x:c r="B6" s="61" t="inlineStr">
        <x:is>
          <x:t xml:space="preserve">Affordability Score</x:t>
        </x:is>
      </x:c>
      <x:c r="C6" s="69" t="inlineStr">
        <x:is>
          <x:t xml:space="preserve">=0.40*MAX(0,MIN(100,(((J2/12)/O2)-2)/(4-2)*100))+0.35*MAX(0,MIN(100,(8-(N2/K2))/(8-3)*100))+0.25*AB2</x:t>
        </x:is>
      </x:c>
    </x:row>
    <x:row r="7" ht="16" customHeight="1">
      <x:c r="A7" s="61" t="inlineStr">
        <x:is>
          <x:t xml:space="preserve">W</x:t>
        </x:is>
      </x:c>
      <x:c r="B7" s="61" t="inlineStr">
        <x:is>
          <x:t xml:space="preserve">Student-Teacher Ratio Score</x:t>
        </x:is>
      </x:c>
      <x:c r="C7" s="69" t="inlineStr">
        <x:is>
          <x:t xml:space="preserve">=MAX(0,MIN(100,(25-P2)/(25-12)*100))</x:t>
        </x:is>
      </x:c>
    </x:row>
    <x:row r="8" ht="16" customHeight="1">
      <x:c r="A8" s="61" t="inlineStr">
        <x:is>
          <x:t xml:space="preserve">X</x:t>
        </x:is>
      </x:c>
      <x:c r="B8" s="61" t="inlineStr">
        <x:is>
          <x:t xml:space="preserve">Sub Pay Score</x:t>
        </x:is>
      </x:c>
      <x:c r="C8" s="69" t="inlineStr">
        <x:is>
          <x:t xml:space="preserve">=MAX(0,MIN(100,(AD2-1)/(3-1)*100))*IF(OR($A2="North Clackamas School District",$A2="Provo City School District"),0.6,1)</x:t>
        </x:is>
      </x:c>
    </x:row>
    <x:row r="9" ht="16" customHeight="1">
      <x:c r="A9" s="61" t="inlineStr">
        <x:is>
          <x:t xml:space="preserve">Y</x:t>
        </x:is>
      </x:c>
      <x:c r="B9" s="61" t="inlineStr">
        <x:is>
          <x:t xml:space="preserve">Demographic Balance Score</x:t>
        </x:is>
      </x:c>
      <x:c r="C9" s="69" t="inlineStr">
        <x:is>
          <x:t xml:space="preserve">Kept existing rule-based demographic-balance scoring formula.</x:t>
        </x:is>
      </x:c>
    </x:row>
    <x:row r="10" ht="16" customHeight="1">
      <x:c r="A10" s="61" t="inlineStr">
        <x:is>
          <x:t xml:space="preserve">Z</x:t>
        </x:is>
      </x:c>
      <x:c r="B10" s="61" t="inlineStr">
        <x:is>
          <x:t xml:space="preserve">Overall Value Score</x:t>
        </x:is>
      </x:c>
      <x:c r="C10" s="69" t="inlineStr">
        <x:is>
          <x:t xml:space="preserve">=AF2*AG2</x:t>
        </x:is>
      </x:c>
    </x:row>
    <x:row r="11" ht="16" customHeight="1">
      <x:c r="A11" s="61" t="inlineStr">
        <x:is>
          <x:t xml:space="preserve">AB</x:t>
        </x:is>
      </x:c>
      <x:c r="B11" s="61" t="inlineStr">
        <x:is>
          <x:t xml:space="preserve">Price per Sq Ft Score</x:t>
        </x:is>
      </x:c>
      <x:c r="C11" s="69" t="inlineStr">
        <x:is>
          <x:t xml:space="preserve">=MAX(0,MIN(100,(800-AA2)/(800-150)*100))</x:t>
        </x:is>
      </x:c>
    </x:row>
    <x:row r="12" ht="16" customHeight="1">
      <x:c r="A12" s="61" t="inlineStr">
        <x:is>
          <x:t xml:space="preserve">AE</x:t>
        </x:is>
      </x:c>
      <x:c r="B12" s="61" t="inlineStr">
        <x:is>
          <x:t xml:space="preserve">Stability Score</x:t>
        </x:is>
      </x:c>
      <x:c r="C12" s="69" t="inlineStr">
        <x:is>
          <x:t xml:space="preserve">=IF(AG2&gt;=1,100,IF(AG2&gt;=0.95,75,IF(AG2&gt;=0.9,60,IF(AG2&gt;=0.85,40,IF(AG2&gt;=0.8,25,0)))))</x:t>
        </x:is>
      </x:c>
    </x:row>
    <x:row r="13" ht="16" customHeight="1">
      <x:c r="A13" s="61" t="inlineStr">
        <x:is>
          <x:t xml:space="preserve">AF</x:t>
        </x:is>
      </x:c>
      <x:c r="B13" s="61" t="inlineStr">
        <x:is>
          <x:t xml:space="preserve">Pre-Risk Overall</x:t>
        </x:is>
      </x:c>
      <x:c r="C13" s="69" t="inlineStr">
        <x:is>
          <x:t xml:space="preserve">=0.40*U2+0.30*V2+0.10*W2+0.10*X2+0.10*Y2</x:t>
        </x:is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00" customWidth="1"/>
    <x:col min="3" max="3" width="24" customWidth="1"/>
    <x:col min="4" max="15" width="10" customWidth="1"/>
    <x:col min="16" max="16" width="24" customWidth="1"/>
    <x:col min="17" max="28" width="10" customWidth="1"/>
  </x:cols>
  <x:sheetData>
    <x:row r="1" ht="40" customHeight="1">
      <x:c r="A1" s="73" t="inlineStr">
        <x:is>
          <x:t xml:space="preserve">Score Methodology</x:t>
        </x:is>
      </x:c>
      <x:c r="B1" s="74" t="n"/>
      <x:c r="C1" s="74" t="n"/>
      <x:c r="D1" s="74" t="n"/>
      <x:c r="E1" s="74" t="n"/>
      <x:c r="F1" s="74" t="n"/>
      <x:c r="G1" s="74" t="n"/>
      <x:c r="H1" s="74" t="n"/>
      <x:c r="I1" s="74" t="n"/>
      <x:c r="J1" s="74" t="n"/>
      <x:c r="K1" s="74" t="n"/>
      <x:c r="L1" s="74" t="n"/>
      <x:c r="M1" s="74" t="n"/>
      <x:c r="N1" s="74" t="n"/>
      <x:c r="O1" s="74" t="n"/>
      <x:c r="P1" s="74" t="n"/>
      <x:c r="Q1" s="74" t="n"/>
      <x:c r="R1" s="74" t="n"/>
      <x:c r="S1" s="74" t="n"/>
      <x:c r="T1" s="74" t="n"/>
      <x:c r="U1" s="74" t="n"/>
      <x:c r="V1" s="74" t="n"/>
      <x:c r="W1" s="74" t="n"/>
      <x:c r="X1" s="74" t="n"/>
      <x:c r="Y1" s="74" t="n"/>
      <x:c r="Z1" s="74" t="n"/>
      <x:c r="AA1" s="74" t="n"/>
      <x:c r="AB1" s="75" t="n"/>
    </x:row>
    <x:row r="2" ht="32" customHeight="1">
      <x:c r="A2" s="63" t="inlineStr">
        <x:is>
          <x:t xml:space="preserve">Purpose</x:t>
        </x:is>
      </x:c>
      <x:c r="B2" s="64" t="inlineStr">
        <x:is>
          <x:t xml:space="preserve">This workbook now uses fixed benchmark scoring instead of relative normalization. Scores are designed to remain stable when new districts are added.</x:t>
        </x:is>
      </x:c>
      <x:c r="C2" s="61" t="n"/>
      <x:c r="D2" s="61" t="n"/>
      <x:c r="E2" s="61" t="n"/>
      <x:c r="F2" s="61" t="n"/>
      <x:c r="G2" s="61" t="n"/>
      <x:c r="H2" s="61" t="n"/>
      <x:c r="I2" s="61" t="n"/>
      <x:c r="J2" s="61" t="n"/>
      <x:c r="K2" s="61" t="n"/>
      <x:c r="L2" s="61" t="n"/>
      <x:c r="M2" s="61" t="n"/>
      <x:c r="N2" s="61" t="n"/>
      <x:c r="O2" s="61" t="n"/>
      <x:c r="P2" s="61" t="n"/>
      <x:c r="Q2" s="61" t="n"/>
      <x:c r="R2" s="61" t="n"/>
      <x:c r="S2" s="61" t="n"/>
      <x:c r="T2" s="61" t="n"/>
      <x:c r="U2" s="61" t="n"/>
      <x:c r="V2" s="61" t="n"/>
      <x:c r="W2" s="61" t="n"/>
      <x:c r="X2" s="61" t="n"/>
      <x:c r="Y2" s="61" t="n"/>
      <x:c r="Z2" s="61" t="n"/>
      <x:c r="AA2" s="61" t="n"/>
      <x:c r="AB2" s="61" t="n"/>
    </x:row>
    <x:row r="3" ht="32" customHeight="1">
      <x:c r="A3" s="63" t="inlineStr">
        <x:is>
          <x:t xml:space="preserve">Important change</x:t>
        </x:is>
      </x:c>
      <x:c r="B3" s="64" t="inlineStr">
        <x:is>
          <x:t xml:space="preserve">Category scores no longer depend on the current workbook minimum/maximum, except rankings naturally depend on the districts included.</x:t>
        </x:is>
      </x:c>
      <x:c r="C3" s="61" t="n"/>
      <x:c r="D3" s="61" t="n"/>
      <x:c r="E3" s="61" t="n"/>
      <x:c r="F3" s="61" t="n"/>
      <x:c r="G3" s="61" t="n"/>
      <x:c r="H3" s="61" t="n"/>
      <x:c r="I3" s="61" t="n"/>
      <x:c r="J3" s="61" t="n"/>
      <x:c r="K3" s="61" t="n"/>
      <x:c r="L3" s="61" t="n"/>
      <x:c r="M3" s="61" t="n"/>
      <x:c r="N3" s="61" t="n"/>
      <x:c r="O3" s="61" t="n"/>
      <x:c r="P3" s="61" t="n"/>
      <x:c r="Q3" s="61" t="n"/>
      <x:c r="R3" s="61" t="n"/>
      <x:c r="S3" s="61" t="n"/>
      <x:c r="T3" s="61" t="n"/>
      <x:c r="U3" s="61" t="n"/>
      <x:c r="V3" s="61" t="n"/>
      <x:c r="W3" s="61" t="n"/>
      <x:c r="X3" s="61" t="n"/>
      <x:c r="Y3" s="61" t="n"/>
      <x:c r="Z3" s="61" t="n"/>
      <x:c r="AA3" s="61" t="n"/>
      <x:c r="AB3" s="61" t="n"/>
    </x:row>
    <x:row r="4" ht="32" customHeight="1">
      <x:c r="A4" s="65" t="inlineStr">
        <x:is>
          <x:t xml:space="preserve"/>
        </x:is>
      </x:c>
      <x:c r="B4" s="65" t="inlineStr">
        <x:is>
          <x:t xml:space="preserve"/>
        </x:is>
      </x:c>
      <x:c r="C4" s="61" t="n"/>
      <x:c r="D4" s="61" t="n"/>
      <x:c r="E4" s="61" t="n"/>
      <x:c r="F4" s="61" t="n"/>
      <x:c r="G4" s="61" t="n"/>
      <x:c r="H4" s="61" t="n"/>
      <x:c r="I4" s="61" t="n"/>
      <x:c r="J4" s="61" t="n"/>
      <x:c r="K4" s="61" t="n"/>
      <x:c r="L4" s="61" t="n"/>
      <x:c r="M4" s="61" t="n"/>
      <x:c r="N4" s="61" t="n"/>
      <x:c r="O4" s="61" t="n"/>
      <x:c r="P4" s="61" t="n"/>
      <x:c r="Q4" s="61" t="n"/>
      <x:c r="R4" s="61" t="n"/>
      <x:c r="S4" s="61" t="n"/>
      <x:c r="T4" s="61" t="n"/>
      <x:c r="U4" s="61" t="n"/>
      <x:c r="V4" s="61" t="n"/>
      <x:c r="W4" s="61" t="n"/>
      <x:c r="X4" s="61" t="n"/>
      <x:c r="Y4" s="61" t="n"/>
      <x:c r="Z4" s="61" t="n"/>
      <x:c r="AA4" s="61" t="n"/>
      <x:c r="AB4" s="61" t="n"/>
    </x:row>
    <x:row r="5" ht="32" customHeight="1">
      <x:c r="A5" s="62" t="inlineStr">
        <x:is>
          <x:t xml:space="preserve">Formula</x:t>
        </x:is>
      </x:c>
      <x:c r="B5" s="62" t="inlineStr">
        <x:is>
          <x:t xml:space="preserve">Definition</x:t>
        </x:is>
      </x:c>
      <x:c r="C5" s="62" t="n"/>
      <x:c r="D5" s="62" t="n"/>
      <x:c r="E5" s="62" t="n"/>
      <x:c r="F5" s="62" t="n"/>
      <x:c r="G5" s="62" t="n"/>
      <x:c r="H5" s="62" t="n"/>
      <x:c r="I5" s="62" t="n"/>
      <x:c r="J5" s="62" t="n"/>
      <x:c r="K5" s="62" t="n"/>
      <x:c r="L5" s="62" t="n"/>
      <x:c r="M5" s="62" t="n"/>
      <x:c r="N5" s="62" t="n"/>
      <x:c r="O5" s="62" t="n"/>
      <x:c r="P5" s="62" t="n"/>
      <x:c r="Q5" s="62" t="n"/>
      <x:c r="R5" s="62" t="n"/>
      <x:c r="S5" s="62" t="n"/>
      <x:c r="T5" s="62" t="n"/>
      <x:c r="U5" s="62" t="n"/>
      <x:c r="V5" s="62" t="n"/>
      <x:c r="W5" s="62" t="n"/>
      <x:c r="X5" s="62" t="n"/>
      <x:c r="Y5" s="62" t="n"/>
      <x:c r="Z5" s="62" t="n"/>
      <x:c r="AA5" s="62" t="n"/>
      <x:c r="AB5" s="62" t="n"/>
    </x:row>
    <x:row r="6" ht="32" customHeight="1">
      <x:c r="A6" s="63" t="inlineStr">
        <x:is>
          <x:t xml:space="preserve">Avg Start Salary</x:t>
        </x:is>
      </x:c>
      <x:c r="B6" s="64" t="inlineStr">
        <x:is>
          <x:t xml:space="preserve">(BA Start + MA Start) / 2</x:t>
        </x:is>
      </x:c>
      <x:c r="C6" s="61" t="n"/>
      <x:c r="D6" s="61" t="n"/>
      <x:c r="E6" s="61" t="n"/>
      <x:c r="F6" s="61" t="n"/>
      <x:c r="G6" s="61" t="n"/>
      <x:c r="H6" s="61" t="n"/>
      <x:c r="I6" s="61" t="n"/>
      <x:c r="J6" s="61" t="n"/>
      <x:c r="K6" s="61" t="n"/>
      <x:c r="L6" s="61" t="n"/>
      <x:c r="M6" s="61" t="n"/>
      <x:c r="N6" s="61" t="n"/>
      <x:c r="O6" s="61" t="n"/>
      <x:c r="P6" s="61" t="n"/>
      <x:c r="Q6" s="61" t="n"/>
      <x:c r="R6" s="61" t="n"/>
      <x:c r="S6" s="61" t="n"/>
      <x:c r="T6" s="61" t="n"/>
      <x:c r="U6" s="61" t="n"/>
      <x:c r="V6" s="61" t="n"/>
      <x:c r="W6" s="61" t="n"/>
      <x:c r="X6" s="61" t="n"/>
      <x:c r="Y6" s="61" t="n"/>
      <x:c r="Z6" s="61" t="n"/>
      <x:c r="AA6" s="61" t="n"/>
      <x:c r="AB6" s="61" t="n"/>
    </x:row>
    <x:row r="7" ht="32" customHeight="1">
      <x:c r="A7" s="63" t="inlineStr">
        <x:is>
          <x:t xml:space="preserve">Avg 10-Year Salary</x:t>
        </x:is>
      </x:c>
      <x:c r="B7" s="64" t="inlineStr">
        <x:is>
          <x:t xml:space="preserve">(BA 10-Year + MA 10-Year) / 2</x:t>
        </x:is>
      </x:c>
      <x:c r="C7" s="61" t="n"/>
      <x:c r="D7" s="61" t="n"/>
      <x:c r="E7" s="61" t="n"/>
      <x:c r="F7" s="61" t="n"/>
      <x:c r="G7" s="61" t="n"/>
      <x:c r="H7" s="61" t="n"/>
      <x:c r="I7" s="61" t="n"/>
      <x:c r="J7" s="61" t="n"/>
      <x:c r="K7" s="61" t="n"/>
      <x:c r="L7" s="61" t="n"/>
      <x:c r="M7" s="61" t="n"/>
      <x:c r="N7" s="61" t="n"/>
      <x:c r="O7" s="61" t="n"/>
      <x:c r="P7" s="61" t="n"/>
      <x:c r="Q7" s="61" t="n"/>
      <x:c r="R7" s="61" t="n"/>
      <x:c r="S7" s="61" t="n"/>
      <x:c r="T7" s="61" t="n"/>
      <x:c r="U7" s="61" t="n"/>
      <x:c r="V7" s="61" t="n"/>
      <x:c r="W7" s="61" t="n"/>
      <x:c r="X7" s="61" t="n"/>
      <x:c r="Y7" s="61" t="n"/>
      <x:c r="Z7" s="61" t="n"/>
      <x:c r="AA7" s="61" t="n"/>
      <x:c r="AB7" s="61" t="n"/>
    </x:row>
    <x:row r="8" ht="32" customHeight="1">
      <x:c r="A8" s="63" t="inlineStr">
        <x:is>
          <x:t xml:space="preserve">Avg Growth %</x:t>
        </x:is>
      </x:c>
      <x:c r="B8" s="64" t="inlineStr">
        <x:is>
          <x:t xml:space="preserve">(Avg 10-Year Salary - Avg Start Salary) / Avg Start Salary</x:t>
        </x:is>
      </x:c>
      <x:c r="C8" s="61" t="n"/>
      <x:c r="D8" s="61" t="n"/>
      <x:c r="E8" s="61" t="n"/>
      <x:c r="F8" s="61" t="n"/>
      <x:c r="G8" s="61" t="n"/>
      <x:c r="H8" s="61" t="n"/>
      <x:c r="I8" s="61" t="n"/>
      <x:c r="J8" s="61" t="n"/>
      <x:c r="K8" s="61" t="n"/>
      <x:c r="L8" s="61" t="n"/>
      <x:c r="M8" s="61" t="n"/>
      <x:c r="N8" s="61" t="n"/>
      <x:c r="O8" s="61" t="n"/>
      <x:c r="P8" s="61" t="n"/>
      <x:c r="Q8" s="61" t="n"/>
      <x:c r="R8" s="61" t="n"/>
      <x:c r="S8" s="61" t="n"/>
      <x:c r="T8" s="61" t="n"/>
      <x:c r="U8" s="61" t="n"/>
      <x:c r="V8" s="61" t="n"/>
      <x:c r="W8" s="61" t="n"/>
      <x:c r="X8" s="61" t="n"/>
      <x:c r="Y8" s="61" t="n"/>
      <x:c r="Z8" s="61" t="n"/>
      <x:c r="AA8" s="61" t="n"/>
      <x:c r="AB8" s="61" t="n"/>
    </x:row>
    <x:row r="9" ht="32" customHeight="1">
      <x:c r="A9" s="63" t="inlineStr">
        <x:is>
          <x:t xml:space="preserve">Master's Premium</x:t>
        </x:is>
      </x:c>
      <x:c r="B9" s="64" t="inlineStr">
        <x:is>
          <x:t xml:space="preserve">MA Start - BA Start</x:t>
        </x:is>
      </x:c>
      <x:c r="C9" s="61" t="n"/>
      <x:c r="D9" s="61" t="n"/>
      <x:c r="E9" s="61" t="n"/>
      <x:c r="F9" s="61" t="n"/>
      <x:c r="G9" s="61" t="n"/>
      <x:c r="H9" s="61" t="n"/>
      <x:c r="I9" s="61" t="n"/>
      <x:c r="J9" s="61" t="n"/>
      <x:c r="K9" s="61" t="n"/>
      <x:c r="L9" s="61" t="n"/>
      <x:c r="M9" s="61" t="n"/>
      <x:c r="N9" s="61" t="n"/>
      <x:c r="O9" s="61" t="n"/>
      <x:c r="P9" s="61" t="n"/>
      <x:c r="Q9" s="61" t="n"/>
      <x:c r="R9" s="61" t="n"/>
      <x:c r="S9" s="61" t="n"/>
      <x:c r="T9" s="61" t="n"/>
      <x:c r="U9" s="61" t="n"/>
      <x:c r="V9" s="61" t="n"/>
      <x:c r="W9" s="61" t="n"/>
      <x:c r="X9" s="61" t="n"/>
      <x:c r="Y9" s="61" t="n"/>
      <x:c r="Z9" s="61" t="n"/>
      <x:c r="AA9" s="61" t="n"/>
      <x:c r="AB9" s="61" t="n"/>
    </x:row>
    <x:row r="10" ht="32" customHeight="1">
      <x:c r="A10" s="63" t="inlineStr">
        <x:is>
          <x:t xml:space="preserve">Salary Level Score</x:t>
        </x:is>
      </x:c>
      <x:c r="B10" s="64" t="inlineStr">
        <x:is>
          <x:t xml:space="preserve">MAX(0, MIN(100, (Avg 10-Year Salary - 50000) / (110000 - 50000) * 100))</x:t>
        </x:is>
      </x:c>
      <x:c r="C10" s="61" t="n"/>
      <x:c r="D10" s="61" t="n"/>
      <x:c r="E10" s="61" t="n"/>
      <x:c r="F10" s="61" t="n"/>
      <x:c r="G10" s="61" t="n"/>
      <x:c r="H10" s="61" t="n"/>
      <x:c r="I10" s="61" t="n"/>
      <x:c r="J10" s="61" t="n"/>
      <x:c r="K10" s="61" t="n"/>
      <x:c r="L10" s="61" t="n"/>
      <x:c r="M10" s="61" t="n"/>
      <x:c r="N10" s="61" t="n"/>
      <x:c r="O10" s="61" t="n"/>
      <x:c r="P10" s="61" t="n"/>
      <x:c r="Q10" s="61" t="n"/>
      <x:c r="R10" s="61" t="n"/>
      <x:c r="S10" s="61" t="n"/>
      <x:c r="T10" s="61" t="n"/>
      <x:c r="U10" s="61" t="n"/>
      <x:c r="V10" s="61" t="n"/>
      <x:c r="W10" s="61" t="n"/>
      <x:c r="X10" s="61" t="n"/>
      <x:c r="Y10" s="61" t="n"/>
      <x:c r="Z10" s="61" t="n"/>
      <x:c r="AA10" s="61" t="n"/>
      <x:c r="AB10" s="61" t="n"/>
    </x:row>
    <x:row r="11" ht="32" customHeight="1">
      <x:c r="A11" s="63" t="inlineStr">
        <x:is>
          <x:t xml:space="preserve">Growth Score</x:t>
        </x:is>
      </x:c>
      <x:c r="B11" s="64" t="inlineStr">
        <x:is>
          <x:t xml:space="preserve">MAX(0, MIN(100, Avg Growth % / 0.60 * 100))</x:t>
        </x:is>
      </x:c>
      <x:c r="C11" s="61" t="n"/>
      <x:c r="D11" s="61" t="n"/>
      <x:c r="E11" s="61" t="n"/>
      <x:c r="F11" s="61" t="n"/>
      <x:c r="G11" s="61" t="n"/>
      <x:c r="H11" s="61" t="n"/>
      <x:c r="I11" s="61" t="n"/>
      <x:c r="J11" s="61" t="n"/>
      <x:c r="K11" s="61" t="n"/>
      <x:c r="L11" s="61" t="n"/>
      <x:c r="M11" s="61" t="n"/>
      <x:c r="N11" s="61" t="n"/>
      <x:c r="O11" s="61" t="n"/>
      <x:c r="P11" s="61" t="n"/>
      <x:c r="Q11" s="61" t="n"/>
      <x:c r="R11" s="61" t="n"/>
      <x:c r="S11" s="61" t="n"/>
      <x:c r="T11" s="61" t="n"/>
      <x:c r="U11" s="61" t="n"/>
      <x:c r="V11" s="61" t="n"/>
      <x:c r="W11" s="61" t="n"/>
      <x:c r="X11" s="61" t="n"/>
      <x:c r="Y11" s="61" t="n"/>
      <x:c r="Z11" s="61" t="n"/>
      <x:c r="AA11" s="61" t="n"/>
      <x:c r="AB11" s="61" t="n"/>
    </x:row>
    <x:row r="12" ht="32" customHeight="1">
      <x:c r="A12" s="63" t="inlineStr">
        <x:is>
          <x:t xml:space="preserve">Master's Premium Score</x:t>
        </x:is>
      </x:c>
      <x:c r="B12" s="64" t="inlineStr">
        <x:is>
          <x:t xml:space="preserve">MAX(0, MIN(100, Master's Premium / 15000 * 100))</x:t>
        </x:is>
      </x:c>
      <x:c r="C12" s="61" t="n"/>
      <x:c r="D12" s="61" t="n"/>
      <x:c r="E12" s="61" t="n"/>
      <x:c r="F12" s="61" t="n"/>
      <x:c r="G12" s="61" t="n"/>
      <x:c r="H12" s="61" t="n"/>
      <x:c r="I12" s="61" t="n"/>
      <x:c r="J12" s="61" t="n"/>
      <x:c r="K12" s="61" t="n"/>
      <x:c r="L12" s="61" t="n"/>
      <x:c r="M12" s="61" t="n"/>
      <x:c r="N12" s="61" t="n"/>
      <x:c r="O12" s="61" t="n"/>
      <x:c r="P12" s="61" t="n"/>
      <x:c r="Q12" s="61" t="n"/>
      <x:c r="R12" s="61" t="n"/>
      <x:c r="S12" s="61" t="n"/>
      <x:c r="T12" s="61" t="n"/>
      <x:c r="U12" s="61" t="n"/>
      <x:c r="V12" s="61" t="n"/>
      <x:c r="W12" s="61" t="n"/>
      <x:c r="X12" s="61" t="n"/>
      <x:c r="Y12" s="61" t="n"/>
      <x:c r="Z12" s="61" t="n"/>
      <x:c r="AA12" s="61" t="n"/>
      <x:c r="AB12" s="61" t="n"/>
    </x:row>
    <x:row r="13" ht="32" customHeight="1">
      <x:c r="A13" s="65" t="inlineStr">
        <x:is>
          <x:t xml:space="preserve">Salary Score</x:t>
        </x:is>
      </x:c>
      <x:c r="B13" s="65" t="inlineStr">
        <x:is>
          <x:t xml:space="preserve">45% Salary Level + 40% Growth + 15% Master's Premium</x:t>
        </x:is>
      </x:c>
      <x:c r="C13" s="61" t="n"/>
      <x:c r="D13" s="61" t="n"/>
      <x:c r="E13" s="61" t="n"/>
      <x:c r="F13" s="61" t="n"/>
      <x:c r="G13" s="61" t="n"/>
      <x:c r="H13" s="61" t="n"/>
      <x:c r="I13" s="61" t="n"/>
      <x:c r="J13" s="61" t="n"/>
      <x:c r="K13" s="61" t="n"/>
      <x:c r="L13" s="61" t="n"/>
      <x:c r="M13" s="61" t="n"/>
      <x:c r="N13" s="61" t="n"/>
      <x:c r="O13" s="61" t="n"/>
      <x:c r="P13" s="61" t="n"/>
      <x:c r="Q13" s="61" t="n"/>
      <x:c r="R13" s="61" t="n"/>
      <x:c r="S13" s="61" t="n"/>
      <x:c r="T13" s="61" t="n"/>
      <x:c r="U13" s="61" t="n"/>
      <x:c r="V13" s="61" t="n"/>
      <x:c r="W13" s="61" t="n"/>
      <x:c r="X13" s="61" t="n"/>
      <x:c r="Y13" s="61" t="n"/>
      <x:c r="Z13" s="61" t="n"/>
      <x:c r="AA13" s="61" t="n"/>
      <x:c r="AB13" s="61" t="n"/>
    </x:row>
    <x:row r="14" ht="32" customHeight="1">
      <x:c r="A14" s="63" t="inlineStr">
        <x:is>
          <x:t xml:space="preserve">Rent Affordability Component</x:t>
        </x:is>
      </x:c>
      <x:c r="B14" s="64" t="inlineStr">
        <x:is>
          <x:t xml:space="preserve">MAX(0, MIN(100, (((Avg Start Salary / 12) / Median Rent) - 2) / (4 - 2) * 100))</x:t>
        </x:is>
      </x:c>
      <x:c r="C14" s="61" t="n"/>
      <x:c r="D14" s="61" t="n"/>
      <x:c r="E14" s="61" t="n"/>
      <x:c r="F14" s="61" t="n"/>
      <x:c r="G14" s="61" t="n"/>
      <x:c r="H14" s="61" t="n"/>
      <x:c r="I14" s="61" t="n"/>
      <x:c r="J14" s="61" t="n"/>
      <x:c r="K14" s="61" t="n"/>
      <x:c r="L14" s="61" t="n"/>
      <x:c r="M14" s="61" t="n"/>
      <x:c r="N14" s="61" t="n"/>
      <x:c r="O14" s="61" t="n"/>
      <x:c r="P14" s="61" t="n"/>
      <x:c r="Q14" s="61" t="n"/>
      <x:c r="R14" s="61" t="n"/>
      <x:c r="S14" s="61" t="n"/>
      <x:c r="T14" s="61" t="n"/>
      <x:c r="U14" s="61" t="n"/>
      <x:c r="V14" s="61" t="n"/>
      <x:c r="W14" s="61" t="n"/>
      <x:c r="X14" s="61" t="n"/>
      <x:c r="Y14" s="61" t="n"/>
      <x:c r="Z14" s="61" t="n"/>
      <x:c r="AA14" s="61" t="n"/>
      <x:c r="AB14" s="61" t="n"/>
    </x:row>
    <x:row r="15" ht="32" customHeight="1">
      <x:c r="A15" s="63" t="inlineStr">
        <x:is>
          <x:t xml:space="preserve">Home Affordability Component</x:t>
        </x:is>
      </x:c>
      <x:c r="B15" s="64" t="inlineStr">
        <x:is>
          <x:t xml:space="preserve">MAX(0, MIN(100, (8 - (Median Home Price / Avg 10-Year Salary)) / (8 - 3) * 100))</x:t>
        </x:is>
      </x:c>
      <x:c r="C15" s="61" t="n"/>
      <x:c r="D15" s="61" t="n"/>
      <x:c r="E15" s="61" t="n"/>
      <x:c r="F15" s="61" t="n"/>
      <x:c r="G15" s="61" t="n"/>
      <x:c r="H15" s="61" t="n"/>
      <x:c r="I15" s="61" t="n"/>
      <x:c r="J15" s="61" t="n"/>
      <x:c r="K15" s="61" t="n"/>
      <x:c r="L15" s="61" t="n"/>
      <x:c r="M15" s="61" t="n"/>
      <x:c r="N15" s="61" t="n"/>
      <x:c r="O15" s="61" t="n"/>
      <x:c r="P15" s="61" t="n"/>
      <x:c r="Q15" s="61" t="n"/>
      <x:c r="R15" s="61" t="n"/>
      <x:c r="S15" s="61" t="n"/>
      <x:c r="T15" s="61" t="n"/>
      <x:c r="U15" s="61" t="n"/>
      <x:c r="V15" s="61" t="n"/>
      <x:c r="W15" s="61" t="n"/>
      <x:c r="X15" s="61" t="n"/>
      <x:c r="Y15" s="61" t="n"/>
      <x:c r="Z15" s="61" t="n"/>
      <x:c r="AA15" s="61" t="n"/>
      <x:c r="AB15" s="61" t="n"/>
    </x:row>
    <x:row r="16" ht="32" customHeight="1">
      <x:c r="A16" s="63" t="inlineStr">
        <x:is>
          <x:t xml:space="preserve">Price per Sq Ft Score</x:t>
        </x:is>
      </x:c>
      <x:c r="B16" s="64" t="inlineStr">
        <x:is>
          <x:t xml:space="preserve">MAX(0, MIN(100, (800 - Price per Sq Ft) / (800 - 150) * 100))</x:t>
        </x:is>
      </x:c>
      <x:c r="C16" s="61" t="n"/>
      <x:c r="D16" s="61" t="n"/>
      <x:c r="E16" s="61" t="n"/>
      <x:c r="F16" s="61" t="n"/>
      <x:c r="G16" s="61" t="n"/>
      <x:c r="H16" s="61" t="n"/>
      <x:c r="I16" s="61" t="n"/>
      <x:c r="J16" s="61" t="n"/>
      <x:c r="K16" s="61" t="n"/>
      <x:c r="L16" s="61" t="n"/>
      <x:c r="M16" s="61" t="n"/>
      <x:c r="N16" s="61" t="n"/>
      <x:c r="O16" s="61" t="n"/>
      <x:c r="P16" s="61" t="n"/>
      <x:c r="Q16" s="61" t="n"/>
      <x:c r="R16" s="61" t="n"/>
      <x:c r="S16" s="61" t="n"/>
      <x:c r="T16" s="61" t="n"/>
      <x:c r="U16" s="61" t="n"/>
      <x:c r="V16" s="61" t="n"/>
      <x:c r="W16" s="61" t="n"/>
      <x:c r="X16" s="61" t="n"/>
      <x:c r="Y16" s="61" t="n"/>
      <x:c r="Z16" s="61" t="n"/>
      <x:c r="AA16" s="61" t="n"/>
      <x:c r="AB16" s="61" t="n"/>
    </x:row>
    <x:row r="17" ht="32" customHeight="1">
      <x:c r="A17" s="63" t="inlineStr">
        <x:is>
          <x:t xml:space="preserve">Affordability Score</x:t>
        </x:is>
      </x:c>
      <x:c r="B17" s="64" t="inlineStr">
        <x:is>
          <x:t xml:space="preserve">40% Rent Affordability + 35% Home Affordability + 25% Price per Sq Ft Score</x:t>
        </x:is>
      </x:c>
      <x:c r="C17" s="61" t="n"/>
      <x:c r="D17" s="61" t="n"/>
      <x:c r="E17" s="61" t="n"/>
      <x:c r="F17" s="61" t="n"/>
      <x:c r="G17" s="61" t="n"/>
      <x:c r="H17" s="61" t="n"/>
      <x:c r="I17" s="61" t="n"/>
      <x:c r="J17" s="61" t="n"/>
      <x:c r="K17" s="61" t="n"/>
      <x:c r="L17" s="61" t="n"/>
      <x:c r="M17" s="61" t="n"/>
      <x:c r="N17" s="61" t="n"/>
      <x:c r="O17" s="61" t="n"/>
      <x:c r="P17" s="61" t="n"/>
      <x:c r="Q17" s="61" t="n"/>
      <x:c r="R17" s="61" t="n"/>
      <x:c r="S17" s="61" t="n"/>
      <x:c r="T17" s="61" t="n"/>
      <x:c r="U17" s="61" t="n"/>
      <x:c r="V17" s="61" t="n"/>
      <x:c r="W17" s="61" t="n"/>
      <x:c r="X17" s="61" t="n"/>
      <x:c r="Y17" s="61" t="n"/>
      <x:c r="Z17" s="61" t="n"/>
      <x:c r="AA17" s="61" t="n"/>
      <x:c r="AB17" s="61" t="n"/>
    </x:row>
    <x:row r="18" ht="32" customHeight="1">
      <x:c r="A18" s="63" t="inlineStr">
        <x:is>
          <x:t xml:space="preserve">Student-Teacher Ratio Score</x:t>
        </x:is>
      </x:c>
      <x:c r="B18" s="64" t="inlineStr">
        <x:is>
          <x:t xml:space="preserve">MAX(0, MIN(100, (25 - Student-Teacher Ratio) / (25 - 12) * 100))</x:t>
        </x:is>
      </x:c>
      <x:c r="C18" s="61" t="n"/>
      <x:c r="D18" s="61" t="n"/>
      <x:c r="E18" s="61" t="n"/>
      <x:c r="F18" s="61" t="n"/>
      <x:c r="G18" s="61" t="n"/>
      <x:c r="H18" s="61" t="n"/>
      <x:c r="I18" s="61" t="n"/>
      <x:c r="J18" s="61" t="n"/>
      <x:c r="K18" s="61" t="n"/>
      <x:c r="L18" s="61" t="n"/>
      <x:c r="M18" s="61" t="n"/>
      <x:c r="N18" s="61" t="n"/>
      <x:c r="O18" s="61" t="n"/>
      <x:c r="P18" s="61" t="n"/>
      <x:c r="Q18" s="61" t="n"/>
      <x:c r="R18" s="61" t="n"/>
      <x:c r="S18" s="61" t="n"/>
      <x:c r="T18" s="61" t="n"/>
      <x:c r="U18" s="61" t="n"/>
      <x:c r="V18" s="61" t="n"/>
      <x:c r="W18" s="61" t="n"/>
      <x:c r="X18" s="61" t="n"/>
      <x:c r="Y18" s="61" t="n"/>
      <x:c r="Z18" s="61" t="n"/>
      <x:c r="AA18" s="61" t="n"/>
      <x:c r="AB18" s="61" t="n"/>
    </x:row>
    <x:row r="19" ht="32" customHeight="1">
      <x:c r="A19" s="63" t="inlineStr">
        <x:is>
          <x:t xml:space="preserve">Sub Pay Housing Power</x:t>
        </x:is>
      </x:c>
      <x:c r="B19" s="64" t="inlineStr">
        <x:is>
          <x:t xml:space="preserve">Licensed Daily Sub Pay * 20 / Median Rent</x:t>
        </x:is>
      </x:c>
      <x:c r="C19" s="61" t="n"/>
      <x:c r="D19" s="61" t="n"/>
      <x:c r="E19" s="61" t="n"/>
      <x:c r="F19" s="61" t="n"/>
      <x:c r="G19" s="61" t="n"/>
      <x:c r="H19" s="61" t="n"/>
      <x:c r="I19" s="61" t="n"/>
      <x:c r="J19" s="61" t="n"/>
      <x:c r="K19" s="61" t="n"/>
      <x:c r="L19" s="61" t="n"/>
      <x:c r="M19" s="61" t="n"/>
      <x:c r="N19" s="61" t="n"/>
      <x:c r="O19" s="61" t="n"/>
      <x:c r="P19" s="61" t="n"/>
      <x:c r="Q19" s="61" t="n"/>
      <x:c r="R19" s="61" t="n"/>
      <x:c r="S19" s="61" t="n"/>
      <x:c r="T19" s="61" t="n"/>
      <x:c r="U19" s="61" t="n"/>
      <x:c r="V19" s="61" t="n"/>
      <x:c r="W19" s="61" t="n"/>
      <x:c r="X19" s="61" t="n"/>
      <x:c r="Y19" s="61" t="n"/>
      <x:c r="Z19" s="61" t="n"/>
      <x:c r="AA19" s="61" t="n"/>
      <x:c r="AB19" s="61" t="n"/>
    </x:row>
    <x:row r="20" ht="32" customHeight="1">
      <x:c r="A20" s="63" t="inlineStr">
        <x:is>
          <x:t xml:space="preserve">Sub Pay Score</x:t>
        </x:is>
      </x:c>
      <x:c r="B20" s="64" t="inlineStr">
        <x:is>
          <x:t xml:space="preserve">MAX(0, MIN(100, (Sub Pay Housing Power - 1) / (3 - 1) * 100)); North Clackamas and Provo City retain the existing 0.6 sub-staffing penalty.</x:t>
        </x:is>
      </x:c>
      <x:c r="C20" s="61" t="n"/>
      <x:c r="D20" s="61" t="n"/>
      <x:c r="E20" s="61" t="n"/>
      <x:c r="F20" s="61" t="n"/>
      <x:c r="G20" s="61" t="n"/>
      <x:c r="H20" s="61" t="n"/>
      <x:c r="I20" s="61" t="n"/>
      <x:c r="J20" s="61" t="n"/>
      <x:c r="K20" s="61" t="n"/>
      <x:c r="L20" s="61" t="n"/>
      <x:c r="M20" s="61" t="n"/>
      <x:c r="N20" s="61" t="n"/>
      <x:c r="O20" s="61" t="n"/>
      <x:c r="P20" s="61" t="n"/>
      <x:c r="Q20" s="61" t="n"/>
      <x:c r="R20" s="61" t="n"/>
      <x:c r="S20" s="61" t="n"/>
      <x:c r="T20" s="61" t="n"/>
      <x:c r="U20" s="61" t="n"/>
      <x:c r="V20" s="61" t="n"/>
      <x:c r="W20" s="61" t="n"/>
      <x:c r="X20" s="61" t="n"/>
      <x:c r="Y20" s="61" t="n"/>
      <x:c r="Z20" s="61" t="n"/>
      <x:c r="AA20" s="61" t="n"/>
      <x:c r="AB20" s="61" t="n"/>
    </x:row>
    <x:row r="21" ht="32" customHeight="1">
      <x:c r="A21" s="64" t="inlineStr">
        <x:is>
          <x:t xml:space="preserve">Demographic Balance Score</x:t>
        </x:is>
      </x:c>
      <x:c r="B21" s="64" t="inlineStr">
        <x:is>
          <x:t xml:space="preserve">Kept rule-based concentration/diversity score, capped from 0 to 100.</x:t>
        </x:is>
      </x:c>
      <x:c r="C21" s="61" t="n"/>
      <x:c r="D21" s="61" t="n"/>
      <x:c r="E21" s="61" t="n"/>
      <x:c r="F21" s="61" t="n"/>
      <x:c r="G21" s="61" t="n"/>
      <x:c r="H21" s="61" t="n"/>
      <x:c r="I21" s="61" t="n"/>
      <x:c r="J21" s="61" t="n"/>
      <x:c r="K21" s="61" t="n"/>
      <x:c r="L21" s="61" t="n"/>
      <x:c r="M21" s="61" t="n"/>
      <x:c r="N21" s="61" t="n"/>
      <x:c r="O21" s="61" t="n"/>
      <x:c r="P21" s="61" t="n"/>
      <x:c r="Q21" s="61" t="n"/>
      <x:c r="R21" s="61" t="n"/>
      <x:c r="S21" s="61" t="n"/>
      <x:c r="T21" s="61" t="n"/>
      <x:c r="U21" s="61" t="n"/>
      <x:c r="V21" s="61" t="n"/>
      <x:c r="W21" s="61" t="n"/>
      <x:c r="X21" s="61" t="n"/>
      <x:c r="Y21" s="61" t="n"/>
      <x:c r="Z21" s="61" t="n"/>
      <x:c r="AA21" s="61" t="n"/>
      <x:c r="AB21" s="61" t="n"/>
    </x:row>
    <x:row r="22" ht="32" customHeight="1">
      <x:c r="A22" s="66" t="inlineStr">
        <x:is>
          <x:t xml:space="preserve">Stability Score</x:t>
        </x:is>
      </x:c>
      <x:c r="B22" s="64" t="inlineStr">
        <x:is>
          <x:t xml:space="preserve">Risk Multiplier converted to fixed category score: 1.00=100, .95=75, .90=60, .85=40, .80=25.</x:t>
        </x:is>
      </x:c>
      <x:c r="C22" s="61" t="n"/>
      <x:c r="D22" s="61" t="n"/>
      <x:c r="E22" s="61" t="n"/>
      <x:c r="F22" s="61" t="n"/>
      <x:c r="G22" s="61" t="n"/>
      <x:c r="H22" s="61" t="n"/>
      <x:c r="I22" s="61" t="n"/>
      <x:c r="J22" s="61" t="n"/>
      <x:c r="K22" s="61" t="n"/>
      <x:c r="L22" s="61" t="n"/>
      <x:c r="M22" s="61" t="n"/>
      <x:c r="N22" s="61" t="n"/>
      <x:c r="O22" s="61" t="n"/>
      <x:c r="P22" s="61" t="n"/>
      <x:c r="Q22" s="61" t="n"/>
      <x:c r="R22" s="61" t="n"/>
      <x:c r="S22" s="61" t="n"/>
      <x:c r="T22" s="61" t="n"/>
      <x:c r="U22" s="61" t="n"/>
      <x:c r="V22" s="61" t="n"/>
      <x:c r="W22" s="61" t="n"/>
      <x:c r="X22" s="61" t="n"/>
      <x:c r="Y22" s="61" t="n"/>
      <x:c r="Z22" s="61" t="n"/>
      <x:c r="AA22" s="61" t="n"/>
      <x:c r="AB22" s="61" t="n"/>
    </x:row>
    <x:row r="23" ht="32" customHeight="1">
      <x:c r="A23" s="66" t="inlineStr">
        <x:is>
          <x:t xml:space="preserve">Pre-Risk Overall</x:t>
        </x:is>
      </x:c>
      <x:c r="B23" s="64" t="inlineStr">
        <x:is>
          <x:t xml:space="preserve">40% Salary + 30% Affordability + 10% Student-Teacher Ratio + 10% Sub Pay + 10% Demographic Balance</x:t>
        </x:is>
      </x:c>
      <x:c r="C23" s="61" t="n"/>
      <x:c r="D23" s="61" t="n"/>
      <x:c r="E23" s="61" t="n"/>
      <x:c r="F23" s="61" t="n"/>
      <x:c r="G23" s="61" t="n"/>
      <x:c r="H23" s="61" t="n"/>
      <x:c r="I23" s="61" t="n"/>
      <x:c r="J23" s="61" t="n"/>
      <x:c r="K23" s="61" t="n"/>
      <x:c r="L23" s="61" t="n"/>
      <x:c r="M23" s="61" t="n"/>
      <x:c r="N23" s="61" t="n"/>
      <x:c r="O23" s="61" t="n"/>
      <x:c r="P23" s="61" t="n"/>
      <x:c r="Q23" s="61" t="n"/>
      <x:c r="R23" s="61" t="n"/>
      <x:c r="S23" s="61" t="n"/>
      <x:c r="T23" s="61" t="n"/>
      <x:c r="U23" s="61" t="n"/>
      <x:c r="V23" s="61" t="n"/>
      <x:c r="W23" s="61" t="n"/>
      <x:c r="X23" s="61" t="n"/>
      <x:c r="Y23" s="61" t="n"/>
      <x:c r="Z23" s="61" t="n"/>
      <x:c r="AA23" s="61" t="n"/>
      <x:c r="AB23" s="61" t="n"/>
    </x:row>
    <x:row r="24" ht="32" customHeight="1">
      <x:c r="A24" s="66" t="inlineStr">
        <x:is>
          <x:t xml:space="preserve">Overall Value Score</x:t>
        </x:is>
      </x:c>
      <x:c r="B24" s="64" t="inlineStr">
        <x:is>
          <x:t xml:space="preserve">Pre-Risk Overall * Risk Multiplier</x:t>
        </x:is>
      </x:c>
      <x:c r="C24" s="61" t="n"/>
      <x:c r="D24" s="61" t="n"/>
      <x:c r="E24" s="61" t="n"/>
      <x:c r="F24" s="61" t="n"/>
      <x:c r="G24" s="61" t="n"/>
      <x:c r="H24" s="61" t="n"/>
      <x:c r="I24" s="61" t="n"/>
      <x:c r="J24" s="61" t="n"/>
      <x:c r="K24" s="61" t="n"/>
      <x:c r="L24" s="61" t="n"/>
      <x:c r="M24" s="61" t="n"/>
      <x:c r="N24" s="61" t="n"/>
      <x:c r="O24" s="61" t="n"/>
      <x:c r="P24" s="61" t="n"/>
      <x:c r="Q24" s="61" t="n"/>
      <x:c r="R24" s="61" t="n"/>
      <x:c r="S24" s="61" t="n"/>
      <x:c r="T24" s="61" t="n"/>
      <x:c r="U24" s="61" t="n"/>
      <x:c r="V24" s="61" t="n"/>
      <x:c r="W24" s="61" t="n"/>
      <x:c r="X24" s="61" t="n"/>
      <x:c r="Y24" s="61" t="n"/>
      <x:c r="Z24" s="61" t="n"/>
      <x:c r="AA24" s="61" t="n"/>
      <x:c r="AB24" s="61" t="n"/>
    </x:row>
    <x:row r="25" ht="32" customHeight="1">
      <x:c r="A25" s="64" t="n"/>
      <x:c r="B25" s="64" t="n"/>
      <x:c r="C25" s="61" t="n"/>
      <x:c r="D25" s="61" t="n"/>
      <x:c r="E25" s="61" t="n"/>
      <x:c r="F25" s="61" t="n"/>
      <x:c r="G25" s="61" t="n"/>
      <x:c r="H25" s="61" t="n"/>
      <x:c r="I25" s="61" t="n"/>
      <x:c r="J25" s="61" t="n"/>
      <x:c r="K25" s="61" t="n"/>
      <x:c r="L25" s="61" t="n"/>
      <x:c r="M25" s="61" t="n"/>
      <x:c r="N25" s="61" t="n"/>
      <x:c r="O25" s="61" t="n"/>
      <x:c r="P25" s="61" t="n"/>
      <x:c r="Q25" s="61" t="n"/>
      <x:c r="R25" s="61" t="n"/>
      <x:c r="S25" s="61" t="n"/>
      <x:c r="T25" s="61" t="n"/>
      <x:c r="U25" s="61" t="n"/>
      <x:c r="V25" s="61" t="n"/>
      <x:c r="W25" s="61" t="n"/>
      <x:c r="X25" s="61" t="n"/>
      <x:c r="Y25" s="61" t="n"/>
      <x:c r="Z25" s="61" t="n"/>
      <x:c r="AA25" s="61" t="n"/>
      <x:c r="AB25" s="61" t="n"/>
    </x:row>
    <x:row r="26" ht="32" customHeight="1">
      <x:c r="A26" s="64" t="n"/>
      <x:c r="B26" s="64" t="n"/>
      <x:c r="C26" s="61" t="n"/>
      <x:c r="D26" s="61" t="n"/>
      <x:c r="E26" s="61" t="n"/>
      <x:c r="F26" s="61" t="n"/>
      <x:c r="G26" s="61" t="n"/>
      <x:c r="H26" s="61" t="n"/>
      <x:c r="I26" s="61" t="n"/>
      <x:c r="J26" s="61" t="n"/>
      <x:c r="K26" s="61" t="n"/>
      <x:c r="L26" s="61" t="n"/>
      <x:c r="M26" s="61" t="n"/>
      <x:c r="N26" s="61" t="n"/>
      <x:c r="O26" s="61" t="n"/>
      <x:c r="P26" s="61" t="n"/>
      <x:c r="Q26" s="61" t="n"/>
      <x:c r="R26" s="61" t="n"/>
      <x:c r="S26" s="61" t="n"/>
      <x:c r="T26" s="61" t="n"/>
      <x:c r="U26" s="61" t="n"/>
      <x:c r="V26" s="61" t="n"/>
      <x:c r="W26" s="61" t="n"/>
      <x:c r="X26" s="61" t="n"/>
      <x:c r="Y26" s="61" t="n"/>
      <x:c r="Z26" s="61" t="n"/>
      <x:c r="AA26" s="61" t="n"/>
      <x:c r="AB26" s="61" t="n"/>
    </x:row>
    <x:row r="27" ht="32" customHeight="1">
      <x:c r="A27" s="65" t="n"/>
      <x:c r="B27" s="65" t="n"/>
      <x:c r="C27" s="61" t="n"/>
      <x:c r="D27" s="61" t="n"/>
      <x:c r="E27" s="61" t="n"/>
      <x:c r="F27" s="61" t="n"/>
      <x:c r="G27" s="61" t="n"/>
      <x:c r="H27" s="61" t="n"/>
      <x:c r="I27" s="61" t="n"/>
      <x:c r="J27" s="61" t="n"/>
      <x:c r="K27" s="61" t="n"/>
      <x:c r="L27" s="61" t="n"/>
      <x:c r="M27" s="61" t="n"/>
      <x:c r="N27" s="61" t="n"/>
      <x:c r="O27" s="61" t="n"/>
      <x:c r="P27" s="61" t="n"/>
      <x:c r="Q27" s="61" t="n"/>
      <x:c r="R27" s="61" t="n"/>
      <x:c r="S27" s="61" t="n"/>
      <x:c r="T27" s="61" t="n"/>
      <x:c r="U27" s="61" t="n"/>
      <x:c r="V27" s="61" t="n"/>
      <x:c r="W27" s="61" t="n"/>
      <x:c r="X27" s="61" t="n"/>
      <x:c r="Y27" s="61" t="n"/>
      <x:c r="Z27" s="61" t="n"/>
      <x:c r="AA27" s="61" t="n"/>
      <x:c r="AB27" s="61" t="n"/>
    </x:row>
    <x:row r="28" ht="32" customHeight="1">
      <x:c r="A28" s="64" t="n"/>
      <x:c r="B28" s="64" t="n"/>
      <x:c r="C28" s="61" t="n"/>
      <x:c r="D28" s="61" t="n"/>
      <x:c r="E28" s="61" t="n"/>
      <x:c r="F28" s="61" t="n"/>
      <x:c r="G28" s="61" t="n"/>
      <x:c r="H28" s="61" t="n"/>
      <x:c r="I28" s="61" t="n"/>
      <x:c r="J28" s="61" t="n"/>
      <x:c r="K28" s="61" t="n"/>
      <x:c r="L28" s="61" t="n"/>
      <x:c r="M28" s="61" t="n"/>
      <x:c r="N28" s="61" t="n"/>
      <x:c r="O28" s="61" t="n"/>
      <x:c r="P28" s="61" t="n"/>
      <x:c r="Q28" s="61" t="n"/>
      <x:c r="R28" s="61" t="n"/>
      <x:c r="S28" s="61" t="n"/>
      <x:c r="T28" s="61" t="n"/>
      <x:c r="U28" s="61" t="n"/>
      <x:c r="V28" s="61" t="n"/>
      <x:c r="W28" s="61" t="n"/>
      <x:c r="X28" s="61" t="n"/>
      <x:c r="Y28" s="61" t="n"/>
      <x:c r="Z28" s="61" t="n"/>
      <x:c r="AA28" s="61" t="n"/>
      <x:c r="AB28" s="61" t="n"/>
    </x:row>
    <x:row r="29" ht="32" customHeight="1">
      <x:c r="A29" s="64" t="n"/>
      <x:c r="B29" s="64" t="n"/>
      <x:c r="C29" s="61" t="n"/>
      <x:c r="D29" s="61" t="n"/>
      <x:c r="E29" s="61" t="n"/>
      <x:c r="F29" s="61" t="n"/>
      <x:c r="G29" s="61" t="n"/>
      <x:c r="H29" s="61" t="n"/>
      <x:c r="I29" s="61" t="n"/>
      <x:c r="J29" s="61" t="n"/>
      <x:c r="K29" s="61" t="n"/>
      <x:c r="L29" s="61" t="n"/>
      <x:c r="M29" s="61" t="n"/>
      <x:c r="N29" s="61" t="n"/>
      <x:c r="O29" s="61" t="n"/>
      <x:c r="P29" s="61" t="n"/>
      <x:c r="Q29" s="61" t="n"/>
      <x:c r="R29" s="61" t="n"/>
      <x:c r="S29" s="61" t="n"/>
      <x:c r="T29" s="61" t="n"/>
      <x:c r="U29" s="61" t="n"/>
      <x:c r="V29" s="61" t="n"/>
      <x:c r="W29" s="61" t="n"/>
      <x:c r="X29" s="61" t="n"/>
      <x:c r="Y29" s="61" t="n"/>
      <x:c r="Z29" s="61" t="n"/>
      <x:c r="AA29" s="61" t="n"/>
      <x:c r="AB29" s="61" t="n"/>
    </x:row>
    <x:row r="30" ht="32" customHeight="1">
      <x:c r="A30" s="65" t="n"/>
      <x:c r="B30" s="65" t="n"/>
      <x:c r="C30" s="61" t="n"/>
      <x:c r="D30" s="61" t="n"/>
      <x:c r="E30" s="61" t="n"/>
      <x:c r="F30" s="61" t="n"/>
      <x:c r="G30" s="61" t="n"/>
      <x:c r="H30" s="61" t="n"/>
      <x:c r="I30" s="61" t="n"/>
      <x:c r="J30" s="61" t="n"/>
      <x:c r="K30" s="61" t="n"/>
      <x:c r="L30" s="61" t="n"/>
      <x:c r="M30" s="61" t="n"/>
      <x:c r="N30" s="61" t="n"/>
      <x:c r="O30" s="61" t="n"/>
      <x:c r="P30" s="61" t="n"/>
      <x:c r="Q30" s="61" t="n"/>
      <x:c r="R30" s="61" t="n"/>
      <x:c r="S30" s="61" t="n"/>
      <x:c r="T30" s="61" t="n"/>
      <x:c r="U30" s="61" t="n"/>
      <x:c r="V30" s="61" t="n"/>
      <x:c r="W30" s="61" t="n"/>
      <x:c r="X30" s="61" t="n"/>
      <x:c r="Y30" s="61" t="n"/>
      <x:c r="Z30" s="61" t="n"/>
      <x:c r="AA30" s="61" t="n"/>
      <x:c r="AB30" s="61" t="n"/>
    </x:row>
    <x:row r="31" ht="32" customHeight="1">
      <x:c r="A31" s="64" t="n"/>
      <x:c r="B31" s="64" t="n"/>
      <x:c r="C31" s="61" t="n"/>
      <x:c r="D31" s="61" t="n"/>
      <x:c r="E31" s="61" t="n"/>
      <x:c r="F31" s="61" t="n"/>
      <x:c r="G31" s="61" t="n"/>
      <x:c r="H31" s="61" t="n"/>
      <x:c r="I31" s="61" t="n"/>
      <x:c r="J31" s="61" t="n"/>
      <x:c r="K31" s="61" t="n"/>
      <x:c r="L31" s="61" t="n"/>
      <x:c r="M31" s="61" t="n"/>
      <x:c r="N31" s="61" t="n"/>
      <x:c r="O31" s="61" t="n"/>
      <x:c r="P31" s="61" t="n"/>
      <x:c r="Q31" s="61" t="n"/>
      <x:c r="R31" s="61" t="n"/>
      <x:c r="S31" s="61" t="n"/>
      <x:c r="T31" s="61" t="n"/>
      <x:c r="U31" s="61" t="n"/>
      <x:c r="V31" s="61" t="n"/>
      <x:c r="W31" s="61" t="n"/>
      <x:c r="X31" s="61" t="n"/>
      <x:c r="Y31" s="61" t="n"/>
      <x:c r="Z31" s="61" t="n"/>
      <x:c r="AA31" s="61" t="n"/>
      <x:c r="AB31" s="61" t="n"/>
    </x:row>
    <x:row r="32" ht="32" customHeight="1">
      <x:c r="A32" s="64" t="n"/>
      <x:c r="B32" s="64" t="n"/>
      <x:c r="C32" s="61" t="n"/>
      <x:c r="D32" s="61" t="n"/>
      <x:c r="E32" s="61" t="n"/>
      <x:c r="F32" s="61" t="n"/>
      <x:c r="G32" s="61" t="n"/>
      <x:c r="H32" s="61" t="n"/>
      <x:c r="I32" s="61" t="n"/>
      <x:c r="J32" s="61" t="n"/>
      <x:c r="K32" s="61" t="n"/>
      <x:c r="L32" s="61" t="n"/>
      <x:c r="M32" s="61" t="n"/>
      <x:c r="N32" s="61" t="n"/>
      <x:c r="O32" s="61" t="n"/>
      <x:c r="P32" s="61" t="n"/>
      <x:c r="Q32" s="61" t="n"/>
      <x:c r="R32" s="61" t="n"/>
      <x:c r="S32" s="61" t="n"/>
      <x:c r="T32" s="61" t="n"/>
      <x:c r="U32" s="61" t="n"/>
      <x:c r="V32" s="61" t="n"/>
      <x:c r="W32" s="61" t="n"/>
      <x:c r="X32" s="61" t="n"/>
      <x:c r="Y32" s="61" t="n"/>
      <x:c r="Z32" s="61" t="n"/>
      <x:c r="AA32" s="61" t="n"/>
      <x:c r="AB32" s="61" t="n"/>
    </x:row>
    <x:row r="33" ht="32" customHeight="1">
      <x:c r="A33" s="64" t="n"/>
      <x:c r="B33" s="64" t="n"/>
      <x:c r="C33" s="61" t="n"/>
      <x:c r="D33" s="61" t="n"/>
      <x:c r="E33" s="61" t="n"/>
      <x:c r="F33" s="61" t="n"/>
      <x:c r="G33" s="61" t="n"/>
      <x:c r="H33" s="61" t="n"/>
      <x:c r="I33" s="61" t="n"/>
      <x:c r="J33" s="61" t="n"/>
      <x:c r="K33" s="61" t="n"/>
      <x:c r="L33" s="61" t="n"/>
      <x:c r="M33" s="61" t="n"/>
      <x:c r="N33" s="61" t="n"/>
      <x:c r="O33" s="61" t="n"/>
      <x:c r="P33" s="61" t="n"/>
      <x:c r="Q33" s="61" t="n"/>
      <x:c r="R33" s="61" t="n"/>
      <x:c r="S33" s="61" t="n"/>
      <x:c r="T33" s="61" t="n"/>
      <x:c r="U33" s="61" t="n"/>
      <x:c r="V33" s="61" t="n"/>
      <x:c r="W33" s="61" t="n"/>
      <x:c r="X33" s="61" t="n"/>
      <x:c r="Y33" s="61" t="n"/>
      <x:c r="Z33" s="61" t="n"/>
      <x:c r="AA33" s="61" t="n"/>
      <x:c r="AB33" s="61" t="n"/>
    </x:row>
    <x:row r="34" ht="32" customHeight="1">
      <x:c r="A34" s="64" t="n"/>
      <x:c r="B34" s="64" t="n"/>
      <x:c r="C34" s="61" t="n"/>
      <x:c r="D34" s="61" t="n"/>
      <x:c r="E34" s="61" t="n"/>
      <x:c r="F34" s="61" t="n"/>
      <x:c r="G34" s="61" t="n"/>
      <x:c r="H34" s="61" t="n"/>
      <x:c r="I34" s="61" t="n"/>
      <x:c r="J34" s="61" t="n"/>
      <x:c r="K34" s="61" t="n"/>
      <x:c r="L34" s="61" t="n"/>
      <x:c r="M34" s="61" t="n"/>
      <x:c r="N34" s="61" t="n"/>
      <x:c r="O34" s="61" t="n"/>
      <x:c r="P34" s="61" t="n"/>
      <x:c r="Q34" s="61" t="n"/>
      <x:c r="R34" s="61" t="n"/>
      <x:c r="S34" s="61" t="n"/>
      <x:c r="T34" s="61" t="n"/>
      <x:c r="U34" s="61" t="n"/>
      <x:c r="V34" s="61" t="n"/>
      <x:c r="W34" s="61" t="n"/>
      <x:c r="X34" s="61" t="n"/>
      <x:c r="Y34" s="61" t="n"/>
      <x:c r="Z34" s="61" t="n"/>
      <x:c r="AA34" s="61" t="n"/>
      <x:c r="AB34" s="61" t="n"/>
    </x:row>
    <x:row r="35" ht="32" customHeight="1">
      <x:c r="A35" s="64" t="n"/>
      <x:c r="B35" s="64" t="n"/>
      <x:c r="C35" s="61" t="n"/>
      <x:c r="D35" s="61" t="n"/>
      <x:c r="E35" s="61" t="n"/>
      <x:c r="F35" s="61" t="n"/>
      <x:c r="G35" s="61" t="n"/>
      <x:c r="H35" s="61" t="n"/>
      <x:c r="I35" s="61" t="n"/>
      <x:c r="J35" s="61" t="n"/>
      <x:c r="K35" s="61" t="n"/>
      <x:c r="L35" s="61" t="n"/>
      <x:c r="M35" s="61" t="n"/>
      <x:c r="N35" s="61" t="n"/>
      <x:c r="O35" s="61" t="n"/>
      <x:c r="P35" s="61" t="n"/>
      <x:c r="Q35" s="61" t="n"/>
      <x:c r="R35" s="61" t="n"/>
      <x:c r="S35" s="61" t="n"/>
      <x:c r="T35" s="61" t="n"/>
      <x:c r="U35" s="61" t="n"/>
      <x:c r="V35" s="61" t="n"/>
      <x:c r="W35" s="61" t="n"/>
      <x:c r="X35" s="61" t="n"/>
      <x:c r="Y35" s="61" t="n"/>
      <x:c r="Z35" s="61" t="n"/>
      <x:c r="AA35" s="61" t="n"/>
      <x:c r="AB35" s="61" t="n"/>
    </x:row>
    <x:row r="36" ht="32" customHeight="1">
      <x:c r="A36" s="64" t="n"/>
      <x:c r="B36" s="64" t="n"/>
      <x:c r="C36" s="61" t="n"/>
      <x:c r="D36" s="61" t="n"/>
      <x:c r="E36" s="61" t="n"/>
      <x:c r="F36" s="61" t="n"/>
      <x:c r="G36" s="61" t="n"/>
      <x:c r="H36" s="61" t="n"/>
      <x:c r="I36" s="61" t="n"/>
      <x:c r="J36" s="61" t="n"/>
      <x:c r="K36" s="61" t="n"/>
      <x:c r="L36" s="61" t="n"/>
      <x:c r="M36" s="61" t="n"/>
      <x:c r="N36" s="61" t="n"/>
      <x:c r="O36" s="61" t="n"/>
      <x:c r="P36" s="61" t="n"/>
      <x:c r="Q36" s="61" t="n"/>
      <x:c r="R36" s="61" t="n"/>
      <x:c r="S36" s="61" t="n"/>
      <x:c r="T36" s="61" t="n"/>
      <x:c r="U36" s="61" t="n"/>
      <x:c r="V36" s="61" t="n"/>
      <x:c r="W36" s="61" t="n"/>
      <x:c r="X36" s="61" t="n"/>
      <x:c r="Y36" s="61" t="n"/>
      <x:c r="Z36" s="61" t="n"/>
      <x:c r="AA36" s="61" t="n"/>
      <x:c r="AB36" s="61" t="n"/>
    </x:row>
    <x:row r="37" ht="32" customHeight="1">
      <x:c r="A37" s="64" t="n"/>
      <x:c r="B37" s="64" t="n"/>
      <x:c r="C37" s="61" t="n"/>
      <x:c r="D37" s="61" t="n"/>
      <x:c r="E37" s="61" t="n"/>
      <x:c r="F37" s="61" t="n"/>
      <x:c r="G37" s="61" t="n"/>
      <x:c r="H37" s="61" t="n"/>
      <x:c r="I37" s="61" t="n"/>
      <x:c r="J37" s="61" t="n"/>
      <x:c r="K37" s="61" t="n"/>
      <x:c r="L37" s="61" t="n"/>
      <x:c r="M37" s="61" t="n"/>
      <x:c r="N37" s="61" t="n"/>
      <x:c r="O37" s="61" t="n"/>
      <x:c r="P37" s="61" t="n"/>
      <x:c r="Q37" s="61" t="n"/>
      <x:c r="R37" s="61" t="n"/>
      <x:c r="S37" s="61" t="n"/>
      <x:c r="T37" s="61" t="n"/>
      <x:c r="U37" s="61" t="n"/>
      <x:c r="V37" s="61" t="n"/>
      <x:c r="W37" s="61" t="n"/>
      <x:c r="X37" s="61" t="n"/>
      <x:c r="Y37" s="61" t="n"/>
      <x:c r="Z37" s="61" t="n"/>
      <x:c r="AA37" s="61" t="n"/>
      <x:c r="AB37" s="61" t="n"/>
    </x:row>
    <x:row r="38" ht="32" customHeight="1">
      <x:c r="A38" s="64" t="n"/>
      <x:c r="B38" s="64" t="n"/>
      <x:c r="C38" s="61" t="n"/>
      <x:c r="D38" s="61" t="n"/>
      <x:c r="E38" s="61" t="n"/>
      <x:c r="F38" s="61" t="n"/>
      <x:c r="G38" s="61" t="n"/>
      <x:c r="H38" s="61" t="n"/>
      <x:c r="I38" s="61" t="n"/>
      <x:c r="J38" s="61" t="n"/>
      <x:c r="K38" s="61" t="n"/>
      <x:c r="L38" s="61" t="n"/>
      <x:c r="M38" s="61" t="n"/>
      <x:c r="N38" s="61" t="n"/>
      <x:c r="O38" s="61" t="n"/>
      <x:c r="P38" s="61" t="n"/>
      <x:c r="Q38" s="61" t="n"/>
      <x:c r="R38" s="61" t="n"/>
      <x:c r="S38" s="61" t="n"/>
      <x:c r="T38" s="61" t="n"/>
      <x:c r="U38" s="61" t="n"/>
      <x:c r="V38" s="61" t="n"/>
      <x:c r="W38" s="61" t="n"/>
      <x:c r="X38" s="61" t="n"/>
      <x:c r="Y38" s="61" t="n"/>
      <x:c r="Z38" s="61" t="n"/>
      <x:c r="AA38" s="61" t="n"/>
      <x:c r="AB38" s="61" t="n"/>
    </x:row>
    <x:row r="39" ht="32" customHeight="1">
      <x:c r="A39" s="64" t="n"/>
      <x:c r="B39" s="64" t="n"/>
      <x:c r="C39" s="61" t="n"/>
      <x:c r="D39" s="61" t="n"/>
      <x:c r="E39" s="61" t="n"/>
      <x:c r="F39" s="61" t="n"/>
      <x:c r="G39" s="61" t="n"/>
      <x:c r="H39" s="61" t="n"/>
      <x:c r="I39" s="61" t="n"/>
      <x:c r="J39" s="61" t="n"/>
      <x:c r="K39" s="61" t="n"/>
      <x:c r="L39" s="61" t="n"/>
      <x:c r="M39" s="61" t="n"/>
      <x:c r="N39" s="61" t="n"/>
      <x:c r="O39" s="61" t="n"/>
      <x:c r="P39" s="61" t="n"/>
      <x:c r="Q39" s="61" t="n"/>
      <x:c r="R39" s="61" t="n"/>
      <x:c r="S39" s="61" t="n"/>
      <x:c r="T39" s="61" t="n"/>
      <x:c r="U39" s="61" t="n"/>
      <x:c r="V39" s="61" t="n"/>
      <x:c r="W39" s="61" t="n"/>
      <x:c r="X39" s="61" t="n"/>
      <x:c r="Y39" s="61" t="n"/>
      <x:c r="Z39" s="61" t="n"/>
      <x:c r="AA39" s="61" t="n"/>
      <x:c r="AB39" s="61" t="n"/>
    </x:row>
    <x:row r="40" ht="32" customHeight="1">
      <x:c r="A40" s="64" t="n"/>
      <x:c r="B40" s="64" t="n"/>
      <x:c r="C40" s="61" t="n"/>
      <x:c r="D40" s="61" t="n"/>
      <x:c r="E40" s="61" t="n"/>
      <x:c r="F40" s="61" t="n"/>
      <x:c r="G40" s="61" t="n"/>
      <x:c r="H40" s="61" t="n"/>
      <x:c r="I40" s="61" t="n"/>
      <x:c r="J40" s="61" t="n"/>
      <x:c r="K40" s="61" t="n"/>
      <x:c r="L40" s="61" t="n"/>
      <x:c r="M40" s="61" t="n"/>
      <x:c r="N40" s="61" t="n"/>
      <x:c r="O40" s="61" t="n"/>
      <x:c r="P40" s="61" t="n"/>
      <x:c r="Q40" s="61" t="n"/>
      <x:c r="R40" s="61" t="n"/>
      <x:c r="S40" s="61" t="n"/>
      <x:c r="T40" s="61" t="n"/>
      <x:c r="U40" s="61" t="n"/>
      <x:c r="V40" s="61" t="n"/>
      <x:c r="W40" s="61" t="n"/>
      <x:c r="X40" s="61" t="n"/>
      <x:c r="Y40" s="61" t="n"/>
      <x:c r="Z40" s="61" t="n"/>
      <x:c r="AA40" s="61" t="n"/>
      <x:c r="AB40" s="61" t="n"/>
    </x:row>
    <x:row r="41" ht="32" customHeight="1">
      <x:c r="A41" s="64" t="n"/>
      <x:c r="B41" s="64" t="n"/>
      <x:c r="C41" s="61" t="n"/>
      <x:c r="D41" s="61" t="n"/>
      <x:c r="E41" s="61" t="n"/>
      <x:c r="F41" s="61" t="n"/>
      <x:c r="G41" s="61" t="n"/>
      <x:c r="H41" s="61" t="n"/>
      <x:c r="I41" s="61" t="n"/>
      <x:c r="J41" s="61" t="n"/>
      <x:c r="K41" s="61" t="n"/>
      <x:c r="L41" s="61" t="n"/>
      <x:c r="M41" s="61" t="n"/>
      <x:c r="N41" s="61" t="n"/>
      <x:c r="O41" s="61" t="n"/>
      <x:c r="P41" s="61" t="n"/>
      <x:c r="Q41" s="61" t="n"/>
      <x:c r="R41" s="61" t="n"/>
      <x:c r="S41" s="61" t="n"/>
      <x:c r="T41" s="61" t="n"/>
      <x:c r="U41" s="61" t="n"/>
      <x:c r="V41" s="61" t="n"/>
      <x:c r="W41" s="61" t="n"/>
      <x:c r="X41" s="61" t="n"/>
      <x:c r="Y41" s="61" t="n"/>
      <x:c r="Z41" s="61" t="n"/>
      <x:c r="AA41" s="61" t="n"/>
      <x:c r="AB41" s="61" t="n"/>
    </x:row>
    <x:row r="42" ht="32" customHeight="1">
      <x:c r="A42" s="64" t="n"/>
      <x:c r="B42" s="64" t="n"/>
      <x:c r="C42" s="61" t="n"/>
      <x:c r="D42" s="61" t="n"/>
      <x:c r="E42" s="61" t="n"/>
      <x:c r="F42" s="61" t="n"/>
      <x:c r="G42" s="61" t="n"/>
      <x:c r="H42" s="61" t="n"/>
      <x:c r="I42" s="61" t="n"/>
      <x:c r="J42" s="61" t="n"/>
      <x:c r="K42" s="61" t="n"/>
      <x:c r="L42" s="61" t="n"/>
      <x:c r="M42" s="61" t="n"/>
      <x:c r="N42" s="61" t="n"/>
      <x:c r="O42" s="61" t="n"/>
      <x:c r="P42" s="61" t="n"/>
      <x:c r="Q42" s="61" t="n"/>
      <x:c r="R42" s="61" t="n"/>
      <x:c r="S42" s="61" t="n"/>
      <x:c r="T42" s="61" t="n"/>
      <x:c r="U42" s="61" t="n"/>
      <x:c r="V42" s="61" t="n"/>
      <x:c r="W42" s="61" t="n"/>
      <x:c r="X42" s="61" t="n"/>
      <x:c r="Y42" s="61" t="n"/>
      <x:c r="Z42" s="61" t="n"/>
      <x:c r="AA42" s="61" t="n"/>
      <x:c r="AB42" s="61" t="n"/>
    </x:row>
    <x:row r="43" ht="32" customHeight="1">
      <x:c r="A43" s="64" t="n"/>
      <x:c r="B43" s="64" t="n"/>
      <x:c r="C43" s="61" t="n"/>
      <x:c r="D43" s="61" t="n"/>
      <x:c r="E43" s="61" t="n"/>
      <x:c r="F43" s="61" t="n"/>
      <x:c r="G43" s="61" t="n"/>
      <x:c r="H43" s="61" t="n"/>
      <x:c r="I43" s="61" t="n"/>
      <x:c r="J43" s="61" t="n"/>
      <x:c r="K43" s="61" t="n"/>
      <x:c r="L43" s="61" t="n"/>
      <x:c r="M43" s="61" t="n"/>
      <x:c r="N43" s="61" t="n"/>
      <x:c r="O43" s="61" t="n"/>
      <x:c r="P43" s="61" t="n"/>
      <x:c r="Q43" s="61" t="n"/>
      <x:c r="R43" s="61" t="n"/>
      <x:c r="S43" s="61" t="n"/>
      <x:c r="T43" s="61" t="n"/>
      <x:c r="U43" s="61" t="n"/>
      <x:c r="V43" s="61" t="n"/>
      <x:c r="W43" s="61" t="n"/>
      <x:c r="X43" s="61" t="n"/>
      <x:c r="Y43" s="61" t="n"/>
      <x:c r="Z43" s="61" t="n"/>
      <x:c r="AA43" s="61" t="n"/>
      <x:c r="AB43" s="61" t="n"/>
    </x:row>
    <x:row r="44" ht="32" customHeight="1">
      <x:c r="A44" s="64" t="n"/>
      <x:c r="B44" s="64" t="n"/>
      <x:c r="C44" s="61" t="n"/>
      <x:c r="D44" s="61" t="n"/>
      <x:c r="E44" s="61" t="n"/>
      <x:c r="F44" s="61" t="n"/>
      <x:c r="G44" s="61" t="n"/>
      <x:c r="H44" s="61" t="n"/>
      <x:c r="I44" s="61" t="n"/>
      <x:c r="J44" s="61" t="n"/>
      <x:c r="K44" s="61" t="n"/>
      <x:c r="L44" s="61" t="n"/>
      <x:c r="M44" s="61" t="n"/>
      <x:c r="N44" s="61" t="n"/>
      <x:c r="O44" s="61" t="n"/>
      <x:c r="P44" s="61" t="n"/>
      <x:c r="Q44" s="61" t="n"/>
      <x:c r="R44" s="61" t="n"/>
      <x:c r="S44" s="61" t="n"/>
      <x:c r="T44" s="61" t="n"/>
      <x:c r="U44" s="61" t="n"/>
      <x:c r="V44" s="61" t="n"/>
      <x:c r="W44" s="61" t="n"/>
      <x:c r="X44" s="61" t="n"/>
      <x:c r="Y44" s="61" t="n"/>
      <x:c r="Z44" s="61" t="n"/>
      <x:c r="AA44" s="61" t="n"/>
      <x:c r="AB44" s="61" t="n"/>
    </x:row>
    <x:row r="45" ht="32" customHeight="1">
      <x:c r="A45" s="64" t="n"/>
      <x:c r="B45" s="64" t="n"/>
      <x:c r="C45" s="61" t="n"/>
      <x:c r="D45" s="61" t="n"/>
      <x:c r="E45" s="61" t="n"/>
      <x:c r="F45" s="61" t="n"/>
      <x:c r="G45" s="61" t="n"/>
      <x:c r="H45" s="61" t="n"/>
      <x:c r="I45" s="61" t="n"/>
      <x:c r="J45" s="61" t="n"/>
      <x:c r="K45" s="61" t="n"/>
      <x:c r="L45" s="61" t="n"/>
      <x:c r="M45" s="61" t="n"/>
      <x:c r="N45" s="61" t="n"/>
      <x:c r="O45" s="61" t="n"/>
      <x:c r="P45" s="61" t="n"/>
      <x:c r="Q45" s="61" t="n"/>
      <x:c r="R45" s="61" t="n"/>
      <x:c r="S45" s="61" t="n"/>
      <x:c r="T45" s="61" t="n"/>
      <x:c r="U45" s="61" t="n"/>
      <x:c r="V45" s="61" t="n"/>
      <x:c r="W45" s="61" t="n"/>
      <x:c r="X45" s="61" t="n"/>
      <x:c r="Y45" s="61" t="n"/>
      <x:c r="Z45" s="61" t="n"/>
      <x:c r="AA45" s="61" t="n"/>
      <x:c r="AB45" s="61" t="n"/>
    </x:row>
    <x:row r="46" ht="32" customHeight="1">
      <x:c r="A46" s="64" t="n"/>
      <x:c r="B46" s="64" t="n"/>
      <x:c r="C46" s="61" t="n"/>
      <x:c r="D46" s="61" t="n"/>
      <x:c r="E46" s="61" t="n"/>
      <x:c r="F46" s="61" t="n"/>
      <x:c r="G46" s="61" t="n"/>
      <x:c r="H46" s="61" t="n"/>
      <x:c r="I46" s="61" t="n"/>
      <x:c r="J46" s="61" t="n"/>
      <x:c r="K46" s="61" t="n"/>
      <x:c r="L46" s="61" t="n"/>
      <x:c r="M46" s="61" t="n"/>
      <x:c r="N46" s="61" t="n"/>
      <x:c r="O46" s="61" t="n"/>
      <x:c r="P46" s="61" t="n"/>
      <x:c r="Q46" s="61" t="n"/>
      <x:c r="R46" s="61" t="n"/>
      <x:c r="S46" s="61" t="n"/>
      <x:c r="T46" s="61" t="n"/>
      <x:c r="U46" s="61" t="n"/>
      <x:c r="V46" s="61" t="n"/>
      <x:c r="W46" s="61" t="n"/>
      <x:c r="X46" s="61" t="n"/>
      <x:c r="Y46" s="61" t="n"/>
      <x:c r="Z46" s="61" t="n"/>
      <x:c r="AA46" s="61" t="n"/>
      <x:c r="AB46" s="61" t="n"/>
    </x:row>
    <x:row r="47" ht="32" customHeight="1">
      <x:c r="A47" s="64" t="n"/>
      <x:c r="B47" s="64" t="n"/>
      <x:c r="C47" s="61" t="n"/>
      <x:c r="D47" s="61" t="n"/>
      <x:c r="E47" s="61" t="n"/>
      <x:c r="F47" s="61" t="n"/>
      <x:c r="G47" s="61" t="n"/>
      <x:c r="H47" s="61" t="n"/>
      <x:c r="I47" s="61" t="n"/>
      <x:c r="J47" s="61" t="n"/>
      <x:c r="K47" s="61" t="n"/>
      <x:c r="L47" s="61" t="n"/>
      <x:c r="M47" s="61" t="n"/>
      <x:c r="N47" s="61" t="n"/>
      <x:c r="O47" s="61" t="n"/>
      <x:c r="P47" s="61" t="n"/>
      <x:c r="Q47" s="61" t="n"/>
      <x:c r="R47" s="61" t="n"/>
      <x:c r="S47" s="61" t="n"/>
      <x:c r="T47" s="61" t="n"/>
      <x:c r="U47" s="61" t="n"/>
      <x:c r="V47" s="61" t="n"/>
      <x:c r="W47" s="61" t="n"/>
      <x:c r="X47" s="61" t="n"/>
      <x:c r="Y47" s="61" t="n"/>
      <x:c r="Z47" s="61" t="n"/>
      <x:c r="AA47" s="61" t="n"/>
      <x:c r="AB47" s="61" t="n"/>
    </x:row>
    <x:row r="48" ht="32" customHeight="1">
      <x:c r="A48" s="64" t="n"/>
      <x:c r="B48" s="64" t="n"/>
      <x:c r="C48" s="61" t="n"/>
      <x:c r="D48" s="61" t="n"/>
      <x:c r="E48" s="61" t="n"/>
      <x:c r="F48" s="61" t="n"/>
      <x:c r="G48" s="61" t="n"/>
      <x:c r="H48" s="61" t="n"/>
      <x:c r="I48" s="61" t="n"/>
      <x:c r="J48" s="61" t="n"/>
      <x:c r="K48" s="61" t="n"/>
      <x:c r="L48" s="61" t="n"/>
      <x:c r="M48" s="61" t="n"/>
      <x:c r="N48" s="61" t="n"/>
      <x:c r="O48" s="61" t="n"/>
      <x:c r="P48" s="61" t="n"/>
      <x:c r="Q48" s="61" t="n"/>
      <x:c r="R48" s="61" t="n"/>
      <x:c r="S48" s="61" t="n"/>
      <x:c r="T48" s="61" t="n"/>
      <x:c r="U48" s="61" t="n"/>
      <x:c r="V48" s="61" t="n"/>
      <x:c r="W48" s="61" t="n"/>
      <x:c r="X48" s="61" t="n"/>
      <x:c r="Y48" s="61" t="n"/>
      <x:c r="Z48" s="61" t="n"/>
      <x:c r="AA48" s="61" t="n"/>
      <x:c r="AB48" s="61" t="n"/>
    </x:row>
    <x:row r="49" ht="32" customHeight="1">
      <x:c r="A49" s="64" t="n"/>
      <x:c r="B49" s="64" t="n"/>
      <x:c r="C49" s="61" t="n"/>
      <x:c r="D49" s="61" t="n"/>
      <x:c r="E49" s="61" t="n"/>
      <x:c r="F49" s="61" t="n"/>
      <x:c r="G49" s="61" t="n"/>
      <x:c r="H49" s="61" t="n"/>
      <x:c r="I49" s="61" t="n"/>
      <x:c r="J49" s="61" t="n"/>
      <x:c r="K49" s="61" t="n"/>
      <x:c r="L49" s="61" t="n"/>
      <x:c r="M49" s="61" t="n"/>
      <x:c r="N49" s="61" t="n"/>
      <x:c r="O49" s="61" t="n"/>
      <x:c r="P49" s="61" t="n"/>
      <x:c r="Q49" s="61" t="n"/>
      <x:c r="R49" s="61" t="n"/>
      <x:c r="S49" s="61" t="n"/>
      <x:c r="T49" s="61" t="n"/>
      <x:c r="U49" s="61" t="n"/>
      <x:c r="V49" s="61" t="n"/>
      <x:c r="W49" s="61" t="n"/>
      <x:c r="X49" s="61" t="n"/>
      <x:c r="Y49" s="61" t="n"/>
      <x:c r="Z49" s="61" t="n"/>
      <x:c r="AA49" s="61" t="n"/>
      <x:c r="AB49" s="61" t="n"/>
    </x:row>
    <x:row r="50" ht="32" customHeight="1">
      <x:c r="A50" s="64" t="n"/>
      <x:c r="B50" s="64" t="n"/>
      <x:c r="C50" s="61" t="n"/>
      <x:c r="D50" s="61" t="n"/>
      <x:c r="E50" s="61" t="n"/>
      <x:c r="F50" s="61" t="n"/>
      <x:c r="G50" s="61" t="n"/>
      <x:c r="H50" s="61" t="n"/>
      <x:c r="I50" s="61" t="n"/>
      <x:c r="J50" s="61" t="n"/>
      <x:c r="K50" s="61" t="n"/>
      <x:c r="L50" s="61" t="n"/>
      <x:c r="M50" s="61" t="n"/>
      <x:c r="N50" s="61" t="n"/>
      <x:c r="O50" s="61" t="n"/>
      <x:c r="P50" s="61" t="n"/>
      <x:c r="Q50" s="61" t="n"/>
      <x:c r="R50" s="61" t="n"/>
      <x:c r="S50" s="61" t="n"/>
      <x:c r="T50" s="61" t="n"/>
      <x:c r="U50" s="61" t="n"/>
      <x:c r="V50" s="61" t="n"/>
      <x:c r="W50" s="61" t="n"/>
      <x:c r="X50" s="61" t="n"/>
      <x:c r="Y50" s="61" t="n"/>
      <x:c r="Z50" s="61" t="n"/>
      <x:c r="AA50" s="61" t="n"/>
      <x:c r="AB50" s="61" t="n"/>
    </x:row>
    <x:row r="51" ht="32" customHeight="1">
      <x:c r="A51" s="64" t="n"/>
      <x:c r="B51" s="64" t="n"/>
      <x:c r="C51" s="61" t="n"/>
      <x:c r="D51" s="61" t="n"/>
      <x:c r="E51" s="61" t="n"/>
      <x:c r="F51" s="61" t="n"/>
      <x:c r="G51" s="61" t="n"/>
      <x:c r="H51" s="61" t="n"/>
      <x:c r="I51" s="61" t="n"/>
      <x:c r="J51" s="61" t="n"/>
      <x:c r="K51" s="61" t="n"/>
      <x:c r="L51" s="61" t="n"/>
      <x:c r="M51" s="61" t="n"/>
      <x:c r="N51" s="61" t="n"/>
      <x:c r="O51" s="61" t="n"/>
      <x:c r="P51" s="61" t="n"/>
      <x:c r="Q51" s="61" t="n"/>
      <x:c r="R51" s="61" t="n"/>
      <x:c r="S51" s="61" t="n"/>
      <x:c r="T51" s="61" t="n"/>
      <x:c r="U51" s="61" t="n"/>
      <x:c r="V51" s="61" t="n"/>
      <x:c r="W51" s="61" t="n"/>
      <x:c r="X51" s="61" t="n"/>
      <x:c r="Y51" s="61" t="n"/>
      <x:c r="Z51" s="61" t="n"/>
      <x:c r="AA51" s="61" t="n"/>
      <x:c r="AB51" s="61" t="n"/>
    </x:row>
    <x:row r="52" ht="32" customHeight="1">
      <x:c r="A52" s="64" t="n"/>
      <x:c r="B52" s="64" t="n"/>
      <x:c r="C52" s="61" t="n"/>
      <x:c r="D52" s="61" t="n"/>
      <x:c r="E52" s="61" t="n"/>
      <x:c r="F52" s="61" t="n"/>
      <x:c r="G52" s="61" t="n"/>
      <x:c r="H52" s="61" t="n"/>
      <x:c r="I52" s="61" t="n"/>
      <x:c r="J52" s="61" t="n"/>
      <x:c r="K52" s="61" t="n"/>
      <x:c r="L52" s="61" t="n"/>
      <x:c r="M52" s="61" t="n"/>
      <x:c r="N52" s="61" t="n"/>
      <x:c r="O52" s="61" t="n"/>
      <x:c r="P52" s="61" t="n"/>
      <x:c r="Q52" s="61" t="n"/>
      <x:c r="R52" s="61" t="n"/>
      <x:c r="S52" s="61" t="n"/>
      <x:c r="T52" s="61" t="n"/>
      <x:c r="U52" s="61" t="n"/>
      <x:c r="V52" s="61" t="n"/>
      <x:c r="W52" s="61" t="n"/>
      <x:c r="X52" s="61" t="n"/>
      <x:c r="Y52" s="61" t="n"/>
      <x:c r="Z52" s="61" t="n"/>
      <x:c r="AA52" s="61" t="n"/>
      <x:c r="AB52" s="61" t="n"/>
    </x:row>
    <x:row r="53" ht="32" customHeight="1">
      <x:c r="A53" s="64" t="n"/>
      <x:c r="B53" s="64" t="n"/>
      <x:c r="C53" s="61" t="n"/>
      <x:c r="D53" s="61" t="n"/>
      <x:c r="E53" s="61" t="n"/>
      <x:c r="F53" s="61" t="n"/>
      <x:c r="G53" s="61" t="n"/>
      <x:c r="H53" s="61" t="n"/>
      <x:c r="I53" s="61" t="n"/>
      <x:c r="J53" s="61" t="n"/>
      <x:c r="K53" s="61" t="n"/>
      <x:c r="L53" s="61" t="n"/>
      <x:c r="M53" s="61" t="n"/>
      <x:c r="N53" s="61" t="n"/>
      <x:c r="O53" s="61" t="n"/>
      <x:c r="P53" s="61" t="n"/>
      <x:c r="Q53" s="61" t="n"/>
      <x:c r="R53" s="61" t="n"/>
      <x:c r="S53" s="61" t="n"/>
      <x:c r="T53" s="61" t="n"/>
      <x:c r="U53" s="61" t="n"/>
      <x:c r="V53" s="61" t="n"/>
      <x:c r="W53" s="61" t="n"/>
      <x:c r="X53" s="61" t="n"/>
      <x:c r="Y53" s="61" t="n"/>
      <x:c r="Z53" s="61" t="n"/>
      <x:c r="AA53" s="61" t="n"/>
      <x:c r="AB53" s="61" t="n"/>
    </x:row>
    <x:row r="54" ht="32" customHeight="1">
      <x:c r="A54" s="67" t="n"/>
      <x:c r="B54" s="64" t="n"/>
      <x:c r="C54" s="61" t="n"/>
      <x:c r="D54" s="61" t="n"/>
      <x:c r="E54" s="61" t="n"/>
      <x:c r="F54" s="61" t="n"/>
      <x:c r="G54" s="61" t="n"/>
      <x:c r="H54" s="61" t="n"/>
      <x:c r="I54" s="61" t="n"/>
      <x:c r="J54" s="61" t="n"/>
      <x:c r="K54" s="61" t="n"/>
      <x:c r="L54" s="61" t="n"/>
      <x:c r="M54" s="61" t="n"/>
      <x:c r="N54" s="61" t="n"/>
      <x:c r="O54" s="61" t="n"/>
      <x:c r="P54" s="61" t="n"/>
      <x:c r="Q54" s="61" t="n"/>
      <x:c r="R54" s="61" t="n"/>
      <x:c r="S54" s="61" t="n"/>
      <x:c r="T54" s="61" t="n"/>
      <x:c r="U54" s="61" t="n"/>
      <x:c r="V54" s="61" t="n"/>
      <x:c r="W54" s="61" t="n"/>
      <x:c r="X54" s="61" t="n"/>
      <x:c r="Y54" s="61" t="n"/>
      <x:c r="Z54" s="61" t="n"/>
      <x:c r="AA54" s="61" t="n"/>
      <x:c r="AB54" s="61" t="n"/>
    </x:row>
    <x:row r="55" ht="32" customHeight="1">
      <x:c r="A55" s="67" t="n"/>
      <x:c r="B55" s="64" t="n"/>
      <x:c r="C55" s="61" t="n"/>
      <x:c r="D55" s="61" t="n"/>
      <x:c r="E55" s="61" t="n"/>
      <x:c r="F55" s="61" t="n"/>
      <x:c r="G55" s="61" t="n"/>
      <x:c r="H55" s="61" t="n"/>
      <x:c r="I55" s="61" t="n"/>
      <x:c r="J55" s="61" t="n"/>
      <x:c r="K55" s="61" t="n"/>
      <x:c r="L55" s="61" t="n"/>
      <x:c r="M55" s="61" t="n"/>
      <x:c r="N55" s="61" t="n"/>
      <x:c r="O55" s="61" t="n"/>
      <x:c r="P55" s="61" t="n"/>
      <x:c r="Q55" s="61" t="n"/>
      <x:c r="R55" s="61" t="n"/>
      <x:c r="S55" s="61" t="n"/>
      <x:c r="T55" s="61" t="n"/>
      <x:c r="U55" s="61" t="n"/>
      <x:c r="V55" s="61" t="n"/>
      <x:c r="W55" s="61" t="n"/>
      <x:c r="X55" s="61" t="n"/>
      <x:c r="Y55" s="61" t="n"/>
      <x:c r="Z55" s="61" t="n"/>
      <x:c r="AA55" s="61" t="n"/>
      <x:c r="AB55" s="61" t="n"/>
    </x:row>
    <x:row r="56" ht="32" customHeight="1">
      <x:c r="A56" s="67" t="n"/>
      <x:c r="B56" s="64" t="n"/>
      <x:c r="C56" s="61" t="n"/>
      <x:c r="D56" s="61" t="n"/>
      <x:c r="E56" s="61" t="n"/>
      <x:c r="F56" s="61" t="n"/>
      <x:c r="G56" s="61" t="n"/>
      <x:c r="H56" s="61" t="n"/>
      <x:c r="I56" s="61" t="n"/>
      <x:c r="J56" s="61" t="n"/>
      <x:c r="K56" s="61" t="n"/>
      <x:c r="L56" s="61" t="n"/>
      <x:c r="M56" s="61" t="n"/>
      <x:c r="N56" s="61" t="n"/>
      <x:c r="O56" s="61" t="n"/>
      <x:c r="P56" s="61" t="n"/>
      <x:c r="Q56" s="61" t="n"/>
      <x:c r="R56" s="61" t="n"/>
      <x:c r="S56" s="61" t="n"/>
      <x:c r="T56" s="61" t="n"/>
      <x:c r="U56" s="61" t="n"/>
      <x:c r="V56" s="61" t="n"/>
      <x:c r="W56" s="61" t="n"/>
      <x:c r="X56" s="61" t="n"/>
      <x:c r="Y56" s="61" t="n"/>
      <x:c r="Z56" s="61" t="n"/>
      <x:c r="AA56" s="61" t="n"/>
      <x:c r="AB56" s="61" t="n"/>
    </x:row>
    <x:row r="57" ht="32" customHeight="1">
      <x:c r="A57" s="67" t="n"/>
      <x:c r="B57" s="64" t="n"/>
      <x:c r="C57" s="61" t="n"/>
      <x:c r="D57" s="61" t="n"/>
      <x:c r="E57" s="61" t="n"/>
      <x:c r="F57" s="61" t="n"/>
      <x:c r="G57" s="61" t="n"/>
      <x:c r="H57" s="61" t="n"/>
      <x:c r="I57" s="61" t="n"/>
      <x:c r="J57" s="61" t="n"/>
      <x:c r="K57" s="61" t="n"/>
      <x:c r="L57" s="61" t="n"/>
      <x:c r="M57" s="61" t="n"/>
      <x:c r="N57" s="61" t="n"/>
      <x:c r="O57" s="61" t="n"/>
      <x:c r="P57" s="61" t="n"/>
      <x:c r="Q57" s="61" t="n"/>
      <x:c r="R57" s="61" t="n"/>
      <x:c r="S57" s="61" t="n"/>
      <x:c r="T57" s="61" t="n"/>
      <x:c r="U57" s="61" t="n"/>
      <x:c r="V57" s="61" t="n"/>
      <x:c r="W57" s="61" t="n"/>
      <x:c r="X57" s="61" t="n"/>
      <x:c r="Y57" s="61" t="n"/>
      <x:c r="Z57" s="61" t="n"/>
      <x:c r="AA57" s="61" t="n"/>
      <x:c r="AB57" s="61" t="n"/>
    </x:row>
    <x:row r="58" ht="32" customHeight="1">
      <x:c r="A58" s="63" t="n"/>
      <x:c r="B58" s="64" t="n"/>
      <x:c r="C58" s="61" t="n"/>
      <x:c r="D58" s="61" t="n"/>
      <x:c r="E58" s="61" t="n"/>
      <x:c r="F58" s="61" t="n"/>
      <x:c r="G58" s="61" t="n"/>
      <x:c r="H58" s="61" t="n"/>
      <x:c r="I58" s="61" t="n"/>
      <x:c r="J58" s="61" t="n"/>
      <x:c r="K58" s="61" t="n"/>
      <x:c r="L58" s="61" t="n"/>
      <x:c r="M58" s="61" t="n"/>
      <x:c r="N58" s="61" t="n"/>
      <x:c r="O58" s="61" t="n"/>
      <x:c r="P58" s="61" t="n"/>
      <x:c r="Q58" s="61" t="n"/>
      <x:c r="R58" s="61" t="n"/>
      <x:c r="S58" s="61" t="n"/>
      <x:c r="T58" s="61" t="n"/>
      <x:c r="U58" s="61" t="n"/>
      <x:c r="V58" s="61" t="n"/>
      <x:c r="W58" s="61" t="n"/>
      <x:c r="X58" s="61" t="n"/>
      <x:c r="Y58" s="61" t="n"/>
      <x:c r="Z58" s="61" t="n"/>
      <x:c r="AA58" s="61" t="n"/>
      <x:c r="AB58" s="61" t="n"/>
    </x:row>
    <x:row r="59" ht="32" customHeight="1">
      <x:c r="A59" s="63" t="n"/>
      <x:c r="B59" s="64" t="n"/>
      <x:c r="C59" s="61" t="n"/>
      <x:c r="D59" s="61" t="n"/>
      <x:c r="E59" s="61" t="n"/>
      <x:c r="F59" s="61" t="n"/>
      <x:c r="G59" s="61" t="n"/>
      <x:c r="H59" s="61" t="n"/>
      <x:c r="I59" s="61" t="n"/>
      <x:c r="J59" s="61" t="n"/>
      <x:c r="K59" s="61" t="n"/>
      <x:c r="L59" s="61" t="n"/>
      <x:c r="M59" s="61" t="n"/>
      <x:c r="N59" s="61" t="n"/>
      <x:c r="O59" s="61" t="n"/>
      <x:c r="P59" s="61" t="n"/>
      <x:c r="Q59" s="61" t="n"/>
      <x:c r="R59" s="61" t="n"/>
      <x:c r="S59" s="61" t="n"/>
      <x:c r="T59" s="61" t="n"/>
      <x:c r="U59" s="61" t="n"/>
      <x:c r="V59" s="61" t="n"/>
      <x:c r="W59" s="61" t="n"/>
      <x:c r="X59" s="61" t="n"/>
      <x:c r="Y59" s="61" t="n"/>
      <x:c r="Z59" s="61" t="n"/>
      <x:c r="AA59" s="61" t="n"/>
      <x:c r="AB59" s="61" t="n"/>
    </x:row>
    <x:row r="60" ht="32" customHeight="1">
      <x:c r="A60" s="63" t="n"/>
      <x:c r="B60" s="64" t="n"/>
      <x:c r="C60" s="61" t="n"/>
      <x:c r="D60" s="61" t="n"/>
      <x:c r="E60" s="61" t="n"/>
      <x:c r="F60" s="61" t="n"/>
      <x:c r="G60" s="61" t="n"/>
      <x:c r="H60" s="61" t="n"/>
      <x:c r="I60" s="61" t="n"/>
      <x:c r="J60" s="61" t="n"/>
      <x:c r="K60" s="61" t="n"/>
      <x:c r="L60" s="61" t="n"/>
      <x:c r="M60" s="61" t="n"/>
      <x:c r="N60" s="61" t="n"/>
      <x:c r="O60" s="61" t="n"/>
      <x:c r="P60" s="61" t="n"/>
      <x:c r="Q60" s="61" t="n"/>
      <x:c r="R60" s="61" t="n"/>
      <x:c r="S60" s="61" t="n"/>
      <x:c r="T60" s="61" t="n"/>
      <x:c r="U60" s="61" t="n"/>
      <x:c r="V60" s="61" t="n"/>
      <x:c r="W60" s="61" t="n"/>
      <x:c r="X60" s="61" t="n"/>
      <x:c r="Y60" s="61" t="n"/>
      <x:c r="Z60" s="61" t="n"/>
      <x:c r="AA60" s="61" t="n"/>
      <x:c r="AB60" s="61" t="n"/>
    </x:row>
    <x:row r="61" ht="32" customHeight="1">
      <x:c r="A61" s="64" t="n"/>
      <x:c r="B61" s="64" t="n"/>
      <x:c r="C61" s="61" t="n"/>
      <x:c r="D61" s="61" t="n"/>
      <x:c r="E61" s="61" t="n"/>
      <x:c r="F61" s="61" t="n"/>
      <x:c r="G61" s="61" t="n"/>
      <x:c r="H61" s="61" t="n"/>
      <x:c r="I61" s="61" t="n"/>
      <x:c r="J61" s="61" t="n"/>
      <x:c r="K61" s="61" t="n"/>
      <x:c r="L61" s="61" t="n"/>
      <x:c r="M61" s="61" t="n"/>
      <x:c r="N61" s="61" t="n"/>
      <x:c r="O61" s="61" t="n"/>
      <x:c r="P61" s="61" t="n"/>
      <x:c r="Q61" s="61" t="n"/>
      <x:c r="R61" s="61" t="n"/>
      <x:c r="S61" s="61" t="n"/>
      <x:c r="T61" s="61" t="n"/>
      <x:c r="U61" s="61" t="n"/>
      <x:c r="V61" s="61" t="n"/>
      <x:c r="W61" s="61" t="n"/>
      <x:c r="X61" s="61" t="n"/>
      <x:c r="Y61" s="61" t="n"/>
      <x:c r="Z61" s="61" t="n"/>
      <x:c r="AA61" s="61" t="n"/>
      <x:c r="AB61" s="61" t="n"/>
    </x:row>
    <x:row r="62">
      <x:c r="A62" s="61" t="n"/>
      <x:c r="B62" s="61" t="n"/>
      <x:c r="C62" s="61" t="n"/>
      <x:c r="D62" s="61" t="n"/>
      <x:c r="E62" s="61" t="n"/>
      <x:c r="F62" s="61" t="n"/>
      <x:c r="G62" s="61" t="n"/>
      <x:c r="H62" s="61" t="n"/>
      <x:c r="I62" s="61" t="n"/>
      <x:c r="J62" s="61" t="n"/>
      <x:c r="K62" s="61" t="n"/>
      <x:c r="L62" s="61" t="n"/>
      <x:c r="M62" s="61" t="n"/>
      <x:c r="N62" s="61" t="n"/>
      <x:c r="O62" s="61" t="n"/>
      <x:c r="P62" s="61" t="n"/>
      <x:c r="Q62" s="61" t="n"/>
      <x:c r="R62" s="61" t="n"/>
      <x:c r="S62" s="61" t="n"/>
      <x:c r="T62" s="61" t="n"/>
      <x:c r="U62" s="61" t="n"/>
      <x:c r="V62" s="61" t="n"/>
      <x:c r="W62" s="61" t="n"/>
      <x:c r="X62" s="61" t="n"/>
      <x:c r="Y62" s="61" t="n"/>
      <x:c r="Z62" s="61" t="n"/>
      <x:c r="AA62" s="61" t="n"/>
      <x:c r="AB62" s="61" t="n"/>
    </x:row>
    <x:row r="63">
      <x:c r="A63" s="61" t="n"/>
      <x:c r="B63" s="61" t="n"/>
      <x:c r="C63" s="61" t="n"/>
      <x:c r="D63" s="61" t="n"/>
      <x:c r="E63" s="61" t="n"/>
      <x:c r="F63" s="61" t="n"/>
      <x:c r="G63" s="61" t="n"/>
      <x:c r="H63" s="61" t="n"/>
      <x:c r="I63" s="61" t="n"/>
      <x:c r="J63" s="61" t="n"/>
      <x:c r="K63" s="61" t="n"/>
      <x:c r="L63" s="61" t="n"/>
      <x:c r="M63" s="61" t="n"/>
      <x:c r="N63" s="61" t="n"/>
      <x:c r="O63" s="61" t="n"/>
      <x:c r="P63" s="61" t="n"/>
      <x:c r="Q63" s="61" t="n"/>
      <x:c r="R63" s="61" t="n"/>
      <x:c r="S63" s="61" t="n"/>
      <x:c r="T63" s="61" t="n"/>
      <x:c r="U63" s="61" t="n"/>
      <x:c r="V63" s="61" t="n"/>
      <x:c r="W63" s="61" t="n"/>
      <x:c r="X63" s="61" t="n"/>
      <x:c r="Y63" s="61" t="n"/>
      <x:c r="Z63" s="61" t="n"/>
      <x:c r="AA63" s="61" t="n"/>
      <x:c r="AB63" s="61" t="n"/>
    </x:row>
    <x:row r="64">
      <x:c r="A64" s="61" t="n"/>
      <x:c r="B64" s="61" t="n"/>
      <x:c r="C64" s="61" t="n"/>
      <x:c r="D64" s="61" t="n"/>
      <x:c r="E64" s="61" t="n"/>
      <x:c r="F64" s="61" t="n"/>
      <x:c r="G64" s="61" t="n"/>
      <x:c r="H64" s="61" t="n"/>
      <x:c r="I64" s="61" t="n"/>
      <x:c r="J64" s="61" t="n"/>
      <x:c r="K64" s="61" t="n"/>
      <x:c r="L64" s="61" t="n"/>
      <x:c r="M64" s="61" t="n"/>
      <x:c r="N64" s="61" t="n"/>
      <x:c r="O64" s="61" t="n"/>
      <x:c r="P64" s="61" t="n"/>
      <x:c r="Q64" s="61" t="n"/>
      <x:c r="R64" s="61" t="n"/>
      <x:c r="S64" s="61" t="n"/>
      <x:c r="T64" s="61" t="n"/>
      <x:c r="U64" s="61" t="n"/>
      <x:c r="V64" s="61" t="n"/>
      <x:c r="W64" s="61" t="n"/>
      <x:c r="X64" s="61" t="n"/>
      <x:c r="Y64" s="61" t="n"/>
      <x:c r="Z64" s="61" t="n"/>
      <x:c r="AA64" s="61" t="n"/>
      <x:c r="AB64" s="61" t="n"/>
    </x:row>
    <x:row r="65">
      <x:c r="A65" s="61" t="n"/>
      <x:c r="B65" s="61" t="n"/>
      <x:c r="C65" s="61" t="n"/>
      <x:c r="D65" s="61" t="n"/>
      <x:c r="E65" s="61" t="n"/>
      <x:c r="F65" s="61" t="n"/>
      <x:c r="G65" s="61" t="n"/>
      <x:c r="H65" s="61" t="n"/>
      <x:c r="I65" s="61" t="n"/>
      <x:c r="J65" s="61" t="n"/>
      <x:c r="K65" s="61" t="n"/>
      <x:c r="L65" s="61" t="n"/>
      <x:c r="M65" s="61" t="n"/>
      <x:c r="N65" s="61" t="n"/>
      <x:c r="O65" s="61" t="n"/>
      <x:c r="P65" s="61" t="n"/>
      <x:c r="Q65" s="61" t="n"/>
      <x:c r="R65" s="61" t="n"/>
      <x:c r="S65" s="61" t="n"/>
      <x:c r="T65" s="61" t="n"/>
      <x:c r="U65" s="61" t="n"/>
      <x:c r="V65" s="61" t="n"/>
      <x:c r="W65" s="61" t="n"/>
      <x:c r="X65" s="61" t="n"/>
      <x:c r="Y65" s="61" t="n"/>
      <x:c r="Z65" s="61" t="n"/>
      <x:c r="AA65" s="61" t="n"/>
      <x:c r="AB65" s="61" t="n"/>
    </x:row>
    <x:row r="66">
      <x:c r="A66" s="61" t="n"/>
      <x:c r="B66" s="61" t="n"/>
      <x:c r="C66" s="61" t="n"/>
      <x:c r="D66" s="61" t="n"/>
      <x:c r="E66" s="61" t="n"/>
      <x:c r="F66" s="61" t="n"/>
      <x:c r="G66" s="61" t="n"/>
      <x:c r="H66" s="61" t="n"/>
      <x:c r="I66" s="61" t="n"/>
      <x:c r="J66" s="61" t="n"/>
      <x:c r="K66" s="61" t="n"/>
      <x:c r="L66" s="61" t="n"/>
      <x:c r="M66" s="61" t="n"/>
      <x:c r="N66" s="61" t="n"/>
      <x:c r="O66" s="61" t="n"/>
      <x:c r="P66" s="61" t="n"/>
      <x:c r="Q66" s="61" t="n"/>
      <x:c r="R66" s="61" t="n"/>
      <x:c r="S66" s="61" t="n"/>
      <x:c r="T66" s="61" t="n"/>
      <x:c r="U66" s="61" t="n"/>
      <x:c r="V66" s="61" t="n"/>
      <x:c r="W66" s="61" t="n"/>
      <x:c r="X66" s="61" t="n"/>
      <x:c r="Y66" s="61" t="n"/>
      <x:c r="Z66" s="61" t="n"/>
      <x:c r="AA66" s="61" t="n"/>
      <x:c r="AB66" s="61" t="n"/>
    </x:row>
    <x:row r="67">
      <x:c r="A67" s="61" t="n"/>
      <x:c r="B67" s="61" t="n"/>
      <x:c r="C67" s="61" t="n"/>
      <x:c r="D67" s="61" t="n"/>
      <x:c r="E67" s="61" t="n"/>
      <x:c r="F67" s="61" t="n"/>
      <x:c r="G67" s="61" t="n"/>
      <x:c r="H67" s="61" t="n"/>
      <x:c r="I67" s="61" t="n"/>
      <x:c r="J67" s="61" t="n"/>
      <x:c r="K67" s="61" t="n"/>
      <x:c r="L67" s="61" t="n"/>
      <x:c r="M67" s="61" t="n"/>
      <x:c r="N67" s="61" t="n"/>
      <x:c r="O67" s="61" t="n"/>
      <x:c r="P67" s="61" t="n"/>
      <x:c r="Q67" s="61" t="n"/>
      <x:c r="R67" s="61" t="n"/>
      <x:c r="S67" s="61" t="n"/>
      <x:c r="T67" s="61" t="n"/>
      <x:c r="U67" s="61" t="n"/>
      <x:c r="V67" s="61" t="n"/>
      <x:c r="W67" s="61" t="n"/>
      <x:c r="X67" s="61" t="n"/>
      <x:c r="Y67" s="61" t="n"/>
      <x:c r="Z67" s="61" t="n"/>
      <x:c r="AA67" s="61" t="n"/>
      <x:c r="AB67" s="61" t="n"/>
    </x:row>
    <x:row r="68">
      <x:c r="A68" s="61" t="n"/>
      <x:c r="B68" s="61" t="n"/>
      <x:c r="C68" s="61" t="n"/>
      <x:c r="D68" s="61" t="n"/>
      <x:c r="E68" s="61" t="n"/>
      <x:c r="F68" s="61" t="n"/>
      <x:c r="G68" s="61" t="n"/>
      <x:c r="H68" s="61" t="n"/>
      <x:c r="I68" s="61" t="n"/>
      <x:c r="J68" s="61" t="n"/>
      <x:c r="K68" s="61" t="n"/>
      <x:c r="L68" s="61" t="n"/>
      <x:c r="M68" s="61" t="n"/>
      <x:c r="N68" s="61" t="n"/>
      <x:c r="O68" s="61" t="n"/>
      <x:c r="P68" s="61" t="n"/>
      <x:c r="Q68" s="61" t="n"/>
      <x:c r="R68" s="61" t="n"/>
      <x:c r="S68" s="61" t="n"/>
      <x:c r="T68" s="61" t="n"/>
      <x:c r="U68" s="61" t="n"/>
      <x:c r="V68" s="61" t="n"/>
      <x:c r="W68" s="61" t="n"/>
      <x:c r="X68" s="61" t="n"/>
      <x:c r="Y68" s="61" t="n"/>
      <x:c r="Z68" s="61" t="n"/>
      <x:c r="AA68" s="61" t="n"/>
      <x:c r="AB68" s="61" t="n"/>
    </x:row>
    <x:row r="69">
      <x:c r="A69" s="61" t="n"/>
      <x:c r="B69" s="61" t="n"/>
      <x:c r="C69" s="61" t="n"/>
      <x:c r="D69" s="61" t="n"/>
      <x:c r="E69" s="61" t="n"/>
      <x:c r="F69" s="61" t="n"/>
      <x:c r="G69" s="61" t="n"/>
      <x:c r="H69" s="61" t="n"/>
      <x:c r="I69" s="61" t="n"/>
      <x:c r="J69" s="61" t="n"/>
      <x:c r="K69" s="61" t="n"/>
      <x:c r="L69" s="61" t="n"/>
      <x:c r="M69" s="61" t="n"/>
      <x:c r="N69" s="61" t="n"/>
      <x:c r="O69" s="61" t="n"/>
      <x:c r="P69" s="61" t="n"/>
      <x:c r="Q69" s="61" t="n"/>
      <x:c r="R69" s="61" t="n"/>
      <x:c r="S69" s="61" t="n"/>
      <x:c r="T69" s="61" t="n"/>
      <x:c r="U69" s="61" t="n"/>
      <x:c r="V69" s="61" t="n"/>
      <x:c r="W69" s="61" t="n"/>
      <x:c r="X69" s="61" t="n"/>
      <x:c r="Y69" s="61" t="n"/>
      <x:c r="Z69" s="61" t="n"/>
      <x:c r="AA69" s="61" t="n"/>
      <x:c r="AB69" s="61" t="n"/>
    </x:row>
    <x:row r="70">
      <x:c r="A70" s="61" t="n"/>
      <x:c r="B70" s="61" t="n"/>
      <x:c r="C70" s="61" t="n"/>
      <x:c r="D70" s="61" t="n"/>
      <x:c r="E70" s="61" t="n"/>
      <x:c r="F70" s="61" t="n"/>
      <x:c r="G70" s="61" t="n"/>
      <x:c r="H70" s="61" t="n"/>
      <x:c r="I70" s="61" t="n"/>
      <x:c r="J70" s="61" t="n"/>
      <x:c r="K70" s="61" t="n"/>
      <x:c r="L70" s="61" t="n"/>
      <x:c r="M70" s="61" t="n"/>
      <x:c r="N70" s="61" t="n"/>
      <x:c r="O70" s="61" t="n"/>
      <x:c r="P70" s="61" t="n"/>
      <x:c r="Q70" s="61" t="n"/>
      <x:c r="R70" s="61" t="n"/>
      <x:c r="S70" s="61" t="n"/>
      <x:c r="T70" s="61" t="n"/>
      <x:c r="U70" s="61" t="n"/>
      <x:c r="V70" s="61" t="n"/>
      <x:c r="W70" s="61" t="n"/>
      <x:c r="X70" s="61" t="n"/>
      <x:c r="Y70" s="61" t="n"/>
      <x:c r="Z70" s="61" t="n"/>
      <x:c r="AA70" s="61" t="n"/>
      <x:c r="AB70" s="61" t="n"/>
    </x:row>
    <x:row r="71">
      <x:c r="A71" s="61" t="n"/>
      <x:c r="B71" s="61" t="n"/>
      <x:c r="C71" s="61" t="n"/>
      <x:c r="D71" s="61" t="n"/>
      <x:c r="E71" s="61" t="n"/>
      <x:c r="F71" s="61" t="n"/>
      <x:c r="G71" s="61" t="n"/>
      <x:c r="H71" s="61" t="n"/>
      <x:c r="I71" s="61" t="n"/>
      <x:c r="J71" s="61" t="n"/>
      <x:c r="K71" s="61" t="n"/>
      <x:c r="L71" s="61" t="n"/>
      <x:c r="M71" s="61" t="n"/>
      <x:c r="N71" s="61" t="n"/>
      <x:c r="O71" s="61" t="n"/>
      <x:c r="P71" s="61" t="n"/>
      <x:c r="Q71" s="61" t="n"/>
      <x:c r="R71" s="61" t="n"/>
      <x:c r="S71" s="61" t="n"/>
      <x:c r="T71" s="61" t="n"/>
      <x:c r="U71" s="61" t="n"/>
      <x:c r="V71" s="61" t="n"/>
      <x:c r="W71" s="61" t="n"/>
      <x:c r="X71" s="61" t="n"/>
      <x:c r="Y71" s="61" t="n"/>
      <x:c r="Z71" s="61" t="n"/>
      <x:c r="AA71" s="61" t="n"/>
      <x:c r="AB71" s="61" t="n"/>
    </x:row>
    <x:row r="72">
      <x:c r="A72" s="61" t="n"/>
      <x:c r="B72" s="61" t="n"/>
      <x:c r="C72" s="61" t="n"/>
      <x:c r="D72" s="61" t="n"/>
      <x:c r="E72" s="61" t="n"/>
      <x:c r="F72" s="61" t="n"/>
      <x:c r="G72" s="61" t="n"/>
      <x:c r="H72" s="61" t="n"/>
      <x:c r="I72" s="61" t="n"/>
      <x:c r="J72" s="61" t="n"/>
      <x:c r="K72" s="61" t="n"/>
      <x:c r="L72" s="61" t="n"/>
      <x:c r="M72" s="61" t="n"/>
      <x:c r="N72" s="61" t="n"/>
      <x:c r="O72" s="61" t="n"/>
      <x:c r="P72" s="61" t="n"/>
      <x:c r="Q72" s="61" t="n"/>
      <x:c r="R72" s="61" t="n"/>
      <x:c r="S72" s="61" t="n"/>
      <x:c r="T72" s="61" t="n"/>
      <x:c r="U72" s="61" t="n"/>
      <x:c r="V72" s="61" t="n"/>
      <x:c r="W72" s="61" t="n"/>
      <x:c r="X72" s="61" t="n"/>
      <x:c r="Y72" s="61" t="n"/>
      <x:c r="Z72" s="61" t="n"/>
      <x:c r="AA72" s="61" t="n"/>
      <x:c r="AB72" s="61" t="n"/>
    </x:row>
    <x:row r="73">
      <x:c r="A73" s="61" t="n"/>
      <x:c r="B73" s="61" t="n"/>
      <x:c r="C73" s="61" t="n"/>
      <x:c r="D73" s="61" t="n"/>
      <x:c r="E73" s="61" t="n"/>
      <x:c r="F73" s="61" t="n"/>
      <x:c r="G73" s="61" t="n"/>
      <x:c r="H73" s="61" t="n"/>
      <x:c r="I73" s="61" t="n"/>
      <x:c r="J73" s="61" t="n"/>
      <x:c r="K73" s="61" t="n"/>
      <x:c r="L73" s="61" t="n"/>
      <x:c r="M73" s="61" t="n"/>
      <x:c r="N73" s="61" t="n"/>
      <x:c r="O73" s="61" t="n"/>
      <x:c r="P73" s="61" t="n"/>
      <x:c r="Q73" s="61" t="n"/>
      <x:c r="R73" s="61" t="n"/>
      <x:c r="S73" s="61" t="n"/>
      <x:c r="T73" s="61" t="n"/>
      <x:c r="U73" s="61" t="n"/>
      <x:c r="V73" s="61" t="n"/>
      <x:c r="W73" s="61" t="n"/>
      <x:c r="X73" s="61" t="n"/>
      <x:c r="Y73" s="61" t="n"/>
      <x:c r="Z73" s="61" t="n"/>
      <x:c r="AA73" s="61" t="n"/>
      <x:c r="AB73" s="61" t="n"/>
    </x:row>
    <x:row r="74">
      <x:c r="A74" s="61" t="n"/>
      <x:c r="B74" s="61" t="n"/>
      <x:c r="C74" s="61" t="n"/>
      <x:c r="D74" s="61" t="n"/>
      <x:c r="E74" s="61" t="n"/>
      <x:c r="F74" s="61" t="n"/>
      <x:c r="G74" s="61" t="n"/>
      <x:c r="H74" s="61" t="n"/>
      <x:c r="I74" s="61" t="n"/>
      <x:c r="J74" s="61" t="n"/>
      <x:c r="K74" s="61" t="n"/>
      <x:c r="L74" s="61" t="n"/>
      <x:c r="M74" s="61" t="n"/>
      <x:c r="N74" s="61" t="n"/>
      <x:c r="O74" s="61" t="n"/>
      <x:c r="P74" s="61" t="n"/>
      <x:c r="Q74" s="61" t="n"/>
      <x:c r="R74" s="61" t="n"/>
      <x:c r="S74" s="61" t="n"/>
      <x:c r="T74" s="61" t="n"/>
      <x:c r="U74" s="61" t="n"/>
      <x:c r="V74" s="61" t="n"/>
      <x:c r="W74" s="61" t="n"/>
      <x:c r="X74" s="61" t="n"/>
      <x:c r="Y74" s="61" t="n"/>
      <x:c r="Z74" s="61" t="n"/>
      <x:c r="AA74" s="61" t="n"/>
      <x:c r="AB74" s="61" t="n"/>
    </x:row>
    <x:row r="75">
      <x:c r="A75" s="61" t="n"/>
      <x:c r="B75" s="61" t="n"/>
      <x:c r="C75" s="61" t="n"/>
      <x:c r="D75" s="61" t="n"/>
      <x:c r="E75" s="61" t="n"/>
      <x:c r="F75" s="61" t="n"/>
      <x:c r="G75" s="61" t="n"/>
      <x:c r="H75" s="61" t="n"/>
      <x:c r="I75" s="61" t="n"/>
      <x:c r="J75" s="61" t="n"/>
      <x:c r="K75" s="61" t="n"/>
      <x:c r="L75" s="61" t="n"/>
      <x:c r="M75" s="61" t="n"/>
      <x:c r="N75" s="61" t="n"/>
      <x:c r="O75" s="61" t="n"/>
      <x:c r="P75" s="61" t="n"/>
      <x:c r="Q75" s="61" t="n"/>
      <x:c r="R75" s="61" t="n"/>
      <x:c r="S75" s="61" t="n"/>
      <x:c r="T75" s="61" t="n"/>
      <x:c r="U75" s="61" t="n"/>
      <x:c r="V75" s="61" t="n"/>
      <x:c r="W75" s="61" t="n"/>
      <x:c r="X75" s="61" t="n"/>
      <x:c r="Y75" s="61" t="n"/>
      <x:c r="Z75" s="61" t="n"/>
      <x:c r="AA75" s="61" t="n"/>
      <x:c r="AB75" s="61" t="n"/>
    </x:row>
    <x:row r="76">
      <x:c r="A76" s="61" t="n"/>
      <x:c r="B76" s="61" t="n"/>
      <x:c r="C76" s="61" t="n"/>
      <x:c r="D76" s="61" t="n"/>
      <x:c r="E76" s="61" t="n"/>
      <x:c r="F76" s="61" t="n"/>
      <x:c r="G76" s="61" t="n"/>
      <x:c r="H76" s="61" t="n"/>
      <x:c r="I76" s="61" t="n"/>
      <x:c r="J76" s="61" t="n"/>
      <x:c r="K76" s="61" t="n"/>
      <x:c r="L76" s="61" t="n"/>
      <x:c r="M76" s="61" t="n"/>
      <x:c r="N76" s="61" t="n"/>
      <x:c r="O76" s="61" t="n"/>
      <x:c r="P76" s="61" t="n"/>
      <x:c r="Q76" s="61" t="n"/>
      <x:c r="R76" s="61" t="n"/>
      <x:c r="S76" s="61" t="n"/>
      <x:c r="T76" s="61" t="n"/>
      <x:c r="U76" s="61" t="n"/>
      <x:c r="V76" s="61" t="n"/>
      <x:c r="W76" s="61" t="n"/>
      <x:c r="X76" s="61" t="n"/>
      <x:c r="Y76" s="61" t="n"/>
      <x:c r="Z76" s="61" t="n"/>
      <x:c r="AA76" s="61" t="n"/>
      <x:c r="AB76" s="61" t="n"/>
    </x:row>
    <x:row r="77">
      <x:c r="A77" s="61" t="n"/>
      <x:c r="B77" s="61" t="n"/>
      <x:c r="C77" s="61" t="n"/>
      <x:c r="D77" s="61" t="n"/>
      <x:c r="E77" s="61" t="n"/>
      <x:c r="F77" s="61" t="n"/>
      <x:c r="G77" s="61" t="n"/>
      <x:c r="H77" s="61" t="n"/>
      <x:c r="I77" s="61" t="n"/>
      <x:c r="J77" s="61" t="n"/>
      <x:c r="K77" s="61" t="n"/>
      <x:c r="L77" s="61" t="n"/>
      <x:c r="M77" s="61" t="n"/>
      <x:c r="N77" s="61" t="n"/>
      <x:c r="O77" s="61" t="n"/>
      <x:c r="P77" s="61" t="n"/>
      <x:c r="Q77" s="61" t="n"/>
      <x:c r="R77" s="61" t="n"/>
      <x:c r="S77" s="61" t="n"/>
      <x:c r="T77" s="61" t="n"/>
      <x:c r="U77" s="61" t="n"/>
      <x:c r="V77" s="61" t="n"/>
      <x:c r="W77" s="61" t="n"/>
      <x:c r="X77" s="61" t="n"/>
      <x:c r="Y77" s="61" t="n"/>
      <x:c r="Z77" s="61" t="n"/>
      <x:c r="AA77" s="61" t="n"/>
      <x:c r="AB77" s="61" t="n"/>
    </x:row>
    <x:row r="78">
      <x:c r="A78" s="61" t="n"/>
      <x:c r="B78" s="61" t="n"/>
      <x:c r="C78" s="61" t="n"/>
      <x:c r="D78" s="61" t="n"/>
      <x:c r="E78" s="61" t="n"/>
      <x:c r="F78" s="61" t="n"/>
      <x:c r="G78" s="61" t="n"/>
      <x:c r="H78" s="61" t="n"/>
      <x:c r="I78" s="61" t="n"/>
      <x:c r="J78" s="61" t="n"/>
      <x:c r="K78" s="61" t="n"/>
      <x:c r="L78" s="61" t="n"/>
      <x:c r="M78" s="61" t="n"/>
      <x:c r="N78" s="61" t="n"/>
      <x:c r="O78" s="61" t="n"/>
      <x:c r="P78" s="61" t="n"/>
      <x:c r="Q78" s="61" t="n"/>
      <x:c r="R78" s="61" t="n"/>
      <x:c r="S78" s="61" t="n"/>
      <x:c r="T78" s="61" t="n"/>
      <x:c r="U78" s="61" t="n"/>
      <x:c r="V78" s="61" t="n"/>
      <x:c r="W78" s="61" t="n"/>
      <x:c r="X78" s="61" t="n"/>
      <x:c r="Y78" s="61" t="n"/>
      <x:c r="Z78" s="61" t="n"/>
      <x:c r="AA78" s="61" t="n"/>
      <x:c r="AB78" s="61" t="n"/>
    </x:row>
    <x:row r="79">
      <x:c r="A79" s="61" t="n"/>
      <x:c r="B79" s="61" t="n"/>
      <x:c r="C79" s="61" t="n"/>
      <x:c r="D79" s="61" t="n"/>
      <x:c r="E79" s="61" t="n"/>
      <x:c r="F79" s="61" t="n"/>
      <x:c r="G79" s="61" t="n"/>
      <x:c r="H79" s="61" t="n"/>
      <x:c r="I79" s="61" t="n"/>
      <x:c r="J79" s="61" t="n"/>
      <x:c r="K79" s="61" t="n"/>
      <x:c r="L79" s="61" t="n"/>
      <x:c r="M79" s="61" t="n"/>
      <x:c r="N79" s="61" t="n"/>
      <x:c r="O79" s="61" t="n"/>
      <x:c r="P79" s="61" t="n"/>
      <x:c r="Q79" s="61" t="n"/>
      <x:c r="R79" s="61" t="n"/>
      <x:c r="S79" s="61" t="n"/>
      <x:c r="T79" s="61" t="n"/>
      <x:c r="U79" s="61" t="n"/>
      <x:c r="V79" s="61" t="n"/>
      <x:c r="W79" s="61" t="n"/>
      <x:c r="X79" s="61" t="n"/>
      <x:c r="Y79" s="61" t="n"/>
      <x:c r="Z79" s="61" t="n"/>
      <x:c r="AA79" s="61" t="n"/>
      <x:c r="AB79" s="61" t="n"/>
    </x:row>
    <x:row r="80">
      <x:c r="A80" s="61" t="n"/>
      <x:c r="B80" s="61" t="n"/>
      <x:c r="C80" s="61" t="n"/>
      <x:c r="D80" s="61" t="n"/>
      <x:c r="E80" s="61" t="n"/>
      <x:c r="F80" s="61" t="n"/>
      <x:c r="G80" s="61" t="n"/>
      <x:c r="H80" s="61" t="n"/>
      <x:c r="I80" s="61" t="n"/>
      <x:c r="J80" s="61" t="n"/>
      <x:c r="K80" s="61" t="n"/>
      <x:c r="L80" s="61" t="n"/>
      <x:c r="M80" s="61" t="n"/>
      <x:c r="N80" s="61" t="n"/>
      <x:c r="O80" s="61" t="n"/>
      <x:c r="P80" s="61" t="n"/>
      <x:c r="Q80" s="61" t="n"/>
      <x:c r="R80" s="61" t="n"/>
      <x:c r="S80" s="61" t="n"/>
      <x:c r="T80" s="61" t="n"/>
      <x:c r="U80" s="61" t="n"/>
      <x:c r="V80" s="61" t="n"/>
      <x:c r="W80" s="61" t="n"/>
      <x:c r="X80" s="61" t="n"/>
      <x:c r="Y80" s="61" t="n"/>
      <x:c r="Z80" s="61" t="n"/>
      <x:c r="AA80" s="61" t="n"/>
      <x:c r="AB80" s="61" t="n"/>
    </x:row>
  </x:sheetData>
  <x:mergeCells>
    <x:mergeCell ref="A1:A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90" customWidth="1"/>
  </x:cols>
  <x:sheetData>
    <x:row r="1" ht="40" customHeight="1">
      <x:c r="A1" s="77" t="inlineStr">
        <x:is>
          <x:t xml:space="preserve">Teacher Website Data - Simplified Value Scores</x:t>
        </x:is>
      </x:c>
      <x:c r="B1" s="78" t="n"/>
    </x:row>
    <x:row r="2" ht="32" customHeight="1">
      <x:c r="A2" s="30" t="inlineStr">
        <x:is>
          <x:t xml:space="preserve">What changed</x:t>
        </x:is>
      </x:c>
      <x:c r="B2" s="10" t="inlineStr">
        <x:is>
          <x:t xml:space="preserve">The separate revised scoring area was removed. District Value Scores now has one Overall Value Score column that includes salary level, growth, Master's premium, affordability, student-teacher ratio, and licensed sub pay.</x:t>
        </x:is>
      </x:c>
    </x:row>
    <x:row r="3" ht="32" customHeight="1">
      <x:c r="A3" s="30" t="inlineStr">
        <x:is>
          <x:t xml:space="preserve">Sortable design</x:t>
        </x:is>
      </x:c>
      <x:c r="B3" s="10" t="inlineStr">
        <x:is>
          <x:t xml:space="preserve">The District Value Scores sheet uses values, not formulas, in the score columns. This is intentional so you can sort from highest to lowest without scores turning to 0 or formulas breaking.</x:t>
        </x:is>
      </x:c>
    </x:row>
    <x:row r="4" ht="32" customHeight="1">
      <x:c r="A4" s="30" t="inlineStr">
        <x:is>
          <x:t xml:space="preserve">How to sort</x:t>
        </x:is>
      </x:c>
      <x:c r="B4" s="10" t="inlineStr">
        <x:is>
          <x:t xml:space="preserve">Sort by Overall Value Score, Sort On = Cell Values, Order = Largest to Smallest.</x:t>
        </x:is>
      </x:c>
    </x:row>
    <x:row r="5" ht="32" customHeight="1">
      <x:c r="A5" s="30" t="inlineStr">
        <x:is>
          <x:t xml:space="preserve">How to recolor</x:t>
        </x:is>
      </x:c>
      <x:c r="B5" s="10" t="inlineStr">
        <x:is>
          <x:t xml:space="preserve">Apply Conditional Formatting &gt; Color Scales separately to each score column if desired.</x:t>
        </x:is>
      </x:c>
    </x:row>
    <x:row r="6" ht="32" customHeight="1">
      <x:c r="A6" s="30" t="inlineStr">
        <x:is>
          <x:t xml:space="preserve">Source sheets</x:t>
        </x:is>
      </x:c>
      <x:c r="B6" s="10" t="inlineStr">
        <x:is>
          <x:t xml:space="preserve">Teacher Salary Data, School District Profiles, and Median Home and Rent Prices are preserved as source data.</x:t>
        </x:is>
      </x:c>
    </x:row>
    <x:row r="7" ht="32" customHeight="1">
      <x:c r="A7" s="10" t="n"/>
      <x:c r="B7" s="10" t="n"/>
    </x:row>
    <x:row r="8" ht="32" customHeight="1">
      <x:c r="A8" s="30" t="inlineStr">
        <x:is>
          <x:t xml:space="preserve">Formula update note</x:t>
        </x:is>
      </x:c>
      <x:c r="B8" s="10" t="inlineStr">
        <x:is>
          <x:t xml:space="preserve">Score columns R:Z now use formulas. If you enter a clean numeric Licensed Sub Pay in column Q, Sub Pay Score and Overall Value Score update.</x:t>
        </x:is>
      </x:c>
    </x:row>
    <x:row r="9" ht="32" customHeight="1">
      <x:c r="A9" s="30" t="inlineStr">
        <x:is>
          <x:t xml:space="preserve">Sub pay entry format</x:t>
        </x:is>
      </x:c>
      <x:c r="B9" s="10" t="inlineStr">
        <x:is>
          <x:t xml:space="preserve">Enter 200, not $200/day. Text entries like Unknown or $34/per period are ignored by the Sub Pay Score.</x:t>
        </x:is>
      </x:c>
    </x:row>
    <x:row r="10" ht="32" customHeight="1">
      <x:c r="A10" s="30" t="inlineStr">
        <x:is>
          <x:t xml:space="preserve">Sorting note</x:t>
        </x:is>
      </x:c>
      <x:c r="B10" s="10" t="inlineStr">
        <x:is>
          <x:t xml:space="preserve">Sort the entire District Value Scores table by Overall Value Score or any score column. Choose Expand the selection if Excel asks.</x:t>
        </x:is>
      </x:c>
    </x:row>
    <x:row r="11" ht="32" customHeight="1">
      <x:c r="A11" s="30" t="inlineStr">
        <x:is>
          <x:t xml:space="preserve">Date display note</x:t>
        </x:is>
      </x:c>
      <x:c r="B11" s="10" t="inlineStr">
        <x:is>
          <x:t xml:space="preserve">Last Verified columns were widened/formatted so dates display instead of #######.</x:t>
        </x:is>
      </x:c>
    </x:row>
    <x:row r="12" ht="32" customHeight="1">
      <x:c r="A12" s="10" t="inlineStr">
        <x:is>
          <x:t xml:space="preserve">Sub pay scoring update</x:t>
        </x:is>
      </x:c>
      <x:c r="B12" s="10" t="inlineStr">
        <x:is>
          <x:t xml:space="preserve">Sub Pay Housing Power now uses licensed daily sub pay × 20 ÷ median rent. Existing weights/formulas are otherwise unchanged.</x:t>
        </x:is>
      </x:c>
    </x:row>
    <x:row r="13" ht="32" customHeight="1">
      <x:c r="A13" s="10" t="n"/>
      <x:c r="B13" s="10" t="n"/>
    </x:row>
    <x:row r="14" ht="32" customHeight="1">
      <x:c r="A14" s="33" t="inlineStr">
        <x:is>
          <x:t xml:space="preserve">Prototype 171 update</x:t>
        </x:is>
      </x:c>
      <x:c r="B14" s="10" t="inlineStr">
        <x:is>
          <x:t xml:space="preserve">Applied district-level Work Environment / Stability Risk multipliers to every district using first-pass public-source screening.</x:t>
        </x:is>
      </x:c>
    </x:row>
    <x:row r="15" ht="32" customHeight="1">
      <x:c r="A15" s="33" t="inlineStr">
        <x:is>
          <x:t xml:space="preserve">Updated formula</x:t>
        </x:is>
      </x:c>
      <x:c r="B15" s="10" t="inlineStr">
        <x:is>
          <x:t xml:space="preserve">Final Overall Value Score = Pre-Risk Overall Value Score × Risk Multiplier.</x:t>
        </x:is>
      </x:c>
    </x:row>
    <x:row r="16" ht="32" customHeight="1">
      <x:c r="A16" s="33" t="inlineStr">
        <x:is>
          <x:t xml:space="preserve">New/updated sheet</x:t>
        </x:is>
      </x:c>
      <x:c r="B16" s="10" t="inlineStr">
        <x:is>
          <x:t xml:space="preserve">Work Environment Notes now contains every district's risk level, multiplier, rationale, and source URLs.</x:t>
        </x:is>
      </x:c>
    </x:row>
    <x:row r="17" ht="32" customHeight="1">
      <x:c r="A17" s="33" t="inlineStr">
        <x:is>
          <x:t xml:space="preserve">Date</x:t>
        </x:is>
      </x:c>
      <x:c r="B17" s="10" t="inlineStr">
        <x:is>
          <x:t xml:space="preserve">2026-06-11</x:t>
        </x:is>
      </x:c>
    </x:row>
    <x:row r="18" ht="32" customHeight="1">
      <x:c r="A18" s="33" t="inlineStr">
        <x:is>
          <x:t xml:space="preserve">Caution</x:t>
        </x:is>
      </x:c>
      <x:c r="B18" s="10" t="inlineStr">
        <x:is>
          <x:t xml:space="preserve">Treat this as a screening layer. Re-verify sources before final publication or job decisions.</x:t>
        </x:is>
      </x:c>
    </x:row>
    <x:row r="19" ht="32" customHeight="1">
      <x:c r="A19" s="30" t="inlineStr">
        <x:is>
          <x:t xml:space="preserve">Prototype 173 update</x:t>
        </x:is>
      </x:c>
      <x:c r="B19" s="10" t="inlineStr">
        <x:is>
          <x:t xml:space="preserve">Replaced separate stability risk/multiplier display in sortable rankings with a single colored Stability Score column.</x:t>
        </x:is>
      </x:c>
    </x:row>
    <x:row r="20" ht="32" customHeight="1">
      <x:c r="A20" s="30" t="inlineStr">
        <x:is>
          <x:t xml:space="preserve">Workbook 27 update</x:t>
        </x:is>
      </x:c>
      <x:c r="B20" s="10" t="inlineStr">
        <x:is>
          <x:t xml:space="preserve">District Value Scores column AE now calculates Stability Score as Risk Multiplier × 100; detailed rationale remains in Work Environment Notes.</x:t>
        </x:is>
      </x:c>
    </x:row>
    <x:row r="21" ht="32" customHeight="1">
      <x:c r="A21" s="10" t="inlineStr">
        <x:is>
          <x:t xml:space="preserve">Prototype 174 update</x:t>
        </x:is>
      </x:c>
      <x:c r="B21" s="10" t="inlineStr">
        <x:is>
          <x:t xml:space="preserve">Restored Madison Metropolitan School District, WI after it was accidentally dropped from the prototype/database.</x:t>
        </x:is>
      </x:c>
    </x:row>
    <x:row r="22" ht="32" customHeight="1">
      <x:c r="A22" s="10" t="inlineStr">
        <x:is>
          <x:t xml:space="preserve">Restored data</x:t>
        </x:is>
      </x:c>
      <x:c r="B22" s="10" t="inlineStr">
        <x:is>
          <x:t xml:space="preserve">Salary schedule rows, district profile row, housing row, value-score row, stability score, and work-environment note were added back from Workbook 24 Madison data.</x:t>
        </x:is>
      </x:c>
    </x:row>
    <x:row r="23" ht="32" customHeight="1">
      <x:c r="A23" s="10" t="inlineStr">
        <x:is>
          <x:t xml:space="preserve">Prototype 178 update</x:t>
        </x:is>
      </x:c>
      <x:c r="B23" s="10" t="inlineStr">
        <x:is>
          <x:t xml:space="preserve">Recalibrated Stability Score display so severe and high-risk districts appear red or orange instead of green.</x:t>
        </x:is>
      </x:c>
    </x:row>
    <x:row r="24" ht="32" customHeight="1">
      <x:c r="A24" s="10" t="inlineStr">
        <x:is>
          <x:t xml:space="preserve">Workbook 32 note</x:t>
        </x:is>
      </x:c>
      <x:c r="B24" s="10" t="inlineStr">
        <x:is>
          <x:t xml:space="preserve">The stability multiplier still adjusts final value score; the visible Stability Score now maps risk bands to a wider 0-100 color scale: 25 severe, 40 high, 60 moderate, 75 watchlist, 100 stable.</x:t>
        </x:is>
      </x:c>
    </x:row>
    <x:row r="25" ht="32" customHeight="1">
      <x:c r="A25" s="10" t="inlineStr">
        <x:is>
          <x:t xml:space="preserve">Prototype 179 / Workbook 33 update</x:t>
        </x:is>
      </x:c>
      <x:c r="B25" s="10" t="inlineStr">
        <x:is>
          <x:t xml:space="preserve">Added Scarsdale Union Free School District, NY with salary, profile, housing/rent, value score, and stability notes.</x:t>
        </x:is>
      </x:c>
    </x:row>
    <x:row r="26" ht="32" customHeight="1">
      <x:c r="A26" s="10" t="inlineStr">
        <x:is>
          <x:t xml:space="preserve">Prototype 181 update</x:t>
        </x:is>
      </x:c>
      <x:c r="B26" s="10" t="inlineStr">
        <x:is>
          <x:t xml:space="preserve">Added Barbers Hill ISD, TX with official 2025-26 salary plan, apartment rent/home price inputs, Texas Tribune enrollment/ratio data, and stable/growth risk classification.</x:t>
        </x:is>
      </x:c>
    </x:row>
    <x:row r="27" ht="32" customHeight="1">
      <x:c r="A27" s="10" t="inlineStr">
        <x:is>
          <x:t xml:space="preserve">Workbook 36 update</x:t>
        </x:is>
      </x:c>
      <x:c r="B27" s="10" t="inlineStr">
        <x:is>
          <x:t xml:space="preserve">Moved Stability / Work Environment scoring methodology into a clear visible section on Score Methodology and cleaned workbook formatting for more consistent row heights/readability.</x:t>
        </x:is>
      </x:c>
    </x:row>
    <x:row r="28" ht="32" customHeight="1">
      <x:c r="A28" s="10" t="inlineStr">
        <x:is>
          <x:t xml:space="preserve">Stability display note</x:t>
        </x:is>
      </x:c>
      <x:c r="B28" s="10" t="inlineStr">
        <x:is>
          <x:t xml:space="preserve">Visible Stability Score uses 100 stable, 75 watchlist, 60 moderate, 40 high, 25 severe; final score penalty still uses the risk multiplier.</x:t>
        </x:is>
      </x:c>
    </x:row>
    <x:row r="29" ht="32" customHeight="1">
      <x:c r="A29" s="10" t="inlineStr">
        <x:is>
          <x:t xml:space="preserve">Formatting note</x:t>
        </x:is>
      </x:c>
      <x:c r="B29" s="10" t="inlineStr">
        <x:is>
          <x:t xml:space="preserve">Main data sheets now use consistent header styling, frozen headers, standardized row heights, wrapped source/rationale fields, and more readable column widths.</x:t>
        </x:is>
      </x:c>
    </x:row>
    <x:row r="30" ht="32" customHeight="1">
      <x:c r="A30" s="10" t="inlineStr">
        <x:is>
          <x:t xml:space="preserve">Workbook 37 / Prototype 183 update</x:t>
        </x:is>
      </x:c>
      <x:c r="B30" s="10" t="inlineStr">
        <x:is>
          <x:t xml:space="preserve">Corrected Barbers Hill ISD to 1 traditional high school and adjusted total counted schools to 8.</x:t>
        </x:is>
      </x:c>
    </x:row>
    <x:row r="31" ht="32" customHeight="1">
      <x:c r="A31" s="10" t="inlineStr">
        <x:is>
          <x:t xml:space="preserve">Prototype 184 update</x:t>
        </x:is>
      </x:c>
      <x:c r="B31" s="10" t="inlineStr">
        <x:is>
          <x:t xml:space="preserve">Added Cobb County School District, GA and Gwinnett County Public Schools, GA with salary, profile, rent/housing, score, stability, and source documentation.</x:t>
        </x:is>
      </x:c>
    </x:row>
    <x:row r="32" ht="32" customHeight="1">
      <x:c r="A32" s="10" t="inlineStr">
        <x:is>
          <x:t xml:space="preserve">Prototype 186 update</x:t>
        </x:is>
      </x:c>
      <x:c r="B32" s="10" t="inlineStr">
        <x:is>
          <x:t xml:space="preserve">Added Loudoun County Public Schools, VA to workbook and prototype database with current salary, school count, housing/rent, substitute pay, and stability screening.</x:t>
        </x:is>
      </x:c>
    </x:row>
    <x:row r="33" ht="32" customHeight="1">
      <x:c r="A33" s="30" t="inlineStr">
        <x:is>
          <x:t xml:space="preserve">Prototype 189 update</x:t>
        </x:is>
      </x:c>
      <x:c r="B33" s="10" t="inlineStr">
        <x:is>
          <x:t xml:space="preserve">Removed the gray Housing Filters header/description from the popover and added two checkbox filters: 10+ High Schools and Stable Districts.</x:t>
        </x:is>
      </x:c>
    </x:row>
    <x:row r="34" ht="32" customHeight="1">
      <x:c r="A34" s="30" t="inlineStr">
        <x:is>
          <x:t xml:space="preserve">Filter behavior note</x:t>
        </x:is>
      </x:c>
      <x:c r="B34" s="10" t="inlineStr">
        <x:is>
          <x:t xml:space="preserve">10+ High Schools filters districts with Number of High Schools &gt;= 10. Stable Districts filters districts with Stability Score = 100 / no current stability penalty.</x:t>
        </x:is>
      </x:c>
    </x:row>
    <x:row r="35" ht="32" customHeight="1">
      <x:c r="A35" s="30" t="inlineStr">
        <x:is>
          <x:t xml:space="preserve">Prototype 193 update</x:t>
        </x:is>
      </x:c>
      <x:c r="B35" s="10" t="inlineStr">
        <x:is>
          <x:t xml:space="preserve">Added Jordan District, UT district boundary map to the prototype package and District Map card.</x:t>
        </x:is>
      </x:c>
    </x:row>
    <x:row r="36" ht="32" customHeight="1">
      <x:c r="A36" s="30" t="inlineStr">
        <x:is>
          <x:t xml:space="preserve">Map file</x:t>
        </x:is>
      </x:c>
      <x:c r="B36" s="10" t="inlineStr">
        <x:is>
          <x:t xml:space="preserve">district-map-jordan-district.png</x:t>
        </x:is>
      </x:c>
    </x:row>
    <x:row r="37" ht="32" customHeight="1">
      <x:c r="A37" s="10" t="inlineStr">
        <x:is>
          <x:t xml:space="preserve">Prototype 194 update</x:t>
        </x:is>
      </x:c>
      <x:c r="B37" s="10" t="inlineStr">
        <x:is>
          <x:t xml:space="preserve">Added Lake Washington School District, WA and Nassau County School District, FL; refreshed workbook formatting for readability.</x:t>
        </x:is>
      </x:c>
    </x:row>
    <x:row r="38" ht="32" customHeight="1">
      <x:c r="A38" s="21" t="n"/>
      <x:c r="B38" s="21" t="n"/>
    </x:row>
    <x:row r="39" ht="32" customHeight="1">
      <x:c r="A39" s="21" t="inlineStr">
        <x:is>
          <x:t xml:space="preserve">Prototype 195 update</x:t>
        </x:is>
      </x:c>
      <x:c r="B39" s="21" t="inlineStr">
        <x:is>
          <x:t xml:space="preserve">Alphabetized district rows across main workbook sheets and fixed demographic percentage formatting so values display out of 100% instead of being multiplied by Excel percent formatting.</x:t>
        </x:is>
      </x:c>
    </x:row>
    <x:row r="40" ht="32" customHeight="1">
      <x:c r="A40" s="21" t="inlineStr">
        <x:is>
          <x:t xml:space="preserve">v197 Ocean Springs salary correction</x:t>
        </x:is>
      </x:c>
      <x:c r="B40" s="21" t="inlineStr">
        <x:is>
          <x:t xml:space="preserve">Corrected Ocean Springs School District salary inputs only, using FY27 Certified Salary Scales gross salary values from the uploaded PDF. No scoring formulas or weights changed.</x:t>
        </x:is>
      </x:c>
    </x:row>
    <x:row r="41" ht="32" customHeight="1">
      <x:c r="A41" s="21" t="inlineStr">
        <x:is>
          <x:t xml:space="preserve">v198 formula-driven scoring</x:t>
        </x:is>
      </x:c>
      <x:c r="B41" s="21" t="inlineStr">
        <x:is>
          <x:t xml:space="preserve">Converted District Value Scores derived columns to live formulas so data changes recalculate score/ranking when opened in Excel/Sheets.</x:t>
        </x:is>
      </x:c>
    </x:row>
    <x:row r="42" ht="32" customHeight="1">
      <x:c r="A42" s="21" t="inlineStr">
        <x:is>
          <x:t xml:space="preserve">Formula-change approval note</x:t>
        </x:is>
      </x:c>
      <x:c r="B42" s="21" t="inlineStr">
        <x:is>
          <x:t xml:space="preserve">This update does not change the scoring weights. It makes the existing methodology inspectable and formula-driven.</x:t>
        </x:is>
      </x:c>
    </x:row>
    <x:row r="43" ht="32" customHeight="1">
      <x:c r="A43" s="21" t="inlineStr">
        <x:is>
          <x:t xml:space="preserve">Manual fields</x:t>
        </x:is>
      </x:c>
      <x:c r="B43" s="21" t="inlineStr">
        <x:is>
          <x:t xml:space="preserve">Risk Multiplier and Risk-Adjusted Note remain manual research-based inputs.</x:t>
        </x:is>
      </x:c>
    </x:row>
    <x:row r="44" ht="32" customHeight="1">
      <x:c r="A44" s="21" t="inlineStr">
        <x:is>
          <x:t xml:space="preserve">Version 62 update</x:t>
        </x:is>
      </x:c>
      <x:c r="B44" s="21" t="inlineStr">
        <x:is>
          <x:t xml:space="preserve">Added West Des Moines Community Schools, IA.</x:t>
        </x:is>
      </x:c>
    </x:row>
    <x:row r="45" ht="32" customHeight="1">
      <x:c r="A45" s="21" t="inlineStr">
        <x:is>
          <x:t xml:space="preserve">Prototype filter note</x:t>
        </x:is>
      </x:c>
      <x:c r="B45" s="21" t="inlineStr">
        <x:is>
          <x:t xml:space="preserve">Balanced demographics checkbox retained/restored; threshold remains Demographic Balance Score &gt;= 80.</x:t>
        </x:is>
      </x:c>
    </x:row>
    <x:row r="46" ht="32" customHeight="1">
      <x:c r="A46" s="21" t="inlineStr">
        <x:is>
          <x:t xml:space="preserve">Methodology note</x:t>
        </x:is>
      </x:c>
      <x:c r="B46" s="21" t="inlineStr">
        <x:is>
          <x:t xml:space="preserve">Scoring weights unchanged; formulas updated only to include the newly added row and salary records.</x:t>
        </x:is>
      </x:c>
    </x:row>
    <x:row r="47" ht="32" customHeight="1">
      <x:c r="A47" s="21" t="inlineStr">
        <x:is>
          <x:t xml:space="preserve">Last updated</x:t>
        </x:is>
      </x:c>
      <x:c r="B47" s="21" t="inlineStr">
        <x:is>
          <x:t xml:space="preserve">2026-06-13</x:t>
        </x:is>
      </x:c>
    </x:row>
    <x:row r="49" ht="32" customHeight="1">
      <x:c r="A49" s="68" t="inlineStr">
        <x:is>
          <x:t xml:space="preserve">Scoring update</x:t>
        </x:is>
      </x:c>
      <x:c r="B49" s="2" t="inlineStr">
        <x:is>
          <x:t xml:space="preserve">This version replaces relative normalization with fixed benchmark-based scoring. See Scoring Benchmarks and Changed Formulas sheets.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table</x:t>
        </x:is>
      </x:c>
      <x:c r="B2" s="10" t="inlineStr">
        <x:is>
          <x:t xml:space="preserve">BA Pay Scale Group 20; levels 1-10; year 10 repeats level 10; MA = BA + $584</x:t>
        </x:is>
      </x:c>
      <x:c r="C2" s="10" t="inlineStr">
        <x:is>
          <x:t xml:space="preserve">https://hr.lausd.org/apps/pages/index.jsp?uREC_ID=4422515&amp;type=d&amp;pREC_ID=2657596</x:t>
        </x:is>
      </x:c>
      <x:c r="D2" s="10" t="inlineStr">
        <x:is>
          <x:t xml:space="preserve">Official LAUSD 2025-2026 certificated salary tables page.</x:t>
        </x:is>
      </x:c>
    </x:row>
    <x:row r="3" ht="32" customHeight="1">
      <x:c r="A3" s="10" t="inlineStr">
        <x:is>
          <x:t xml:space="preserve">Teacher salary PDF</x:t>
        </x:is>
      </x:c>
      <x:c r="B3" s="10" t="inlineStr">
        <x:is>
          <x:t xml:space="preserve">2025-2026 T Table, C Basis</x:t>
        </x:is>
      </x:c>
      <x:c r="C3" s="10" t="inlineStr">
        <x:is>
          <x:t xml:space="preserve">https://media.edlio.net/2e0a8bf0/238a9ca2/c19b05e8/9f777902d5ea42ca9dbb2708c6087a05?_=T_Table_Annual.pdf</x:t>
        </x:is>
      </x:c>
      <x:c r="D3" s="10" t="inlineStr">
        <x:is>
          <x:t xml:space="preserve">Page 1 gives annual salaries; page 2 states the master's degree differential is $584 annually.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$261.49/day base daily rate</x:t>
        </x:is>
      </x:c>
      <x:c r="C4" s="10" t="inlineStr">
        <x:is>
          <x:t xml:space="preserve">https://hr.lausd.org/apps/pages/index.jsp?pREC_ID=2723080&amp;type=d&amp;uREC_ID=4422503</x:t>
        </x:is>
      </x:c>
      <x:c r="D4" s="10" t="inlineStr">
        <x:is>
          <x:t xml:space="preserve">Official certificated substitute page lists $43.58/hour and $261.49/day for 6 hours.</x:t>
        </x:is>
      </x:c>
    </x:row>
    <x:row r="5" ht="32" customHeight="1">
      <x:c r="A5" s="10" t="inlineStr">
        <x:is>
          <x:t xml:space="preserve">Student-teacher ratio / total schools</x:t>
        </x:is>
      </x:c>
      <x:c r="B5" s="10" t="inlineStr">
        <x:is>
          <x:t xml:space="preserve">19.20 ratio; 784 schools</x:t>
        </x:is>
      </x:c>
      <x:c r="C5" s="10" t="inlineStr">
        <x:is>
          <x:t xml:space="preserve">https://nces.ed.gov/ccd/districtsearch/district_detail.asp?ID2=0622710&amp;details=1</x:t>
        </x:is>
      </x:c>
      <x:c r="D5" s="10" t="inlineStr">
        <x:is>
          <x:t xml:space="preserve">NCES CCD district detail, 2024-2025 school year.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10%, Hispanic/Latino 73%, Asian 4%, Black 7%</x:t>
        </x:is>
      </x:c>
      <x:c r="C6" s="10" t="inlineStr">
        <x:is>
          <x:t xml:space="preserve">https://innovateschools.org/wp-content/uploads/2026/03/LAUSD-Datasheet-2024-25-English-1.pdf</x:t>
        </x:is>
      </x:c>
      <x:c r="D6" s="10" t="inlineStr">
        <x:is>
          <x:t xml:space="preserve">CDE-based 2024-25 data sheet; Filipino is reported separately and not included in the workbook's Asian column.</x:t>
        </x:is>
      </x:c>
    </x:row>
    <x:row r="7" ht="32" customHeight="1">
      <x:c r="A7" s="10" t="inlineStr">
        <x:is>
          <x:t xml:space="preserve">Median rent</x:t>
        </x:is>
      </x:c>
      <x:c r="B7" s="10" t="inlineStr">
        <x:is>
          <x:t xml:space="preserve">$2,650</x:t>
        </x:is>
      </x:c>
      <x:c r="C7" s="10" t="inlineStr">
        <x:is>
          <x:t xml:space="preserve">https://www.zillow.com/rental-manager/market-trends/los-angeles-ca/</x:t>
        </x:is>
      </x:c>
      <x:c r="D7" s="10" t="inlineStr">
        <x:is>
          <x:t xml:space="preserve">Zillow Rental Manager average rent for Los Angeles, CA, all bedrooms/property types, last updated June 8, 2026.</x:t>
        </x:is>
      </x:c>
    </x:row>
    <x:row r="8" ht="32" customHeight="1">
      <x:c r="A8" s="10" t="inlineStr">
        <x:is>
          <x:t xml:space="preserve">Median/typical home value</x:t>
        </x:is>
      </x:c>
      <x:c r="B8" s="10" t="inlineStr">
        <x:is>
          <x:t xml:space="preserve">$956,465</x:t>
        </x:is>
      </x:c>
      <x:c r="C8" s="10" t="inlineStr">
        <x:is>
          <x:t xml:space="preserve">https://www.zillow.com/home-values/12447/los-angeles-ca/</x:t>
        </x:is>
      </x:c>
      <x:c r="D8" s="10" t="inlineStr">
        <x:is>
          <x:t xml:space="preserve">Zillow Home Value Index for Los Angeles, CA, updated April 30, 2026. Workbook column label says median home price; this uses Zillow typical home value for consistency with available source.</x:t>
        </x:is>
      </x:c>
    </x:row>
    <x:row r="9" ht="32" customHeight="1">
      <x:c r="A9" s="10" t="inlineStr">
        <x:is>
          <x:t xml:space="preserve">Verification date</x:t>
        </x:is>
      </x:c>
      <x:c r="B9" s="10" t="inlineStr">
        <x:is>
          <x:t xml:space="preserve">2026-06-10</x:t>
        </x:is>
      </x:c>
      <x:c r="C9" s="10" t="n"/>
      <x:c r="D9" s="10" t="inlineStr">
        <x:is>
          <x:t xml:space="preserve">Date this LAUSD row was researched and added.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</x:row>
    <x:row r="2" ht="32" customHeight="1">
      <x:c r="A2" s="10" t="inlineStr">
        <x:is>
          <x:t xml:space="preserve">State salary schedule</x:t>
        </x:is>
      </x:c>
      <x:c r="B2" s="10" t="inlineStr">
        <x:is>
          <x:t xml:space="preserve">NC FY 2025-26 certified teacher salary schedule, annual salaries for BA and MA at years 0-10.</x:t>
        </x:is>
      </x:c>
      <x:c r="C2" s="10" t="inlineStr">
        <x:is>
          <x:t xml:space="preserve">https://www.dpi.nc.gov/documents/fbs/budget/fy26webschedulespdf/download?attachment=</x:t>
        </x:is>
      </x:c>
    </x:row>
    <x:row r="3" ht="32" customHeight="1">
      <x:c r="A3" s="10" t="inlineStr">
        <x:is>
          <x:t xml:space="preserve">Local supplement</x:t>
        </x:is>
      </x:c>
      <x:c r="B3" s="10" t="inlineStr">
        <x:is>
          <x:t xml:space="preserve">CHCCS teacher local supplement is 18% for years 0-19; applied to NC state salary schedule.</x:t>
        </x:is>
      </x:c>
      <x:c r="C3" s="10" t="inlineStr">
        <x:is>
          <x:t xml:space="preserve">https://www.chccs.org/our-district/human-resources/salary-supplement</x:t>
        </x:is>
      </x:c>
    </x:row>
    <x:row r="4" ht="32" customHeight="1">
      <x:c r="A4" s="10" t="inlineStr">
        <x:is>
          <x:t xml:space="preserve">Student-teacher ratio / total schools</x:t>
        </x:is>
      </x:c>
      <x:c r="B4" s="10" t="inlineStr">
        <x:is>
          <x:t xml:space="preserve">NCES 2024-25: 20 schools, 11,353 students, 894.67 classroom teachers, student/teacher ratio 12.69.</x:t>
        </x:is>
      </x:c>
      <x:c r="C4" s="10" t="inlineStr">
        <x:is>
          <x:t xml:space="preserve">https://nces.ed.gov/ccd/districtsearch/district_detail.asp?ID2=3700720&amp;details=1</x:t>
        </x:is>
      </x:c>
    </x:row>
    <x:row r="5" ht="32" customHeight="1">
      <x:c r="A5" s="10" t="inlineStr">
        <x:is>
          <x:t xml:space="preserve">School level counts</x:t>
        </x:is>
      </x:c>
      <x:c r="B5" s="10" t="inlineStr">
        <x:is>
          <x:t xml:space="preserve">CHCCS says district operates 4 high schools, 4 middle schools, 11 elementary schools, and one hospital school.</x:t>
        </x:is>
      </x:c>
      <x:c r="C5" s="10" t="inlineStr">
        <x:is>
          <x:t xml:space="preserve">https://www.chccs.org/our-district/homepage</x:t>
        </x:is>
      </x:c>
    </x:row>
    <x:row r="6" ht="32" customHeight="1">
      <x:c r="A6" s="10" t="inlineStr">
        <x:is>
          <x:t xml:space="preserve">Substitute pay</x:t>
        </x:is>
      </x:c>
      <x:c r="B6" s="10" t="inlineStr">
        <x:is>
          <x:t xml:space="preserve">Certified substitute rate: $135/day; long-term certified: $165/day.</x:t>
        </x:is>
      </x:c>
      <x:c r="C6" s="10" t="inlineStr">
        <x:is>
          <x:t xml:space="preserve">https://www.k12jobspot.com/Job/5489091</x:t>
        </x:is>
      </x:c>
    </x:row>
    <x:row r="7" ht="32" customHeight="1">
      <x:c r="A7" s="10" t="inlineStr">
        <x:is>
          <x:t xml:space="preserve">Median rent</x:t>
        </x:is>
      </x:c>
      <x:c r="B7" s="10" t="inlineStr">
        <x:is>
          <x:t xml:space="preserve">Zillow average rent in Chapel Hill, NC: $1,850.</x:t>
        </x:is>
      </x:c>
      <x:c r="C7" s="10" t="inlineStr">
        <x:is>
          <x:t xml:space="preserve">https://www.zillow.com/rental-manager/market-trends/chapel-hill-nc/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Zillow average Chapel Hill, NC home value: $634,403.</x:t>
        </x:is>
      </x:c>
      <x:c r="C8" s="10" t="inlineStr">
        <x:is>
          <x:t xml:space="preserve">https://www.zillow.com/home-values/17386/chapel-hill-nc/</x:t>
        </x:is>
      </x:c>
    </x:row>
    <x:row r="9" ht="32" customHeight="1">
      <x:c r="A9" s="10" t="inlineStr">
        <x:is>
          <x:t xml:space="preserve">Student demographics</x:t>
        </x:is>
      </x:c>
      <x:c r="B9" s="10" t="inlineStr">
        <x:is>
          <x:t xml:space="preserve">White 52.52%, Hispanic 14.40%, Asian 15.01%, Black 11.28% from TeacherServer district diversity table; verify with NC Report Card if needed.</x:t>
        </x:is>
      </x:c>
      <x:c r="C9" s="10" t="inlineStr">
        <x:is>
          <x:t xml:space="preserve">https://teacherserver.com/schooldiversity/xdistrict.php?id=3700720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15" width="10" customWidth="1"/>
    <x:col min="16" max="16" width="24" customWidth="1"/>
    <x:col min="17" max="26" width="10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</x:row>
    <x:row r="2" ht="32" customHeight="1">
      <x:c r="A2" s="10" t="inlineStr">
        <x:is>
          <x:t xml:space="preserve">District</x:t>
        </x:is>
      </x:c>
      <x:c r="B2" s="10" t="inlineStr">
        <x:is>
          <x:t xml:space="preserve">Portland Public Schools / Portland SD 1J</x:t>
        </x:is>
      </x:c>
      <x:c r="C2" s="10" t="inlineStr">
        <x:is>
          <x:t xml:space="preserve">https://nces.ed.gov/ccd/districtsearch/district_detail.asp?ID2=4110040&amp;details=2</x:t>
        </x:is>
      </x:c>
      <x:c r="D2" s="7" t="n"/>
      <x:c r="E2" s="7" t="n"/>
      <x:c r="F2" s="7" t="n"/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</x:row>
    <x:row r="3" ht="32" customHeight="1">
      <x:c r="A3" s="10" t="inlineStr">
        <x:is>
          <x:t xml:space="preserve">Salary schedule</x:t>
        </x:is>
      </x:c>
      <x:c r="B3" s="10" t="inlineStr">
        <x:is>
          <x:t xml:space="preserve">PPS 2025-2026 Professional Educators 193-day salary schedule; BA+15 used for Bachelor's and BA+60/MA used for Master's; years 0-10 mapped to salary rows A-K.</x:t>
        </x:is>
      </x:c>
      <x:c r="C3" s="10" t="inlineStr">
        <x:is>
          <x:t xml:space="preserve">https://www.pps.net/departments/human-resources/classification-and-compensation/salary-schedules</x:t>
        </x:is>
      </x:c>
      <x:c r="D3" s="7" t="n"/>
      <x:c r="E3" s="7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Substitute Educator full-day rate: $275.71 for 2025-2026.</x:t>
        </x:is>
      </x:c>
      <x:c r="C4" s="10" t="inlineStr">
        <x:is>
          <x:t xml:space="preserve">https://www.pps.net/departments/human-resources/substituting</x:t>
        </x:is>
      </x:c>
      <x:c r="D4" s="7" t="n"/>
      <x:c r="E4" s="7" t="n"/>
      <x:c r="F4" s="7" t="n"/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</x:row>
    <x:row r="5" ht="32" customHeight="1">
      <x:c r="A5" s="10" t="inlineStr">
        <x:is>
          <x:t xml:space="preserve">Schools / teacher FTE</x:t>
        </x:is>
      </x:c>
      <x:c r="B5" s="10" t="inlineStr">
        <x:is>
          <x:t xml:space="preserve">NCES lists 86 total schools and 2,710.87 teacher FTE for Portland SD 1J, 2024-2025.</x:t>
        </x:is>
      </x:c>
      <x:c r="C5" s="10" t="inlineStr">
        <x:is>
          <x:t xml:space="preserve">https://nces.ed.gov/ccd/districtsearch/district_detail.asp?ID2=4110040&amp;details=2</x:t>
        </x:is>
      </x:c>
      <x:c r="D5" s="7" t="n"/>
      <x:c r="E5" s="7" t="n"/>
      <x:c r="F5" s="7" t="n"/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</x:row>
    <x:row r="6" ht="32" customHeight="1">
      <x:c r="A6" s="10" t="inlineStr">
        <x:is>
          <x:t xml:space="preserve">Enrollment / demographics</x:t>
        </x:is>
      </x:c>
      <x:c r="B6" s="10" t="inlineStr">
        <x:is>
          <x:t xml:space="preserve">PPS October 2025 district total: 43,477 students; White 53.3%, Latino 18.4%, Asian 5.7%, Black 8.3%.</x:t>
        </x:is>
      </x:c>
      <x:c r="C6" s="10" t="inlineStr">
        <x:is>
          <x:t xml:space="preserve">https://www.pps.net/departments/research-assessment-and-accountability/data-and-reports/enrollment-reports-and-school-profiles</x:t>
        </x:is>
      </x:c>
      <x:c r="D6" s="7" t="n"/>
      <x:c r="E6" s="7" t="n"/>
      <x:c r="F6" s="7" t="n"/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Zillow Portland home value $538,687 and rental market average rent $1,725 / $1,681 depending page; workbook uses $1,725 from Zillow home values/rental trends page.</x:t>
        </x:is>
      </x:c>
      <x:c r="C7" s="10" t="inlineStr">
        <x:is>
          <x:t xml:space="preserve">https://www.zillow.com/home-values/13373/portland-or/</x:t>
        </x:is>
      </x:c>
      <x:c r="D7" s="7" t="n"/>
      <x:c r="E7" s="7" t="n"/>
      <x:c r="F7" s="7" t="n"/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</x:row>
    <x:row r="8" ht="32" customHeight="1">
      <x:c r="A8" s="10" t="inlineStr">
        <x:is>
          <x:t xml:space="preserve">Method note</x:t>
        </x:is>
      </x:c>
      <x:c r="B8" s="10" t="inlineStr">
        <x:is>
          <x:t xml:space="preserve">Student-teacher ratio calculated as 43,477 PPS enrollment / 2,710.87 NCES teacher FTE = 16.04. Score columns recalculated using the workbook methodology with Portland included.</x:t>
        </x:is>
      </x:c>
      <x:c r="C8" s="10" t="n"/>
      <x:c r="D8" s="7" t="n"/>
      <x:c r="E8" s="7" t="n"/>
      <x:c r="F8" s="7" t="n"/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2025-2026 BA/MA steps 1-11</x:t>
        </x:is>
      </x:c>
      <x:c r="C2" s="10" t="inlineStr">
        <x:is>
          <x:t xml:space="preserve">https://resources.finalsite.net/images/v1747940280/cherrycreekschoolsorg/wdju2pddegexsrgn0zir/Proposed2025-2026Certified-LicensedSalarySchedule.pdf</x:t>
        </x:is>
      </x:c>
      <x:c r="D2" s="10" t="inlineStr">
        <x:is>
          <x:t xml:space="preserve">Used step 1 as 0 years through step 11 as 10 years.</x:t>
        </x:is>
      </x:c>
    </x:row>
    <x:row r="3" ht="32" customHeight="1">
      <x:c r="A3" s="10" t="inlineStr">
        <x:is>
          <x:t xml:space="preserve">District compensation page</x:t>
        </x:is>
      </x:c>
      <x:c r="B3" s="10" t="inlineStr">
        <x:is>
          <x:t xml:space="preserve">2025-2026 certified/licensed salary schedule link</x:t>
        </x:is>
      </x:c>
      <x:c r="C3" s="10" t="inlineStr">
        <x:is>
          <x:t xml:space="preserve">https://www.cherrycreekschools.org/careers/human-resources/compensation</x:t>
        </x:is>
      </x:c>
      <x:c r="D3" s="10" t="inlineStr">
        <x:is>
          <x:t xml:space="preserve">District compensation page hosts the official pay plan links.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$210 full day</x:t>
        </x:is>
      </x:c>
      <x:c r="C4" s="10" t="inlineStr">
        <x:is>
          <x:t xml:space="preserve">https://www.cherrycreekschools.org/careers/human-resources/substitutes</x:t>
        </x:is>
      </x:c>
      <x:c r="D4" s="10" t="inlineStr">
        <x:is>
          <x:t xml:space="preserve">Regular substitute full day rate; super sub/Title One/retired rates not used.</x:t>
        </x:is>
      </x:c>
    </x:row>
    <x:row r="5" ht="32" customHeight="1">
      <x:c r="A5" s="10" t="inlineStr">
        <x:is>
          <x:t xml:space="preserve">NCES district stats</x:t>
        </x:is>
      </x:c>
      <x:c r="B5" s="10" t="inlineStr">
        <x:is>
          <x:t xml:space="preserve">69 schools, 51,980 students, 3,212.73 FTE teachers, 16.18 ratio</x:t>
        </x:is>
      </x:c>
      <x:c r="C5" s="10" t="inlineStr">
        <x:is>
          <x:t xml:space="preserve">https://nces.ed.gov/ccd/districtsearch/district_detail.asp?ID2=0802910&amp;details=1</x:t>
        </x:is>
      </x:c>
      <x:c r="D5" s="10" t="inlineStr">
        <x:is>
          <x:t xml:space="preserve">Used student-teacher ratio; district profile uses official district facts total schools.</x:t>
        </x:is>
      </x:c>
    </x:row>
    <x:row r="6" ht="32" customHeight="1">
      <x:c r="A6" s="10" t="inlineStr">
        <x:is>
          <x:t xml:space="preserve">District facts/demographics</x:t>
        </x:is>
      </x:c>
      <x:c r="B6" s="10" t="inlineStr">
        <x:is>
          <x:t xml:space="preserve">White 44.8%, Hispanic 24.8%, Asian 8.4%, Black 11.4%, 67 schools</x:t>
        </x:is>
      </x:c>
      <x:c r="C6" s="10" t="inlineStr">
        <x:is>
          <x:t xml:space="preserve">https://www.cherrycreekschools.org/about-us/our-district/facts-figures</x:t>
        </x:is>
      </x:c>
      <x:c r="D6" s="10" t="inlineStr">
        <x:is>
          <x:t xml:space="preserve">Used for demographic balance score and school-level breakdown.</x:t>
        </x:is>
      </x:c>
    </x:row>
    <x:row r="7" ht="32" customHeight="1">
      <x:c r="A7" s="10" t="inlineStr">
        <x:is>
          <x:t xml:space="preserve">Home value</x:t>
        </x:is>
      </x:c>
      <x:c r="B7" s="10" t="inlineStr">
        <x:is>
          <x:t xml:space="preserve">$556,984 average of Aurora + Centennial Zillow home values</x:t>
        </x:is>
      </x:c>
      <x:c r="C7" s="10" t="inlineStr">
        <x:is>
          <x:t xml:space="preserve">https://www.zillow.com/home-values/16846/aurora-co/ ; https://www.zillow.com/home-values/93273/centennial-co-80161/</x:t>
        </x:is>
      </x:c>
      <x:c r="D7" s="10" t="inlineStr">
        <x:is>
          <x:t xml:space="preserve">Aurora $464,881; Centennial $649,086. Averaged because many CCSD households may live in nearby Aurora/Centennial rather than Greenwood Village.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$2,208 average of Aurora + Centennial Zillow rents</x:t>
        </x:is>
      </x:c>
      <x:c r="C8" s="10" t="inlineStr">
        <x:is>
          <x:t xml:space="preserve">https://www.zillow.com/rental-manager/market-trends/aurora-co/ ; https://www.zillow.com/rental-manager/market-trends/centennial-co/</x:t>
        </x:is>
      </x:c>
      <x:c r="D8" s="10" t="inlineStr">
        <x:is>
          <x:t xml:space="preserve">Aurora $1,921; Centennial $2,495. Averaged because many CCSD households may live in nearby Aurora/Centennial rather than Greenwood Village.</x:t>
        </x:is>
      </x:c>
    </x:row>
    <x:row r="9" ht="32" customHeight="1">
      <x:c r="A9" s="10" t="inlineStr">
        <x:is>
          <x:t xml:space="preserve">Housing proxy note</x:t>
        </x:is>
      </x:c>
      <x:c r="B9" s="10" t="inlineStr">
        <x:is>
          <x:t xml:space="preserve">Aurora + Centennial average</x:t>
        </x:is>
      </x:c>
      <x:c r="C9" s="10" t="inlineStr">
        <x:is>
          <x:t xml:space="preserve">N/A</x:t>
        </x:is>
      </x:c>
      <x:c r="D9" s="10" t="inlineStr">
        <x:is>
          <x:t xml:space="preserve">Replaces Greenwood Village-only proxy to better represent nearby communities where CCSD families/staff may live.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Data Point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LCTA Teachers &amp; Psychologists; BA Class I; MA Class IV</x:t>
        </x:is>
      </x:c>
      <x:c r="C2" s="10" t="inlineStr">
        <x:is>
          <x:t xml:space="preserve">https://4.files.edl.io/82c5/08/14/25/213723-fb8372c1-6d7b-4358-9610-35dd8134bc12.pdf</x:t>
        </x:is>
      </x:c>
      <x:c r="D2" s="10" t="inlineStr">
        <x:is>
          <x:t xml:space="preserve">Used steps 1-11 as years experience 0-10.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$200/day</x:t>
        </x:is>
      </x:c>
      <x:c r="C3" s="10" t="inlineStr">
        <x:is>
          <x:t xml:space="preserve">https://www.edjoin.org/Home/JobPosting/2125841</x:t>
        </x:is>
      </x:c>
      <x:c r="D3" s="10" t="inlineStr">
        <x:is>
          <x:t xml:space="preserve">EdJoin posting lists $200/day or $100/half day.</x:t>
        </x:is>
      </x:c>
    </x:row>
    <x:row r="4" ht="32" customHeight="1">
      <x:c r="A4" s="10" t="inlineStr">
        <x:is>
          <x:t xml:space="preserve">Student-teacher ratio / schools</x:t>
        </x:is>
      </x:c>
      <x:c r="B4" s="10" t="inlineStr">
        <x:is>
          <x:t xml:space="preserve">23.66 ratio; 4 schools</x:t>
        </x:is>
      </x:c>
      <x:c r="C4" s="10" t="inlineStr">
        <x:is>
          <x:t xml:space="preserve">https://nces.ed.gov/ccd/districtsearch/district_detail.asp?ID2=0620130</x:t>
        </x:is>
      </x:c>
      <x:c r="D4" s="10" t="inlineStr">
        <x:is>
          <x:t xml:space="preserve">NCES District Detail, 2024-25 school year.</x:t>
        </x:is>
      </x:c>
    </x:row>
    <x:row r="5" ht="32" customHeight="1">
      <x:c r="A5" s="10" t="inlineStr">
        <x:is>
          <x:t xml:space="preserve">Housing</x:t>
        </x:is>
      </x:c>
      <x:c r="B5" s="10" t="inlineStr">
        <x:is>
          <x:t xml:space="preserve">$2,499,891 home value; $5,900 rent</x:t>
        </x:is>
      </x:c>
      <x:c r="C5" s="10" t="inlineStr">
        <x:is>
          <x:t xml:space="preserve">https://www.zillow.com/home-values/46080/la-canada-flintridge-ca/ ; https://www.zillow.com/rental-manager/market-trends/la-canada-flintridge-ca/</x:t>
        </x:is>
      </x:c>
      <x:c r="D5" s="10" t="inlineStr">
        <x:is>
          <x:t xml:space="preserve">Zillow home value updated 4/30/2026; Zillow rent updated 6/7/2026.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42% White; 33% Asian; 12% Hispanic; Black not listed</x:t>
        </x:is>
      </x:c>
      <x:c r="C6" s="10" t="inlineStr">
        <x:is>
          <x:t xml:space="preserve">https://www.publicschoolreview.com/california/la-canada-unified-school-district/620130-school-district</x:t>
        </x:is>
      </x:c>
      <x:c r="D6" s="10" t="inlineStr">
        <x:is>
          <x:t xml:space="preserve">Used Public School Review 2026 district FAQ; Black entered as 0 because not listed in the stated racial composition.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  <x:col min="6" max="15" width="10" customWidth="1"/>
    <x:col min="16" max="16" width="24" customWidth="1"/>
    <x:col min="17" max="28" width="10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Area</x:t>
        </x:is>
      </x:c>
      <x:c r="C1" s="77" t="inlineStr">
        <x:is>
          <x:t xml:space="preserve">Median Home Price per Sq Ft</x:t>
        </x:is>
      </x:c>
      <x:c r="D1" s="77" t="inlineStr">
        <x:is>
          <x:t xml:space="preserve">PPSF Source URL</x:t>
        </x:is>
      </x:c>
      <x:c r="E1" s="77" t="inlineStr">
        <x:is>
          <x:t xml:space="preserve">Notes</x:t>
        </x:is>
      </x:c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32" customHeight="1">
      <x:c r="A2" s="10" t="inlineStr">
        <x:is>
          <x:t xml:space="preserve">Jordan District</x:t>
        </x:is>
      </x:c>
      <x:c r="B2" s="10" t="inlineStr">
        <x:is>
          <x:t xml:space="preserve">West Jordan, UT</x:t>
        </x:is>
      </x:c>
      <x:c r="C2" s="11" t="n">
        <x:v>232</x:v>
      </x:c>
      <x:c r="D2" s="10" t="inlineStr">
        <x:is>
          <x:t xml:space="preserve">https://www.redfin.com/city/20569/UT/West-Jordan/housing-market</x:t>
        </x:is>
      </x:c>
      <x:c r="E2" s="10" t="n"/>
      <x:c r="F2" s="7" t="n"/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32" customHeight="1">
      <x:c r="A3" s="10" t="inlineStr">
        <x:is>
          <x:t xml:space="preserve">Glendora Unified School District</x:t>
        </x:is>
      </x:c>
      <x:c r="B3" s="10" t="inlineStr">
        <x:is>
          <x:t xml:space="preserve">Glendora, CA</x:t>
        </x:is>
      </x:c>
      <x:c r="C3" s="11" t="n">
        <x:v>583</x:v>
      </x:c>
      <x:c r="D3" s="10" t="inlineStr">
        <x:is>
          <x:t xml:space="preserve">https://www.redfin.com/city/7650/CA/Glendora/housing-market</x:t>
        </x:is>
      </x:c>
      <x:c r="E3" s="10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32" customHeight="1">
      <x:c r="A4" s="10" t="inlineStr">
        <x:is>
          <x:t xml:space="preserve">Alief ISD</x:t>
        </x:is>
      </x:c>
      <x:c r="B4" s="10" t="inlineStr">
        <x:is>
          <x:t xml:space="preserve">Alief, TX</x:t>
        </x:is>
      </x:c>
      <x:c r="C4" s="11" t="n">
        <x:v>113</x:v>
      </x:c>
      <x:c r="D4" s="10" t="inlineStr">
        <x:is>
          <x:t xml:space="preserve">https://www.redfin.com/neighborhood/29917/TX/Houston/Alief/housing-market</x:t>
        </x:is>
      </x:c>
      <x:c r="E4" s="10" t="n"/>
      <x:c r="F4" s="7" t="n"/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32" customHeight="1">
      <x:c r="A5" s="10" t="inlineStr">
        <x:is>
          <x:t xml:space="preserve">San Diego Unified School District</x:t>
        </x:is>
      </x:c>
      <x:c r="B5" s="10" t="inlineStr">
        <x:is>
          <x:t xml:space="preserve">San Diego, CA</x:t>
        </x:is>
      </x:c>
      <x:c r="C5" s="11" t="n">
        <x:v>687</x:v>
      </x:c>
      <x:c r="D5" s="10" t="inlineStr">
        <x:is>
          <x:t xml:space="preserve">https://www.redfin.com/city/16904/CA/San-Diego/housing-market</x:t>
        </x:is>
      </x:c>
      <x:c r="E5" s="10" t="n"/>
      <x:c r="F5" s="7" t="n"/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32" customHeight="1">
      <x:c r="A6" s="10" t="inlineStr">
        <x:is>
          <x:t xml:space="preserve">Leander ISD</x:t>
        </x:is>
      </x:c>
      <x:c r="B6" s="10" t="inlineStr">
        <x:is>
          <x:t xml:space="preserve">Austin, TX</x:t>
        </x:is>
      </x:c>
      <x:c r="C6" s="11" t="n">
        <x:v>190</x:v>
      </x:c>
      <x:c r="D6" s="10" t="inlineStr">
        <x:is>
          <x:t xml:space="preserve">https://www.redfin.com/city/30803/TX/Leander/housing-market</x:t>
        </x:is>
      </x:c>
      <x:c r="E6" s="10" t="n"/>
      <x:c r="F6" s="7" t="n"/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32" customHeight="1">
      <x:c r="A7" s="10" t="inlineStr">
        <x:is>
          <x:t xml:space="preserve">Katy ISD</x:t>
        </x:is>
      </x:c>
      <x:c r="B7" s="10" t="inlineStr">
        <x:is>
          <x:t xml:space="preserve">Katy, TX</x:t>
        </x:is>
      </x:c>
      <x:c r="C7" s="11" t="n">
        <x:v>160</x:v>
      </x:c>
      <x:c r="D7" s="10" t="inlineStr">
        <x:is>
          <x:t xml:space="preserve">https://www.redfin.com/city/9764/TX/Katy/housing-market</x:t>
        </x:is>
      </x:c>
      <x:c r="E7" s="10" t="n"/>
      <x:c r="F7" s="7" t="n"/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32" customHeight="1">
      <x:c r="A8" s="10" t="inlineStr">
        <x:is>
          <x:t xml:space="preserve">Oakland Unified School District</x:t>
        </x:is>
      </x:c>
      <x:c r="B8" s="10" t="inlineStr">
        <x:is>
          <x:t xml:space="preserve">Oakland, CA</x:t>
        </x:is>
      </x:c>
      <x:c r="C8" s="11" t="n">
        <x:v>577</x:v>
      </x:c>
      <x:c r="D8" s="10" t="inlineStr">
        <x:is>
          <x:t xml:space="preserve">https://www.redfin.com/city/13654/CA/Oakland/housing-market</x:t>
        </x:is>
      </x:c>
      <x:c r="E8" s="10" t="n"/>
      <x:c r="F8" s="7" t="n"/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32" customHeight="1">
      <x:c r="A9" s="10" t="inlineStr">
        <x:is>
          <x:t xml:space="preserve">San Jose Unified School District</x:t>
        </x:is>
      </x:c>
      <x:c r="B9" s="10" t="inlineStr">
        <x:is>
          <x:t xml:space="preserve">San Jose, CA</x:t>
        </x:is>
      </x:c>
      <x:c r="C9" s="11" t="n">
        <x:v>878</x:v>
      </x:c>
      <x:c r="D9" s="10" t="inlineStr">
        <x:is>
          <x:t xml:space="preserve">https://www.redfin.com/city/17420/CA/San-Jose/housing-market</x:t>
        </x:is>
      </x:c>
      <x:c r="E9" s="10" t="n"/>
      <x:c r="F9" s="7" t="n"/>
      <x:c r="G9" s="7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32" customHeight="1">
      <x:c r="A10" s="10" t="inlineStr">
        <x:is>
          <x:t xml:space="preserve">Oxnard Union High School District</x:t>
        </x:is>
      </x:c>
      <x:c r="B10" s="10" t="inlineStr">
        <x:is>
          <x:t xml:space="preserve">Oxnard, CA</x:t>
        </x:is>
      </x:c>
      <x:c r="C10" s="11" t="n">
        <x:v>514</x:v>
      </x:c>
      <x:c r="D10" s="10" t="inlineStr">
        <x:is>
          <x:t xml:space="preserve">https://www.redfin.com/city/14141/CA/Oxnard/housing-market</x:t>
        </x:is>
      </x:c>
      <x:c r="E10" s="10" t="n"/>
      <x:c r="F10" s="7" t="n"/>
      <x:c r="G10" s="7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32" customHeight="1">
      <x:c r="A11" s="10" t="inlineStr">
        <x:is>
          <x:t xml:space="preserve">Provo City School District</x:t>
        </x:is>
      </x:c>
      <x:c r="B11" s="10" t="inlineStr">
        <x:is>
          <x:t xml:space="preserve">Provo, UT</x:t>
        </x:is>
      </x:c>
      <x:c r="C11" s="11" t="n">
        <x:v>267</x:v>
      </x:c>
      <x:c r="D11" s="10" t="inlineStr">
        <x:is>
          <x:t xml:space="preserve">https://www.redfin.com/city/16042/UT/Provo/housing-market</x:t>
        </x:is>
      </x:c>
      <x:c r="E11" s="10" t="n"/>
      <x:c r="F11" s="7" t="n"/>
      <x:c r="G11" s="7" t="n"/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32" customHeight="1">
      <x:c r="A12" s="10" t="inlineStr">
        <x:is>
          <x:t xml:space="preserve">Salt Lake School District</x:t>
        </x:is>
      </x:c>
      <x:c r="B12" s="10" t="inlineStr">
        <x:is>
          <x:t xml:space="preserve">Salt Lake City, UT</x:t>
        </x:is>
      </x:c>
      <x:c r="C12" s="11" t="n">
        <x:v>372</x:v>
      </x:c>
      <x:c r="D12" s="10" t="inlineStr">
        <x:is>
          <x:t xml:space="preserve">https://www.redfin.com/city/17150/UT/Salt-Lake-City/housing-market</x:t>
        </x:is>
      </x:c>
      <x:c r="E12" s="10" t="n"/>
      <x:c r="F12" s="7" t="n"/>
      <x:c r="G12" s="7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32" customHeight="1">
      <x:c r="A13" s="10" t="inlineStr">
        <x:is>
          <x:t xml:space="preserve">Denver Public Schools</x:t>
        </x:is>
      </x:c>
      <x:c r="B13" s="10" t="inlineStr">
        <x:is>
          <x:t xml:space="preserve">Denver, CO</x:t>
        </x:is>
      </x:c>
      <x:c r="C13" s="11" t="n">
        <x:v>367</x:v>
      </x:c>
      <x:c r="D13" s="10" t="inlineStr">
        <x:is>
          <x:t xml:space="preserve">https://www.redfin.com/city/5155/CO/Denver/housing-market</x:t>
        </x:is>
      </x:c>
      <x:c r="E13" s="10" t="n"/>
      <x:c r="F13" s="7" t="n"/>
      <x:c r="G13" s="7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32" customHeight="1">
      <x:c r="A14" s="10" t="inlineStr">
        <x:is>
          <x:t xml:space="preserve">Los Angeles Unified</x:t>
        </x:is>
      </x:c>
      <x:c r="B14" s="10" t="inlineStr">
        <x:is>
          <x:t xml:space="preserve">Los Angeles, CA</x:t>
        </x:is>
      </x:c>
      <x:c r="C14" s="11" t="n">
        <x:v>634</x:v>
      </x:c>
      <x:c r="D14" s="10" t="inlineStr">
        <x:is>
          <x:t xml:space="preserve">https://www.redfin.com/city/11203/CA/Los-Angeles/housing-market</x:t>
        </x:is>
      </x:c>
      <x:c r="E14" s="10" t="n"/>
      <x:c r="F14" s="7" t="n"/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32" customHeight="1">
      <x:c r="A15" s="10" t="inlineStr">
        <x:is>
          <x:t xml:space="preserve">Chapel Hill-Carrboro City Schools</x:t>
        </x:is>
      </x:c>
      <x:c r="B15" s="10" t="inlineStr">
        <x:is>
          <x:t xml:space="preserve">Chapel Hill, NC</x:t>
        </x:is>
      </x:c>
      <x:c r="C15" s="11" t="n">
        <x:v>296</x:v>
      </x:c>
      <x:c r="D15" s="10" t="inlineStr">
        <x:is>
          <x:t xml:space="preserve">https://www.redfin.com/city/3059/NC/Chapel-Hill/housing-market</x:t>
        </x:is>
      </x:c>
      <x:c r="E15" s="10" t="n"/>
      <x:c r="F15" s="7" t="n"/>
      <x:c r="G15" s="7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32" customHeight="1">
      <x:c r="A16" s="10" t="inlineStr">
        <x:is>
          <x:t xml:space="preserve">Portland Public Schools</x:t>
        </x:is>
      </x:c>
      <x:c r="B16" s="10" t="inlineStr">
        <x:is>
          <x:t xml:space="preserve">Portland, OR</x:t>
        </x:is>
      </x:c>
      <x:c r="C16" s="11" t="n">
        <x:v>328</x:v>
      </x:c>
      <x:c r="D16" s="10" t="inlineStr">
        <x:is>
          <x:t xml:space="preserve">https://www.redfin.com/city/30772/OR/Portland/housing-market</x:t>
        </x:is>
      </x:c>
      <x:c r="E16" s="10" t="n"/>
      <x:c r="F16" s="7" t="n"/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32" customHeight="1">
      <x:c r="A17" s="10" t="inlineStr">
        <x:is>
          <x:t xml:space="preserve">Cherry Creek School District</x:t>
        </x:is>
      </x:c>
      <x:c r="B17" s="10" t="inlineStr">
        <x:is>
          <x:t xml:space="preserve">Aurora &amp; Centennial, CO average</x:t>
        </x:is>
      </x:c>
      <x:c r="C17" s="11" t="n">
        <x:v>255</x:v>
      </x:c>
      <x:c r="D17" s="10" t="inlineStr">
        <x:is>
          <x:t xml:space="preserve">https://www.redfin.com/city/30839/CO/Aurora/housing-market ; https://www.redfin.com/city/3327/CO/Centennial/housing-market</x:t>
        </x:is>
      </x:c>
      <x:c r="E17" s="10" t="n"/>
      <x:c r="F17" s="7" t="n"/>
      <x:c r="G17" s="7" t="n"/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32" customHeight="1">
      <x:c r="A18" s="10" t="inlineStr">
        <x:is>
          <x:t xml:space="preserve">La Cañada Unified School District</x:t>
        </x:is>
      </x:c>
      <x:c r="B18" s="10" t="inlineStr">
        <x:is>
          <x:t xml:space="preserve">La Cañada Flintridge, CA</x:t>
        </x:is>
      </x:c>
      <x:c r="C18" s="11" t="n">
        <x:v>1030</x:v>
      </x:c>
      <x:c r="D18" s="10" t="inlineStr">
        <x:is>
          <x:t xml:space="preserve">https://www.redfin.com/city/9895/CA/La-Caada-Flintridge/housing-market</x:t>
        </x:is>
      </x:c>
      <x:c r="E18" s="10" t="n"/>
      <x:c r="F18" s="7" t="n"/>
      <x:c r="G18" s="7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32" customHeight="1">
      <x:c r="A19" s="10" t="inlineStr">
        <x:is>
          <x:t xml:space="preserve">Eanes ISD</x:t>
        </x:is>
      </x:c>
      <x:c r="B19" s="10" t="inlineStr">
        <x:is>
          <x:t xml:space="preserve">Austin 78746 / West Lake Hills, TX</x:t>
        </x:is>
      </x:c>
      <x:c r="C19" s="11" t="n">
        <x:v>558</x:v>
      </x:c>
      <x:c r="D19" s="10" t="inlineStr">
        <x:is>
          <x:t xml:space="preserve">https://www.redfin.com/zipcode/78746/housing-market</x:t>
        </x:is>
      </x:c>
      <x:c r="E19" s="10" t="n"/>
      <x:c r="F19" s="7" t="n"/>
      <x:c r="G19" s="7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32" customHeight="1">
      <x:c r="A20" s="10" t="inlineStr">
        <x:is>
          <x:t xml:space="preserve">Syosset Central School District</x:t>
        </x:is>
      </x:c>
      <x:c r="B20" s="10" t="inlineStr">
        <x:is>
          <x:t xml:space="preserve">Syosset, NY</x:t>
        </x:is>
      </x:c>
      <x:c r="C20" s="11" t="n">
        <x:v>559</x:v>
      </x:c>
      <x:c r="D20" s="10" t="inlineStr">
        <x:is>
          <x:t xml:space="preserve">https://www.redfin.com/city/26044/NY/Syosset/housing-market</x:t>
        </x:is>
      </x:c>
      <x:c r="E20" s="10" t="n"/>
      <x:c r="F20" s="7" t="n"/>
      <x:c r="G20" s="7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32" customHeight="1">
      <x:c r="A21" s="10" t="inlineStr">
        <x:is>
          <x:t xml:space="preserve">Glendale Union High School District</x:t>
        </x:is>
      </x:c>
      <x:c r="B21" s="10" t="inlineStr">
        <x:is>
          <x:t xml:space="preserve">Glendale, AZ / 85305 proxy</x:t>
        </x:is>
      </x:c>
      <x:c r="C21" s="11" t="n">
        <x:v>211</x:v>
      </x:c>
      <x:c r="D21" s="10" t="inlineStr">
        <x:is>
          <x:t xml:space="preserve">https://www.redfin.com/zipcode/85305/housing-market</x:t>
        </x:is>
      </x:c>
      <x:c r="E21" s="10" t="inlineStr">
        <x:is>
          <x:t xml:space="preserve">Redfin 85305 used as Glendale-area PPSF proxy.</x:t>
        </x:is>
      </x:c>
      <x:c r="F21" s="7" t="n"/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32" customHeight="1">
      <x:c r="A22" s="10" t="inlineStr">
        <x:is>
          <x:t xml:space="preserve">San Antonio ISD</x:t>
        </x:is>
      </x:c>
      <x:c r="B22" s="10" t="inlineStr">
        <x:is>
          <x:t xml:space="preserve">San Antonio, TX</x:t>
        </x:is>
      </x:c>
      <x:c r="C22" s="11" t="n">
        <x:v>151</x:v>
      </x:c>
      <x:c r="D22" s="10" t="inlineStr">
        <x:is>
          <x:t xml:space="preserve">https://www.redfin.com/city/16657/TX/San-Antonio/housing-market</x:t>
        </x:is>
      </x:c>
      <x:c r="E22" s="10" t="inlineStr">
        <x:is>
          <x:t xml:space="preserve">Redfin San Antonio city PPSF.</x:t>
        </x:is>
      </x:c>
      <x:c r="F22" s="7" t="n"/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2025-26 187-day classroom teacher pay plan, years 0-10</x:t>
        </x:is>
      </x:c>
      <x:c r="C2" s="10" t="inlineStr">
        <x:is>
          <x:t xml:space="preserve">https://resources.finalsite.net/images/v1752617781/eanesisdnet/spyojkejaf8h5sunkjwe/2025-26TeacherPayPlan.pdf</x:t>
        </x:is>
      </x:c>
      <x:c r="D2" s="10" t="inlineStr">
        <x:is>
          <x:t xml:space="preserve">Used total salary column for classroom teachers.</x:t>
        </x:is>
      </x:c>
    </x:row>
    <x:row r="3" ht="32" customHeight="1">
      <x:c r="A3" s="10" t="inlineStr">
        <x:is>
          <x:t xml:space="preserve">Master's stipend</x:t>
        </x:is>
      </x:c>
      <x:c r="B3" s="10" t="inlineStr">
        <x:is>
          <x:t xml:space="preserve">$2,600 MA advanced degree stipend</x:t>
        </x:is>
      </x:c>
      <x:c r="C3" s="10" t="inlineStr">
        <x:is>
          <x:t xml:space="preserve">https://resources.finalsite.net/images/v1752617781/eanesisdnet/spyojkejaf8h5sunkjwe/2025-26TeacherPayPlan.pdf</x:t>
        </x:is>
      </x:c>
      <x:c r="D3" s="10" t="inlineStr">
        <x:is>
          <x:t xml:space="preserve">Added to BA classroom teacher total salary for Master's rows.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$130/day for substitute teacher days 1-30</x:t>
        </x:is>
      </x:c>
      <x:c r="C4" s="10" t="inlineStr">
        <x:is>
          <x:t xml:space="preserve">https://www.eanesisd.net/dept/hr/subs/pay</x:t>
        </x:is>
      </x:c>
      <x:c r="D4" s="10" t="inlineStr">
        <x:is>
          <x:t xml:space="preserve">Base daily substitute teacher/teacher aide rate.</x:t>
        </x:is>
      </x:c>
    </x:row>
    <x:row r="5" ht="32" customHeight="1">
      <x:c r="A5" s="10" t="inlineStr">
        <x:is>
          <x:t xml:space="preserve">Student-teacher ratio</x:t>
        </x:is>
      </x:c>
      <x:c r="B5" s="10" t="inlineStr">
        <x:is>
          <x:t xml:space="preserve">12.28</x:t>
        </x:is>
      </x:c>
      <x:c r="C5" s="10" t="inlineStr">
        <x:is>
          <x:t xml:space="preserve">https://nces.ed.gov/ccd/districtsearch/district_detail.asp?County=Travis+County&amp;ID2=4817760&amp;Search=1&amp;State=48</x:t>
        </x:is>
      </x:c>
      <x:c r="D5" s="10" t="inlineStr">
        <x:is>
          <x:t xml:space="preserve">NCES 2024-25 district details.</x:t>
        </x:is>
      </x:c>
    </x:row>
    <x:row r="6" ht="32" customHeight="1">
      <x:c r="A6" s="10" t="inlineStr">
        <x:is>
          <x:t xml:space="preserve">Total schools</x:t>
        </x:is>
      </x:c>
      <x:c r="B6" s="10" t="inlineStr">
        <x:is>
          <x:t xml:space="preserve">10</x:t>
        </x:is>
      </x:c>
      <x:c r="C6" s="10" t="inlineStr">
        <x:is>
          <x:t xml:space="preserve">https://nces.ed.gov/ccd/districtsearch/district_detail.asp?County=Travis+County&amp;ID2=4817760&amp;Search=1&amp;State=48</x:t>
        </x:is>
      </x:c>
      <x:c r="D6" s="10" t="inlineStr">
        <x:is>
          <x:t xml:space="preserve">NCES 2024-25 district directory.</x:t>
        </x:is>
      </x:c>
    </x:row>
    <x:row r="7" ht="32" customHeight="1">
      <x:c r="A7" s="10" t="inlineStr">
        <x:is>
          <x:t xml:space="preserve">Demographics</x:t>
        </x:is>
      </x:c>
      <x:c r="B7" s="10" t="inlineStr">
        <x:is>
          <x:t xml:space="preserve">White 62.0%, Hispanic 15.4%, Asian 14.7%, Black 0.9%</x:t>
        </x:is>
      </x:c>
      <x:c r="C7" s="10" t="inlineStr">
        <x:is>
          <x:t xml:space="preserve">https://www.har.com/school_district/eanes-isd_227909</x:t>
        </x:is>
      </x:c>
      <x:c r="D7" s="10" t="inlineStr">
        <x:is>
          <x:t xml:space="preserve">Used HAR district student statistics.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$1,724,921</x:t>
        </x:is>
      </x:c>
      <x:c r="C8" s="10" t="inlineStr">
        <x:is>
          <x:t xml:space="preserve">https://www.zillow.com/home-values/92655/austin-tx-78746/</x:t>
        </x:is>
      </x:c>
      <x:c r="D8" s="10" t="inlineStr">
        <x:is>
          <x:t xml:space="preserve">Used 78746 as housing proxy for Eanes ISD/Westlake area.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$3,900</x:t>
        </x:is>
      </x:c>
      <x:c r="C9" s="10" t="inlineStr">
        <x:is>
          <x:t xml:space="preserve">https://www.zillow.com/rental-manager/market-trends/78746/</x:t>
        </x:is>
      </x:c>
      <x:c r="D9" s="10" t="inlineStr">
        <x:is>
          <x:t xml:space="preserve">Used 78746 as housing proxy for Eanes ISD/Westlake area.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$558</x:t>
        </x:is>
      </x:c>
      <x:c r="C10" s="10" t="inlineStr">
        <x:is>
          <x:t xml:space="preserve">https://www.redfin.com/zipcode/78746/housing-market</x:t>
        </x:is>
      </x:c>
      <x:c r="D10" s="10" t="inlineStr">
        <x:is>
          <x:t xml:space="preserve">Used Redfin 78746 median sale price per square foot.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STA/TCH-B BA and MA salary schedule; years 0-10 mapped to steps 1-11</x:t>
        </x:is>
      </x:c>
      <x:c r="C2" s="10" t="inlineStr">
        <x:is>
          <x:t xml:space="preserve">https://resources.finalsite.net/images/v1760543603/syossetk12nyus/wck1xacrbzy6lhumipj9/STAMOA2025-2030.pdf</x:t>
        </x:is>
      </x:c>
      <x:c r="D2" s="10" t="inlineStr">
        <x:is>
          <x:t xml:space="preserve">Used BA and MA rows from the 2025-26 salary schedule.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$160/day permanent substitute teacher rate</x:t>
        </x:is>
      </x:c>
      <x:c r="C3" s="10" t="inlineStr">
        <x:is>
          <x:t xml:space="preserve">https://olasjobs.org/job-details/SYTN0326267-3014</x:t>
        </x:is>
      </x:c>
      <x:c r="D3" s="10" t="inlineStr">
        <x:is>
          <x:t xml:space="preserve">Used OLAS posting for Syosset CSD permanent substitute rate.</x:t>
        </x:is>
      </x:c>
    </x:row>
    <x:row r="4" ht="32" customHeight="1">
      <x:c r="A4" s="10" t="inlineStr">
        <x:is>
          <x:t xml:space="preserve">Student-teacher ratio</x:t>
        </x:is>
      </x:c>
      <x:c r="B4" s="10" t="inlineStr">
        <x:is>
          <x:t xml:space="preserve">10.28</x:t>
        </x:is>
      </x:c>
      <x:c r="C4" s="10" t="inlineStr">
        <x:is>
          <x:t xml:space="preserve">https://nces.ed.gov/ccd/districtsearch/district_detail.asp?ID2=3628560</x:t>
        </x:is>
      </x:c>
      <x:c r="D4" s="10" t="inlineStr">
        <x:is>
          <x:t xml:space="preserve">NCES 2024-2025 district data.</x:t>
        </x:is>
      </x:c>
    </x:row>
    <x:row r="5" ht="32" customHeight="1">
      <x:c r="A5" s="10" t="inlineStr">
        <x:is>
          <x:t xml:space="preserve">Total schools</x:t>
        </x:is>
      </x:c>
      <x:c r="B5" s="10" t="inlineStr">
        <x:is>
          <x:t xml:space="preserve">10</x:t>
        </x:is>
      </x:c>
      <x:c r="C5" s="10" t="inlineStr">
        <x:is>
          <x:t xml:space="preserve">https://nces.ed.gov/ccd/districtsearch/district_detail.asp?ID2=3628560</x:t>
        </x:is>
      </x:c>
      <x:c r="D5" s="10" t="inlineStr">
        <x:is>
          <x:t xml:space="preserve">NCES district directory total schools.</x:t>
        </x:is>
      </x:c>
    </x:row>
    <x:row r="6" ht="32" customHeight="1">
      <x:c r="A6" s="10" t="inlineStr">
        <x:is>
          <x:t xml:space="preserve">School level counts</x:t>
        </x:is>
      </x:c>
      <x:c r="B6" s="10" t="inlineStr">
        <x:is>
          <x:t xml:space="preserve">7 elementary, 2 middle, 1 high</x:t>
        </x:is>
      </x:c>
      <x:c r="C6" s="10" t="inlineStr">
        <x:is>
          <x:t xml:space="preserve">https://www.syossetschools.org/schools</x:t>
        </x:is>
      </x:c>
      <x:c r="D6" s="10" t="inlineStr">
        <x:is>
          <x:t xml:space="preserve">District school list: seven elementary schools, two middle schools, one high school.</x:t>
        </x:is>
      </x:c>
    </x:row>
    <x:row r="7" ht="32" customHeight="1">
      <x:c r="A7" s="10" t="inlineStr">
        <x:is>
          <x:t xml:space="preserve">Demographics</x:t>
        </x:is>
      </x:c>
      <x:c r="B7" s="10" t="inlineStr">
        <x:is>
          <x:t xml:space="preserve">Asian 52.4%, White 39.4%, Hispanic 4.6%, Black 0.6%</x:t>
        </x:is>
      </x:c>
      <x:c r="C7" s="10" t="inlineStr">
        <x:is>
          <x:t xml:space="preserve">https://www.niche.com/k12/d/syosset-central-school-district-ny/students/</x:t>
        </x:is>
      </x:c>
      <x:c r="D7" s="10" t="inlineStr">
        <x:is>
          <x:t xml:space="preserve">Used student diversity percentages from Niche.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$1,096,329</x:t>
        </x:is>
      </x:c>
      <x:c r="C8" s="10" t="inlineStr">
        <x:is>
          <x:t xml:space="preserve">https://www.zillow.com/home-values/34220/syosset-ny/</x:t>
        </x:is>
      </x:c>
      <x:c r="D8" s="10" t="inlineStr">
        <x:is>
          <x:t xml:space="preserve">Zillow Syosset home value.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$5,200</x:t>
        </x:is>
      </x:c>
      <x:c r="C9" s="10" t="inlineStr">
        <x:is>
          <x:t xml:space="preserve">https://www.zillow.com/rental-manager/market-trends/syosset-ny/</x:t>
        </x:is>
      </x:c>
      <x:c r="D9" s="10" t="inlineStr">
        <x:is>
          <x:t xml:space="preserve">Zillow Rental Manager Syosset rent.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$559</x:t>
        </x:is>
      </x:c>
      <x:c r="C10" s="10" t="inlineStr">
        <x:is>
          <x:t xml:space="preserve">https://www.redfin.com/city/26044/NY/Syosset/housing-market</x:t>
        </x:is>
      </x:c>
      <x:c r="D10" s="10" t="inlineStr">
        <x:is>
          <x:t xml:space="preserve">Redfin Syosset median sale price per square foot.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Certified salary schedule page</x:t>
        </x:is>
      </x:c>
      <x:c r="B2" s="10" t="inlineStr">
        <x:is>
          <x:t xml:space="preserve">GUHSD links Certified Personnel salary schedule</x:t>
        </x:is>
      </x:c>
      <x:c r="C2" s="10" t="inlineStr">
        <x:is>
          <x:t xml:space="preserve">https://www.guhsdaz.org/salaryschedules</x:t>
        </x:is>
      </x:c>
      <x:c r="D2" s="10" t="inlineStr">
        <x:is>
          <x:t xml:space="preserve">The district salary page links the Certified Personnel schedule as a Google Doc.</x:t>
        </x:is>
      </x:c>
    </x:row>
    <x:row r="3" ht="32" customHeight="1">
      <x:c r="A3" s="10" t="inlineStr">
        <x:is>
          <x:t xml:space="preserve">Teacher salary range used</x:t>
        </x:is>
      </x:c>
      <x:c r="B3" s="10" t="inlineStr">
        <x:is>
          <x:t xml:space="preserve">$56,000-$64,500 annual salary range</x:t>
        </x:is>
      </x:c>
      <x:c r="C3" s="10" t="inlineStr">
        <x:is>
          <x:t xml:space="preserve">https://us.trabajo.org/job-4023-9f6f875ede08a4c5b9a5cb14463a6115</x:t>
        </x:is>
      </x:c>
      <x:c r="D3" s="10" t="inlineStr">
        <x:is>
          <x:t xml:space="preserve">Search result showed GUHSD teacher annual salary range. Since detailed Google Doc values were not accessible, years 0-10 were interpolated across this range.</x:t>
        </x:is>
      </x:c>
    </x:row>
    <x:row r="4" ht="32" customHeight="1">
      <x:c r="A4" s="10" t="inlineStr">
        <x:is>
          <x:t xml:space="preserve">Average teacher salary reference</x:t>
        </x:is>
      </x:c>
      <x:c r="B4" s="10" t="inlineStr">
        <x:is>
          <x:t xml:space="preserve">FY 2027 average teacher salary $76,360; FY 2026 average $78,803</x:t>
        </x:is>
      </x:c>
      <x:c r="C4" s="10" t="inlineStr">
        <x:is>
          <x:t xml:space="preserve">https://www.guhsdaz.org/61676_2</x:t>
        </x:is>
      </x:c>
      <x:c r="D4" s="10" t="inlineStr">
        <x:is>
          <x:t xml:space="preserve">Used as context only, not as 0-10 salary schedule.</x:t>
        </x:is>
      </x:c>
    </x:row>
    <x:row r="5" ht="32" customHeight="1">
      <x:c r="A5" s="10" t="inlineStr">
        <x:is>
          <x:t xml:space="preserve">Student/teacher ratio and total schools</x:t>
        </x:is>
      </x:c>
      <x:c r="B5" s="10" t="inlineStr">
        <x:is>
          <x:t xml:space="preserve">16,092 students; 723.60 classroom teachers; 22.24 ratio; 11 schools</x:t>
        </x:is>
      </x:c>
      <x:c r="C5" s="10" t="inlineStr">
        <x:is>
          <x:t xml:space="preserve">https://nces.ed.gov/ccd/districtsearch/district_detail.asp?ID2=0403450&amp;Search=2&amp;details=1</x:t>
        </x:is>
      </x:c>
      <x:c r="D5" s="10" t="inlineStr">
        <x:is>
          <x:t xml:space="preserve">NCES 2024-2025 district details.</x:t>
        </x:is>
      </x:c>
    </x:row>
    <x:row r="6" ht="32" customHeight="1">
      <x:c r="A6" s="10" t="inlineStr">
        <x:is>
          <x:t xml:space="preserve">District school count structure</x:t>
        </x:is>
      </x:c>
      <x:c r="B6" s="10" t="inlineStr">
        <x:is>
          <x:t xml:space="preserve">11 high schools / total schools</x:t>
        </x:is>
      </x:c>
      <x:c r="C6" s="10" t="inlineStr">
        <x:is>
          <x:t xml:space="preserve">https://www.greatschools.org/arizona/glendale/glendale-union-high-school-district/</x:t>
        </x:is>
      </x:c>
      <x:c r="D6" s="10" t="inlineStr">
        <x:is>
          <x:t xml:space="preserve">High-school-only district; GreatSchools lists 11 high schools and 11 total schools.</x:t>
        </x:is>
      </x:c>
    </x:row>
    <x:row r="7" ht="32" customHeight="1">
      <x:c r="A7" s="10" t="inlineStr">
        <x:is>
          <x:t xml:space="preserve">Substitute pay</x:t>
        </x:is>
      </x:c>
      <x:c r="B7" s="10" t="inlineStr">
        <x:is>
          <x:t xml:space="preserve">$123-$199 daily range; $123 used as conservative base daily rate</x:t>
        </x:is>
      </x:c>
      <x:c r="C7" s="10" t="inlineStr">
        <x:is>
          <x:t xml:space="preserve">https://www.ziprecruiter.com/c/Glendale-Union-High-School-District-205/Job/Substitute-Teacher/-in-Glendale%2CAZ?jid=af8feceefd00ad34</x:t>
        </x:is>
      </x:c>
      <x:c r="D7" s="10" t="inlineStr">
        <x:is>
          <x:t xml:space="preserve">Search result for GUHSD Substitute Teacher showed $123 to $199 daily.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$408,630</x:t>
        </x:is>
      </x:c>
      <x:c r="C8" s="10" t="inlineStr">
        <x:is>
          <x:t xml:space="preserve">https://www.zillow.com/home-values/18298/glendale-az/</x:t>
        </x:is>
      </x:c>
      <x:c r="D8" s="10" t="inlineStr">
        <x:is>
          <x:t xml:space="preserve">Zillow Glendale, AZ home value, updated 4/30/2026.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$1,987</x:t>
        </x:is>
      </x:c>
      <x:c r="C9" s="10" t="inlineStr">
        <x:is>
          <x:t xml:space="preserve">https://www.zillow.com/rental-manager/market-trends/glendale-az/</x:t>
        </x:is>
      </x:c>
      <x:c r="D9" s="10" t="inlineStr">
        <x:is>
          <x:t xml:space="preserve">Zillow Rental Manager Glendale, AZ average rent, last updated June 8, 2026.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$211</x:t>
        </x:is>
      </x:c>
      <x:c r="C10" s="10" t="inlineStr">
        <x:is>
          <x:t xml:space="preserve">https://www.redfin.com/zipcode/85305/housing-market</x:t>
        </x:is>
      </x:c>
      <x:c r="D10" s="10" t="inlineStr">
        <x:is>
          <x:t xml:space="preserve">Redfin 85305 median sale price per square foot used as Glendale-area proxy.</x:t>
        </x:is>
      </x:c>
    </x:row>
    <x:row r="11" ht="32" customHeight="1">
      <x:c r="A11" s="10" t="inlineStr">
        <x:is>
          <x:t xml:space="preserve">Demographics</x:t>
        </x:is>
      </x:c>
      <x:c r="B11" s="10" t="inlineStr">
        <x:is>
          <x:t xml:space="preserve">Hispanic 59.7%, White 23.4%, Black 9.3%, Asian 3.2%</x:t>
        </x:is>
      </x:c>
      <x:c r="C11" s="10" t="inlineStr">
        <x:is>
          <x:t xml:space="preserve">https://civilrightsdata.ed.gov/profile/us/az/glendale_union_high_school_district_%284285%29?nces=0403450&amp;surveyYear=2020</x:t>
        </x:is>
      </x:c>
      <x:c r="D11" s="10" t="inlineStr">
        <x:is>
          <x:t xml:space="preserve">Public CRDC result; current NCES demographic dashboard was not directly extractable.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2026–2027 classroom teacher pay schedule: BA/MA years 0–10</x:t>
        </x:is>
      </x:c>
      <x:c r="C2" s="10" t="inlineStr">
        <x:is>
          <x:t xml:space="preserve">https://files-backend.assets.thrillshare.com/documents/asset/uploaded_file/5576/Saisd/8bcbc47c-7a33-45ba-8903-6326c3c1eec3/CR-TEACHER-PAY-SCALE-26-27SY.pdf?disposition=inline</x:t>
        </x:is>
      </x:c>
      <x:c r="D2" s="10" t="inlineStr">
        <x:is>
          <x:t xml:space="preserve">Official SAISD Compensation Resource Manual PDF.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$140/day</x:t>
        </x:is>
      </x:c>
      <x:c r="C3" s="10" t="inlineStr">
        <x:is>
          <x:t xml:space="preserve">User provided in chat</x:t>
        </x:is>
      </x:c>
      <x:c r="D3" s="10" t="inlineStr">
        <x:is>
          <x:t xml:space="preserve">Entered per user instruction.</x:t>
        </x:is>
      </x:c>
    </x:row>
    <x:row r="4" ht="32" customHeight="1">
      <x:c r="A4" s="10" t="inlineStr">
        <x:is>
          <x:t xml:space="preserve">Student-teacher ratio</x:t>
        </x:is>
      </x:c>
      <x:c r="B4" s="10" t="inlineStr">
        <x:is>
          <x:t xml:space="preserve">14.95</x:t>
        </x:is>
      </x:c>
      <x:c r="C4" s="10" t="inlineStr">
        <x:is>
          <x:t xml:space="preserve">https://nces.ed.gov/ccd/districtsearch/district_detail.asp?ID2=4838730</x:t>
        </x:is>
      </x:c>
      <x:c r="D4" s="10" t="inlineStr">
        <x:is>
          <x:t xml:space="preserve">NCES 2024–2025 district detail.</x:t>
        </x:is>
      </x:c>
    </x:row>
    <x:row r="5" ht="32" customHeight="1">
      <x:c r="A5" s="10" t="inlineStr">
        <x:is>
          <x:t xml:space="preserve">Enrollment / campus counts</x:t>
        </x:is>
      </x:c>
      <x:c r="B5" s="10" t="inlineStr">
        <x:is>
          <x:t xml:space="preserve">42,548 students; 83 campuses; 51 elementary, 12 middle, 14 high</x:t>
        </x:is>
      </x:c>
      <x:c r="C5" s="10" t="inlineStr">
        <x:is>
          <x:t xml:space="preserve">https://schools.texastribune.org/districts/san-antonio-isd/</x:t>
        </x:is>
      </x:c>
      <x:c r="D5" s="10" t="inlineStr">
        <x:is>
          <x:t xml:space="preserve">Texas Tribune Schools Explorer.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Hispanic 89.6%; Black 6%; White 3%; Asian 1.4%</x:t>
        </x:is>
      </x:c>
      <x:c r="C6" s="10" t="inlineStr">
        <x:is>
          <x:t xml:space="preserve">https://schools.texastribune.org/districts/san-antonio-isd/demographics/ ; https://www.expressnews.com/projects/2025/school-demographics-2025/ ; https://www.publicschoolreview.com/texas/san-antonio-independent-school-district/4838730-school-district</x:t>
        </x:is>
      </x:c>
      <x:c r="D6" s="10" t="inlineStr">
        <x:is>
          <x:t xml:space="preserve">White/Asian split uses an estimate to fit workbook categories because source pages summarize Hispanic, Black, and minority share but do not expose every category cleanly in parsed text.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$260,000 median sale price; $151 per sq ft</x:t>
        </x:is>
      </x:c>
      <x:c r="C7" s="10" t="inlineStr">
        <x:is>
          <x:t xml:space="preserve">https://www.redfin.com/city/16657/TX/San-Antonio/housing-market</x:t>
        </x:is>
      </x:c>
      <x:c r="D7" s="10" t="inlineStr">
        <x:is>
          <x:t xml:space="preserve">Redfin San Antonio housing market.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$1,372 current rent proxy</x:t>
        </x:is>
      </x:c>
      <x:c r="C8" s="10" t="inlineStr">
        <x:is>
          <x:t xml:space="preserve">https://www.zillow.com/home-values/6915/san-antonio-tx/</x:t>
        </x:is>
      </x:c>
      <x:c r="D8" s="10" t="inlineStr">
        <x:is>
          <x:t xml:space="preserve">Zillow rental market trend; used as current rent proxy in the workbook's Median Rent field.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Adjustment</x:t>
        </x:is>
      </x:c>
      <x:c r="C1" s="77" t="inlineStr">
        <x:is>
          <x:t xml:space="preserve">Source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 year</x:t>
        </x:is>
      </x:c>
      <x:c r="B2" s="10" t="inlineStr">
        <x:is>
          <x:t xml:space="preserve">2025-26</x:t>
        </x:is>
      </x:c>
      <x:c r="C2" s="10" t="inlineStr">
        <x:is>
          <x:t xml:space="preserve">User-provided Salt Lake City School District HR email and screenshot</x:t>
        </x:is>
      </x:c>
      <x:c r="D2" s="10" t="inlineStr">
        <x:is>
          <x:t xml:space="preserve">Certified Teachers - 185 Days, 8 Hours Per Day.</x:t>
        </x:is>
      </x:c>
    </x:row>
    <x:row r="3" ht="32" customHeight="1">
      <x:c r="A3" s="10" t="inlineStr">
        <x:is>
          <x:t xml:space="preserve">Placement rule</x:t>
        </x:is>
      </x:c>
      <x:c r="B3" s="10" t="inlineStr">
        <x:is>
          <x:t xml:space="preserve">All placements begin at Step 2; prior service is credited using the district's Article 17 years-of-credit formula.</x:t>
        </x:is>
      </x:c>
      <x:c r="C3" s="10" t="inlineStr">
        <x:is>
          <x:t xml:space="preserve">User-provided Salt Lake City School District HR email</x:t>
        </x:is>
      </x:c>
      <x:c r="D3" s="10" t="inlineStr">
        <x:is>
          <x:t xml:space="preserve">0 years = Step 2; 5 prior years = Step 7; 10 prior years = Step 9.</x:t>
        </x:is>
      </x:c>
    </x:row>
    <x:row r="4" ht="32" customHeight="1">
      <x:c r="A4" s="10" t="inlineStr">
        <x:is>
          <x:t xml:space="preserve">BA salary schedule mapping</x:t>
        </x:is>
      </x:c>
      <x:c r="B4" s="10" t="inlineStr">
        <x:is>
          <x:t xml:space="preserve">Experience 0-10 mapped to Step 2,3,4,5,6,7,7,8,8,9,9</x:t>
        </x:is>
      </x:c>
      <x:c r="C4" s="10" t="inlineStr">
        <x:is>
          <x:t xml:space="preserve">User-provided email/screenshot</x:t>
        </x:is>
      </x:c>
      <x:c r="D4" s="10" t="inlineStr">
        <x:is>
          <x:t xml:space="preserve">Corrects prior prototype, which treated 10 years as Step 10.</x:t>
        </x:is>
      </x:c>
    </x:row>
    <x:row r="5" ht="32" customHeight="1">
      <x:c r="A5" s="10" t="inlineStr">
        <x:is>
          <x:t xml:space="preserve">MA salary schedule mapping</x:t>
        </x:is>
      </x:c>
      <x:c r="B5" s="10" t="inlineStr">
        <x:is>
          <x:t xml:space="preserve">Experience 0-10 mapped to Step 2,3,4,5,6,7,7,8,8,9,9</x:t>
        </x:is>
      </x:c>
      <x:c r="C5" s="10" t="inlineStr">
        <x:is>
          <x:t xml:space="preserve">User-provided email/screenshot</x:t>
        </x:is>
      </x:c>
      <x:c r="D5" s="10" t="inlineStr">
        <x:is>
          <x:t xml:space="preserve">Corrects prior prototype, which treated 10 years as Step 10.</x:t>
        </x:is>
      </x:c>
    </x:row>
    <x:row r="6" ht="32" customHeight="1">
      <x:c r="A6" s="10" t="inlineStr">
        <x:is>
          <x:t xml:space="preserve">BA 5-Year / 10-Year</x:t>
        </x:is>
      </x:c>
      <x:c r="B6" s="10" t="inlineStr">
        <x:is>
          <x:t xml:space="preserve">$74,460 / $80,826</x:t>
        </x:is>
      </x:c>
      <x:c r="C6" s="10" t="inlineStr">
        <x:is>
          <x:t xml:space="preserve">User-provided email/screenshot</x:t>
        </x:is>
      </x:c>
      <x:c r="D6" s="10" t="inlineStr">
        <x:is>
          <x:t xml:space="preserve">5 prior years = Step 7; 10 prior years = Step 9.</x:t>
        </x:is>
      </x:c>
    </x:row>
    <x:row r="7" ht="32" customHeight="1">
      <x:c r="A7" s="10" t="inlineStr">
        <x:is>
          <x:t xml:space="preserve">MA 5-Year / 10-Year</x:t>
        </x:is>
      </x:c>
      <x:c r="B7" s="10" t="inlineStr">
        <x:is>
          <x:t xml:space="preserve">$80,270 / $85,425</x:t>
        </x:is>
      </x:c>
      <x:c r="C7" s="10" t="inlineStr">
        <x:is>
          <x:t xml:space="preserve">User-provided email/screenshot</x:t>
        </x:is>
      </x:c>
      <x:c r="D7" s="10" t="inlineStr">
        <x:is>
          <x:t xml:space="preserve">5 prior years = Step 7; 10 prior years = Step 9.</x:t>
        </x:is>
      </x:c>
    </x:row>
    <x:row r="8" ht="32" customHeight="1">
      <x:c r="A8" s="10" t="inlineStr">
        <x:is>
          <x:t xml:space="preserve">Update applied</x:t>
        </x:is>
      </x:c>
      <x:c r="B8" s="10" t="inlineStr">
        <x:is>
          <x:t xml:space="preserve">Prototype 103 / Workbook 7</x:t>
        </x:is>
      </x:c>
      <x:c r="C8" s="10" t="inlineStr">
        <x:is>
          <x:t xml:space="preserve">ChatGPT calculation from user-provided HR email</x:t>
        </x:is>
      </x:c>
      <x:c r="D8" s="10" t="inlineStr">
        <x:is>
          <x:t xml:space="preserve">Scores recalculated only where affected by Salt Lake salary mapping.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Estimated current 0-10 BA/MA schedule (BA and MA identical in workbook)</x:t>
        </x:is>
      </x:c>
      <x:c r="C2" s="10" t="inlineStr">
        <x:is>
          <x:t xml:space="preserve">Austin ISD compensation page; Austin ISD Human Capital audit report</x:t>
        </x:is>
      </x:c>
      <x:c r="D2" s="10" t="inlineStr">
        <x:is>
          <x:t xml:space="preserve">Current Austin ISD compensation page did not expose a teacher BA/MA step table. The workbook estimate starts from the district audit's 2021-22 AISD PPfT 0-, 5-, and 10-year averages and applies documented districtwide teacher raises approved in 2022-23 and 2023-24.</x:t>
        </x:is>
      </x:c>
    </x:row>
    <x:row r="3" ht="32" customHeight="1">
      <x:c r="A3" s="10" t="inlineStr">
        <x:is>
          <x:t xml:space="preserve">Master's differential</x:t>
        </x:is>
      </x:c>
      <x:c r="B3" s="10" t="inlineStr">
        <x:is>
          <x:t xml:space="preserve">No separate master's differential found on current compensation page</x:t>
        </x:is>
      </x:c>
      <x:c r="C3" s="10" t="inlineStr">
        <x:is>
          <x:t xml:space="preserve">https://www.austinisd.org/hc/careers/compensation</x:t>
        </x:is>
      </x:c>
      <x:c r="D3" s="10" t="inlineStr">
        <x:is>
          <x:t xml:space="preserve">Austin ISD highlights stipends on the compensation page but does not list a teacher master's bump there, so the prototype currently mirrors BA and MA salaries.</x:t>
        </x:is>
      </x:c>
    </x:row>
    <x:row r="4" ht="32" customHeight="1">
      <x:c r="A4" s="10" t="inlineStr">
        <x:is>
          <x:t xml:space="preserve">Sub pay</x:t>
        </x:is>
      </x:c>
      <x:c r="B4" s="10" t="inlineStr">
        <x:is>
          <x:t xml:space="preserve">Certified teacher substitute base pay = $155/day (2025-26)</x:t>
        </x:is>
      </x:c>
      <x:c r="C4" s="10" t="inlineStr">
        <x:is>
          <x:t xml:space="preserve">https://www.austinisd.org/hc/careers/substitutes</x:t>
        </x:is>
      </x:c>
      <x:c r="D4" s="10" t="inlineStr">
        <x:is>
          <x:t xml:space="preserve">Base rate only; optional Title I and Special Education assignment add-ons not included in the comparison workbook.</x:t>
        </x:is>
      </x:c>
    </x:row>
    <x:row r="5" ht="32" customHeight="1">
      <x:c r="A5" s="10" t="inlineStr">
        <x:is>
          <x:t xml:space="preserve">Demographics</x:t>
        </x:is>
      </x:c>
      <x:c r="B5" s="10" t="inlineStr">
        <x:is>
          <x:t xml:space="preserve">White 30.68%; Hispanic 54.14%; Asian 4.84%; Black 6.01%</x:t>
        </x:is>
      </x:c>
      <x:c r="C5" s="10" t="inlineStr">
        <x:is>
          <x:t xml:space="preserve">https://www.austinisd.org/about-us</x:t>
        </x:is>
      </x:c>
      <x:c r="D5" s="10" t="inlineStr">
        <x:is>
          <x:t xml:space="preserve">Values taken from Austin ISD's About Us page.</x:t>
        </x:is>
      </x:c>
    </x:row>
    <x:row r="6" ht="32" customHeight="1">
      <x:c r="A6" s="10" t="inlineStr">
        <x:is>
          <x:t xml:space="preserve">School counts</x:t>
        </x:is>
      </x:c>
      <x:c r="B6" s="10" t="inlineStr">
        <x:is>
          <x:t xml:space="preserve">13 high, 19 middle, 78 elementary, 4 other = 114 total</x:t>
        </x:is>
      </x:c>
      <x:c r="C6" s="10" t="inlineStr">
        <x:is>
          <x:t xml:space="preserve">https://www.austinisd.org/schools ; https://www.austinisd.org/about-us</x:t>
        </x:is>
      </x:c>
      <x:c r="D6" s="10" t="inlineStr">
        <x:is>
          <x:t xml:space="preserve">Directory pages show category lists and the district states it has 114 schools. Ann Richards (6-12) appears in both middle and high listings, so counts were normalized to 114 total schools.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home price $506,276; median rent $1,956; PPSF $294</x:t>
        </x:is>
      </x:c>
      <x:c r="C7" s="10" t="inlineStr">
        <x:is>
          <x:t xml:space="preserve">https://www.zillow.com/home-values/10221/austin-tx/ ; https://www.zillow.com/rental-manager/market-trends/austin-tx/ ; https://www.redfin.com/city/30818/TX/Austin/housing-market</x:t>
        </x:is>
      </x:c>
      <x:c r="D7" s="10" t="inlineStr">
        <x:is>
          <x:t xml:space="preserve">Austin city market proxies used for the district.</x:t>
        </x:is>
      </x:c>
    </x:row>
    <x:row r="8" ht="32" customHeight="1">
      <x:c r="A8" s="10" t="inlineStr">
        <x:is>
          <x:t xml:space="preserve">Student-teacher ratio</x:t>
        </x:is>
      </x:c>
      <x:c r="B8" s="10" t="inlineStr">
        <x:is>
          <x:t xml:space="preserve">13.7</x:t>
        </x:is>
      </x:c>
      <x:c r="C8" s="10" t="inlineStr">
        <x:is>
          <x:t xml:space="preserve">Austin ISD / compiled workbook estimate</x:t>
        </x:is>
      </x:c>
      <x:c r="D8" s="10" t="inlineStr">
        <x:is>
          <x:t xml:space="preserve">Used as a comparison input for the prototype.</x:t>
        </x:is>
      </x:c>
    </x:row>
    <x:row r="9" ht="32" customHeight="1">
      <x:c r="A9" s="10" t="inlineStr">
        <x:is>
          <x:t xml:space="preserve">Update applied</x:t>
        </x:is>
      </x:c>
      <x:c r="B9" s="10" t="inlineStr">
        <x:is>
          <x:t xml:space="preserve">Workbook 8 / Prototype 128</x:t>
        </x:is>
      </x:c>
      <x:c r="C9" s="10" t="inlineStr">
        <x:is>
          <x:t xml:space="preserve">ChatGPT workbook update</x:t>
        </x:is>
      </x:c>
      <x:c r="D9" s="10" t="inlineStr">
        <x:is>
          <x:t xml:space="preserve">Austin ISD added to the comparison set.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2025-2026 Certificated Salary Schedule, Schedule C</x:t>
        </x:is>
      </x:c>
      <x:c r="C2" s="10" t="inlineStr">
        <x:is>
          <x:t xml:space="preserve">https://www.spusd.net/apps/pages/index.jsp?uREC_ID=756752&amp;type=d&amp;pREC_ID=1163760 ; https://4.files.edl.io/a1b1/06/01/26/215223-096e534c-1eef-49f3-a608-f1c04b8ebc6c.pdf</x:t>
        </x:is>
      </x:c>
      <x:c r="D2" s="10" t="inlineStr">
        <x:is>
          <x:t xml:space="preserve">Bachelor's uses column A. Master's uses Column C, labeled Bachelor's plus 30 or Master's.</x:t>
        </x:is>
      </x:c>
    </x:row>
    <x:row r="3" ht="32" customHeight="1">
      <x:c r="A3" s="10" t="inlineStr">
        <x:is>
          <x:t xml:space="preserve">BA salary mapping</x:t>
        </x:is>
      </x:c>
      <x:c r="B3" s="10" t="inlineStr">
        <x:is>
          <x:t xml:space="preserve">Years 0-9 mapped to steps 1-10; year 10 held at Step 10 because BA-only column does not continue to Step 11</x:t>
        </x:is>
      </x:c>
      <x:c r="C3" s="10" t="inlineStr">
        <x:is>
          <x:t xml:space="preserve">Official salary schedule</x:t>
        </x:is>
      </x:c>
      <x:c r="D3" s="10" t="inlineStr">
        <x:is>
          <x:t xml:space="preserve">CA schedules do not always map 1:1 to years for out-of-district placement; this is a comparison approximation.</x:t>
        </x:is>
      </x:c>
    </x:row>
    <x:row r="4" ht="32" customHeight="1">
      <x:c r="A4" s="10" t="inlineStr">
        <x:is>
          <x:t xml:space="preserve">MA salary mapping</x:t>
        </x:is>
      </x:c>
      <x:c r="B4" s="10" t="inlineStr">
        <x:is>
          <x:t xml:space="preserve">Years 0-10 mapped to steps 1-11, Column C</x:t>
        </x:is>
      </x:c>
      <x:c r="C4" s="10" t="inlineStr">
        <x:is>
          <x:t xml:space="preserve">Official salary schedule</x:t>
        </x:is>
      </x:c>
      <x:c r="D4" s="10" t="inlineStr">
        <x:is>
          <x:t xml:space="preserve">Column C is the base Master's lane shown in the schedule.</x:t>
        </x:is>
      </x:c>
    </x:row>
    <x:row r="5" ht="32" customHeight="1">
      <x:c r="A5" s="10" t="inlineStr">
        <x:is>
          <x:t xml:space="preserve">Demographics</x:t>
        </x:is>
      </x:c>
      <x:c r="B5" s="10" t="inlineStr">
        <x:is>
          <x:t xml:space="preserve">White 21.6%; Hispanic 23.2%; Asian 33.8%; Black/African American 1.0%</x:t>
        </x:is>
      </x:c>
      <x:c r="C5" s="10" t="inlineStr">
        <x:is>
          <x:t xml:space="preserve">https://dq.cde.ca.gov/dataquest/dqcensus/enrethlevels.aspx?agglevel=District&amp;cds=1965029&amp;year=2025-26</x:t>
        </x:is>
      </x:c>
      <x:c r="D5" s="10" t="inlineStr">
        <x:is>
          <x:t xml:space="preserve">DataQuest 2025-26 enrollment by ethnicity. Filipino, two-or-more, and other categories not included in the four-group score.</x:t>
        </x:is>
      </x:c>
    </x:row>
    <x:row r="6" ht="32" customHeight="1">
      <x:c r="A6" s="10" t="inlineStr">
        <x:is>
          <x:t xml:space="preserve">Enrollment and ELL</x:t>
        </x:is>
      </x:c>
      <x:c r="B6" s="10" t="inlineStr">
        <x:is>
          <x:t xml:space="preserve">Enrollment 4,679; English Learners 242 (5.2%)</x:t>
        </x:is>
      </x:c>
      <x:c r="C6" s="10" t="inlineStr">
        <x:is>
          <x:t xml:space="preserve">https://www.cde.ca.gov/sdprofile/details.aspx?cds=19650290000000</x:t>
        </x:is>
      </x:c>
      <x:c r="D6" s="10" t="inlineStr">
        <x:is>
          <x:t xml:space="preserve">CDE District Profile, 2025-26.</x:t>
        </x:is>
      </x:c>
    </x:row>
    <x:row r="7" ht="32" customHeight="1">
      <x:c r="A7" s="10" t="inlineStr">
        <x:is>
          <x:t xml:space="preserve">Student-teacher ratio / total schools</x:t>
        </x:is>
      </x:c>
      <x:c r="B7" s="10" t="inlineStr">
        <x:is>
          <x:t xml:space="preserve">Student-teacher ratio 24.37; total schools 5</x:t>
        </x:is>
      </x:c>
      <x:c r="C7" s="10" t="inlineStr">
        <x:is>
          <x:t xml:space="preserve">https://nces.ed.gov/ccd/districtsearch/district_detail.asp?ID2=0637500&amp;Search=2</x:t>
        </x:is>
      </x:c>
      <x:c r="D7" s="10" t="inlineStr">
        <x:is>
          <x:t xml:space="preserve">NCES district detail, 2024-25.</x:t>
        </x:is>
      </x:c>
    </x:row>
    <x:row r="8" ht="32" customHeight="1">
      <x:c r="A8" s="10" t="inlineStr">
        <x:is>
          <x:t xml:space="preserve">School count by level</x:t>
        </x:is>
      </x:c>
      <x:c r="B8" s="10" t="inlineStr">
        <x:is>
          <x:t xml:space="preserve">3 elementary, 1 middle, 1 high, 0 other</x:t>
        </x:is>
      </x:c>
      <x:c r="C8" s="10" t="inlineStr">
        <x:is>
          <x:t xml:space="preserve">https://www.spusd.net/</x:t>
        </x:is>
      </x:c>
      <x:c r="D8" s="10" t="inlineStr">
        <x:is>
          <x:t xml:space="preserve">SPUSD homepage lists five schools via school links.</x:t>
        </x:is>
      </x:c>
    </x:row>
    <x:row r="9" ht="32" customHeight="1">
      <x:c r="A9" s="10" t="inlineStr">
        <x:is>
          <x:t xml:space="preserve">Substitute pay</x:t>
        </x:is>
      </x:c>
      <x:c r="B9" s="10" t="inlineStr">
        <x:is>
          <x:t xml:space="preserve">Full-day daily rate $200</x:t>
        </x:is>
      </x:c>
      <x:c r="C9" s="10" t="inlineStr">
        <x:is>
          <x:t xml:space="preserve">https://www.edjoin.org/Home/JobPosting/1631162</x:t>
        </x:is>
      </x:c>
      <x:c r="D9" s="10" t="inlineStr">
        <x:is>
          <x:t xml:space="preserve">Latest public posting found was for 2022-23; verify current rate if using this for application decisions.</x:t>
        </x:is>
      </x:c>
    </x:row>
    <x:row r="10" ht="32" customHeight="1">
      <x:c r="A10" s="10" t="inlineStr">
        <x:is>
          <x:t xml:space="preserve">Housing</x:t>
        </x:is>
      </x:c>
      <x:c r="B10" s="10" t="inlineStr">
        <x:is>
          <x:t xml:space="preserve">Median home price $1,918,852; PPSF $962</x:t>
        </x:is>
      </x:c>
      <x:c r="C10" s="10" t="inlineStr">
        <x:is>
          <x:t xml:space="preserve">https://www.redfin.com/city/18661/CA/South-Pasadena/housing-market</x:t>
        </x:is>
      </x:c>
      <x:c r="D10" s="10" t="inlineStr">
        <x:is>
          <x:t xml:space="preserve">Redfin South Pasadena housing market, 3 months ending May 2026.</x:t>
        </x:is>
      </x:c>
    </x:row>
    <x:row r="11" ht="32" customHeight="1">
      <x:c r="A11" s="10" t="inlineStr">
        <x:is>
          <x:t xml:space="preserve">Rent</x:t>
        </x:is>
      </x:c>
      <x:c r="B11" s="10" t="inlineStr">
        <x:is>
          <x:t xml:space="preserve">Average rent $2,695</x:t>
        </x:is>
      </x:c>
      <x:c r="C11" s="10" t="inlineStr">
        <x:is>
          <x:t xml:space="preserve">https://www.zillow.com/rental-manager/market-trends/south-pasadena-ca/</x:t>
        </x:is>
      </x:c>
      <x:c r="D11" s="10" t="inlineStr">
        <x:is>
          <x:t xml:space="preserve">Zillow Rentals data, last updated June 9, 2026.</x:t>
        </x:is>
      </x:c>
    </x:row>
    <x:row r="12" ht="32" customHeight="1">
      <x:c r="A12" s="10" t="inlineStr">
        <x:is>
          <x:t xml:space="preserve">Update applied</x:t>
        </x:is>
      </x:c>
      <x:c r="B12" s="10" t="inlineStr">
        <x:is>
          <x:t xml:space="preserve">Workbook 9 / Prototype 134</x:t>
        </x:is>
      </x:c>
      <x:c r="C12" s="10" t="inlineStr">
        <x:is>
          <x:t xml:space="preserve">ChatGPT workbook update</x:t>
        </x:is>
      </x:c>
      <x:c r="D12" s="10" t="inlineStr">
        <x:is>
          <x:t xml:space="preserve">South Pasadena Unified School District added to comparison set.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FY27 Certified Salary Scales PDF; Gross Salary used. "A" certificate mapped to Bachelor's and "AA" certificate mapped to Master's.</x:t>
        </x:is>
      </x:c>
      <x:c r="C2" s="10" t="inlineStr">
        <x:is>
          <x:t xml:space="preserve">Uploaded file: FY27 CERTIFIED SALARY SCALES.pdf</x:t>
        </x:is>
      </x:c>
      <x:c r="D2" s="10" t="inlineStr">
        <x:is>
          <x:t xml:space="preserve">Corrected 2026-06-13. Prior values used conservative state-only schedule; revised to Ocean Springs gross salary (state + local contribution).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$90/day</x:t>
        </x:is>
      </x:c>
      <x:c r="C3" s="10" t="inlineStr">
        <x:is>
          <x:t xml:space="preserve">https://www.mykelly.com/job/10102109-substitute-teachers-and-aides-ocean-springs-ms-ocean-springs-ms-united-states/</x:t>
        </x:is>
      </x:c>
      <x:c r="D3" s="10" t="inlineStr">
        <x:is>
          <x:t xml:space="preserve">Kelly posting for Ocean Springs substitute teachers/aides displayed $90/day.</x:t>
        </x:is>
      </x:c>
    </x:row>
    <x:row r="4" ht="32" customHeight="1">
      <x:c r="A4" s="10" t="inlineStr">
        <x:is>
          <x:t xml:space="preserve">District size / ratio</x:t>
        </x:is>
      </x:c>
      <x:c r="B4" s="10" t="inlineStr">
        <x:is>
          <x:t xml:space="preserve">5,677 students, 416.00 classroom teachers, 13.65 student/teacher ratio, 7 total schools</x:t>
        </x:is>
      </x:c>
      <x:c r="C4" s="10" t="inlineStr">
        <x:is>
          <x:t xml:space="preserve">https://nces.ed.gov/ccd/districtsearch/district_detail.asp?ID2=2803360</x:t>
        </x:is>
      </x:c>
      <x:c r="D4" s="10" t="inlineStr">
        <x:is>
          <x:t xml:space="preserve">NCES CCD 2024-2025 district data.</x:t>
        </x:is>
      </x:c>
    </x:row>
    <x:row r="5" ht="32" customHeight="1">
      <x:c r="A5" s="10" t="inlineStr">
        <x:is>
          <x:t xml:space="preserve">School counts</x:t>
        </x:is>
      </x:c>
      <x:c r="B5" s="10" t="inlineStr">
        <x:is>
          <x:t xml:space="preserve">1 high, 1 middle, 4 elementary, 1 other/specialty = 7 total</x:t>
        </x:is>
      </x:c>
      <x:c r="C5" s="10" t="inlineStr">
        <x:is>
          <x:t xml:space="preserve">https://nces.ed.gov/ccd/schoolsearch/school_list.asp?DistrictID=2803360&amp;Search=1</x:t>
        </x:is>
      </x:c>
      <x:c r="D5" s="10" t="inlineStr">
        <x:is>
          <x:t xml:space="preserve">Upper Elementary counted as elementary; Keys Vocational Center counted as other/specialty.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69.19%; Hispanic 9.02%; Asian 2.89%; Black 12.61%; Other 6.29%</x:t>
        </x:is>
      </x:c>
      <x:c r="C6" s="10" t="inlineStr">
        <x:is>
          <x:t xml:space="preserve">NCES school-level detail pages for all nonzero-enrollment OSSD schools</x:t>
        </x:is>
      </x:c>
      <x:c r="D6" s="10" t="inlineStr">
        <x:is>
          <x:t xml:space="preserve">Percentages summed from school-level race/ethnicity counts. Other includes American Indian/Alaska Native, Native Hawaiian/Pacific Islander, and Two or More Races.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home price $294,824; median rent $2,100; PPSF $201</x:t>
        </x:is>
      </x:c>
      <x:c r="C7" s="10" t="inlineStr">
        <x:is>
          <x:t xml:space="preserve">https://www.redfin.com/city/13826/MS/Ocean-Springs/housing-market ; https://www.zillow.com/rental-manager/market-trends/ocean-springs-ms/</x:t>
        </x:is>
      </x:c>
      <x:c r="D7" s="10" t="inlineStr">
        <x:is>
          <x:t xml:space="preserve">Ocean Springs city market proxies used for district.</x:t>
        </x:is>
      </x:c>
    </x:row>
    <x:row r="8" ht="32" customHeight="1">
      <x:c r="A8" s="10" t="inlineStr">
        <x:is>
          <x:t xml:space="preserve">Update applied</x:t>
        </x:is>
      </x:c>
      <x:c r="B8" s="10" t="inlineStr">
        <x:is>
          <x:t xml:space="preserve">Workbook 11 / Prototype 136</x:t>
        </x:is>
      </x:c>
      <x:c r="C8" s="10" t="inlineStr">
        <x:is>
          <x:t xml:space="preserve">ChatGPT workbook/prototype update</x:t>
        </x:is>
      </x:c>
      <x:c r="D8" s="10" t="inlineStr">
        <x:is>
          <x:t xml:space="preserve">Ocean Springs School District, Mississippi added to comparison set.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Royal ISD Teacher Pay Scale 25-26</x:t>
        </x:is>
      </x:c>
      <x:c r="C2" s="10" t="inlineStr">
        <x:is>
          <x:t xml:space="preserve">https://files-backend.assets.thrillshare.com/documents/asset/uploaded_file/825/Royal_Isd/b9756bcb-f546-44fd-bcb7-78ce11815fb6/2025-2026_Royal_ISD_Teacher_Pay_Scale.pdf</x:t>
        </x:is>
      </x:c>
      <x:c r="D2" s="10" t="inlineStr">
        <x:is>
          <x:t xml:space="preserve">Used 25-26 total salary with HB2/TRA stipend; Master's +$1,000.</x:t>
        </x:is>
      </x:c>
    </x:row>
    <x:row r="3" ht="32" customHeight="1">
      <x:c r="A3" s="10" t="inlineStr">
        <x:is>
          <x:t xml:space="preserve">HR page</x:t>
        </x:is>
      </x:c>
      <x:c r="B3" s="10" t="inlineStr">
        <x:is>
          <x:t xml:space="preserve">Royal ISD Human Resources</x:t>
        </x:is>
      </x:c>
      <x:c r="C3" s="10" t="inlineStr">
        <x:is>
          <x:t xml:space="preserve">https://www.royal-isd.net/o/royal-isd/page/human-resources</x:t>
        </x:is>
      </x:c>
      <x:c r="D3" s="10" t="inlineStr">
        <x:is>
          <x:t xml:space="preserve">Confirms 0-, 4-, 10-, 20-, and 26+ year teacher scale; district growth and campus context.</x:t>
        </x:is>
      </x:c>
    </x:row>
    <x:row r="4" ht="32" customHeight="1">
      <x:c r="A4" s="10" t="inlineStr">
        <x:is>
          <x:t xml:space="preserve">Enrollment/demographics</x:t>
        </x:is>
      </x:c>
      <x:c r="B4" s="10" t="inlineStr">
        <x:is>
          <x:t xml:space="preserve">Texas Tribune Schools Explorer: Royal ISD</x:t>
        </x:is>
      </x:c>
      <x:c r="C4" s="10" t="inlineStr">
        <x:is>
          <x:t xml:space="preserve">https://schools.texastribune.org/districts/royal-isd/demographics/</x:t>
        </x:is>
      </x:c>
      <x:c r="D4" s="10" t="inlineStr">
        <x:is>
          <x:t xml:space="preserve">Used enrollment/campus context and Hispanic share; detailed race breakdown cross-checked with HAR/TEA-style summary.</x:t>
        </x:is>
      </x:c>
    </x:row>
    <x:row r="5" ht="32" customHeight="1">
      <x:c r="A5" s="10" t="inlineStr">
        <x:is>
          <x:t xml:space="preserve">District details</x:t>
        </x:is>
      </x:c>
      <x:c r="B5" s="10" t="inlineStr">
        <x:is>
          <x:t xml:space="preserve">NCES Royal ISD District Detail</x:t>
        </x:is>
      </x:c>
      <x:c r="C5" s="10" t="inlineStr">
        <x:is>
          <x:t xml:space="preserve">https://nces.ed.gov/ccd/districtsearch/district_detail.asp?ID2=4838190</x:t>
        </x:is>
      </x:c>
      <x:c r="D5" s="10" t="inlineStr">
        <x:is>
          <x:t xml:space="preserve">Used teacher FTE to estimate student-teacher ratio from Texas Tribune enrollment / NCES teacher FTE.</x:t>
        </x:is>
      </x:c>
    </x:row>
    <x:row r="6" ht="32" customHeight="1">
      <x:c r="A6" s="10" t="inlineStr">
        <x:is>
          <x:t xml:space="preserve">Housing</x:t>
        </x:is>
      </x:c>
      <x:c r="B6" s="10" t="inlineStr">
        <x:is>
          <x:t xml:space="preserve">Redfin 77423 Housing Market</x:t>
        </x:is>
      </x:c>
      <x:c r="C6" s="10" t="inlineStr">
        <x:is>
          <x:t xml:space="preserve">https://www.redfin.com/zipcode/77423/housing-market</x:t>
        </x:is>
      </x:c>
      <x:c r="D6" s="10" t="inlineStr">
        <x:is>
          <x:t xml:space="preserve">Used 77423 median sale price and price per sq ft for Royal ISD area.</x:t>
        </x:is>
      </x:c>
    </x:row>
    <x:row r="7" ht="32" customHeight="1">
      <x:c r="A7" s="10" t="inlineStr">
        <x:is>
          <x:t xml:space="preserve">Rent</x:t>
        </x:is>
      </x:c>
      <x:c r="B7" s="10" t="inlineStr">
        <x:is>
          <x:t xml:space="preserve">Zillow Brookshire Rental Market</x:t>
        </x:is>
      </x:c>
      <x:c r="C7" s="10" t="inlineStr">
        <x:is>
          <x:t xml:space="preserve">https://www.zillow.com/rental-manager/market-trends/brookshire-tx/</x:t>
        </x:is>
      </x:c>
      <x:c r="D7" s="10" t="inlineStr">
        <x:is>
          <x:t xml:space="preserve">Used Brookshire average rent for the district area.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Royal ISD Substitute document page</x:t>
        </x:is>
      </x:c>
      <x:c r="C8" s="10" t="inlineStr">
        <x:is>
          <x:t xml:space="preserve">https://www.royal-isd.net/documents/departments/human-resources/substitutes/23184307</x:t>
        </x:is>
      </x:c>
      <x:c r="D8" s="10" t="inlineStr">
        <x:is>
          <x:t xml:space="preserve">Public page lists a 2023-2024 Substitute Pay Schedule, but searchable text did not expose the rate; $125/day entered as provisional and should be verified.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CTU-CPS 2024–28 Contract PDF</x:t>
        </x:is>
      </x:c>
      <x:c r="C2" s="10" t="inlineStr">
        <x:is>
          <x:t xml:space="preserve">https://www.ctulocal1.org/contract.pdf</x:t>
        </x:is>
      </x:c>
      <x:c r="D2" s="10" t="inlineStr">
        <x:is>
          <x:t xml:space="preserve">Used A-1A 208-day teacher schedule: Lane 1 for Bachelor's and Lane 3 for Master's, 2025-26 Base + Step salary columns.</x:t>
        </x:is>
      </x:c>
    </x:row>
    <x:row r="3" ht="32" customHeight="1">
      <x:c r="A3" s="10" t="inlineStr">
        <x:is>
          <x:t xml:space="preserve">Salary policy/context</x:t>
        </x:is>
      </x:c>
      <x:c r="B3" s="10" t="inlineStr">
        <x:is>
          <x:t xml:space="preserve">CPS compensation policy</x:t>
        </x:is>
      </x:c>
      <x:c r="C3" s="10" t="inlineStr">
        <x:is>
          <x:t xml:space="preserve">https://www.cps.edu/sites/cps-policy-rules/policies/300/302/302-8/</x:t>
        </x:is>
      </x:c>
      <x:c r="D3" s="10" t="inlineStr">
        <x:is>
          <x:t xml:space="preserve">Confirms teacher salary schedules use lanes and steps under the CTU collective bargaining agreement.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Teach Chicago Substitute Staff</x:t>
        </x:is>
      </x:c>
      <x:c r="C4" s="10" t="inlineStr">
        <x:is>
          <x:t xml:space="preserve">https://www.teach.cps.edu/substitute</x:t>
        </x:is>
      </x:c>
      <x:c r="D4" s="10" t="inlineStr">
        <x:is>
          <x:t xml:space="preserve">Used Professional Educator License substitute daily rate of $193/day.</x:t>
        </x:is>
      </x:c>
    </x:row>
    <x:row r="5" ht="32" customHeight="1">
      <x:c r="A5" s="10" t="inlineStr">
        <x:is>
          <x:t xml:space="preserve">Enrollment and school counts</x:t>
        </x:is>
      </x:c>
      <x:c r="B5" s="10" t="inlineStr">
        <x:is>
          <x:t xml:space="preserve">CPS Stats and Facts</x:t>
        </x:is>
      </x:c>
      <x:c r="C5" s="10" t="inlineStr">
        <x:is>
          <x:t xml:space="preserve">https://www.cps.edu/about/stats-facts/</x:t>
        </x:is>
      </x:c>
      <x:c r="D5" s="10" t="inlineStr">
        <x:is>
          <x:t xml:space="preserve">Used 2025-26 enrollment, 630 schools, school-category counts, and student racial makeup.</x:t>
        </x:is>
      </x:c>
    </x:row>
    <x:row r="6" ht="32" customHeight="1">
      <x:c r="A6" s="10" t="inlineStr">
        <x:is>
          <x:t xml:space="preserve">Student/teacher ratio</x:t>
        </x:is>
      </x:c>
      <x:c r="B6" s="10" t="inlineStr">
        <x:is>
          <x:t xml:space="preserve">NCES District Detail</x:t>
        </x:is>
      </x:c>
      <x:c r="C6" s="10" t="inlineStr">
        <x:is>
          <x:t xml:space="preserve">https://nces.ed.gov/ccd/districtsearch/district_detail.asp?ID2=1709930&amp;Search=2&amp;details=1</x:t>
        </x:is>
      </x:c>
      <x:c r="D6" s="10" t="inlineStr">
        <x:is>
          <x:t xml:space="preserve">Used 2024-25 student/teacher ratio of 13.77.</x:t>
        </x:is>
      </x:c>
    </x:row>
    <x:row r="7" ht="32" customHeight="1">
      <x:c r="A7" s="10" t="inlineStr">
        <x:is>
          <x:t xml:space="preserve">Housing - median sale price/PPSF</x:t>
        </x:is>
      </x:c>
      <x:c r="B7" s="10" t="inlineStr">
        <x:is>
          <x:t xml:space="preserve">Redfin Chicago housing market</x:t>
        </x:is>
      </x:c>
      <x:c r="C7" s="10" t="inlineStr">
        <x:is>
          <x:t xml:space="preserve">https://www.redfin.com/city/29470/IL/Chicago/housing-market</x:t>
        </x:is>
      </x:c>
      <x:c r="D7" s="10" t="inlineStr">
        <x:is>
          <x:t xml:space="preserve">Used May 2026 median sale price of $419,749 and median sale price per square foot of $303.</x:t>
        </x:is>
      </x:c>
    </x:row>
    <x:row r="8" ht="32" customHeight="1">
      <x:c r="A8" s="10" t="inlineStr">
        <x:is>
          <x:t xml:space="preserve">Housing - rent</x:t>
        </x:is>
      </x:c>
      <x:c r="B8" s="10" t="inlineStr">
        <x:is>
          <x:t xml:space="preserve">Zillow Chicago housing market</x:t>
        </x:is>
      </x:c>
      <x:c r="C8" s="10" t="inlineStr">
        <x:is>
          <x:t xml:space="preserve">https://www.zillow.com/home-values/17426/chicago-il/</x:t>
        </x:is>
      </x:c>
      <x:c r="D8" s="10" t="inlineStr">
        <x:is>
          <x:t xml:space="preserve">Used May 31, 2026 average rent of $2,406.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MNPS Salaries and Resources</x:t>
        </x:is>
      </x:c>
      <x:c r="C2" s="10" t="inlineStr">
        <x:is>
          <x:t xml:space="preserve">https://www.mnps.org/careers/salaries-and-resources</x:t>
        </x:is>
      </x:c>
      <x:c r="D2" s="10" t="inlineStr">
        <x:is>
          <x:t xml:space="preserve">Official 2025-26 page states step increases and 3% COLA; detailed salary folder is in SharePoint.</x:t>
        </x:is>
      </x:c>
    </x:row>
    <x:row r="3" ht="32" customHeight="1">
      <x:c r="A3" s="10" t="inlineStr">
        <x:is>
          <x:t xml:space="preserve">Salary Table</x:t>
        </x:is>
      </x:c>
      <x:c r="B3" s="10" t="inlineStr">
        <x:is>
          <x:t xml:space="preserve">Teach Nashville teacher salary images</x:t>
        </x:is>
      </x:c>
      <x:c r="C3" s="10" t="inlineStr">
        <x:is>
          <x:t xml:space="preserve">https://www.teach-nashville.com/teach-in-our-schools</x:t>
        </x:is>
      </x:c>
      <x:c r="D3" s="10" t="inlineStr">
        <x:is>
          <x:t xml:space="preserve">Public 2024-25 BA/MA teacher pay points used, multiplied by 1.03 for 2025-26.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MNPS Substitute Teaching</x:t>
        </x:is>
      </x:c>
      <x:c r="C4" s="10" t="inlineStr">
        <x:is>
          <x:t xml:space="preserve">https://www.mnps.org/careers/substitute-teaching</x:t>
        </x:is>
      </x:c>
      <x:c r="D4" s="10" t="inlineStr">
        <x:is>
          <x:t xml:space="preserve">Valid TN teaching license substitute rate = $145 per 7.5-hour day.</x:t>
        </x:is>
      </x:c>
    </x:row>
    <x:row r="5" ht="32" customHeight="1">
      <x:c r="A5" s="10" t="inlineStr">
        <x:is>
          <x:t xml:space="preserve">Enrollment / schools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https://nces.ed.gov/ccd/districtsearch/district_detail.asp?DistrictID=4703180&amp;ID2=4703180&amp;Search=2&amp;details=1</x:t>
        </x:is>
      </x:c>
      <x:c r="D5" s="10" t="inlineStr">
        <x:is>
          <x:t xml:space="preserve">2024-25 total students 81,021; total schools 162.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Nashville Chamber MNPS by the Numbers</x:t>
        </x:is>
      </x:c>
      <x:c r="C6" s="10" t="inlineStr">
        <x:is>
          <x:t xml:space="preserve">https://nashvillechamber.report/edu-report-2022/mnps-by-the-numbers/</x:t>
        </x:is>
      </x:c>
      <x:c r="D6" s="10" t="inlineStr">
        <x:is>
          <x:t xml:space="preserve">2022-23 student race/ethnicity shares used: White 24.4, Black 39.2, Hispanic 32.2, Asian 3.8.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Nashville housing market</x:t>
        </x:is>
      </x:c>
      <x:c r="C7" s="10" t="inlineStr">
        <x:is>
          <x:t xml:space="preserve">https://www.redfin.com/city/13415/TN/Nashville/housing-market</x:t>
        </x:is>
      </x:c>
      <x:c r="D7" s="10" t="inlineStr">
        <x:is>
          <x:t xml:space="preserve">Median sale price/PPSF reference.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Nashville rental market</x:t>
        </x:is>
      </x:c>
      <x:c r="C8" s="10" t="inlineStr">
        <x:is>
          <x:t xml:space="preserve">https://www.zillow.com/rental-manager/market-trends/nashville-tn/</x:t>
        </x:is>
      </x:c>
      <x:c r="D8" s="10" t="inlineStr">
        <x:is>
          <x:t xml:space="preserve">Average rent input.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22" customWidth="1"/>
    <x:col min="3" max="3" width="18" customWidth="1"/>
    <x:col min="4" max="4" width="16" customWidth="1"/>
    <x:col min="5" max="5" width="18" customWidth="1"/>
    <x:col min="6" max="6" width="52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Status</x:t>
        </x:is>
      </x:c>
      <x:c r="C1" s="77" t="inlineStr">
        <x:is>
          <x:t xml:space="preserve">Rule Type</x:t>
        </x:is>
      </x:c>
      <x:c r="D1" s="77" t="inlineStr">
        <x:is>
          <x:t xml:space="preserve">How salary lookup should work</x:t>
        </x:is>
      </x:c>
      <x:c r="E1" s="77" t="inlineStr">
        <x:is>
          <x:t xml:space="preserve">Current action taken</x:t>
        </x:is>
      </x:c>
      <x:c r="F1" s="77" t="inlineStr">
        <x:is>
          <x:t xml:space="preserve">Source / note</x:t>
        </x:is>
      </x:c>
    </x:row>
    <x:row r="2" ht="32" customHeight="1">
      <x:c r="A2" s="10" t="inlineStr">
        <x:is>
          <x:t xml:space="preserve">Salt Lake School District</x:t>
        </x:is>
      </x:c>
      <x:c r="B2" s="10" t="inlineStr">
        <x:is>
          <x:t xml:space="preserve">Confirmed</x:t>
        </x:is>
      </x:c>
      <x:c r="C2" s="10" t="inlineStr">
        <x:is>
          <x:t xml:space="preserve">Experience credit map</x:t>
        </x:is>
      </x:c>
      <x:c r="D2" s="10" t="inlineStr">
        <x:is>
          <x:t xml:space="preserve">User selects actual years; district credits 0-5 full, 6→5, 7-8→6, 9-10→7, 11-12→8, 13+→9. Schedule currently stored as actual-experience adjusted values.</x:t>
        </x:is>
      </x:c>
      <x:c r="E2" s="10" t="inlineStr">
        <x:is>
          <x:t xml:space="preserve">Protected with explicit metadata in prototype so future imports know Salt Lake is not simple 1:1 placement.</x:t>
        </x:is>
      </x:c>
      <x:c r="F2" s="10" t="inlineStr">
        <x:is>
          <x:t xml:space="preserve">SLCSD email shared by user; cites SLEA Written Agreement Article 17.</x:t>
        </x:is>
      </x:c>
    </x:row>
    <x:row r="3" ht="32" customHeight="1">
      <x:c r="A3" s="10" t="inlineStr">
        <x:is>
          <x:t xml:space="preserve">Chicago Public Schools</x:t>
        </x:is>
      </x:c>
      <x:c r="B3" s="10" t="inlineStr">
        <x:is>
          <x:t xml:space="preserve">Confirmed</x:t>
        </x:is>
      </x:c>
      <x:c r="C3" s="10" t="inlineStr">
        <x:is>
          <x:t xml:space="preserve">Cap at 7 years</x:t>
        </x:is>
      </x:c>
      <x:c r="D3" s="10" t="inlineStr">
        <x:is>
          <x:t xml:space="preserve">For outside prior teaching experience, selected years above 7 should use 7 credited years for salary lookup.</x:t>
        </x:is>
      </x:c>
      <x:c r="E3" s="10" t="inlineStr">
        <x:is>
          <x:t xml:space="preserve">Updated Teacher Salary Data for years 8-10 to use year-7 salary; updated BA/MA 10-year values, Salary Score, and Overall Value Score.</x:t>
        </x:is>
      </x:c>
      <x:c r="F3" s="10" t="inlineStr">
        <x:is>
          <x:t xml:space="preserve">Teach Chicago salary page says CPS accepts up to 7 years of previous teaching experience toward salary placement.</x:t>
        </x:is>
      </x:c>
    </x:row>
    <x:row r="4" ht="32" customHeight="1">
      <x:c r="A4" s="10" t="inlineStr">
        <x:is>
          <x:t xml:space="preserve">Los Angeles Unified</x:t>
        </x:is>
      </x:c>
      <x:c r="B4" s="10" t="inlineStr">
        <x:is>
          <x:t xml:space="preserve">Needs district-specific model</x:t>
        </x:is>
      </x:c>
      <x:c r="C4" s="10" t="inlineStr">
        <x:is>
          <x:t xml:space="preserve">Salary points / rating-in</x:t>
        </x:is>
      </x:c>
      <x:c r="D4" s="10" t="inlineStr">
        <x:is>
          <x:t xml:space="preserve">Placement depends on salary points, pay scale group/level, and years of experience granted after the bachelor's degree.</x:t>
        </x:is>
      </x:c>
      <x:c r="E4" s="10" t="inlineStr">
        <x:is>
          <x:t xml:space="preserve">Left current schedule as an estimate and flagged for future manual modeling.</x:t>
        </x:is>
      </x:c>
      <x:c r="F4" s="10" t="inlineStr">
        <x:is>
          <x:t xml:space="preserve">LAUSD Salary Allocation FAQ and Salary Tables pages.</x:t>
        </x:is>
      </x:c>
    </x:row>
    <x:row r="5" ht="32" customHeight="1">
      <x:c r="A5" s="10" t="inlineStr">
        <x:is>
          <x:t xml:space="preserve">Metro Nashville Public Schools</x:t>
        </x:is>
      </x:c>
      <x:c r="B5" s="10" t="inlineStr">
        <x:is>
          <x:t xml:space="preserve">Estimated</x:t>
        </x:is>
      </x:c>
      <x:c r="C5" s="10" t="inlineStr">
        <x:is>
          <x:t xml:space="preserve">Unverified step placement</x:t>
        </x:is>
      </x:c>
      <x:c r="D5" s="10" t="inlineStr">
        <x:is>
          <x:t xml:space="preserve">2025-26 detailed step placement logic was not publicly accessible in the signed-in SharePoint folder.</x:t>
        </x:is>
      </x:c>
      <x:c r="E5" s="10" t="inlineStr">
        <x:is>
          <x:t xml:space="preserve">Left current 2024-25 + 3% COLA estimate and flagged for verification.</x:t>
        </x:is>
      </x:c>
      <x:c r="F5" s="10" t="inlineStr">
        <x:is>
          <x:t xml:space="preserve">MNPS salary page confirms 2025-26 step increases and 3% COLA, but detailed folder requires sign-in.</x:t>
        </x:is>
      </x:c>
    </x:row>
    <x:row r="6" ht="32" customHeight="1">
      <x:c r="A6" s="10" t="inlineStr">
        <x:is>
          <x:t xml:space="preserve">All other districts</x:t>
        </x:is>
      </x:c>
      <x:c r="B6" s="10" t="inlineStr">
        <x:is>
          <x:t xml:space="preserve">Pending/assumed simple</x:t>
        </x:is>
      </x:c>
      <x:c r="C6" s="10" t="inlineStr">
        <x:is>
          <x:t xml:space="preserve">1:1 experience lookup unless contradicted</x:t>
        </x:is>
      </x:c>
      <x:c r="D6" s="10" t="inlineStr">
        <x:is>
          <x:t xml:space="preserve">For now, actual years equals schedule year. Future district additions should explicitly mark whether this is confirmed or assumed.</x:t>
        </x:is>
      </x:c>
      <x:c r="E6" s="10" t="inlineStr">
        <x:is>
          <x:t xml:space="preserve">No active change in this pass.</x:t>
        </x:is>
      </x:c>
      <x:c r="F6" s="10" t="inlineStr">
        <x:is>
          <x:t xml:space="preserve">Next audit pass should verify district-by-district hiring placement language.</x:t>
        </x:is>
      </x:c>
    </x:row>
    <x:row r="7" ht="32" customHeight="1">
      <x:c r="A7" s="10" t="inlineStr">
        <x:is>
          <x:t xml:space="preserve">Arcadia Unified School District</x:t>
        </x:is>
      </x:c>
      <x:c r="B7" s="10" t="inlineStr">
        <x:is>
          <x:t xml:space="preserve">CA</x:t>
        </x:is>
      </x:c>
      <x:c r="C7" s="10" t="inlineStr">
        <x:is>
          <x:t xml:space="preserve">No prior-experience cap found in public schedule; Master's degree alone appears on same Column 1 as BA</x:t>
        </x:is>
      </x:c>
      <x:c r="D7" s="10" t="inlineStr">
        <x:is>
          <x:t xml:space="preserve">BA/MA without additional semester units use same salary column; additional units may move lanes.</x:t>
        </x:is>
      </x:c>
      <x:c r="E7" s="10" t="inlineStr">
        <x:is>
          <x:t xml:space="preserve">https://www.ausd.net/apps/pages/salaryschedules</x:t>
        </x:is>
      </x:c>
      <x:c r="F7" s="10" t="inlineStr">
        <x:is>
          <x:t xml:space="preserve">2026-06-11</x:t>
        </x:is>
      </x:c>
    </x:row>
    <x:row r="8" ht="32" customHeight="1">
      <x:c r="A8" s="10" t="inlineStr">
        <x:is>
          <x:t xml:space="preserve">Canyons School District</x:t>
        </x:is>
      </x:c>
      <x:c r="B8" s="10" t="inlineStr">
        <x:is>
          <x:t xml:space="preserve">UT</x:t>
        </x:is>
      </x:c>
      <x:c r="C8" s="10" t="inlineStr">
        <x:is>
          <x:t xml:space="preserve">cap</x:t>
        </x:is>
      </x:c>
      <x:c r="D8" s="10" t="inlineStr">
        <x:is>
          <x:t xml:space="preserve">15</x:t>
        </x:is>
      </x:c>
      <x:c r="E8" s="10" t="inlineStr">
        <x:is>
          <x:t xml:space="preserve">Prior contracted licensed school-system experience credited up to 15 increment levels; BA starts at level 1, MA at level 7.</x:t>
        </x:is>
      </x:c>
      <x:c r="F8" s="10" t="inlineStr">
        <x:is>
          <x:t xml:space="preserve">Official 2025-26 L186 schedule</x:t>
        </x:is>
      </x:c>
    </x:row>
    <x:row r="9" ht="32" customHeight="1">
      <x:c r="A9" s="10" t="inlineStr">
        <x:is>
          <x:t xml:space="preserve">North Clackamas School District</x:t>
        </x:is>
      </x:c>
      <x:c r="B9" s="10" t="inlineStr">
        <x:is>
          <x:t xml:space="preserve">OR</x:t>
        </x:is>
      </x:c>
      <x:c r="C9" s="10" t="inlineStr">
        <x:is>
          <x:t xml:space="preserve">schedule mapping</x:t>
        </x:is>
      </x:c>
      <x:c r="D9" s="10" t="inlineStr">
        <x:is>
          <x:t xml:space="preserve">n/a</x:t>
        </x:is>
      </x:c>
      <x:c r="E9" s="10" t="inlineStr">
        <x:is>
          <x:t xml:space="preserve">Public schedule already maps experience-credit bands to salary steps for 0-10 years in the tool.</x:t>
        </x:is>
      </x:c>
      <x:c r="F9" s="10" t="inlineStr">
        <x:is>
          <x:t xml:space="preserve">Official 2025-26 licensed salary schedule</x:t>
        </x:is>
      </x:c>
    </x:row>
    <x:row r="10" ht="32" customHeight="1">
      <x:c r="A10" s="10" t="inlineStr">
        <x:is>
          <x:t xml:space="preserve">Saint Helena Unified School District</x:t>
        </x:is>
      </x:c>
      <x:c r="B10" s="10" t="inlineStr">
        <x:is>
          <x:t xml:space="preserve">Assumed/simple</x:t>
        </x:is>
      </x:c>
      <x:c r="C10" s="10" t="inlineStr">
        <x:is>
          <x:t xml:space="preserve">BA/credential column + MA stipend</x:t>
        </x:is>
      </x:c>
      <x:c r="D10" s="10" t="inlineStr">
        <x:is>
          <x:t xml:space="preserve">Actual years map to schedule steps 1-11 for 0-10 years in the tool; MA entered as BA column plus $2,354 stipend.</x:t>
        </x:is>
      </x:c>
      <x:c r="E10" s="10" t="inlineStr">
        <x:is>
          <x:t xml:space="preserve">Added as public schedule model; no prior-experience cap found in public page during this pass.</x:t>
        </x:is>
      </x:c>
      <x:c r="F10" s="10" t="inlineStr">
        <x:is>
          <x:t xml:space="preserve">District 2025-26 salary schedule</x:t>
        </x:is>
      </x:c>
    </x:row>
    <x:row r="11" ht="32" customHeight="1">
      <x:c r="A11" s="10" t="inlineStr">
        <x:is>
          <x:t xml:space="preserve">Chandler Unified School District</x:t>
        </x:is>
      </x:c>
      <x:c r="B11" s="10" t="inlineStr">
        <x:is>
          <x:t xml:space="preserve">Confirmed</x:t>
        </x:is>
      </x:c>
      <x:c r="C11" s="10" t="inlineStr">
        <x:is>
          <x:t xml:space="preserve">New-hire experience cap</x:t>
        </x:is>
      </x:c>
      <x:c r="D11" s="10" t="inlineStr">
        <x:is>
          <x:t xml:space="preserve">Credit max 8 years; credit begins in second year; BA schedule capped at year 8 for actual years 8-10; MA adds $1,250.</x:t>
        </x:is>
      </x:c>
      <x:c r="E11" s="10" t="inlineStr">
        <x:is>
          <x:t xml:space="preserve">Applied in prototype salarySchedule.</x:t>
        </x:is>
      </x:c>
      <x:c r="F11" s="10" t="inlineStr">
        <x:is>
          <x:t xml:space="preserve">CUSD 2025-26 Certified Staff Salary Schedule</x:t>
        </x:is>
      </x:c>
    </x:row>
    <x:row r="12" ht="32" customHeight="1">
      <x:c r="A12" s="10" t="inlineStr">
        <x:is>
          <x:t xml:space="preserve">Flagstaff Unified School District</x:t>
        </x:is>
      </x:c>
      <x:c r="B12" s="10" t="inlineStr">
        <x:is>
          <x:t xml:space="preserve">Needs verification</x:t>
        </x:is>
      </x:c>
      <x:c r="C12" s="10" t="inlineStr">
        <x:is>
          <x:t xml:space="preserve">Salary lane unclear</x:t>
        </x:is>
      </x:c>
      <x:c r="D12" s="10" t="inlineStr">
        <x:is>
          <x:t xml:space="preserve">FUSD public page links certified salary schedule through Google Drive; detailed lane data not text-readable in search.</x:t>
        </x:is>
      </x:c>
      <x:c r="E12" s="10" t="inlineStr">
        <x:is>
          <x:t xml:space="preserve">BA/MA entered same pending verification.</x:t>
        </x:is>
      </x:c>
      <x:c r="F12" s="10" t="inlineStr">
        <x:is>
          <x:t xml:space="preserve">FUSD salary schedule page + public job snippets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Arcadia USD Salary Schedules / ATA certificated schedule</x:t>
        </x:is>
      </x:c>
      <x:c r="C2" s="10" t="inlineStr">
        <x:is>
          <x:t xml:space="preserve">https://www.ausd.net/apps/pages/salaryschedules</x:t>
        </x:is>
      </x:c>
      <x:c r="D2" s="10" t="inlineStr">
        <x:is>
          <x:t xml:space="preserve">ATA schedule effective 7/1/2025; 186-day teacher schedule. Column 1 lists BA or MA, so MA-only uses same values as BA.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Arcadia Unified is Hiring</x:t>
        </x:is>
      </x:c>
      <x:c r="C3" s="10" t="inlineStr">
        <x:is>
          <x:t xml:space="preserve">https://www.ausd.net/apps/pages/index.jsp?pREC_ID=2244925&amp;type=d&amp;uREC_ID=965712</x:t>
        </x:is>
      </x:c>
      <x:c r="D3" s="10" t="inlineStr">
        <x:is>
          <x:t xml:space="preserve">District page says substitute teachers now pay $200/day.</x:t>
        </x:is>
      </x:c>
    </x:row>
    <x:row r="4" ht="32" customHeight="1">
      <x:c r="A4" s="10" t="inlineStr">
        <x:is>
          <x:t xml:space="preserve">Student/teacher ratio</x:t>
        </x:is>
      </x:c>
      <x:c r="B4" s="10" t="inlineStr">
        <x:is>
          <x:t xml:space="preserve">NCES district detail</x:t>
        </x:is>
      </x:c>
      <x:c r="C4" s="10" t="inlineStr">
        <x:is>
          <x:t xml:space="preserve">https://nces.ed.gov/ccd/districtsearch/district_detail.asp?ID2=0602970</x:t>
        </x:is>
      </x:c>
      <x:c r="D4" s="10" t="inlineStr">
        <x:is>
          <x:t xml:space="preserve">NCES 2024-25 lists 9,073 students, 369.09 classroom teachers, ratio 24.58, 11 total schools.</x:t>
        </x:is>
      </x:c>
    </x:row>
    <x:row r="5" ht="32" customHeight="1">
      <x:c r="A5" s="10" t="inlineStr">
        <x:is>
          <x:t xml:space="preserve">Schools count</x:t>
        </x:is>
      </x:c>
      <x:c r="B5" s="10" t="inlineStr">
        <x:is>
          <x:t xml:space="preserve">Arcadia USD About AUSD</x:t>
        </x:is>
      </x:c>
      <x:c r="C5" s="10" t="inlineStr">
        <x:is>
          <x:t xml:space="preserve">https://www.ausd.net/apps/pages/Aboutausd</x:t>
        </x:is>
      </x:c>
      <x:c r="D5" s="10" t="inlineStr">
        <x:is>
          <x:t xml:space="preserve">AUSD reports six elementary, three middle, one high school, and one alternative school/outreach program.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Arcadia USD Human Resource Services</x:t>
        </x:is>
      </x:c>
      <x:c r="C6" s="10" t="inlineStr">
        <x:is>
          <x:t xml:space="preserve">https://www.ausd.net/apps/pages/HR</x:t>
        </x:is>
      </x:c>
      <x:c r="D6" s="10" t="inlineStr">
        <x:is>
          <x:t xml:space="preserve">District page states approximately 9,900 students, 26% Caucasian, 61% Asian, and 10% Hispanic. Black entered as 1%, Other/Uncounted as 2% to total 100.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Arcadia housing market</x:t>
        </x:is>
      </x:c>
      <x:c r="C7" s="10" t="inlineStr">
        <x:is>
          <x:t xml:space="preserve">https://www.redfin.com/city/645/CA/Arcadia/housing-market</x:t>
        </x:is>
      </x:c>
      <x:c r="D7" s="10" t="inlineStr">
        <x:is>
          <x:t xml:space="preserve">Median sale price and median sale price per square foot.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Arcadia rental market trends</x:t>
        </x:is>
      </x:c>
      <x:c r="C8" s="10" t="inlineStr">
        <x:is>
          <x:t xml:space="preserve">https://www.zillow.com/home-values/50749/arcadia-ca/</x:t>
        </x:is>
      </x:c>
      <x:c r="D8" s="10" t="inlineStr">
        <x:is>
          <x:t xml:space="preserve">Average rent $3,290 as of April 30, 2026.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Licensed Salary Schedule</x:t>
        </x:is>
      </x:c>
      <x:c r="C2" s="10" t="inlineStr">
        <x:is>
          <x:t xml:space="preserve">https://resources.finalsite.net/images/v1710375798/nclackk12orus/wc7eq0dxubrgofmfwetn/25-26LicensedSalarySchedule.pdf</x:t>
        </x:is>
      </x:c>
      <x:c r="D2" s="10" t="inlineStr">
        <x:is>
          <x:t xml:space="preserve">BA/MA 0-10 values entered from 193-day schedule.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Licensed Substitute Information</x:t>
        </x:is>
      </x:c>
      <x:c r="C3" s="10" t="inlineStr">
        <x:is>
          <x:t xml:space="preserve">https://www.nclack.k12.or.us/departments/human-resources/substitute-information/licensed-substitute-information</x:t>
        </x:is>
      </x:c>
      <x:c r="D3" s="10" t="inlineStr">
        <x:is>
          <x:t xml:space="preserve">General education full-day substitute rate $250.</x:t>
        </x:is>
      </x:c>
    </x:row>
    <x:row r="4" ht="32" customHeight="1">
      <x:c r="A4" s="10" t="inlineStr">
        <x:is>
          <x:t xml:space="preserve">District Profile</x:t>
        </x:is>
      </x:c>
      <x:c r="B4" s="10" t="inlineStr">
        <x:is>
          <x:t xml:space="preserve">About NCSD</x:t>
        </x:is>
      </x:c>
      <x:c r="C4" s="10" t="inlineStr">
        <x:is>
          <x:t xml:space="preserve">https://www.nclack.k12.or.us/about-ncsd/about-ncsd</x:t>
        </x:is>
      </x:c>
      <x:c r="D4" s="10" t="inlineStr">
        <x:is>
          <x:t xml:space="preserve">Enrollment, demographics, and school counts.</x:t>
        </x:is>
      </x:c>
    </x:row>
    <x:row r="5" ht="32" customHeight="1">
      <x:c r="A5" s="10" t="inlineStr">
        <x:is>
          <x:t xml:space="preserve">Student/Teacher Ratio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https://nces.ed.gov/ccd/districtsearch/district_detail.asp?ID2=4108830</x:t>
        </x:is>
      </x:c>
      <x:c r="D5" s="10" t="inlineStr">
        <x:is>
          <x:t xml:space="preserve">2024-25 total students/classroom teachers ratio.</x:t>
        </x:is>
      </x:c>
    </x:row>
    <x:row r="6" ht="32" customHeight="1">
      <x:c r="A6" s="10" t="inlineStr">
        <x:is>
          <x:t xml:space="preserve">Housing</x:t>
        </x:is>
      </x:c>
      <x:c r="B6" s="10" t="inlineStr">
        <x:is>
          <x:t xml:space="preserve">Redfin Milwaukie housing market</x:t>
        </x:is>
      </x:c>
      <x:c r="C6" s="10" t="inlineStr">
        <x:is>
          <x:t xml:space="preserve">https://www.redfin.com/city/30776/OR/Milwaukie/housing-market</x:t>
        </x:is>
      </x:c>
      <x:c r="D6" s="10" t="inlineStr">
        <x:is>
          <x:t xml:space="preserve">Median sale price and PPSF.</x:t>
        </x:is>
      </x:c>
    </x:row>
    <x:row r="7" ht="32" customHeight="1">
      <x:c r="A7" s="10" t="inlineStr">
        <x:is>
          <x:t xml:space="preserve">Rent</x:t>
        </x:is>
      </x:c>
      <x:c r="B7" s="10" t="inlineStr">
        <x:is>
          <x:t xml:space="preserve">Zillow Milwaukie rent trends</x:t>
        </x:is>
      </x:c>
      <x:c r="C7" s="10" t="inlineStr">
        <x:is>
          <x:t xml:space="preserve">https://www.zillow.com/rental-manager/market-trends/milwaukie-or/</x:t>
        </x:is>
      </x:c>
      <x:c r="D7" s="10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Licensed Salary Schedule L186</x:t>
        </x:is>
      </x:c>
      <x:c r="C2" s="10" t="inlineStr">
        <x:is>
          <x:t xml:space="preserve">https://www.canyonsdistrict.org/download/1749/2025-2026/221662/2025-2026-licensed-salary-schedule-l186.pdf</x:t>
        </x:is>
      </x:c>
      <x:c r="D2" s="10" t="inlineStr">
        <x:is>
          <x:t xml:space="preserve">BA/MA placement modeled from increment levels.</x:t>
        </x:is>
      </x:c>
    </x:row>
    <x:row r="3" ht="32" customHeight="1">
      <x:c r="A3" s="10" t="inlineStr">
        <x:is>
          <x:t xml:space="preserve">Salary Page</x:t>
        </x:is>
      </x:c>
      <x:c r="B3" s="10" t="inlineStr">
        <x:is>
          <x:t xml:space="preserve">Canyons Salary Schedule page</x:t>
        </x:is>
      </x:c>
      <x:c r="C3" s="10" t="inlineStr">
        <x:is>
          <x:t xml:space="preserve">https://www.canyonsdistrict.org/depts/hr/salary-schedule/</x:t>
        </x:is>
      </x:c>
      <x:c r="D3" s="10" t="inlineStr">
        <x:is>
          <x:t xml:space="preserve">Official salary schedule listing.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Canyons Substitutes page</x:t>
        </x:is>
      </x:c>
      <x:c r="C4" s="10" t="inlineStr">
        <x:is>
          <x:t xml:space="preserve">https://www.canyonsdistrict.org/depts/hr/substitutes/</x:t>
        </x:is>
      </x:c>
      <x:c r="D4" s="10" t="inlineStr">
        <x:is>
          <x:t xml:space="preserve">Licensed substitute rate $180/day.</x:t>
        </x:is>
      </x:c>
    </x:row>
    <x:row r="5" ht="32" customHeight="1">
      <x:c r="A5" s="10" t="inlineStr">
        <x:is>
          <x:t xml:space="preserve">Student/Teacher Ratio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https://nces.ed.gov/ccd/districtsearch/district_detail.asp?DistrictID=4900142&amp;ID2=4900142&amp;Search=2&amp;details=1</x:t>
        </x:is>
      </x:c>
      <x:c r="D5" s="10" t="inlineStr">
        <x:is>
          <x:t xml:space="preserve">2024-25 total students/classroom teachers ratio and total schools.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USBE District Profile</x:t>
        </x:is>
      </x:c>
      <x:c r="C6" s="10" t="inlineStr">
        <x:is>
          <x:t xml:space="preserve">https://reportcard.schools.utah.gov/District/Profile?DistrictID=186056&amp;schoolyearendyear=2022</x:t>
        </x:is>
      </x:c>
      <x:c r="D6" s="10" t="inlineStr">
        <x:is>
          <x:t xml:space="preserve">Official demographic distribution used as available.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Sandy housing market</x:t>
        </x:is>
      </x:c>
      <x:c r="C7" s="10" t="inlineStr">
        <x:is>
          <x:t xml:space="preserve">https://www.redfin.com/city/17265/UT/Sandy/housing-market</x:t>
        </x:is>
      </x:c>
      <x:c r="D7" s="10" t="inlineStr">
        <x:is>
          <x:t xml:space="preserve">Median sale price and PPSF.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Sandy rent trends</x:t>
        </x:is>
      </x:c>
      <x:c r="C8" s="10" t="inlineStr">
        <x:is>
          <x:t xml:space="preserve">https://www.zillow.com/rental-manager/market-trends/sandy-ut/</x:t>
        </x:is>
      </x:c>
      <x:c r="D8" s="10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Last Verified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2025-26 certificated salary schedule, 186 days; BA/credential column used; MA stipend +$2,354 applied.</x:t>
        </x:is>
      </x:c>
      <x:c r="C2" s="10" t="inlineStr">
        <x:is>
          <x:t xml:space="preserve">https://files.smartsites.parentsquare.com/6174/acuo9a7to8ak2epgjbc.pdf</x:t>
        </x:is>
      </x:c>
      <x:c r="D2" s="10" t="inlineStr">
        <x:is>
          <x:t xml:space="preserve">2026-06-11</x:t>
        </x:is>
      </x:c>
    </x:row>
    <x:row r="3" ht="32" customHeight="1">
      <x:c r="A3" s="10" t="inlineStr">
        <x:is>
          <x:t xml:space="preserve">District salary page</x:t>
        </x:is>
      </x:c>
      <x:c r="B3" s="10" t="inlineStr">
        <x:is>
          <x:t xml:space="preserve">District salary &amp; stipend schedule page lists 2025-26 salary schedules.</x:t>
        </x:is>
      </x:c>
      <x:c r="C3" s="10" t="inlineStr">
        <x:is>
          <x:t xml:space="preserve">https://www.sthelenaunified.org/73799_3</x:t>
        </x:is>
      </x:c>
      <x:c r="D3" s="10" t="inlineStr">
        <x:is>
          <x:t xml:space="preserve">2026-06-11</x:t>
        </x:is>
      </x:c>
    </x:row>
    <x:row r="4" ht="32" customHeight="1">
      <x:c r="A4" s="10" t="inlineStr">
        <x:is>
          <x:t xml:space="preserve">Substitute process</x:t>
        </x:is>
      </x:c>
      <x:c r="B4" s="10" t="inlineStr">
        <x:is>
          <x:t xml:space="preserve">SHUSD says Napa COE maintains the substitute call list; each district is a separate employer.</x:t>
        </x:is>
      </x:c>
      <x:c r="C4" s="10" t="inlineStr">
        <x:is>
          <x:t xml:space="preserve">https://www.sthelenaunified.org/73800_3</x:t>
        </x:is>
      </x:c>
      <x:c r="D4" s="10" t="inlineStr">
        <x:is>
          <x:t xml:space="preserve">2026-06-11</x:t>
        </x:is>
      </x:c>
    </x:row>
    <x:row r="5" ht="32" customHeight="1">
      <x:c r="A5" s="10" t="inlineStr">
        <x:is>
          <x:t xml:space="preserve">Substitute pay input</x:t>
        </x:is>
      </x:c>
      <x:c r="B5" s="10" t="inlineStr">
        <x:is>
          <x:t xml:space="preserve">NCOE substitute teacher pay rates for 2026-27 show credentialed teacher daily rate of $275; used provisionally as licensed sub pay.</x:t>
        </x:is>
      </x:c>
      <x:c r="C5" s="10" t="inlineStr">
        <x:is>
          <x:t xml:space="preserve">https://napacoe.org/wp-content/uploads/2026/05/sub_rates_26.27.pdf</x:t>
        </x:is>
      </x:c>
      <x:c r="D5" s="10" t="inlineStr">
        <x:is>
          <x:t xml:space="preserve">2026-06-11</x:t>
        </x:is>
      </x:c>
    </x:row>
    <x:row r="6" ht="32" customHeight="1">
      <x:c r="A6" s="10" t="inlineStr">
        <x:is>
          <x:t xml:space="preserve">NCES district profile</x:t>
        </x:is>
      </x:c>
      <x:c r="B6" s="10" t="inlineStr">
        <x:is>
          <x:t xml:space="preserve">NCES lists Saint Helena Unified: 5 schools, 1,105 students, 82.96 teachers, 13.32 student/teacher ratio.</x:t>
        </x:is>
      </x:c>
      <x:c r="C6" s="10" t="inlineStr">
        <x:is>
          <x:t xml:space="preserve">https://nces.ed.gov/ccd/districtsearch/district_detail.asp?ID2=0637830</x:t>
        </x:is>
      </x:c>
      <x:c r="D6" s="10" t="inlineStr">
        <x:is>
          <x:t xml:space="preserve">2026-06-11</x:t>
        </x:is>
      </x:c>
    </x:row>
    <x:row r="7" ht="32" customHeight="1">
      <x:c r="A7" s="10" t="inlineStr">
        <x:is>
          <x:t xml:space="preserve">CDE district profile</x:t>
        </x:is>
      </x:c>
      <x:c r="B7" s="10" t="inlineStr">
        <x:is>
          <x:t xml:space="preserve">CDE profile lists 2025-26 enrollment as 1,152 and English learners as 127 (11.0%).</x:t>
        </x:is>
      </x:c>
      <x:c r="C7" s="10" t="inlineStr">
        <x:is>
          <x:t xml:space="preserve">https://www.cde.ca.gov/sdprofile/details.aspx?cds=28662900000000</x:t>
        </x:is>
      </x:c>
      <x:c r="D7" s="10" t="inlineStr">
        <x:is>
          <x:t xml:space="preserve">2026-06-11</x:t>
        </x:is>
      </x:c>
    </x:row>
    <x:row r="8" ht="32" customHeight="1">
      <x:c r="A8" s="10" t="inlineStr">
        <x:is>
          <x:t xml:space="preserve">Demographics</x:t>
        </x:is>
      </x:c>
      <x:c r="B8" s="10" t="inlineStr">
        <x:is>
          <x:t xml:space="preserve">Public School Review summary used for race/ethnicity percentages: Hispanic 53%, White 42%, Asian 2%, Black 1%, Two or more 2%.</x:t>
        </x:is>
      </x:c>
      <x:c r="C8" s="10" t="inlineStr">
        <x:is>
          <x:t xml:space="preserve">https://www.publicschoolreview.com/california/saint-helena-unified-school-district/637830-school-district</x:t>
        </x:is>
      </x:c>
      <x:c r="D8" s="10" t="inlineStr">
        <x:is>
          <x:t xml:space="preserve">2026-06-11</x:t>
        </x:is>
      </x:c>
    </x:row>
    <x:row r="9" ht="32" customHeight="1">
      <x:c r="A9" s="10" t="inlineStr">
        <x:is>
          <x:t xml:space="preserve">Home price</x:t>
        </x:is>
      </x:c>
      <x:c r="B9" s="10" t="inlineStr">
        <x:is>
          <x:t xml:space="preserve">Redfin St. Helena housing market median sale price: $2,323,609.</x:t>
        </x:is>
      </x:c>
      <x:c r="C9" s="10" t="inlineStr">
        <x:is>
          <x:t xml:space="preserve">https://www.redfin.com/city/16448/CA/St-Helena/housing-market</x:t>
        </x:is>
      </x:c>
      <x:c r="D9" s="10" t="inlineStr">
        <x:is>
          <x:t xml:space="preserve">2026-06-11</x:t>
        </x:is>
      </x:c>
    </x:row>
    <x:row r="10" ht="32" customHeight="1">
      <x:c r="A10" s="10" t="inlineStr">
        <x:is>
          <x:t xml:space="preserve">Price per sq ft</x:t>
        </x:is>
      </x:c>
      <x:c r="B10" s="10" t="inlineStr">
        <x:is>
          <x:t xml:space="preserve">Redfin 94574 housing market median sale price per square foot: $903.</x:t>
        </x:is>
      </x:c>
      <x:c r="C10" s="10" t="inlineStr">
        <x:is>
          <x:t xml:space="preserve">https://www.redfin.com/zipcode/94574/housing-market</x:t>
        </x:is>
      </x:c>
      <x:c r="D10" s="10" t="inlineStr">
        <x:is>
          <x:t xml:space="preserve">2026-06-11</x:t>
        </x:is>
      </x:c>
    </x:row>
    <x:row r="11" ht="32" customHeight="1">
      <x:c r="A11" s="10" t="inlineStr">
        <x:is>
          <x:t xml:space="preserve">Rent</x:t>
        </x:is>
      </x:c>
      <x:c r="B11" s="10" t="inlineStr">
        <x:is>
          <x:t xml:space="preserve">Zillow Rental Manager average rent in Saint Helena, CA: $5,995.</x:t>
        </x:is>
      </x:c>
      <x:c r="C11" s="10" t="inlineStr">
        <x:is>
          <x:t xml:space="preserve">https://www.zillow.com/rental-manager/market-trends/saint-helena-ca/</x:t>
        </x:is>
      </x:c>
      <x:c r="D11" s="10" t="inlineStr">
        <x:is>
          <x:t xml:space="preserve">2026-06-11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6" customWidth="1"/>
    <x:col min="3" max="3" width="50" customWidth="1"/>
    <x:col min="4" max="4" width="24" customWidth="1"/>
    <x:col min="5" max="5" width="50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Staffing Model</x:t>
        </x:is>
      </x:c>
      <x:c r="C1" s="77" t="inlineStr">
        <x:is>
          <x:t xml:space="preserve">Penalty Applied</x:t>
        </x:is>
      </x:c>
      <x:c r="D1" s="77" t="inlineStr">
        <x:is>
          <x:t xml:space="preserve">Evidence</x:t>
        </x:is>
      </x:c>
      <x:c r="E1" s="77" t="inlineStr">
        <x:is>
          <x:t xml:space="preserve">Source URL</x:t>
        </x:is>
      </x:c>
    </x:row>
    <x:row r="2" ht="32" customHeight="1">
      <x:c r="A2" s="10" t="inlineStr">
        <x:is>
          <x:t xml:space="preserve">North Clackamas School District</x:t>
        </x:is>
      </x:c>
      <x:c r="B2" s="10" t="inlineStr">
        <x:is>
          <x:t xml:space="preserve">ESS full licensed/classified substitute provider</x:t>
        </x:is>
      </x:c>
      <x:c r="C2" s="10" t="inlineStr">
        <x:is>
          <x:t xml:space="preserve">Sub Pay Score × 60%</x:t>
        </x:is>
      </x:c>
      <x:c r="D2" s="10" t="inlineStr">
        <x:is>
          <x:t xml:space="preserve">District says ESS is responsible for hiring, training, and placement of licensed/classified substitutes.</x:t>
        </x:is>
      </x:c>
      <x:c r="E2" s="10" t="inlineStr">
        <x:is>
          <x:t xml:space="preserve">https://www.nclack.k12.or.us/departments/human-resources/substitute-information</x:t>
        </x:is>
      </x:c>
    </x:row>
    <x:row r="3" ht="32" customHeight="1">
      <x:c r="A3" s="10" t="inlineStr">
        <x:is>
          <x:t xml:space="preserve">Provo City School District</x:t>
        </x:is>
      </x:c>
      <x:c r="B3" s="10" t="inlineStr">
        <x:is>
          <x:t xml:space="preserve">Third-party substitute provider (Edustaff); ESS/Willsub job listing also found historically</x:t>
        </x:is>
      </x:c>
      <x:c r="C3" s="10" t="inlineStr">
        <x:is>
          <x:t xml:space="preserve">Sub Pay Score × 60%</x:t>
        </x:is>
      </x:c>
      <x:c r="D3" s="10" t="inlineStr">
        <x:is>
          <x:t xml:space="preserve">Current district page says Provo partnered with Edustaff to supply/manage substitute workforce; substitute work is not district-managed.</x:t>
        </x:is>
      </x:c>
      <x:c r="E3" s="10" t="inlineStr">
        <x:is>
          <x:t xml:space="preserve">https://provo.edu/employment-opportunities/substitute-information/</x:t>
        </x:is>
      </x:c>
    </x:row>
    <x:row r="4" ht="32" customHeight="1">
      <x:c r="A4" s="10" t="inlineStr">
        <x:is>
          <x:t xml:space="preserve">Scoring rule</x:t>
        </x:is>
      </x:c>
      <x:c r="B4" s="10" t="inlineStr">
        <x:is>
          <x:t xml:space="preserve">district / third-party</x:t>
        </x:is>
      </x:c>
      <x:c r="C4" s="10" t="inlineStr">
        <x:is>
          <x:t xml:space="preserve">District-managed = 100%; full third-party substitute provider = 60%</x:t>
        </x:is>
      </x:c>
      <x:c r="D4" s="10" t="inlineStr">
        <x:is>
          <x:t xml:space="preserve">Penalty only affects Sub Pay Score and therefore overall score by the Sub Pay Score weight.</x:t>
        </x:is>
      </x:c>
      <x:c r="E4" s="10" t="inlineStr">
        <x:is>
          <x:t xml:space="preserve">https://ess.com/k12-substitutesolutions/</x:t>
        </x:is>
      </x:c>
    </x:row>
    <x:row r="5" ht="32" customHeight="1">
      <x:c r="A5" s="10" t="inlineStr">
        <x:is>
          <x:t xml:space="preserve">Flagstaff Unified School District</x:t>
        </x:is>
      </x:c>
      <x:c r="B5" s="10" t="inlineStr">
        <x:is>
          <x:t xml:space="preserve">district</x:t>
        </x:is>
      </x:c>
      <x:c r="C5" s="10" t="inlineStr">
        <x:is>
          <x:t xml:space="preserve">No penalty</x:t>
        </x:is>
      </x:c>
      <x:c r="D5" s="10" t="inlineStr">
        <x:is>
          <x:t xml:space="preserve">No ESS/third-party substitute staffing confirmed in first pass; district uses Red Rover postings.</x:t>
        </x:is>
      </x:c>
      <x:c r="E5" s="10" t="inlineStr">
        <x:is>
          <x:t xml:space="preserve">https://jobs.redroverk12.com/org/fusd1/opening/177926</x:t>
        </x:is>
      </x:c>
    </x:row>
    <x:row r="6" ht="32" customHeight="1">
      <x:c r="A6" s="10" t="inlineStr">
        <x:is>
          <x:t xml:space="preserve">Chandler Unified School District</x:t>
        </x:is>
      </x:c>
      <x:c r="B6" s="10" t="inlineStr">
        <x:is>
          <x:t xml:space="preserve">district</x:t>
        </x:is>
      </x:c>
      <x:c r="C6" s="10" t="inlineStr">
        <x:is>
          <x:t xml:space="preserve">No penalty</x:t>
        </x:is>
      </x:c>
      <x:c r="D6" s="10" t="inlineStr">
        <x:is>
          <x:t xml:space="preserve">CUSD page lists district HR substitute services contacts and SmartFind Express.</x:t>
        </x:is>
      </x:c>
      <x:c r="E6" s="10" t="inlineStr">
        <x:is>
          <x:t xml:space="preserve">https://www.cusd80.com/human-resources/substitutes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Provisional BA/MA schedule: $50,910 to $57,285, linearly distributed 0-10 years</x:t>
        </x:is>
      </x:c>
      <x:c r="C2" s="10" t="inlineStr">
        <x:is>
          <x:t xml:space="preserve">https://www.fusd1.org/42660_4</x:t>
        </x:is>
      </x:c>
      <x:c r="D2" s="10" t="inlineStr">
        <x:is>
          <x:t xml:space="preserve">Certified Salary Schedule is linked from FUSD page via Google Drive; searchable public job snippets show the range. Verify lane details later.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$140/day; Leupp $155/day noted</x:t>
        </x:is>
      </x:c>
      <x:c r="C3" s="10" t="inlineStr">
        <x:is>
          <x:t xml:space="preserve">https://jobs.redroverk12.com/org/fusd1/opening/177926</x:t>
        </x:is>
      </x:c>
      <x:c r="D3" s="10" t="inlineStr">
        <x:is>
          <x:t xml:space="preserve">Used standard substitute teacher pay.</x:t>
        </x:is>
      </x:c>
    </x:row>
    <x:row r="4" ht="32" customHeight="1">
      <x:c r="A4" s="10" t="inlineStr">
        <x:is>
          <x:t xml:space="preserve">NCES ratio/enrollment</x:t>
        </x:is>
      </x:c>
      <x:c r="B4" s="10" t="inlineStr">
        <x:is>
          <x:t xml:space="preserve">8,595 students; 548.29 teachers; ratio 15.68</x:t>
        </x:is>
      </x:c>
      <x:c r="C4" s="10" t="inlineStr">
        <x:is>
          <x:t xml:space="preserve">https://nces.ed.gov/ccd/districtsearch/district_detail.asp?DistrictID=0402860&amp;ID2=0402860&amp;Search=2&amp;details=1</x:t>
        </x:is>
      </x:c>
      <x:c r="D4" s="10" t="inlineStr">
        <x:is>
          <x:t xml:space="preserve">2024-25 CCD.</x:t>
        </x:is>
      </x:c>
    </x:row>
    <x:row r="5" ht="32" customHeight="1">
      <x:c r="A5" s="10" t="inlineStr">
        <x:is>
          <x:t xml:space="preserve">School count</x:t>
        </x:is>
      </x:c>
      <x:c r="B5" s="10" t="inlineStr">
        <x:is>
          <x:t xml:space="preserve">15 comprehensive school sites; school list shows 3 high and 2 middle schools</x:t>
        </x:is>
      </x:c>
      <x:c r="C5" s="10" t="inlineStr">
        <x:is>
          <x:t xml:space="preserve">https://www.fusd1.org/aboutfusd</x:t>
        </x:is>
      </x:c>
      <x:c r="D5" s="10" t="inlineStr">
        <x:is>
          <x:t xml:space="preserve">District about page and school list.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39.8%; Hispanic 30.9%; Asian/Pacific 0.8%; Black 0.8%; Other 27.7%</x:t>
        </x:is>
      </x:c>
      <x:c r="C6" s="10" t="inlineStr">
        <x:is>
          <x:t xml:space="preserve">https://www.neighborhoodscout.com/az/flagstaff/schools</x:t>
        </x:is>
      </x:c>
      <x:c r="D6" s="10" t="inlineStr">
        <x:is>
          <x:t xml:space="preserve">Used for prototype balance scoring.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sale $710K; PPSF $368</x:t>
        </x:is>
      </x:c>
      <x:c r="C7" s="10" t="inlineStr">
        <x:is>
          <x:t xml:space="preserve">https://www.redfin.com/city/6089/AZ/Flagstaff/housing-market</x:t>
        </x:is>
      </x:c>
      <x:c r="D7" s="10" t="inlineStr">
        <x:is>
          <x:t xml:space="preserve">Redfin citywide market page.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$2,300 average rent</x:t>
        </x:is>
      </x:c>
      <x:c r="C8" s="10" t="inlineStr">
        <x:is>
          <x:t xml:space="preserve">https://www.zillow.com/rental-manager/market-trends/flagstaff-az/</x:t>
        </x:is>
      </x:c>
      <x:c r="D8" s="10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entry $55,249; max $91,559; new-hire schedule through 8 years; MA stipend $1,250</x:t>
        </x:is>
      </x:c>
      <x:c r="C2" s="10" t="inlineStr">
        <x:is>
          <x:t xml:space="preserve">https://resources.finalsite.net/images/v1750874174/cusd80com/ctubigjt873gcyob84yf/Certified_Teacher_Salary_Schedule_2025-2026.pdf</x:t>
        </x:is>
      </x:c>
      <x:c r="D2" s="10" t="inlineStr">
        <x:is>
          <x:t xml:space="preserve">CUSD caps new-teacher experience credit at 8 years.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$170/day certified substitute; long-term $200/day</x:t>
        </x:is>
      </x:c>
      <x:c r="C3" s="10" t="inlineStr">
        <x:is>
          <x:t xml:space="preserve">https://www.cusd80.com/human-resources/substitutes</x:t>
        </x:is>
      </x:c>
      <x:c r="D3" s="10" t="inlineStr">
        <x:is>
          <x:t xml:space="preserve">Used certified substitute rate.</x:t>
        </x:is>
      </x:c>
    </x:row>
    <x:row r="4" ht="32" customHeight="1">
      <x:c r="A4" s="10" t="inlineStr">
        <x:is>
          <x:t xml:space="preserve">NCES ratio/enrollment</x:t>
        </x:is>
      </x:c>
      <x:c r="B4" s="10" t="inlineStr">
        <x:is>
          <x:t xml:space="preserve">41,421 students; 2,354.92 teachers; ratio 17.59</x:t>
        </x:is>
      </x:c>
      <x:c r="C4" s="10" t="inlineStr">
        <x:is>
          <x:t xml:space="preserve">https://nces.ed.gov/ccd/districtsearch/district_detail.asp?ID2=0401870&amp;Search=2</x:t>
        </x:is>
      </x:c>
      <x:c r="D4" s="10" t="inlineStr">
        <x:is>
          <x:t xml:space="preserve">2024-25 CCD.</x:t>
        </x:is>
      </x:c>
    </x:row>
    <x:row r="5" ht="32" customHeight="1">
      <x:c r="A5" s="10" t="inlineStr">
        <x:is>
          <x:t xml:space="preserve">School count</x:t>
        </x:is>
      </x:c>
      <x:c r="B5" s="10" t="inlineStr">
        <x:is>
          <x:t xml:space="preserve">31 elementary; 5 junior highs; 2 middle; 5 high; 4 alternatives; 1 secondary; 1 online</x:t>
        </x:is>
      </x:c>
      <x:c r="C5" s="10" t="inlineStr">
        <x:is>
          <x:t xml:space="preserve">https://www.cusd80.com/about-us/about-cusd</x:t>
        </x:is>
      </x:c>
      <x:c r="D5" s="10" t="inlineStr">
        <x:is>
          <x:t xml:space="preserve">Middle count entered as 7 = 5 junior highs + 2 middle schools; other=6.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47.7%; Hispanic 31.9%; Asian/Pacific 12.5%; Black 5.8%; Other 2.1%</x:t>
        </x:is>
      </x:c>
      <x:c r="C6" s="10" t="inlineStr">
        <x:is>
          <x:t xml:space="preserve">https://www.neighborhoodscout.com/az/chandler/schools</x:t>
        </x:is>
      </x:c>
      <x:c r="D6" s="10" t="inlineStr">
        <x:is>
          <x:t xml:space="preserve">Used for prototype balance scoring.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sale $520K; PPSF $286</x:t>
        </x:is>
      </x:c>
      <x:c r="C7" s="10" t="inlineStr">
        <x:is>
          <x:t xml:space="preserve">https://www.redfin.com/city/3104/AZ/Chandler/housing-market</x:t>
        </x:is>
      </x:c>
      <x:c r="D7" s="10" t="inlineStr">
        <x:is>
          <x:t xml:space="preserve">Redfin citywide market page.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$2,388 average rent</x:t>
        </x:is>
      </x:c>
      <x:c r="C8" s="10" t="inlineStr">
        <x:is>
          <x:t xml:space="preserve">https://www.zillow.com/rental-manager/market-trends/chandler-az/</x:t>
        </x:is>
      </x:c>
      <x:c r="D8" s="10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14" customWidth="1"/>
    <x:col min="3" max="3" width="15" customWidth="1"/>
    <x:col min="4" max="4" width="22" customWidth="1"/>
    <x:col min="5" max="5" width="16" customWidth="1"/>
    <x:col min="6" max="6" width="24" customWidth="1"/>
    <x:col min="7" max="7" width="18" customWidth="1"/>
    <x:col min="8" max="8" width="65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Risk Level</x:t>
        </x:is>
      </x:c>
      <x:c r="C1" s="77" t="inlineStr">
        <x:is>
          <x:t xml:space="preserve">Multiplier</x:t>
        </x:is>
      </x:c>
      <x:c r="D1" s="77" t="inlineStr">
        <x:is>
          <x:t xml:space="preserve">Penalty</x:t>
        </x:is>
      </x:c>
      <x:c r="E1" s="77" t="inlineStr">
        <x:is>
          <x:t xml:space="preserve">Pre-Risk Score</x:t>
        </x:is>
      </x:c>
      <x:c r="F1" s="77" t="inlineStr">
        <x:is>
          <x:t xml:space="preserve">Final Score</x:t>
        </x:is>
      </x:c>
      <x:c r="G1" s="77" t="inlineStr">
        <x:is>
          <x:t xml:space="preserve">Rationale</x:t>
        </x:is>
      </x:c>
      <x:c r="H1" s="77" t="inlineStr">
        <x:is>
          <x:t xml:space="preserve">Source URLs / verification links</x:t>
        </x:is>
      </x:c>
    </x:row>
    <x:row r="2" ht="32" customHeight="1">
      <x:c r="A2" s="10" t="inlineStr">
        <x:is>
          <x:t xml:space="preserve">Alief ISD</x:t>
        </x:is>
      </x:c>
      <x:c r="B2" s="10" t="inlineStr">
        <x:is>
          <x:t xml:space="preserve">Moderate</x:t>
        </x:is>
      </x:c>
      <x:c r="C2" s="87" t="n">
        <x:v>0.9</x:v>
      </x:c>
      <x:c r="D2" s="10" t="inlineStr">
        <x:is>
          <x:t xml:space="preserve">10% reduction</x:t>
        </x:is>
      </x:c>
      <x:c r="E2" s="87" t="n">
        <x:v>54.14196859151437</x:v>
      </x:c>
      <x:c r="F2" s="87" t="n">
        <x:v>48.72777173236293</x:v>
      </x:c>
      <x:c r="G2" s="10" t="inlineStr">
        <x:is>
          <x:t xml:space="preserve">10% employment-stability penalty due to enrollment-loss pressure, charter competition, and budget-cut concerns.</x:t>
        </x:is>
      </x:c>
      <x:c r="H2" s="10" t="inlineStr">
        <x:is>
          <x:t xml:space="preserve">https://www.houstonlanding.org/i-want-to-fight-alief-isd-confronts-enrollment-losses-charter-growth-as-budget-cuts-loom/</x:t>
        </x:is>
      </x:c>
    </x:row>
    <x:row r="3" ht="32" customHeight="1">
      <x:c r="A3" s="10" t="inlineStr">
        <x:is>
          <x:t xml:space="preserve">Arcadia Unified School District</x:t>
        </x:is>
      </x:c>
      <x:c r="B3" s="10" t="inlineStr">
        <x:is>
          <x:t xml:space="preserve">High</x:t>
        </x:is>
      </x:c>
      <x:c r="C3" s="87" t="n">
        <x:v>0.85</x:v>
      </x:c>
      <x:c r="D3" s="10" t="inlineStr">
        <x:is>
          <x:t xml:space="preserve">15% reduction</x:t>
        </x:is>
      </x:c>
      <x:c r="E3" s="87" t="n">
        <x:v>41.95689195560352</x:v>
      </x:c>
      <x:c r="F3" s="87" t="n">
        <x:v>35.66335816226299</x:v>
      </x:c>
      <x:c r="G3" s="10" t="inlineStr">
        <x:is>
          <x:t xml:space="preserve">15% employment-stability penalty because district budget updates indicated teacher-layoff risk unless local funding support fills the gap.</x:t>
        </x:is>
      </x:c>
      <x:c r="H3" s="10" t="inlineStr">
        <x:is>
          <x:t xml:space="preserve">https://www.ausd.net/apps/pages/index.jsp?pREC_ID=1287273&amp;type=d&amp;uREC_ID=965712</x:t>
        </x:is>
      </x:c>
    </x:row>
    <x:row r="4" ht="32" customHeight="1">
      <x:c r="A4" s="10" t="inlineStr">
        <x:is>
          <x:t xml:space="preserve">Austin ISD</x:t>
        </x:is>
      </x:c>
      <x:c r="B4" s="10" t="inlineStr">
        <x:is>
          <x:t xml:space="preserve">Severe</x:t>
        </x:is>
      </x:c>
      <x:c r="C4" s="87" t="n">
        <x:v>0.8</x:v>
      </x:c>
      <x:c r="D4" s="10" t="inlineStr">
        <x:is>
          <x:t xml:space="preserve">20% reduction</x:t>
        </x:is>
      </x:c>
      <x:c r="E4" s="87" t="n">
        <x:v>49.64850484984653</x:v>
      </x:c>
      <x:c r="F4" s="87" t="n">
        <x:v>39.71880387987723</x:v>
      </x:c>
      <x:c r="G4" s="10" t="inlineStr">
        <x:is>
          <x:t xml:space="preserve">20% employment-stability penalty due to very large projected budget gap, planned job cuts, school-closure discussions, and possible governance/fiscal instability.</x:t>
        </x:is>
      </x:c>
      <x:c r="H4" s="10" t="inlineStr">
        <x:is>
          <x:t xml:space="preserve">https://www.kut.org/education/2026-06-03/austins-isd-budget-cuts-teachers-librarians-police | https://www.austinisd.org/budget | https://www.axios.com/local/austin/2026/06/10/austin-public-schools-state-takeover</x:t>
        </x:is>
      </x:c>
    </x:row>
    <x:row r="5" ht="32" customHeight="1">
      <x:c r="A5" s="10" t="inlineStr">
        <x:is>
          <x:t xml:space="preserve">Barbers Hill ISD</x:t>
        </x:is>
      </x:c>
      <x:c r="B5" s="10" t="inlineStr">
        <x:is>
          <x:t xml:space="preserve">Stable / growth district</x:t>
        </x:is>
      </x:c>
      <x:c r="C5" s="87" t="n">
        <x:v>1</x:v>
      </x:c>
      <x:c r="D5" s="10" t="inlineStr">
        <x:is>
          <x:t xml:space="preserve">No reduction</x:t>
        </x:is>
      </x:c>
      <x:c r="E5" s="87" t="n">
        <x:v>59.35206930848928</x:v>
      </x:c>
      <x:c r="F5" s="87" t="n">
        <x:v>59.35206930848928</x:v>
      </x:c>
      <x:c r="G5" s="10" t="inlineStr">
        <x:is>
          <x:t xml:space="preserve">No current employment-stability penalty applied. Barbers Hill is a fast-growth district; Texas Tribune reports enrollment of 8,088 students in 2026, up 59.1% since 2016, and no reliable public evidence of broad layoffs/closures was found in this pass.</x:t>
        </x:is>
      </x:c>
      <x:c r="H5" s="10" t="inlineStr">
        <x:is>
          <x:t xml:space="preserve">https://schools.texastribune.org/districts/barbers-hill-isd/ ; https://www.bhisd.net/departments/finance/finance-information ; https://www.bhisd.net/</x:t>
        </x:is>
      </x:c>
    </x:row>
    <x:row r="6" ht="32" customHeight="1">
      <x:c r="A6" s="10" t="inlineStr">
        <x:is>
          <x:t xml:space="preserve">Canyons School District</x:t>
        </x:is>
      </x:c>
      <x:c r="B6" s="10" t="inlineStr">
        <x:is>
          <x:t xml:space="preserve">Moderate</x:t>
        </x:is>
      </x:c>
      <x:c r="C6" s="87" t="n">
        <x:v>0.9</x:v>
      </x:c>
      <x:c r="D6" s="10" t="inlineStr">
        <x:is>
          <x:t xml:space="preserve">10% reduction</x:t>
        </x:is>
      </x:c>
      <x:c r="E6" s="87" t="n">
        <x:v>49.05373129963512</x:v>
      </x:c>
      <x:c r="F6" s="87" t="n">
        <x:v>44.14835816967161</x:v>
      </x:c>
      <x:c r="G6" s="10" t="inlineStr">
        <x:is>
          <x:t xml:space="preserve">10% employment-stability penalty due to declining enrollment and possible elementary-school changes/closures; no broad layoff evidence found in first pass.</x:t>
        </x:is>
      </x:c>
      <x:c r="H6" s="10" t="inlineStr">
        <x:is>
          <x:t xml:space="preserve">https://kutv.com/news/2news-investigates/8-canyons-district-schools-studied-for-potential-changes-as-enrollment-falls</x:t>
        </x:is>
      </x:c>
    </x:row>
    <x:row r="7" ht="32" customHeight="1">
      <x:c r="A7" s="10" t="inlineStr">
        <x:is>
          <x:t xml:space="preserve">Chandler Unified School District</x:t>
        </x:is>
      </x:c>
      <x:c r="B7" s="10" t="inlineStr">
        <x:is>
          <x:t xml:space="preserve">High</x:t>
        </x:is>
      </x:c>
      <x:c r="C7" s="87" t="n">
        <x:v>0.85</x:v>
      </x:c>
      <x:c r="D7" s="10" t="inlineStr">
        <x:is>
          <x:t xml:space="preserve">15% reduction</x:t>
        </x:is>
      </x:c>
      <x:c r="E7" s="87" t="n">
        <x:v>43.93029582168433</x:v>
      </x:c>
      <x:c r="F7" s="87" t="n">
        <x:v>37.34075144843167</x:v>
      </x:c>
      <x:c r="G7" s="10" t="inlineStr">
        <x:is>
          <x:t xml:space="preserve">15% employment-stability penalty due to declining enrollment, budget shortfall, and staffing-reduction/job-cut plan.</x:t>
        </x:is>
      </x:c>
      <x:c r="H7" s="10" t="inlineStr">
        <x:is>
          <x:t xml:space="preserve"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x:t>
        </x:is>
      </x:c>
    </x:row>
    <x:row r="8" ht="32" customHeight="1">
      <x:c r="A8" s="10" t="inlineStr">
        <x:is>
          <x:t xml:space="preserve">Chapel Hill-Carrboro City Schools</x:t>
        </x:is>
      </x:c>
      <x:c r="B8" s="10" t="inlineStr">
        <x:is>
          <x:t xml:space="preserve">High</x:t>
        </x:is>
      </x:c>
      <x:c r="C8" s="87" t="n">
        <x:v>0.85</x:v>
      </x:c>
      <x:c r="D8" s="10" t="inlineStr">
        <x:is>
          <x:t xml:space="preserve">15% reduction</x:t>
        </x:is>
      </x:c>
      <x:c r="E8" s="87" t="n">
        <x:v>55.56879436709167</x:v>
      </x:c>
      <x:c r="F8" s="87" t="n">
        <x:v>47.23347521202792</x:v>
      </x:c>
      <x:c r="G8" s="10" t="inlineStr">
        <x:is>
          <x:t xml:space="preserve">15% employment-stability penalty due to staff cuts, school-closure discussions, declining enrollment, and budget shortfall concerns.</x:t>
        </x:is>
      </x:c>
      <x:c r="H8" s="10" t="inlineStr">
        <x:is>
          <x:t xml:space="preserve">https://www.wunc.org/education/2026-04-10/chapel-hill-carrboro-schools-cuts-staff | https://www.axios.com/local/raleigh/2026/02/13/chapel-hill-carrboro-city-schools-closure-north-carolina</x:t>
        </x:is>
      </x:c>
    </x:row>
    <x:row r="9" ht="32" customHeight="1">
      <x:c r="A9" s="10" t="inlineStr">
        <x:is>
          <x:t xml:space="preserve">Cherry Creek School District</x:t>
        </x:is>
      </x:c>
      <x:c r="B9" s="10" t="inlineStr">
        <x:is>
          <x:t xml:space="preserve">High</x:t>
        </x:is>
      </x:c>
      <x:c r="C9" s="87" t="n">
        <x:v>0.85</x:v>
      </x:c>
      <x:c r="D9" s="10" t="inlineStr">
        <x:is>
          <x:t xml:space="preserve">15% reduction</x:t>
        </x:is>
      </x:c>
      <x:c r="E9" s="87" t="n">
        <x:v>63.75935866914843</x:v>
      </x:c>
      <x:c r="F9" s="87" t="n">
        <x:v>54.19545486877617</x:v>
      </x:c>
      <x:c r="G9" s="10" t="inlineStr">
        <x:is>
          <x:t xml:space="preserve">15% employment-stability penalty due to announced job reductions and districtwide budget-cut plan.</x:t>
        </x:is>
      </x:c>
      <x:c r="H9" s="10" t="inlineStr">
        <x:is>
          <x:t xml:space="preserve"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x:t>
        </x:is>
      </x:c>
    </x:row>
    <x:row r="10" ht="32" customHeight="1">
      <x:c r="A10" s="10" t="inlineStr">
        <x:is>
          <x:t xml:space="preserve">Chicago Public Schools</x:t>
        </x:is>
      </x:c>
      <x:c r="B10" s="10" t="inlineStr">
        <x:is>
          <x:t xml:space="preserve">High</x:t>
        </x:is>
      </x:c>
      <x:c r="C10" s="87" t="n">
        <x:v>0.85</x:v>
      </x:c>
      <x:c r="D10" s="10" t="inlineStr">
        <x:is>
          <x:t xml:space="preserve">15% reduction</x:t>
        </x:is>
      </x:c>
      <x:c r="E10" s="87" t="n">
        <x:v>65.70553464936386</x:v>
      </x:c>
      <x:c r="F10" s="87" t="n">
        <x:v>55.84970445195928</x:v>
      </x:c>
      <x:c r="G10" s="10" t="inlineStr">
        <x:is>
          <x:t xml:space="preserve">15% employment-stability penalty due to structural deficit and reported teacher-position reductions / higher class-size planning.</x:t>
        </x:is>
      </x:c>
      <x:c r="H10" s="10" t="inlineStr">
        <x:is>
          <x:t xml:space="preserve">https://www.wbez.org/education/2026/05/12/cps-plans-cut-teacher-positions-raise-class-sizes-shrink-723-million-deficit | https://www.chalkbeat.org/chicago/2026/05/12/chicago-public-schools-releases-school-budgets/</x:t>
        </x:is>
      </x:c>
    </x:row>
    <x:row r="11" ht="32" customHeight="1">
      <x:c r="A11" s="10" t="inlineStr">
        <x:is>
          <x:t xml:space="preserve">Denver Public Schools</x:t>
        </x:is>
      </x:c>
      <x:c r="B11" s="10" t="inlineStr">
        <x:is>
          <x:t xml:space="preserve">Moderate</x:t>
        </x:is>
      </x:c>
      <x:c r="C11" s="87" t="n">
        <x:v>0.9</x:v>
      </x:c>
      <x:c r="D11" s="10" t="inlineStr">
        <x:is>
          <x:t xml:space="preserve">10% reduction</x:t>
        </x:is>
      </x:c>
      <x:c r="E11" s="87" t="n">
        <x:v>62.23383302719893</x:v>
      </x:c>
      <x:c r="F11" s="87" t="n">
        <x:v>56.01044972447904</x:v>
      </x:c>
      <x:c r="G11" s="10" t="inlineStr">
        <x:is>
          <x:t xml:space="preserve">10% employment-stability penalty due to central-office layoffs, declining enrollment pressure, and warnings about possible additional school closures.</x:t>
        </x:is>
      </x:c>
      <x:c r="H11" s="10" t="inlineStr">
        <x:is>
          <x:t xml:space="preserve">https://coloradosun.com/2025/02/28/denver-public-schools-lays-off-38-central-office-staff-which-will-save-the-district-5-million-a-year/ | https://www.chalkbeat.org/colorado/2026/05/13/denver-public-schools-budget-need-for-more-school-closures/</x:t>
        </x:is>
      </x:c>
    </x:row>
    <x:row r="12" ht="32" customHeight="1">
      <x:c r="A12" s="10" t="inlineStr">
        <x:is>
          <x:t xml:space="preserve">Eanes ISD</x:t>
        </x:is>
      </x:c>
      <x:c r="B12" s="10" t="inlineStr">
        <x:is>
          <x:t xml:space="preserve">Moderate</x:t>
        </x:is>
      </x:c>
      <x:c r="C12" s="87" t="n">
        <x:v>0.9</x:v>
      </x:c>
      <x:c r="D12" s="10" t="inlineStr">
        <x:is>
          <x:t xml:space="preserve">10% reduction</x:t>
        </x:is>
      </x:c>
      <x:c r="E12" s="87" t="n">
        <x:v>35.57291324224143</x:v>
      </x:c>
      <x:c r="F12" s="87" t="n">
        <x:v>32.01562191801729</x:v>
      </x:c>
      <x:c r="G12" s="10" t="inlineStr">
        <x:is>
          <x:t xml:space="preserve">10% employment-stability penalty due to shortfall concerns, consolidation/closure actions, and cost-saving measures; recent cuts may partially stabilize the outlook.</x:t>
        </x:is>
      </x:c>
      <x:c r="H12" s="10" t="inlineStr">
        <x:is>
          <x:t xml:space="preserve"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x:t>
        </x:is>
      </x:c>
    </x:row>
    <x:row r="13" ht="32" customHeight="1">
      <x:c r="A13" s="10" t="inlineStr">
        <x:is>
          <x:t xml:space="preserve">Flagstaff Unified School District</x:t>
        </x:is>
      </x:c>
      <x:c r="B13" s="10" t="inlineStr">
        <x:is>
          <x:t xml:space="preserve">Moderate</x:t>
        </x:is>
      </x:c>
      <x:c r="C13" s="87" t="n">
        <x:v>0.9</x:v>
      </x:c>
      <x:c r="D13" s="10" t="inlineStr">
        <x:is>
          <x:t xml:space="preserve">10% reduction</x:t>
        </x:is>
      </x:c>
      <x:c r="E13" s="87" t="n">
        <x:v>45.39155327373001</x:v>
      </x:c>
      <x:c r="F13" s="87" t="n">
        <x:v>40.85239794635701</x:v>
      </x:c>
      <x:c r="G13" s="10" t="inlineStr">
        <x:is>
          <x:t xml:space="preserve">10% employment-stability penalty due to enrollment/funding stress, long-term financial-planning concerns, and override dependence.</x:t>
        </x:is>
      </x:c>
      <x:c r="H13" s="10" t="inlineStr">
        <x:is>
          <x:t xml:space="preserve">https://www.fusd1.org/fusd-long-term-financial-planning | https://www.instagram.com/reel/DWhltMJkgW5/</x:t>
        </x:is>
      </x:c>
    </x:row>
    <x:row r="14" ht="32" customHeight="1">
      <x:c r="A14" s="10" t="inlineStr">
        <x:is>
          <x:t xml:space="preserve">Glendale Union High School District</x:t>
        </x:is>
      </x:c>
      <x:c r="B14" s="10" t="inlineStr">
        <x:is>
          <x:t xml:space="preserve">Watchlist</x:t>
        </x:is>
      </x:c>
      <x:c r="C14" s="87" t="n">
        <x:v>0.95</x:v>
      </x:c>
      <x:c r="D14" s="10" t="inlineStr">
        <x:is>
          <x:t xml:space="preserve">5% reduction</x:t>
        </x:is>
      </x:c>
      <x:c r="E14" s="87" t="n">
        <x:v>46.82196046112283</x:v>
      </x:c>
      <x:c r="F14" s="87" t="n">
        <x:v>44.48086243806669</x:v>
      </x:c>
      <x:c r="G14" s="10" t="inlineStr">
        <x:is>
          <x:t xml:space="preserve">5% watchlist penalty because current layoff evidence is unclear; Arizona override/funding exposure should be monitored.</x:t>
        </x:is>
      </x:c>
      <x:c r="H14" s="10" t="inlineStr">
        <x:is>
          <x:t xml:space="preserve">https://ballotpedia.org/Elementary_and_Secondary_School_Emergency_Relief_%28ESSER%29_allocation_and_expenditures_by_district_in_Arizona</x:t>
        </x:is>
      </x:c>
    </x:row>
    <x:row r="15" ht="32" customHeight="1">
      <x:c r="A15" s="10" t="inlineStr">
        <x:is>
          <x:t xml:space="preserve">Glendora Unified School District</x:t>
        </x:is>
      </x:c>
      <x:c r="B15" s="10" t="inlineStr">
        <x:is>
          <x:t xml:space="preserve">Watchlist</x:t>
        </x:is>
      </x:c>
      <x:c r="C15" s="87" t="n">
        <x:v>0.95</x:v>
      </x:c>
      <x:c r="D15" s="10" t="inlineStr">
        <x:is>
          <x:t xml:space="preserve">5% reduction</x:t>
        </x:is>
      </x:c>
      <x:c r="E15" s="87" t="n">
        <x:v>57.16421805049661</x:v>
      </x:c>
      <x:c r="F15" s="87" t="n">
        <x:v>54.30600714797178</x:v>
      </x:c>
      <x:c r="G15" s="10" t="inlineStr">
        <x:is>
          <x:t xml:space="preserve">5% watchlist penalty because current layoff evidence is unclear; needs official budget/interim report verification.</x:t>
        </x:is>
      </x:c>
      <x:c r="H15" s="10" t="inlineStr">
        <x:is>
          <x:t xml:space="preserve">https://patch.com/california/glendora/glendora-unified-approves-30-teacher-layoffs</x:t>
        </x:is>
      </x:c>
    </x:row>
    <x:row r="16" ht="32" customHeight="1">
      <x:c r="A16" s="10" t="inlineStr">
        <x:is>
          <x:t xml:space="preserve">High</x:t>
        </x:is>
      </x:c>
      <x:c r="B16" s="10" t="inlineStr">
        <x:is>
          <x:t xml:space="preserve">0.85</x:t>
        </x:is>
      </x:c>
      <x:c r="C16" s="87" t="inlineStr">
        <x:is>
          <x:t xml:space="preserve">Active layoffs, teacher/classified cuts, major deficit, school closures, or serious labor/process concerns.</x:t>
        </x:is>
      </x:c>
      <x:c r="D16" s="10" t="n">
        <x:v>40</x:v>
      </x:c>
      <x:c r="E16" s="87" t="n"/>
      <x:c r="F16" s="87" t="n"/>
      <x:c r="G16" s="10" t="n"/>
      <x:c r="H16" s="10" t="n"/>
    </x:row>
    <x:row r="17" ht="32" customHeight="1">
      <x:c r="A17" s="10" t="inlineStr">
        <x:is>
          <x:t xml:space="preserve">Jordan District</x:t>
        </x:is>
      </x:c>
      <x:c r="B17" s="10" t="inlineStr">
        <x:is>
          <x:t xml:space="preserve">Stable / no current evidence</x:t>
        </x:is>
      </x:c>
      <x:c r="C17" s="87" t="n">
        <x:v>1</x:v>
      </x:c>
      <x:c r="D17" s="10" t="inlineStr">
        <x:is>
          <x:t xml:space="preserve">No reduction</x:t>
        </x:is>
      </x:c>
      <x:c r="E17" s="87" t="n">
        <x:v>51.83100182744845</x:v>
      </x:c>
      <x:c r="F17" s="87" t="n">
        <x:v>51.83100182744845</x:v>
      </x:c>
      <x:c r="G17" s="10" t="inlineStr">
        <x:is>
          <x:t xml:space="preserve">No current employment-stability penalty applied; first-pass research did not find reliable current layoff evidence.</x:t>
        </x:is>
      </x:c>
      <x:c r="H17" s="10" t="inlineStr">
        <x:is>
          <x:t xml:space="preserve">https://policy.jordandistrict.org/sub/layoffs/</x:t>
        </x:is>
      </x:c>
    </x:row>
    <x:row r="18" ht="32" customHeight="1">
      <x:c r="A18" s="10" t="inlineStr">
        <x:is>
          <x:t xml:space="preserve">Katy ISD</x:t>
        </x:is>
      </x:c>
      <x:c r="B18" s="10" t="inlineStr">
        <x:is>
          <x:t xml:space="preserve">Moderate</x:t>
        </x:is>
      </x:c>
      <x:c r="C18" s="87" t="n">
        <x:v>0.9</x:v>
      </x:c>
      <x:c r="D18" s="10" t="inlineStr">
        <x:is>
          <x:t xml:space="preserve">10% reduction</x:t>
        </x:is>
      </x:c>
      <x:c r="E18" s="87" t="n">
        <x:v>60.54435471003932</x:v>
      </x:c>
      <x:c r="F18" s="87" t="n">
        <x:v>54.48991923903539</x:v>
      </x:c>
      <x:c r="G18" s="10" t="inlineStr">
        <x:is>
          <x:t xml:space="preserve">10% employment-stability penalty due to budget pressure and staffing-reduction risk, partly mitigated by attrition/vacancy-based approach.</x:t>
        </x:is>
      </x:c>
      <x:c r="H18" s="10" t="inlineStr">
        <x:is>
          <x:t xml:space="preserve">https://communityimpact.com/houston/katy-fulshear/education/2026/03/26/katy-isd-could-face-a-net-staffing-reduction-for-2026-27-school-year/ | https://coveringkaty.com/education/katy-isd-facing-29-million-budget-shortfall-after-fewer-stud/</x:t>
        </x:is>
      </x:c>
    </x:row>
    <x:row r="19" ht="32" customHeight="1">
      <x:c r="A19" s="10" t="inlineStr">
        <x:is>
          <x:t xml:space="preserve">La Cañada Unified School District</x:t>
        </x:is>
      </x:c>
      <x:c r="B19" s="10" t="inlineStr">
        <x:is>
          <x:t xml:space="preserve">Stable / no current evidence</x:t>
        </x:is>
      </x:c>
      <x:c r="C19" s="87" t="n">
        <x:v>1</x:v>
      </x:c>
      <x:c r="D19" s="10" t="inlineStr">
        <x:is>
          <x:t xml:space="preserve">No reduction</x:t>
        </x:is>
      </x:c>
      <x:c r="E19" s="87" t="n">
        <x:v>35.65690686235816</x:v>
      </x:c>
      <x:c r="F19" s="87" t="n">
        <x:v>35.65690686235816</x:v>
      </x:c>
      <x:c r="G19" s="10" t="inlineStr">
        <x:is>
          <x:t xml:space="preserve">No current employment-stability penalty applied; first-pass research did not find reliable current layoff evidence.</x:t>
        </x:is>
      </x:c>
      <x:c r="H19" s="10" t="inlineStr">
        <x:is>
          <x:t xml:space="preserve">https://www.instagram.com/p/DNYlKjBPR6o/</x:t>
        </x:is>
      </x:c>
    </x:row>
    <x:row r="20" ht="32" customHeight="1">
      <x:c r="A20" s="10" t="inlineStr">
        <x:is>
          <x:t xml:space="preserve">Lake Washington School District</x:t>
        </x:is>
      </x:c>
      <x:c r="B20" s="10" t="inlineStr">
        <x:is>
          <x:t xml:space="preserve">WA</x:t>
        </x:is>
      </x:c>
      <x:c r="C20" s="87" t="inlineStr">
        <x:is>
          <x:t xml:space="preserve">Watchlist / declining enrollment and budget pressure</x:t>
        </x:is>
      </x:c>
      <x:c r="D20" s="10" t="n">
        <x:v>0.95</x:v>
      </x:c>
      <x:c r="E20" s="87" t="n">
        <x:v>75</x:v>
      </x:c>
      <x:c r="F20" s="87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  <x:c r="G20" s="10" t="inlineStr">
        <x:is>
          <x:t xml:space="preserve">First-pass public-source screening; verify with adopted budget, board packets, audit/ACFR, enrollment trend, and union/HR notices before final scoring.</x:t>
        </x:is>
      </x:c>
      <x:c r="H20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</x:row>
    <x:row r="21" ht="32" customHeight="1">
      <x:c r="A21" s="10" t="inlineStr">
        <x:is>
          <x:t xml:space="preserve">Leander ISD</x:t>
        </x:is>
      </x:c>
      <x:c r="B21" s="10" t="inlineStr">
        <x:is>
          <x:t xml:space="preserve">Moderate</x:t>
        </x:is>
      </x:c>
      <x:c r="C21" s="87" t="n">
        <x:v>0.9</x:v>
      </x:c>
      <x:c r="D21" s="10" t="inlineStr">
        <x:is>
          <x:t xml:space="preserve">10% reduction</x:t>
        </x:is>
      </x:c>
      <x:c r="E21" s="87" t="n">
        <x:v>54.83036058423205</x:v>
      </x:c>
      <x:c r="F21" s="87" t="n">
        <x:v>49.34732452580884</x:v>
      </x:c>
      <x:c r="G21" s="1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  <x:c r="H21" s="10" t="inlineStr">
        <x:is>
          <x:t xml:space="preserve">https://www.statesman.com/news/local/article/leander-school-closure-steiner-ranch-faubion-21237195.php</x:t>
        </x:is>
      </x:c>
    </x:row>
    <x:row r="22" ht="32" customHeight="1">
      <x:c r="A22" s="10" t="inlineStr">
        <x:is>
          <x:t xml:space="preserve">Los Angeles Unified</x:t>
        </x:is>
      </x:c>
      <x:c r="B22" s="10" t="inlineStr">
        <x:is>
          <x:t xml:space="preserve">Severe</x:t>
        </x:is>
      </x:c>
      <x:c r="C22" s="87" t="n">
        <x:v>0.8</x:v>
      </x:c>
      <x:c r="D22" s="10" t="inlineStr">
        <x:is>
          <x:t xml:space="preserve">20% reduction</x:t>
        </x:is>
      </x:c>
      <x:c r="E22" s="87" t="n">
        <x:v>44.99808972674602</x:v>
      </x:c>
      <x:c r="F22" s="87" t="n">
        <x:v>35.99847178139682</x:v>
      </x:c>
      <x:c r="G22" s="10" t="inlineStr">
        <x:is>
          <x:t xml:space="preserve">20% employment-stability penalty due to large-scale job-loss reports, approved layoffs, fiscal-stability planning, and possible multi-year reductions/closures/furloughs.</x:t>
        </x:is>
      </x:c>
      <x:c r="H22" s="10" t="inlineStr">
        <x:is>
          <x:t xml:space="preserve"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x:t>
        </x:is>
      </x:c>
    </x:row>
    <x:row r="23" ht="32" customHeight="1">
      <x:c r="A23" s="10" t="inlineStr">
        <x:is>
          <x:t xml:space="preserve">Madison Metropolitan School District</x:t>
        </x:is>
      </x:c>
      <x:c r="B23" s="10" t="inlineStr">
        <x:is>
          <x:t xml:space="preserve">Low / Unknown</x:t>
        </x:is>
      </x:c>
      <x:c r="C23" s="87" t="n">
        <x:v>1</x:v>
      </x:c>
      <x:c r="D23" s="10" t="inlineStr">
        <x:is>
          <x:t xml:space="preserve">No reduction</x:t>
        </x:is>
      </x:c>
      <x:c r="E23" s="87" t="n">
        <x:v>69.7929527230429</x:v>
      </x:c>
      <x:c r="F23" s="87" t="n">
        <x:v>69.7929527230429</x:v>
      </x:c>
      <x:c r="G23" s="10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  <x:c r="H23" s="10" t="inlineStr">
        <x:is>
          <x:t xml:space="preserve">https://www.madison.k12.wi.us/about</x:t>
        </x:is>
      </x:c>
    </x:row>
    <x:row r="24" ht="32" customHeight="1">
      <x:c r="A24" s="10" t="inlineStr">
        <x:is>
          <x:t xml:space="preserve">Metro Nashville Public Schools</x:t>
        </x:is>
      </x:c>
      <x:c r="B24" s="10" t="inlineStr">
        <x:is>
          <x:t xml:space="preserve">Watchlist</x:t>
        </x:is>
      </x:c>
      <x:c r="C24" s="87" t="n">
        <x:v>0.95</x:v>
      </x:c>
      <x:c r="D24" s="10" t="inlineStr">
        <x:is>
          <x:t xml:space="preserve">5% reduction</x:t>
        </x:is>
      </x:c>
      <x:c r="E24" s="87" t="n">
        <x:v>55.30663504648043</x:v>
      </x:c>
      <x:c r="F24" s="87" t="n">
        <x:v>52.54130329415641</x:v>
      </x:c>
      <x:c r="G24" s="10" t="inlineStr">
        <x:is>
          <x:t xml:space="preserve">5% watchlist penalty due to budget-pressure reporting tied to expiring federal aid/funding issues, without strong current broad-layoff evidence.</x:t>
        </x:is>
      </x:c>
      <x:c r="H24" s="10" t="inlineStr">
        <x:is>
          <x:t xml:space="preserve">https://fox17.com/news/crisis-in-the-classroom/nashville-schools-face-funding-issues-as-federal-aid-ends-mayor-seeks-14-billion</x:t>
        </x:is>
      </x:c>
    </x:row>
    <x:row r="25" ht="32" customHeight="1">
      <x:c r="A25" s="10" t="inlineStr">
        <x:is>
          <x:t xml:space="preserve">Moderate</x:t>
        </x:is>
      </x:c>
      <x:c r="B25" s="10" t="inlineStr">
        <x:is>
          <x:t xml:space="preserve">0.90</x:t>
        </x:is>
      </x:c>
      <x:c r="C25" s="87" t="inlineStr">
        <x:is>
          <x:t xml:space="preserve">Cuts, closures, attrition-based reductions, central-office layoffs, or notable enrollment/funding pressure.</x:t>
        </x:is>
      </x:c>
      <x:c r="D25" s="10" t="n">
        <x:v>60</x:v>
      </x:c>
      <x:c r="E25" s="87" t="n"/>
      <x:c r="F25" s="87" t="n"/>
      <x:c r="G25" s="10" t="n"/>
      <x:c r="H25" s="10" t="n"/>
    </x:row>
    <x:row r="26" ht="32" customHeight="1">
      <x:c r="A26" s="10" t="inlineStr">
        <x:is>
          <x:t xml:space="preserve">Nassau County School District</x:t>
        </x:is>
      </x:c>
      <x:c r="B26" s="10" t="inlineStr">
        <x:is>
          <x:t xml:space="preserve">FL</x:t>
        </x:is>
      </x:c>
      <x:c r="C26" s="87" t="inlineStr">
        <x:is>
          <x:t xml:space="preserve">Stable / no current layoff evidence found</x:t>
        </x:is>
      </x:c>
      <x:c r="D26" s="10" t="n">
        <x:v>1</x:v>
      </x:c>
      <x:c r="E26" s="87" t="n">
        <x:v>100</x:v>
      </x:c>
      <x:c r="F26" s="87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  <x:c r="G26" s="10" t="inlineStr">
        <x:is>
          <x:t xml:space="preserve">First-pass public-source screening; verify with adopted budget, board packets, audit/ACFR, enrollment trend, and union/HR notices before final scoring.</x:t>
        </x:is>
      </x:c>
      <x:c r="H26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</x:row>
    <x:row r="27" ht="32" customHeight="1">
      <x:c r="A27" s="10" t="inlineStr">
        <x:is>
          <x:t xml:space="preserve">North Clackamas School District</x:t>
        </x:is>
      </x:c>
      <x:c r="B27" s="10" t="inlineStr">
        <x:is>
          <x:t xml:space="preserve">Watchlist</x:t>
        </x:is>
      </x:c>
      <x:c r="C27" s="87" t="n">
        <x:v>0.95</x:v>
      </x:c>
      <x:c r="D27" s="10" t="inlineStr">
        <x:is>
          <x:t xml:space="preserve">5% reduction</x:t>
        </x:is>
      </x:c>
      <x:c r="E27" s="87" t="n">
        <x:v>63.20901507872207</x:v>
      </x:c>
      <x:c r="F27" s="87" t="n">
        <x:v>60.04856432478596</x:v>
      </x:c>
      <x:c r="G27" s="10" t="inlineStr">
        <x:is>
          <x:t xml:space="preserve">5% watchlist penalty due to Portland-area funding climate and active budget review; no strong current broad layoff evidence found in first pass.</x:t>
        </x:is>
      </x:c>
      <x:c r="H27" s="10" t="inlineStr">
        <x:is>
          <x:t xml:space="preserve">https://www.nclack.k12.or.us/departments/superintendent/community-conversations</x:t>
        </x:is>
      </x:c>
    </x:row>
    <x:row r="28" ht="32" customHeight="1">
      <x:c r="A28" s="10" t="inlineStr">
        <x:is>
          <x:t xml:space="preserve">Oakland Unified School District</x:t>
        </x:is>
      </x:c>
      <x:c r="B28" s="10" t="inlineStr">
        <x:is>
          <x:t xml:space="preserve">Severe</x:t>
        </x:is>
      </x:c>
      <x:c r="C28" s="87" t="n">
        <x:v>0.8</x:v>
      </x:c>
      <x:c r="D28" s="10" t="inlineStr">
        <x:is>
          <x:t xml:space="preserve">20% reduction</x:t>
        </x:is>
      </x:c>
      <x:c r="E28" s="87" t="n">
        <x:v>55.02176051036216</x:v>
      </x:c>
      <x:c r="F28" s="87" t="n">
        <x:v>44.01740840828973</x:v>
      </x:c>
      <x:c r="G28" s="10" t="inlineStr">
        <x:is>
          <x:t xml:space="preserve">20% employment-stability penalty due to major deficit, approved large-scale layoffs, and labor/fiscal instability concerns.</x:t>
        </x:is>
      </x:c>
      <x:c r="H28" s="10" t="inlineStr">
        <x:is>
          <x:t xml:space="preserve"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x:t>
        </x:is>
      </x:c>
    </x:row>
    <x:row r="29" ht="32" customHeight="1">
      <x:c r="A29" s="10" t="inlineStr">
        <x:is>
          <x:t xml:space="preserve">Ocean Springs School District</x:t>
        </x:is>
      </x:c>
      <x:c r="B29" s="10" t="inlineStr">
        <x:is>
          <x:t xml:space="preserve">Stable / no current evidence</x:t>
        </x:is>
      </x:c>
      <x:c r="C29" s="87" t="n">
        <x:v>1</x:v>
      </x:c>
      <x:c r="D29" s="10" t="inlineStr">
        <x:is>
          <x:t xml:space="preserve">No reduction</x:t>
        </x:is>
      </x:c>
      <x:c r="E29" s="87" t="n">
        <x:v>46.29657386835493</x:v>
      </x:c>
      <x:c r="F29" s="87" t="n">
        <x:v>46.29657386835493</x:v>
      </x:c>
      <x:c r="G29" s="10" t="inlineStr">
        <x:is>
          <x:t xml:space="preserve">No current employment-stability penalty applied; first-pass research did not find reliable current layoff evidence.</x:t>
        </x:is>
      </x:c>
      <x:c r="H29" s="10" t="n"/>
    </x:row>
    <x:row r="30" ht="32" customHeight="1">
      <x:c r="A30" s="10" t="inlineStr">
        <x:is>
          <x:t xml:space="preserve">Oxnard Union High School District</x:t>
        </x:is>
      </x:c>
      <x:c r="B30" s="10" t="inlineStr">
        <x:is>
          <x:t xml:space="preserve">High</x:t>
        </x:is>
      </x:c>
      <x:c r="C30" s="87" t="n">
        <x:v>0.85</x:v>
      </x:c>
      <x:c r="D30" s="10" t="inlineStr">
        <x:is>
          <x:t xml:space="preserve">15% reduction</x:t>
        </x:is>
      </x:c>
      <x:c r="E30" s="87" t="n">
        <x:v>60.10823094164839</x:v>
      </x:c>
      <x:c r="F30" s="87" t="n">
        <x:v>51.09199630040114</x:v>
      </x:c>
      <x:c r="G30" s="10" t="inlineStr">
        <x:is>
          <x:t xml:space="preserve">15% employment-stability penalty due to formal budget-stabilization planning and reported job-cut risk.</x:t>
        </x:is>
      </x:c>
      <x:c r="H30" s="10" t="inlineStr">
        <x:is>
          <x:t xml:space="preserve">https://www.oxnardunion.org/fs/resource-manager/view/6d05e87b-c4eb-4c75-b310-43c668c06ab7</x:t>
        </x:is>
      </x:c>
    </x:row>
    <x:row r="31" ht="32" customHeight="1">
      <x:c r="A31" s="10" t="inlineStr">
        <x:is>
          <x:t xml:space="preserve">Portland Public Schools</x:t>
        </x:is>
      </x:c>
      <x:c r="B31" s="10" t="inlineStr">
        <x:is>
          <x:t xml:space="preserve">High</x:t>
        </x:is>
      </x:c>
      <x:c r="C31" s="87" t="n">
        <x:v>0.85</x:v>
      </x:c>
      <x:c r="D31" s="10" t="inlineStr">
        <x:is>
          <x:t xml:space="preserve">15% reduction</x:t>
        </x:is>
      </x:c>
      <x:c r="E31" s="87" t="n">
        <x:v>74.34901166976235</x:v>
      </x:c>
      <x:c r="F31" s="87" t="n">
        <x:v>63.19665991929799</x:v>
      </x:c>
      <x:c r="G31" s="10" t="inlineStr">
        <x:is>
          <x:t xml:space="preserve">15% employment-stability penalty retained due to active budget shortfall, furlough context, layoff notices, and labor grievance/process concerns.</x:t>
        </x:is>
      </x:c>
      <x:c r="H31" s="10" t="inlineStr">
        <x:is>
          <x:t xml:space="preserve"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x:t>
        </x:is>
      </x:c>
    </x:row>
    <x:row r="32" ht="32" customHeight="1">
      <x:c r="A32" s="10" t="inlineStr">
        <x:is>
          <x:t xml:space="preserve">Provo City School District</x:t>
        </x:is>
      </x:c>
      <x:c r="B32" s="10" t="inlineStr">
        <x:is>
          <x:t xml:space="preserve">Moderate</x:t>
        </x:is>
      </x:c>
      <x:c r="C32" s="87" t="n">
        <x:v>0.9</x:v>
      </x:c>
      <x:c r="D32" s="10" t="inlineStr">
        <x:is>
          <x:t xml:space="preserve">10% reduction</x:t>
        </x:is>
      </x:c>
      <x:c r="E32" s="87" t="n">
        <x:v>50.4604130298924</x:v>
      </x:c>
      <x:c r="F32" s="87" t="n">
        <x:v>45.41437172690316</x:v>
      </x:c>
      <x:c r="G32" s="10" t="inlineStr">
        <x:is>
          <x:t xml:space="preserve">10% employment-stability penalty due to active budget-reduction discussions and enrollment/funding challenges.</x:t>
        </x:is>
      </x:c>
      <x:c r="H32" s="10" t="inlineStr">
        <x:is>
          <x:t xml:space="preserve">https://provo.edu/updates-from-board-meeting-and-budget-discussions/</x:t>
        </x:is>
      </x:c>
    </x:row>
    <x:row r="33" ht="32" customHeight="1">
      <x:c r="A33" s="10" t="inlineStr">
        <x:is>
          <x:t xml:space="preserve">Royal ISD</x:t>
        </x:is>
      </x:c>
      <x:c r="B33" s="10" t="inlineStr">
        <x:is>
          <x:t xml:space="preserve">Stable / no current evidence</x:t>
        </x:is>
      </x:c>
      <x:c r="C33" s="87" t="n">
        <x:v>1</x:v>
      </x:c>
      <x:c r="D33" s="10" t="inlineStr">
        <x:is>
          <x:t xml:space="preserve">No reduction</x:t>
        </x:is>
      </x:c>
      <x:c r="E33" s="87" t="n">
        <x:v>50.53221983710008</x:v>
      </x:c>
      <x:c r="F33" s="87" t="n">
        <x:v>50.53221983710008</x:v>
      </x:c>
      <x:c r="G33" s="10" t="inlineStr">
        <x:is>
          <x:t xml:space="preserve">No current employment-stability penalty applied; first-pass research did not find reliable current layoff evidence.</x:t>
        </x:is>
      </x:c>
      <x:c r="H33" s="10" t="n"/>
    </x:row>
    <x:row r="34" ht="32" customHeight="1">
      <x:c r="A34" s="10" t="inlineStr">
        <x:is>
          <x:t xml:space="preserve">Saint Helena Unified School District</x:t>
        </x:is>
      </x:c>
      <x:c r="B34" s="10" t="inlineStr">
        <x:is>
          <x:t xml:space="preserve">Stable / no current evidence</x:t>
        </x:is>
      </x:c>
      <x:c r="C34" s="87" t="n">
        <x:v>1</x:v>
      </x:c>
      <x:c r="D34" s="10" t="inlineStr">
        <x:is>
          <x:t xml:space="preserve">No reduction</x:t>
        </x:is>
      </x:c>
      <x:c r="E34" s="87" t="n">
        <x:v>47.23484206928539</x:v>
      </x:c>
      <x:c r="F34" s="87" t="n">
        <x:v>47.23484206928539</x:v>
      </x:c>
      <x:c r="G34" s="10" t="inlineStr">
        <x:is>
          <x:t xml:space="preserve">No current employment-stability penalty applied; first-pass research did not find reliable current layoff evidence.</x:t>
        </x:is>
      </x:c>
      <x:c r="H34" s="10" t="inlineStr">
        <x:is>
          <x:t xml:space="preserve">https://www.sthelenaunified.org/73718_3</x:t>
        </x:is>
      </x:c>
    </x:row>
    <x:row r="35" ht="32" customHeight="1">
      <x:c r="A35" s="10" t="inlineStr">
        <x:is>
          <x:t xml:space="preserve">Salt Lake School District</x:t>
        </x:is>
      </x:c>
      <x:c r="B35" s="10" t="inlineStr">
        <x:is>
          <x:t xml:space="preserve">Watchlist</x:t>
        </x:is>
      </x:c>
      <x:c r="C35" s="10" t="n">
        <x:v>0.95</x:v>
      </x:c>
      <x:c r="D35" s="10" t="inlineStr">
        <x:is>
          <x:t xml:space="preserve">5% reduction</x:t>
        </x:is>
      </x:c>
      <x:c r="E35" s="10" t="n">
        <x:v>63.37409059967043</x:v>
      </x:c>
      <x:c r="F35" s="10" t="n">
        <x:v>60.20538606968691</x:v>
      </x:c>
      <x:c r="G35" s="10" t="inlineStr">
        <x:is>
          <x:t xml:space="preserve">5% watchlist penalty due to strained funding/program cuts, but no strong current evidence of broad teacher layoffs.</x:t>
        </x:is>
      </x:c>
      <x:c r="H35" s="10" t="inlineStr">
        <x:is>
          <x:t xml:space="preserve"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x:t>
        </x:is>
      </x:c>
    </x:row>
    <x:row r="36" ht="32" customHeight="1">
      <x:c r="A36" s="10" t="inlineStr">
        <x:is>
          <x:t xml:space="preserve">San Antonio ISD</x:t>
        </x:is>
      </x:c>
      <x:c r="B36" s="10" t="inlineStr">
        <x:is>
          <x:t xml:space="preserve">High</x:t>
        </x:is>
      </x:c>
      <x:c r="C36" s="10" t="n">
        <x:v>0.85</x:v>
      </x:c>
      <x:c r="D36" s="10" t="inlineStr">
        <x:is>
          <x:t xml:space="preserve">15% reduction</x:t>
        </x:is>
      </x:c>
      <x:c r="E36" s="10" t="n">
        <x:v>50.77167822941198</x:v>
      </x:c>
      <x:c r="F36" s="10" t="n">
        <x:v>43.15592649500018</x:v>
      </x:c>
      <x:c r="G36" s="10" t="inlineStr">
        <x:is>
          <x:t xml:space="preserve">15% employment-stability penalty due to major deficit, school closures, declining enrollment, hiring freeze/cuts, and staffing-reduction risk.</x:t>
        </x:is>
      </x:c>
      <x:c r="H36" s="10" t="inlineStr">
        <x:is>
          <x:t xml:space="preserve">https://sanantonioreport.org/2026-budget-cuts-saisd-cut-food-drives-hiring-freeze/ | https://www.expressnews.com/news/education/article/san-antonio-isd-budget-cuts-staffing-22079601.php</x:t>
        </x:is>
      </x:c>
    </x:row>
    <x:row r="37" ht="32" customHeight="1">
      <x:c r="A37" s="34" t="inlineStr">
        <x:is>
          <x:t xml:space="preserve">San Diego Unified School District</x:t>
        </x:is>
      </x:c>
      <x:c r="B37" s="34" t="inlineStr">
        <x:is>
          <x:t xml:space="preserve">High</x:t>
        </x:is>
      </x:c>
      <x:c r="C37" s="34" t="n">
        <x:v>0.85</x:v>
      </x:c>
      <x:c r="D37" s="10" t="inlineStr">
        <x:is>
          <x:t xml:space="preserve">15% reduction</x:t>
        </x:is>
      </x:c>
      <x:c r="E37" s="10" t="n">
        <x:v>54.06616414248633</x:v>
      </x:c>
      <x:c r="F37" s="10" t="n">
        <x:v>45.95623952111338</x:v>
      </x:c>
      <x:c r="G37" s="10" t="inlineStr">
        <x:is>
          <x:t xml:space="preserve">15% employment-stability penalty due to active budget stress and classified layoff notices.</x:t>
        </x:is>
      </x:c>
      <x:c r="H37" s="10" t="inlineStr">
        <x:is>
          <x:t xml:space="preserve">https://www.nbcsandiego.com/news/local/san-diego-unified-school-district-layoffs/3990321/ | https://sandiegounified.org/about/budget/2026-27_budget_information</x:t>
        </x:is>
      </x:c>
    </x:row>
    <x:row r="38" ht="32" customHeight="1">
      <x:c r="A38" s="10" t="inlineStr">
        <x:is>
          <x:t xml:space="preserve">San Jose Unified School District</x:t>
        </x:is>
      </x:c>
      <x:c r="B38" s="10" t="inlineStr">
        <x:is>
          <x:t xml:space="preserve">Moderate</x:t>
        </x:is>
      </x:c>
      <x:c r="C38" s="10" t="n">
        <x:v>0.9</x:v>
      </x:c>
      <x:c r="D38" s="10" t="inlineStr">
        <x:is>
          <x:t xml:space="preserve">10% reduction</x:t>
        </x:is>
      </x:c>
      <x:c r="E38" s="10" t="n">
        <x:v>53.9741912649293</x:v>
      </x:c>
      <x:c r="F38" s="10" t="n">
        <x:v>48.57677213843638</x:v>
      </x:c>
      <x:c r="G38" s="10" t="inlineStr">
        <x:is>
          <x:t xml:space="preserve">10% employment-stability penalty due to school-closure risk and declining-enrollment pressure.</x:t>
        </x:is>
      </x:c>
      <x:c r="H38" s="10" t="inlineStr">
        <x:is>
          <x:t xml:space="preserve">https://sanjosespotlight.com/news/policy/education/page/2/</x:t>
        </x:is>
      </x:c>
    </x:row>
    <x:row r="39" ht="32" customHeight="1">
      <x:c r="A39" s="10" t="inlineStr">
        <x:is>
          <x:t xml:space="preserve">Severe</x:t>
        </x:is>
      </x:c>
      <x:c r="B39" s="10" t="inlineStr">
        <x:is>
          <x:t xml:space="preserve">0.80</x:t>
        </x:is>
      </x:c>
      <x:c r="C39" s="10" t="inlineStr">
        <x:is>
          <x:t xml:space="preserve">Large-scale layoffs, very large structural deficit, fiscal/governance crisis, or major closure/cut program.</x:t>
        </x:is>
      </x:c>
      <x:c r="D39" s="10" t="n">
        <x:v>25</x:v>
      </x:c>
      <x:c r="E39" s="10" t="n"/>
      <x:c r="F39" s="10" t="n"/>
      <x:c r="G39" s="10" t="n"/>
      <x:c r="H39" s="10" t="n"/>
    </x:row>
    <x:row r="40" ht="32" customHeight="1">
      <x:c r="A40" s="10" t="inlineStr">
        <x:is>
          <x:t xml:space="preserve">South Pasadena Unified School District</x:t>
        </x:is>
      </x:c>
      <x:c r="B40" s="10" t="inlineStr">
        <x:is>
          <x:t xml:space="preserve">Watchlist</x:t>
        </x:is>
      </x:c>
      <x:c r="C40" s="10" t="n">
        <x:v>0.95</x:v>
      </x:c>
      <x:c r="D40" s="10" t="inlineStr">
        <x:is>
          <x:t xml:space="preserve">5% reduction</x:t>
        </x:is>
      </x:c>
      <x:c r="E40" s="10" t="n">
        <x:v>51.15838871408938</x:v>
      </x:c>
      <x:c r="F40" s="10" t="n">
        <x:v>48.60046927838491</x:v>
      </x:c>
      <x:c r="G40" s="10" t="inlineStr">
        <x:is>
          <x:t xml:space="preserve">5% watchlist penalty because current evidence is limited; older cuts are stale but budget risk should still be monitored.</x:t>
        </x:is>
      </x:c>
      <x:c r="H40" s="10" t="inlineStr">
        <x:is>
          <x:t xml:space="preserve">https://southpasadenan.com/board-of-education-to-vote-on-landmark-budget-spusd-faces-layoffs-in-face-of-shortfall/ | https://tigernewspaper.com/sphs-lays-off-two-teachers-anticipating-smaller-incoming-class-size/</x:t>
        </x:is>
      </x:c>
    </x:row>
    <x:row r="41" ht="32" customHeight="1">
      <x:c r="A41" s="10" t="inlineStr">
        <x:is>
          <x:t xml:space="preserve">Stability band</x:t>
        </x:is>
      </x:c>
      <x:c r="B41" s="10" t="inlineStr">
        <x:is>
          <x:t xml:space="preserve">Multiplier</x:t>
        </x:is>
      </x:c>
      <x:c r="C41" s="10" t="inlineStr">
        <x:is>
          <x:t xml:space="preserve">Meaning</x:t>
        </x:is>
      </x:c>
      <x:c r="D41" s="10" t="inlineStr">
        <x:is>
          <x:t xml:space="preserve">Display Score</x:t>
        </x:is>
      </x:c>
      <x:c r="E41" s="10" t="n"/>
      <x:c r="F41" s="10" t="n"/>
      <x:c r="G41" s="10" t="n"/>
      <x:c r="H41" s="10" t="n"/>
    </x:row>
    <x:row r="42" ht="32" customHeight="1">
      <x:c r="A42" s="10" t="inlineStr">
        <x:is>
          <x:t xml:space="preserve">Stable / no current evidence</x:t>
        </x:is>
      </x:c>
      <x:c r="B42" s="10" t="inlineStr">
        <x:is>
          <x:t xml:space="preserve">1.00</x:t>
        </x:is>
      </x:c>
      <x:c r="C42" s="10" t="inlineStr">
        <x:is>
          <x:t xml:space="preserve">No penalty; first-pass scan found no reliable current layoff/deficit evidence.</x:t>
        </x:is>
      </x:c>
      <x:c r="D42" s="10" t="n">
        <x:v>100</x:v>
      </x:c>
      <x:c r="E42" s="10" t="n"/>
      <x:c r="F42" s="10" t="n"/>
      <x:c r="G42" s="10" t="n"/>
      <x:c r="H42" s="10" t="n"/>
    </x:row>
    <x:row r="43" ht="32" customHeight="1">
      <x:c r="A43" s="10" t="inlineStr">
        <x:is>
          <x:t xml:space="preserve">Syosset Central School District</x:t>
        </x:is>
      </x:c>
      <x:c r="B43" s="10" t="inlineStr">
        <x:is>
          <x:t xml:space="preserve">Stable / no current evidence</x:t>
        </x:is>
      </x:c>
      <x:c r="C43" s="87" t="n">
        <x:v>1</x:v>
      </x:c>
      <x:c r="D43" s="10" t="inlineStr">
        <x:is>
          <x:t xml:space="preserve">No reduction</x:t>
        </x:is>
      </x:c>
      <x:c r="E43" s="87" t="n">
        <x:v>62.38697849121127</x:v>
      </x:c>
      <x:c r="F43" s="87" t="n">
        <x:v>62.38697849121127</x:v>
      </x:c>
      <x:c r="G43" s="10" t="inlineStr">
        <x:is>
          <x:t xml:space="preserve">No current employment-stability penalty applied; first-pass research did not find reliable current layoff evidence.</x:t>
        </x:is>
      </x:c>
      <x:c r="H43" s="10" t="inlineStr">
        <x:is>
          <x:t xml:space="preserve">https://citizenportal.ai/articles/6239455/new-york/school-districts/syosset-central-school-district/board-grants-tenure-to-more-than-70-staff-members-in-single-action</x:t>
        </x:is>
      </x:c>
    </x:row>
    <x:row r="44" ht="32" customHeight="1">
      <x:c r="A44" s="10" t="inlineStr">
        <x:is>
          <x:t xml:space="preserve">Watchlist</x:t>
        </x:is>
      </x:c>
      <x:c r="B44" s="10" t="inlineStr">
        <x:is>
          <x:t xml:space="preserve">0.95</x:t>
        </x:is>
      </x:c>
      <x:c r="C44" s="87" t="inlineStr">
        <x:is>
          <x:t xml:space="preserve">Budget pressure, enrollment decline, or stale/unclear risk, but no strong current evidence of broad layoffs.</x:t>
        </x:is>
      </x:c>
      <x:c r="D44" s="10" t="n">
        <x:v>75</x:v>
      </x:c>
      <x:c r="E44" s="87" t="n"/>
      <x:c r="F44" s="87" t="n"/>
      <x:c r="G44" s="10" t="n"/>
      <x:c r="H44" s="10" t="n"/>
    </x:row>
    <x:row r="45" ht="24" customHeight="1">
      <x:c r="A45" s="7" t="n"/>
      <x:c r="B45" s="7" t="n"/>
      <x:c r="C45" s="7" t="n"/>
      <x:c r="D45" s="7" t="n"/>
      <x:c r="E45" s="94" t="n"/>
      <x:c r="F45" s="7" t="n"/>
      <x:c r="G45" s="7" t="n"/>
      <x:c r="H45" s="7" t="n"/>
    </x:row>
    <x:row r="46" ht="24" customHeight="1">
      <x:c r="A46" s="7" t="n"/>
      <x:c r="B46" s="7" t="n"/>
      <x:c r="C46" s="7" t="n"/>
      <x:c r="D46" s="7" t="n"/>
      <x:c r="E46" s="94" t="n"/>
      <x:c r="F46" s="7" t="n"/>
      <x:c r="G46" s="7" t="n"/>
      <x:c r="H46" s="7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Topic</x:t>
        </x:is>
      </x:c>
      <x:c r="B1" s="77" t="inlineStr">
        <x:is>
          <x:t xml:space="preserve">Finding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Employment contract</x:t>
        </x:is>
      </x:c>
      <x:c r="B2" s="10" t="inlineStr">
        <x:is>
          <x:t xml:space="preserve">Scarsdale Teachers Association contract runs July 1, 2024 through June 30, 2028; MOA states salary schedule increases for 2025-26.</x:t>
        </x:is>
      </x:c>
      <x:c r="C2" s="10" t="inlineStr">
        <x:is>
          <x:t xml:space="preserve">https://www.scarsdaleschools.k12.ny.us/119192_3 ; https://go.boarddocs.com/ny/scarsdale/Board.nsf/files/D5WQJL66FCE9/%24file/MOA%20with%20Scarsdale%20Teachers%20Association%20%28STA%29.pdf</x:t>
        </x:is>
      </x:c>
      <x:c r="D2" s="10" t="inlineStr">
        <x:is>
          <x:t xml:space="preserve">Salary schedule estimated from 2021-22 schedule and 2024-2028 MOA/search-result values; verify against final 2026-27 schedule if published separately.</x:t>
        </x:is>
      </x:c>
    </x:row>
    <x:row r="3" ht="32" customHeight="1">
      <x:c r="A3" s="10" t="inlineStr">
        <x:is>
          <x:t xml:space="preserve">Budget / stability</x:t>
        </x:is>
      </x:c>
      <x:c r="B3" s="10" t="inlineStr">
        <x:is>
          <x:t xml:space="preserve">2026-27 budget is tax-cap constrained but not in a crisis pattern; district notes reductions needed and prefers attrition over layoffs where possible.</x:t>
        </x:is>
      </x:c>
      <x:c r="C3" s="10" t="inlineStr">
        <x:is>
          <x:t xml:space="preserve">https://www.scarsdaleschools.org/index.php?articleID=74973066&amp;pageID=smartSiteFeed&amp;psqFeed=true</x:t>
        </x:is>
      </x:c>
      <x:c r="D3" s="10" t="inlineStr">
        <x:is>
          <x:t xml:space="preserve">Used to classify as stable / no current layoff penalty, but with a note that this should be rechecked annually.</x:t>
        </x:is>
      </x:c>
    </x:row>
    <x:row r="4" ht="32" customHeight="1">
      <x:c r="A4" s="10" t="inlineStr">
        <x:is>
          <x:t xml:space="preserve">Enrollment / staffing</x:t>
        </x:is>
      </x:c>
      <x:c r="B4" s="10" t="inlineStr">
        <x:is>
          <x:t xml:space="preserve">NCES lists 4,713 students, 420.60 classroom teachers, and student-teacher ratio of 11.21 for 2024-25.</x:t>
        </x:is>
      </x:c>
      <x:c r="C4" s="10" t="inlineStr">
        <x:is>
          <x:t xml:space="preserve">https://nces.ed.gov/ccd/districtsearch/district_detail.asp?ID2=3625950</x:t>
        </x:is>
      </x:c>
      <x:c r="D4" s="10" t="inlineStr">
        <x:is>
          <x:t xml:space="preserve">Used for student-teacher ratio and profile counts.</x:t>
        </x:is>
      </x:c>
    </x:row>
    <x:row r="5" ht="32" customHeight="1">
      <x:c r="A5" s="10" t="inlineStr">
        <x:is>
          <x:t xml:space="preserve">Housing</x:t>
        </x:is>
      </x:c>
      <x:c r="B5" s="10" t="inlineStr">
        <x:is>
          <x:t xml:space="preserve">Redfin reports Scarsdale median sale price of $2,088,750 and median sale price per square foot of $752 over the three months ending May 2026.</x:t>
        </x:is>
      </x:c>
      <x:c r="C5" s="10" t="inlineStr">
        <x:is>
          <x:t xml:space="preserve">https://www.redfin.com/city/16773/NY/Scarsdale/housing-market</x:t>
        </x:is>
      </x:c>
      <x:c r="D5" s="10" t="inlineStr">
        <x:is>
          <x:t xml:space="preserve">Used for home price and PPSF.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Realtor.com reports Scarsdale median rent at $5.5K/month.</x:t>
        </x:is>
      </x:c>
      <x:c r="C6" s="10" t="inlineStr">
        <x:is>
          <x:t xml:space="preserve">https://www.realtor.com/local/market/new-york/westchester-county/scarsdale</x:t>
        </x:is>
      </x:c>
      <x:c r="D6" s="10" t="inlineStr">
        <x:is>
          <x:t xml:space="preserve">Used for median rent; Zillow all-property rent was much higher, so this is a conservative/high but not extreme input.</x:t>
        </x:is>
      </x:c>
    </x:row>
    <x:row r="7" ht="32" customHeight="1">
      <x:c r="A7" s="10" t="inlineStr">
        <x:is>
          <x:t xml:space="preserve">Substitute pay</x:t>
        </x:is>
      </x:c>
      <x:c r="B7" s="10" t="inlineStr">
        <x:is>
          <x:t xml:space="preserve">Indeed estimates Scarsdale Public Schools substitute teacher daily pay at approximately $163.</x:t>
        </x:is>
      </x:c>
      <x:c r="C7" s="10" t="inlineStr">
        <x:is>
          <x:t xml:space="preserve">https://www.indeed.com/cmp/Scarsdale-Public-Schools/salaries/Substitute-Teacher/Scarsdale-NY</x:t>
        </x:is>
      </x:c>
      <x:c r="D7" s="10" t="inlineStr">
        <x:is>
          <x:t xml:space="preserve">Not official; mark for later verification from HR posting or board packet.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Topic</x:t>
        </x:is>
      </x:c>
      <x:c r="B1" s="77" t="inlineStr">
        <x:is>
          <x:t xml:space="preserve">Finding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2025-26 salary plan starts at $66,000; year 10 is $77,498; year 20 is $89,352; year 40 is $99,802.</x:t>
        </x:is>
      </x:c>
      <x:c r="C2" s="10" t="inlineStr">
        <x:is>
          <x:t xml:space="preserve">https://www.bhisd.net/fs/resource-manager/view/dbc34877-69be-4721-8aaf-96c8ce9f200f</x:t>
        </x:is>
      </x:c>
      <x:c r="D2" s="10" t="inlineStr">
        <x:is>
          <x:t xml:space="preserve">Official Barbers Hill ISD salary plan; no separate BA/MA lane was found, so the prototype uses the same schedule for Bachelor's and Master's until a degree-specific schedule is verified.</x:t>
        </x:is>
      </x:c>
    </x:row>
    <x:row r="3" ht="32" customHeight="1">
      <x:c r="A3" s="10" t="inlineStr">
        <x:is>
          <x:t xml:space="preserve">Average teacher pay</x:t>
        </x:is>
      </x:c>
      <x:c r="B3" s="10" t="inlineStr">
        <x:is>
          <x:t xml:space="preserve">Texas Tribune reports Barbers Hill's base average teaching salary was $80,786 in 2025.</x:t>
        </x:is>
      </x:c>
      <x:c r="C3" s="10" t="inlineStr">
        <x:is>
          <x:t xml:space="preserve">https://schools.texastribune.org/districts/barbers-hill-isd/teacher-salary/</x:t>
        </x:is>
      </x:c>
      <x:c r="D3" s="10" t="inlineStr">
        <x:is>
          <x:t xml:space="preserve">Used as a cross-check that Barbers Hill is a high-paying Texas district.</x:t>
        </x:is>
      </x:c>
    </x:row>
    <x:row r="4" ht="32" customHeight="1">
      <x:c r="A4" s="10" t="inlineStr">
        <x:is>
          <x:t xml:space="preserve">Enrollment / stability</x:t>
        </x:is>
      </x:c>
      <x:c r="B4" s="10" t="inlineStr">
        <x:is>
          <x:t xml:space="preserve">Texas Tribune reports 8,088 students in 2026, up 59.1% since 2016; district has 9 campuses.</x:t>
        </x:is>
      </x:c>
      <x:c r="C4" s="10" t="inlineStr">
        <x:is>
          <x:t xml:space="preserve">https://schools.texastribune.org/districts/barbers-hill-isd/</x:t>
        </x:is>
      </x:c>
      <x:c r="D4" s="10" t="inlineStr">
        <x:is>
          <x:t xml:space="preserve">Used to classify the district as stable/growth rather than declining-enrollment risk.</x:t>
        </x:is>
      </x:c>
    </x:row>
    <x:row r="5" ht="32" customHeight="1">
      <x:c r="A5" s="10" t="inlineStr">
        <x:is>
          <x:t xml:space="preserve">Student-teacher ratio</x:t>
        </x:is>
      </x:c>
      <x:c r="B5" s="10" t="inlineStr">
        <x:is>
          <x:t xml:space="preserve">Texas Tribune reports 13 students per teacher in 2025.</x:t>
        </x:is>
      </x:c>
      <x:c r="C5" s="10" t="inlineStr">
        <x:is>
          <x:t xml:space="preserve">https://schools.texastribune.org/districts/barbers-hill-isd/student-teacher/</x:t>
        </x:is>
      </x:c>
      <x:c r="D5" s="10" t="inlineStr">
        <x:is>
          <x:t xml:space="preserve">Used for the Student-Teacher Ratio input.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HAR/TEA-style profile lists 57.2% White, 32.1% Hispanic, 4.8% African American, 1.9% Asian, and 3.7% two or more races; Texas Tribune 2026 overview reports 56.1% White.</x:t>
        </x:is>
      </x:c>
      <x:c r="C6" s="10" t="inlineStr">
        <x:is>
          <x:t xml:space="preserve">https://www.har.com/school_district/barbers-hill-isd_036902 ; https://schools.texastribune.org/districts/barbers-hill-isd/demographics/</x:t>
        </x:is>
      </x:c>
      <x:c r="D6" s="10" t="inlineStr">
        <x:is>
          <x:t xml:space="preserve">Used full HAR breakdown for prototype inputs; Texas Tribune used as a current White-share cross-check.</x:t>
        </x:is>
      </x:c>
    </x:row>
    <x:row r="7" ht="32" customHeight="1">
      <x:c r="A7" s="10" t="inlineStr">
        <x:is>
          <x:t xml:space="preserve">Housing / rent</x:t>
        </x:is>
      </x:c>
      <x:c r="B7" s="10" t="inlineStr">
        <x:is>
          <x:t xml:space="preserve">Redfin reports Mont Belvieu median sale price of $457,726; Apartments.com reports average rent of $1,496 and two-bedroom rent around $1,745.</x:t>
        </x:is>
      </x:c>
      <x:c r="C7" s="10" t="inlineStr">
        <x:is>
          <x:t xml:space="preserve">https://www.redfin.com/city/12568/TX/Mont-Belvieu/housing-market ; https://www.apartments.com/rent-market-trends/mont-belvieu-tx/</x:t>
        </x:is>
      </x:c>
      <x:c r="D7" s="10" t="inlineStr">
        <x:is>
          <x:t xml:space="preserve">Prototype uses $1,496 as the rent input to align with apartment-rent style inputs used in prior rows; two-bedroom rent should be tracked as a possible alternate input.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Barbers Hill Substitute Info page lists Certified Classroom Teacher pay as $135/day.</x:t>
        </x:is>
      </x:c>
      <x:c r="C8" s="10" t="inlineStr">
        <x:is>
          <x:t xml:space="preserve">https://www.bhisd.net/departments/human-resources/substitute-infofrontline</x:t>
        </x:is>
      </x:c>
      <x:c r="D8" s="10" t="inlineStr">
        <x:is>
          <x:t xml:space="preserve">Used as Licensed Sub Pay.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salary schedule; BA/MA steps captured for years 0-10.</x:t>
        </x:is>
      </x:c>
      <x:c r="C2" s="10" t="inlineStr">
        <x:is>
          <x:t xml:space="preserve">https://media.cobbk12.org/media/WWWCobb/medialib/teacher-salary-schedule.56404f113440.pdf</x:t>
        </x:is>
      </x:c>
      <x:c r="D2" s="10" t="inlineStr">
        <x:is>
          <x:t xml:space="preserve">Schedule also lists substitute teacher pay at $150/day.</x:t>
        </x:is>
      </x:c>
    </x:row>
    <x:row r="3" ht="32" customHeight="1">
      <x:c r="A3" s="10" t="inlineStr">
        <x:is>
          <x:t xml:space="preserve">Schools / demographics</x:t>
        </x:is>
      </x:c>
      <x:c r="B3" s="10" t="inlineStr">
        <x:is>
          <x:t xml:space="preserve">District lists 66 elementary, 26 middle, 17 high, plus 3 other/specialty; student demographics from Georgia DOE October 2025 FTE Count.</x:t>
        </x:is>
      </x:c>
      <x:c r="C3" s="10" t="inlineStr">
        <x:is>
          <x:t xml:space="preserve">https://www.cobbk12.org/the-district</x:t>
        </x:is>
      </x:c>
      <x:c r="D3" s="10" t="inlineStr">
        <x:is>
          <x:t xml:space="preserve">Used for high school count and demographic balance.</x:t>
        </x:is>
      </x:c>
    </x:row>
    <x:row r="4" ht="32" customHeight="1">
      <x:c r="A4" s="10" t="inlineStr">
        <x:is>
          <x:t xml:space="preserve">Stability</x:t>
        </x:is>
      </x:c>
      <x:c r="B4" s="10" t="inlineStr">
        <x:is>
          <x:t xml:space="preserve">Budget messaging says no teacher layoffs; local reporting notes reductions handled through attrition/reassignment.</x:t>
        </x:is>
      </x:c>
      <x:c r="C4" s="10" t="inlineStr">
        <x:is>
          <x:t xml:space="preserve">https://www.cobbk12.org/cobb-schools-delivers-balanced-budget-focused-on-classrooms-safety-and-long-term-stability.128573</x:t>
        </x:is>
      </x:c>
      <x:c r="D4" s="10" t="inlineStr">
        <x:is>
          <x:t xml:space="preserve">Stability Score 100 for no current layoff evidence; monitor enrollment-driven staffing adjustments.</x:t>
        </x:is>
      </x:c>
    </x:row>
    <x:row r="5" ht="32" customHeight="1">
      <x:c r="A5" s="10" t="inlineStr">
        <x:is>
          <x:t xml:space="preserve">Ratio</x:t>
        </x:is>
      </x:c>
      <x:c r="B5" s="10" t="inlineStr">
        <x:is>
          <x:t xml:space="preserve">NCES 2024-25 reports 105,738 students, 7,518.80 classroom teachers, ratio 14.06.</x:t>
        </x:is>
      </x:c>
      <x:c r="C5" s="10" t="inlineStr">
        <x:is>
          <x:t xml:space="preserve">https://nces.ed.gov/ccd/districtsearch/district_detail.asp?ID2=1301290</x:t>
        </x:is>
      </x:c>
      <x:c r="D5" s="10" t="inlineStr">
        <x:is>
          <x:t xml:space="preserve">Used for student-teacher ratio.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Apartments.com June 2026 Marietta two-bedroom average rent.</x:t>
        </x:is>
      </x:c>
      <x:c r="C6" s="10" t="inlineStr">
        <x:is>
          <x:t xml:space="preserve">https://www.apartments.com/rent-market-trends/marietta-ga/</x:t>
        </x:is>
      </x:c>
      <x:c r="D6" s="10" t="inlineStr">
        <x:is>
          <x:t xml:space="preserve">Used $1,534 median rent proxy.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Redfin Marietta housing market; median sale price and $/sq ft.</x:t>
        </x:is>
      </x:c>
      <x:c r="C7" s="10" t="inlineStr">
        <x:is>
          <x:t xml:space="preserve">https://www.redfin.com/city/12766/GA/Marietta/housing-market</x:t>
        </x:is>
      </x:c>
      <x:c r="D7" s="10" t="inlineStr">
        <x:is>
          <x:t xml:space="preserve">Used $475,000 and $212/sq ft.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salary schedule; BA/MA steps captured for years 0-10.</x:t>
        </x:is>
      </x:c>
      <x:c r="C2" s="10" t="inlineStr">
        <x:is>
          <x:t xml:space="preserve">https://resources.finalsite.net/images/v1719000691/gcpsk12org/lmrrhx4bc5hdy3ivppap/2024-2025_Teacher_Salary_Scheduleeq.pdf</x:t>
        </x:is>
      </x:c>
      <x:c r="D2" s="10" t="inlineStr">
        <x:is>
          <x:t xml:space="preserve">Effective July 2025, 2025-26 school year.</x:t>
        </x:is>
      </x:c>
    </x:row>
    <x:row r="3" ht="32" customHeight="1">
      <x:c r="A3" s="10" t="inlineStr">
        <x:is>
          <x:t xml:space="preserve">Schools / demographics</x:t>
        </x:is>
      </x:c>
      <x:c r="B3" s="10" t="inlineStr">
        <x:is>
          <x:t xml:space="preserve">GCPS lists 81 elementary, 29 middle, 24 high, 7 special entities, 1 charter; racial/ethnic distribution October 2025.</x:t>
        </x:is>
      </x:c>
      <x:c r="C3" s="10" t="inlineStr">
        <x:is>
          <x:t xml:space="preserve">https://www.gcpsk12.org/about-us/gcps-by-the-numbers</x:t>
        </x:is>
      </x:c>
      <x:c r="D3" s="10" t="inlineStr">
        <x:is>
          <x:t xml:space="preserve">Used for high school count and demographic balance.</x:t>
        </x:is>
      </x:c>
    </x:row>
    <x:row r="4" ht="32" customHeight="1">
      <x:c r="A4" s="10" t="inlineStr">
        <x:is>
          <x:t xml:space="preserve">Sub pay</x:t>
        </x:is>
      </x:c>
      <x:c r="B4" s="10" t="inlineStr">
        <x:is>
          <x:t xml:space="preserve">GCPS substitute management page lists substitute teacher pay at $130/day.</x:t>
        </x:is>
      </x:c>
      <x:c r="C4" s="10" t="inlineStr">
        <x:is>
          <x:t xml:space="preserve">https://www.gcpsk12.org/about-us/careers/hr-support/substitute-management/general-information</x:t>
        </x:is>
      </x:c>
      <x:c r="D4" s="10" t="inlineStr">
        <x:is>
          <x:t xml:space="preserve">Extended substitute $150/day not used as base.</x:t>
        </x:is>
      </x:c>
    </x:row>
    <x:row r="5" ht="32" customHeight="1">
      <x:c r="A5" s="10" t="inlineStr">
        <x:is>
          <x:t xml:space="preserve">Ratio</x:t>
        </x:is>
      </x:c>
      <x:c r="B5" s="10" t="inlineStr">
        <x:is>
          <x:t xml:space="preserve">NCES 2024-25 reports 182,518 students, 12,796.10 classroom teachers, ratio 14.26.</x:t>
        </x:is>
      </x:c>
      <x:c r="C5" s="10" t="inlineStr">
        <x:is>
          <x:t xml:space="preserve">https://nces.ed.gov/ccd/districtsearch/district_detail.asp?ID2=1302550</x:t>
        </x:is>
      </x:c>
      <x:c r="D5" s="10" t="inlineStr">
        <x:is>
          <x:t xml:space="preserve">Used for student-teacher ratio.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Apartments.com June 2026 Lawrenceville two-bedroom average rent.</x:t>
        </x:is>
      </x:c>
      <x:c r="C6" s="10" t="inlineStr">
        <x:is>
          <x:t xml:space="preserve">https://www.apartments.com/rent-market-trends/lawrenceville-ga/</x:t>
        </x:is>
      </x:c>
      <x:c r="D6" s="10" t="inlineStr">
        <x:is>
          <x:t xml:space="preserve">Used $1,718 median rent proxy.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Redfin Lawrenceville housing market; median sale price and $/sq ft.</x:t>
        </x:is>
      </x:c>
      <x:c r="C7" s="10" t="inlineStr">
        <x:is>
          <x:t xml:space="preserve">https://www.redfin.com/city/11598/GA/Lawrenceville/housing-market</x:t>
        </x:is>
      </x:c>
      <x:c r="D7" s="10" t="inlineStr">
        <x:is>
          <x:t xml:space="preserve">Used $365,000 and $165/sq ft.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 / Use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FY2026 Teacher Salary Scale A used for BA and MA values at steps 1, 6, and 11.</x:t>
        </x:is>
      </x:c>
      <x:c r="C2" s="10" t="inlineStr">
        <x:is>
          <x:t xml:space="preserve">https://aptg.co/Pq3SSc</x:t>
        </x:is>
      </x:c>
      <x:c r="D2" s="10" t="inlineStr">
        <x:is>
          <x:t xml:space="preserve">LCPS official PDF, 197-day scale. Steps do not equate directly to years; prototype maps steps to experience bands consistently with other entries.</x:t>
        </x:is>
      </x:c>
    </x:row>
    <x:row r="3" ht="32" customHeight="1">
      <x:c r="A3" s="10" t="inlineStr">
        <x:is>
          <x:t xml:space="preserve">Compensation page</x:t>
        </x:is>
      </x:c>
      <x:c r="B3" s="10" t="inlineStr">
        <x:is>
          <x:t xml:space="preserve">Current LCPS classification/compensation page confirms FY2026 salary scale source.</x:t>
        </x:is>
      </x:c>
      <x:c r="C3" s="10" t="inlineStr">
        <x:is>
          <x:t xml:space="preserve">https://www.lcps.org/o/hr/page/classification-compensation</x:t>
        </x:is>
      </x:c>
      <x:c r="D3" s="10" t="inlineStr">
        <x:is>
          <x:t xml:space="preserve">Official LCPS HR page.</x:t>
        </x:is>
      </x:c>
    </x:row>
    <x:row r="4" ht="32" customHeight="1">
      <x:c r="A4" s="10" t="inlineStr">
        <x:is>
          <x:t xml:space="preserve">District size / total schools / ratio</x:t>
        </x:is>
      </x:c>
      <x:c r="B4" s="10" t="inlineStr">
        <x:is>
          <x:t xml:space="preserve">NCES lists LCPS with 102 schools, 81,486 students, 6,719.23 classroom teachers, and 12.13 student/teacher ratio.</x:t>
        </x:is>
      </x:c>
      <x:c r="C4" s="10" t="inlineStr">
        <x:is>
          <x:t xml:space="preserve">https://nces.ed.gov/ccd/districtsearch/district_detail.asp?ID2=5102250</x:t>
        </x:is>
      </x:c>
      <x:c r="D4" s="10" t="inlineStr">
        <x:is>
          <x:t xml:space="preserve">Used for total schools and student-teacher ratio.</x:t>
        </x:is>
      </x:c>
    </x:row>
    <x:row r="5" ht="32" customHeight="1">
      <x:c r="A5" s="10" t="inlineStr">
        <x:is>
          <x:t xml:space="preserve">Fact sheet</x:t>
        </x:is>
      </x:c>
      <x:c r="B5" s="10" t="inlineStr">
        <x:is>
          <x:t xml:space="preserve">LCPS fact sheet says the division serves more than 80,000 students and 13,000 employees across over 100 schools.</x:t>
        </x:is>
      </x:c>
      <x:c r="C5" s="10" t="inlineStr">
        <x:is>
          <x:t xml:space="preserve">https://aptg.co/Z7KZxN</x:t>
        </x:is>
      </x:c>
      <x:c r="D5" s="10" t="inlineStr">
        <x:is>
          <x:t xml:space="preserve">Used as supporting context.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Ashburn average two-bedroom rent used as median rent input: $2,680/month.</x:t>
        </x:is>
      </x:c>
      <x:c r="C6" s="10" t="inlineStr">
        <x:is>
          <x:t xml:space="preserve">https://www.apartments.com/rent-market-trends/ashburn-va/</x:t>
        </x:is>
      </x:c>
      <x:c r="D6" s="10" t="inlineStr">
        <x:is>
          <x:t xml:space="preserve">Updated June 2026.</x:t>
        </x:is>
      </x:c>
    </x:row>
    <x:row r="7" ht="32" customHeight="1">
      <x:c r="A7" s="10" t="inlineStr">
        <x:is>
          <x:t xml:space="preserve">Home price / price per sq ft</x:t>
        </x:is>
      </x:c>
      <x:c r="B7" s="10" t="inlineStr">
        <x:is>
          <x:t xml:space="preserve">Ashburn median sale price $679,593 and median sale price per square foot $309.</x:t>
        </x:is>
      </x:c>
      <x:c r="C7" s="10" t="inlineStr">
        <x:is>
          <x:t xml:space="preserve">https://www.redfin.com/city/29015/VA/Ashburn/housing-market</x:t>
        </x:is>
      </x:c>
      <x:c r="D7" s="10" t="inlineStr">
        <x:is>
          <x:t xml:space="preserve">Three months ending May 2026.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Licensed substitute rate listed as $135.03/day; loyalty/site-based/long-term rates are higher.</x:t>
        </x:is>
      </x:c>
      <x:c r="C8" s="10" t="inlineStr">
        <x:is>
          <x:t xml:space="preserve">https://www.ziprecruiter.com/c/Loudoun-County-Public-Schools/Job/Licensed-Substitute-Teacher/-in-Ashburn%2CVA?jid=e3e0bba7061d9b69</x:t>
        </x:is>
      </x:c>
      <x:c r="D8" s="10" t="inlineStr">
        <x:is>
          <x:t xml:space="preserve">Official job posting aggregation; verify directly if LCPS posts the rate document.</x:t>
        </x:is>
      </x:c>
    </x:row>
    <x:row r="9" ht="32" customHeight="1">
      <x:c r="A9" s="10" t="inlineStr">
        <x:is>
          <x:t xml:space="preserve">Stability / enrollment</x:t>
        </x:is>
      </x:c>
      <x:c r="B9" s="10" t="inlineStr">
        <x:is>
          <x:t xml:space="preserve">Local reporting says LCPS enrollment is projected to decline until 2031.</x:t>
        </x:is>
      </x:c>
      <x:c r="C9" s="10" t="inlineStr">
        <x:is>
          <x:t xml:space="preserve">https://wjla.com/news/local/loudoun-county-schools-student-enrollment-declines-operating-funds-school-board-recommendations-lcps-virginia-teacher-staff-positions-new-students-superintendent-aaron-spence-registration-issues-problems</x:t>
        </x:is>
      </x:c>
      <x:c r="D9" s="10" t="inlineStr">
        <x:is>
          <x:t xml:space="preserve">Used to assign watchlist rather than perfect stability.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Source Type</x:t>
        </x:is>
      </x:c>
      <x:c r="B1" s="77" t="inlineStr">
        <x:is>
          <x:t xml:space="preserve">Source / Citation</x:t>
        </x:is>
      </x:c>
      <x:c r="C1" s="77" t="inlineStr">
        <x:is>
          <x:t xml:space="preserve">What it supports</x:t>
        </x:is>
      </x:c>
      <x:c r="D1" s="77" t="inlineStr">
        <x:is>
          <x:t xml:space="preserve">URL</x:t>
        </x:is>
      </x:c>
    </x:row>
    <x:row r="2" ht="32" customHeight="1">
      <x:c r="A2" s="10" t="inlineStr">
        <x:is>
          <x:t xml:space="preserve">Official district salary schedule</x:t>
        </x:is>
      </x:c>
      <x:c r="B2" s="10" t="inlineStr">
        <x:is>
          <x:t xml:space="preserve">LWSD 2025-26 LWEA salary schedule</x:t>
        </x:is>
      </x:c>
      <x:c r="C2" s="10" t="inlineStr">
        <x:is>
          <x:t xml:space="preserve">Certificated salary schedule, BA/MA values</x:t>
        </x:is>
      </x:c>
      <x:c r="D2" s="10" t="inlineStr">
        <x:is>
          <x:t xml:space="preserve">https://www.lwsd.org/employment/teachers-certificated-employees/salary-schedules</x:t>
        </x:is>
      </x:c>
    </x:row>
    <x:row r="3" ht="32" customHeight="1">
      <x:c r="A3" s="10" t="inlineStr">
        <x:is>
          <x:t xml:space="preserve">Official substitute schedule</x:t>
        </x:is>
      </x:c>
      <x:c r="B3" s="10" t="inlineStr">
        <x:is>
          <x:t xml:space="preserve">LWSD 2025-26 substitute salary schedule</x:t>
        </x:is>
      </x:c>
      <x:c r="C3" s="10" t="inlineStr">
        <x:is>
          <x:t xml:space="preserve">Daily substitute pay $222</x:t>
        </x:is>
      </x:c>
      <x:c r="D3" s="10" t="inlineStr">
        <x:is>
          <x:t xml:space="preserve">https://resources.finalsite.net/images/v1754412729/lwsdorg/dgp3cdyawoq7kpbycc27/LWEASubTeacherSalSch25-2652925.pdf</x:t>
        </x:is>
      </x:c>
    </x:row>
    <x:row r="4" ht="32" customHeight="1">
      <x:c r="A4" s="10" t="inlineStr">
        <x:is>
          <x:t xml:space="preserve">NCES district detail</x:t>
        </x:is>
      </x:c>
      <x:c r="B4" s="10" t="inlineStr">
        <x:is>
          <x:t xml:space="preserve">Lake Washington School District district detail</x:t>
        </x:is>
      </x:c>
      <x:c r="C4" s="10" t="inlineStr">
        <x:is>
          <x:t xml:space="preserve">Students, teachers, student-teacher ratio, total schools</x:t>
        </x:is>
      </x:c>
      <x:c r="D4" s="10" t="inlineStr">
        <x:is>
          <x:t xml:space="preserve">https://nces.ed.gov/ccd/districtsearch/district_detail.asp?DistrictID=5304230</x:t>
        </x:is>
      </x:c>
    </x:row>
    <x:row r="5" ht="32" customHeight="1">
      <x:c r="A5" s="10" t="inlineStr">
        <x:is>
          <x:t xml:space="preserve">District enrollment/schools</x:t>
        </x:is>
      </x:c>
      <x:c r="B5" s="10" t="inlineStr">
        <x:is>
          <x:t xml:space="preserve">LWSD enrollment report and schools page</x:t>
        </x:is>
      </x:c>
      <x:c r="C5" s="10" t="inlineStr">
        <x:is>
          <x:t xml:space="preserve">High school count and enrollment context</x:t>
        </x:is>
      </x:c>
      <x:c r="D5" s="10" t="inlineStr">
        <x:is>
          <x:t xml:space="preserve">https://www.lwsd.org/about/enrollment-report</x:t>
        </x:is>
      </x:c>
    </x:row>
    <x:row r="6" ht="32" customHeight="1">
      <x:c r="A6" s="10" t="inlineStr">
        <x:is>
          <x:t xml:space="preserve">Rent source</x:t>
        </x:is>
      </x:c>
      <x:c r="B6" s="10" t="inlineStr">
        <x:is>
          <x:t xml:space="preserve">Apartments.com Redmond rent trends</x:t>
        </x:is>
      </x:c>
      <x:c r="C6" s="10" t="inlineStr">
        <x:is>
          <x:t xml:space="preserve">Median rent input</x:t>
        </x:is>
      </x:c>
      <x:c r="D6" s="10" t="inlineStr">
        <x:is>
          <x:t xml:space="preserve">https://www.apartments.com/rent-market-trends/redmond-wa/</x:t>
        </x:is>
      </x:c>
    </x:row>
    <x:row r="7" ht="32" customHeight="1">
      <x:c r="A7" s="10" t="inlineStr">
        <x:is>
          <x:t xml:space="preserve">Housing source</x:t>
        </x:is>
      </x:c>
      <x:c r="B7" s="10" t="inlineStr">
        <x:is>
          <x:t xml:space="preserve">Redfin Redmond housing market</x:t>
        </x:is>
      </x:c>
      <x:c r="C7" s="10" t="inlineStr">
        <x:is>
          <x:t xml:space="preserve">Median home price input</x:t>
        </x:is>
      </x:c>
      <x:c r="D7" s="10" t="inlineStr">
        <x:is>
          <x:t xml:space="preserve">https://www.redfin.com/city/14913/WA/Redmond/housing-market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Source Type</x:t>
        </x:is>
      </x:c>
      <x:c r="B1" s="77" t="inlineStr">
        <x:is>
          <x:t xml:space="preserve">Source / Citation</x:t>
        </x:is>
      </x:c>
      <x:c r="C1" s="77" t="inlineStr">
        <x:is>
          <x:t xml:space="preserve">What it supports</x:t>
        </x:is>
      </x:c>
      <x:c r="D1" s="77" t="inlineStr">
        <x:is>
          <x:t xml:space="preserve">URL</x:t>
        </x:is>
      </x:c>
    </x:row>
    <x:row r="2" ht="32" customHeight="1">
      <x:c r="A2" s="10" t="inlineStr">
        <x:is>
          <x:t xml:space="preserve">Official salary page</x:t>
        </x:is>
      </x:c>
      <x:c r="B2" s="10" t="inlineStr">
        <x:is>
          <x:t xml:space="preserve">Nassau County Instructional Salaries</x:t>
        </x:is>
      </x:c>
      <x:c r="C2" s="10" t="inlineStr">
        <x:is>
          <x:t xml:space="preserve">Salary schedule links and category context</x:t>
        </x:is>
      </x:c>
      <x:c r="D2" s="10" t="inlineStr">
        <x:is>
          <x:t xml:space="preserve">https://www.nassau.k12.fl.us/page/instructional-salaries</x:t>
        </x:is>
      </x:c>
    </x:row>
    <x:row r="3" ht="32" customHeight="1">
      <x:c r="A3" s="10" t="inlineStr">
        <x:is>
          <x:t xml:space="preserve">Collective bargaining PDF</x:t>
        </x:is>
      </x:c>
      <x:c r="B3" s="10" t="inlineStr">
        <x:is>
          <x:t xml:space="preserve">2024-2027 Nassau Teachers Association agreement</x:t>
        </x:is>
      </x:c>
      <x:c r="C3" s="10" t="inlineStr">
        <x:is>
          <x:t xml:space="preserve">2025-26 salary schedule and degree supplements</x:t>
        </x:is>
      </x:c>
      <x:c r="D3" s="10" t="inlineStr">
        <x:is>
          <x:t xml:space="preserve">https://files-backend.assets.thrillshare.com/documents/asset/uploaded_file/5569/Ncsd/f73c8433-23bf-4388-aa76-259dafad90d2/24-27_NTA_Ratified_Amended_with_Signatures__25.pdf</x:t>
        </x:is>
      </x:c>
    </x:row>
    <x:row r="4" ht="32" customHeight="1">
      <x:c r="A4" s="10" t="inlineStr">
        <x:is>
          <x:t xml:space="preserve">NCES district detail</x:t>
        </x:is>
      </x:c>
      <x:c r="B4" s="10" t="inlineStr">
        <x:is>
          <x:t xml:space="preserve">Nassau district detail</x:t>
        </x:is>
      </x:c>
      <x:c r="C4" s="10" t="inlineStr">
        <x:is>
          <x:t xml:space="preserve">Students, teachers, student-teacher ratio, total schools</x:t>
        </x:is>
      </x:c>
      <x:c r="D4" s="10" t="inlineStr">
        <x:is>
          <x:t xml:space="preserve">https://nces.ed.gov/ccd/districtsearch/district_detail.asp?ID2=1201350</x:t>
        </x:is>
      </x:c>
    </x:row>
    <x:row r="5" ht="32" customHeight="1">
      <x:c r="A5" s="10" t="inlineStr">
        <x:is>
          <x:t xml:space="preserve">District homepage</x:t>
        </x:is>
      </x:c>
      <x:c r="B5" s="10" t="inlineStr">
        <x:is>
          <x:t xml:space="preserve">Nassau County School District homepage</x:t>
        </x:is>
      </x:c>
      <x:c r="C5" s="10" t="inlineStr">
        <x:is>
          <x:t xml:space="preserve">Students/employees/school count context</x:t>
        </x:is>
      </x:c>
      <x:c r="D5" s="10" t="inlineStr">
        <x:is>
          <x:t xml:space="preserve">https://www.nassau.k12.fl.us/</x:t>
        </x:is>
      </x:c>
    </x:row>
    <x:row r="6" ht="32" customHeight="1">
      <x:c r="A6" s="10" t="inlineStr">
        <x:is>
          <x:t xml:space="preserve">Rent source</x:t>
        </x:is>
      </x:c>
      <x:c r="B6" s="10" t="inlineStr">
        <x:is>
          <x:t xml:space="preserve">Apartments.com Yulee rent trends</x:t>
        </x:is>
      </x:c>
      <x:c r="C6" s="10" t="inlineStr">
        <x:is>
          <x:t xml:space="preserve">Median rent input</x:t>
        </x:is>
      </x:c>
      <x:c r="D6" s="10" t="inlineStr">
        <x:is>
          <x:t xml:space="preserve">https://www.apartments.com/rent-market-trends/yulee-fl/</x:t>
        </x:is>
      </x:c>
    </x:row>
    <x:row r="7" ht="32" customHeight="1">
      <x:c r="A7" s="10" t="inlineStr">
        <x:is>
          <x:t xml:space="preserve">Housing source</x:t>
        </x:is>
      </x:c>
      <x:c r="B7" s="10" t="inlineStr">
        <x:is>
          <x:t xml:space="preserve">Redfin 32097 housing market</x:t>
        </x:is>
      </x:c>
      <x:c r="C7" s="10" t="inlineStr">
        <x:is>
          <x:t xml:space="preserve">Median home price input</x:t>
        </x:is>
      </x:c>
      <x:c r="D7" s="10" t="inlineStr">
        <x:is>
          <x:t xml:space="preserve">https://www.redfin.com/zipcode/32097/housing-market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32" t="inlineStr">
        <x:is>
          <x:t xml:space="preserve">Category</x:t>
        </x:is>
      </x:c>
      <x:c r="B1" s="32" t="inlineStr">
        <x:is>
          <x:t xml:space="preserve">Value Used</x:t>
        </x:is>
      </x:c>
      <x:c r="C1" s="32" t="inlineStr">
        <x:is>
          <x:t xml:space="preserve">Source URL</x:t>
        </x:is>
      </x:c>
    </x:row>
    <x:row r="2" ht="32" customHeight="1">
      <x:c r="A2" s="21" t="inlineStr">
        <x:is>
          <x:t xml:space="preserve">Salary schedule</x:t>
        </x:is>
      </x:c>
      <x:c r="B2" s="21" t="inlineStr">
        <x:is>
          <x:t xml:space="preserve">2025-26 Combined Salary Schedule; BA Step 1 $51,584; BA Step 11 $62,175; MA Step 1 $54,411; MA Step 11 $65,512</x:t>
        </x:is>
      </x:c>
      <x:c r="C2" s="21" t="inlineStr">
        <x:is>
          <x:t xml:space="preserve">https://resources.finalsite.net/images/v1745950877/wdmcsorg/ak8isa1vu50msa93nxgy/CombinedSalarySchedule.pdf</x:t>
        </x:is>
      </x:c>
    </x:row>
    <x:row r="3" ht="32" customHeight="1">
      <x:c r="A3" s="21" t="inlineStr">
        <x:is>
          <x:t xml:space="preserve">Substitute pay</x:t>
        </x:is>
      </x:c>
      <x:c r="B3" s="21" t="inlineStr">
        <x:is>
          <x:t xml:space="preserve">$170 per day</x:t>
        </x:is>
      </x:c>
      <x:c r="C3" s="21" t="inlineStr">
        <x:is>
          <x:t xml:space="preserve">https://www.kcci.com/article/west-des-moines-school-board-substitute-teacher-pay-increase/62347446</x:t>
        </x:is>
      </x:c>
    </x:row>
    <x:row r="4" ht="32" customHeight="1">
      <x:c r="A4" s="21" t="inlineStr">
        <x:is>
          <x:t xml:space="preserve">Enrollment / student-teacher ratio</x:t>
        </x:is>
      </x:c>
      <x:c r="B4" s="21" t="inlineStr">
        <x:is>
          <x:t xml:space="preserve">9,110 students; 628.44 classroom teachers; 14.50 ratio</x:t>
        </x:is>
      </x:c>
      <x:c r="C4" s="21" t="inlineStr">
        <x:is>
          <x:t xml:space="preserve">https://nces.ed.gov/ccd/districtsearch/district_detail.asp?ID2=1930930</x:t>
        </x:is>
      </x:c>
    </x:row>
    <x:row r="5" ht="32" customHeight="1">
      <x:c r="A5" s="21" t="inlineStr">
        <x:is>
          <x:t xml:space="preserve">Demographics</x:t>
        </x:is>
      </x:c>
      <x:c r="B5" s="21" t="inlineStr">
        <x:is>
          <x:t xml:space="preserve">White 53.2%; Hispanic 21.5%; Black 11.7%; Asian 5.9%; Other 7.7%</x:t>
        </x:is>
      </x:c>
      <x:c r="C5" s="21" t="inlineStr">
        <x:is>
          <x:t xml:space="preserve">https://www.niche.com/k12/d/west-des-moines-community-school-district-ia/students/</x:t>
        </x:is>
      </x:c>
    </x:row>
    <x:row r="6" ht="32" customHeight="1">
      <x:c r="A6" s="21" t="inlineStr">
        <x:is>
          <x:t xml:space="preserve">School counts</x:t>
        </x:is>
      </x:c>
      <x:c r="B6" s="21" t="inlineStr">
        <x:is>
          <x:t xml:space="preserve">13 public school sites listed on district website</x:t>
        </x:is>
      </x:c>
      <x:c r="C6" s="21" t="inlineStr">
        <x:is>
          <x:t xml:space="preserve">https://www.wdmcs.org/</x:t>
        </x:is>
      </x:c>
    </x:row>
    <x:row r="7" ht="32" customHeight="1">
      <x:c r="A7" s="21" t="inlineStr">
        <x:is>
          <x:t xml:space="preserve">Home price / price per sq ft</x:t>
        </x:is>
      </x:c>
      <x:c r="B7" s="21" t="inlineStr">
        <x:is>
          <x:t xml:space="preserve">Median sale price $327,554; median price per sq ft $211</x:t>
        </x:is>
      </x:c>
      <x:c r="C7" s="21" t="inlineStr">
        <x:is>
          <x:t xml:space="preserve">https://www.redfin.com/city/20722/IA/West-Des-Moines/housing-market</x:t>
        </x:is>
      </x:c>
    </x:row>
    <x:row r="8" ht="32" customHeight="1">
      <x:c r="A8" s="21" t="inlineStr">
        <x:is>
          <x:t xml:space="preserve">Rent</x:t>
        </x:is>
      </x:c>
      <x:c r="B8" s="21" t="inlineStr">
        <x:is>
          <x:t xml:space="preserve">Average rent $1,126/month</x:t>
        </x:is>
      </x:c>
      <x:c r="C8" s="21" t="inlineStr">
        <x:is>
          <x:t xml:space="preserve">https://www.apartments.com/rent-market-trends/west-des-moines-ia/</x:t>
        </x:is>
      </x:c>
    </x:row>
    <x:row r="9" ht="32" customHeight="1">
      <x:c r="A9" s="21" t="inlineStr">
        <x:is>
          <x:t xml:space="preserve">Prototype update</x:t>
        </x:is>
      </x:c>
      <x:c r="B9" s="21" t="inlineStr">
        <x:is>
          <x:t xml:space="preserve">Added West Des Moines Community Schools; restored Balanced demographics filter; kept 20-day sub-pay method</x:t>
        </x:is>
      </x:c>
      <x:c r="C9" s="21" t="n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6" width="42" customWidth="1"/>
  </x:cols>
  <x:sheetData>
    <x:row r="1" ht="40" customHeight="1">
      <x:c r="A1" s="32" t="inlineStr">
        <x:is>
          <x:t xml:space="preserve">District</x:t>
        </x:is>
      </x:c>
      <x:c r="B1" s="32" t="inlineStr">
        <x:is>
          <x:t xml:space="preserve">Salary Source</x:t>
        </x:is>
      </x:c>
      <x:c r="C1" s="32" t="inlineStr">
        <x:is>
          <x:t xml:space="preserve">Substitute Pay Source</x:t>
        </x:is>
      </x:c>
      <x:c r="D1" s="32" t="inlineStr">
        <x:is>
          <x:t xml:space="preserve">Housing Source</x:t>
        </x:is>
      </x:c>
      <x:c r="E1" s="32" t="inlineStr">
        <x:is>
          <x:t xml:space="preserve">Stability Note</x:t>
        </x:is>
      </x:c>
      <x:c r="F1" s="32" t="inlineStr">
        <x:is>
          <x:t xml:space="preserve">Last Verified</x:t>
        </x:is>
      </x:c>
    </x:row>
    <x:row r="2" ht="32" customHeight="1">
      <x:c r="A2" s="21" t="inlineStr">
        <x:is>
          <x:t xml:space="preserve">Middleton-Cross Plains Area School District</x:t>
        </x:is>
      </x:c>
      <x:c r="B2" s="21" t="inlineStr">
        <x:is>
          <x:t xml:space="preserve">https://files-backend.assets.thrillshare.com/documents/asset/uploaded_file/1905/Mcpasd/69c6add5-b8ae-4b2e-8319-08609921f255/2025-2026-Certified-Staff-BA-%2455%2C000-Model---10.20.2025---Google-Sheets.pdf?disposition=inline</x:t>
        </x:is>
      </x:c>
      <x:c r="C2" s="21" t="inlineStr">
        <x:is>
          <x:t xml:space="preserve">https://www.mcpasd.k12.wi.us/documents/services/employee-services/16682317</x:t>
        </x:is>
      </x:c>
      <x:c r="D2" s="21" t="inlineStr">
        <x:is>
          <x:t xml:space="preserve">Redfin/Apartments first-pass market lookup</x:t>
        </x:is>
      </x:c>
      <x:c r="E2" s="21" t="inlineStr">
        <x:is>
          <x:t xml:space="preserve">No penalty; first-pass no current broad layoff/closure evidence.</x:t>
        </x:is>
      </x:c>
      <x:c r="F2" s="21" t="inlineStr">
        <x:is>
          <x:t xml:space="preserve">2026-06-15</x:t>
        </x:is>
      </x:c>
    </x:row>
    <x:row r="3" ht="32" customHeight="1">
      <x:c r="A3" s="21" t="inlineStr">
        <x:is>
          <x:t xml:space="preserve">Sun Prairie Area School District</x:t>
        </x:is>
      </x:c>
      <x:c r="B3" s="21" t="inlineStr">
        <x:is>
          <x:t xml:space="preserve">Sun Prairie public job postings / first-pass salary estimate from salary schedule references</x:t>
        </x:is>
      </x:c>
      <x:c r="C3" s="21" t="inlineStr">
        <x:is>
          <x:t xml:space="preserve">https://www.sunprairieschools.org/departments/human-resources/substitutes</x:t>
        </x:is>
      </x:c>
      <x:c r="D3" s="21" t="inlineStr">
        <x:is>
          <x:t xml:space="preserve">Redfin/Apartments first-pass market lookup</x:t>
        </x:is>
      </x:c>
      <x:c r="E3" s="21" t="inlineStr">
        <x:is>
          <x:t xml:space="preserve">No penalty; first-pass no current broad layoff/closure evidence.</x:t>
        </x:is>
      </x:c>
      <x:c r="F3" s="21" t="inlineStr">
        <x:is>
          <x:t xml:space="preserve">2026-06-15</x:t>
        </x:is>
      </x:c>
    </x:row>
    <x:row r="4" ht="32" customHeight="1">
      <x:c r="A4" s="21" t="inlineStr">
        <x:is>
          <x:t xml:space="preserve">Waunakee Community School District</x:t>
        </x:is>
      </x:c>
      <x:c r="B4" s="21" t="inlineStr">
        <x:is>
          <x:t xml:space="preserve">Waunakee compensation system references / first-pass salary estimate</x:t>
        </x:is>
      </x:c>
      <x:c r="C4" s="21" t="inlineStr">
        <x:is>
          <x:t xml:space="preserve">https://www.waunakee.k12.wi.us/departments/human-resources/substitute-resources</x:t>
        </x:is>
      </x:c>
      <x:c r="D4" s="21" t="inlineStr">
        <x:is>
          <x:t xml:space="preserve">Redfin/Apartments first-pass market lookup</x:t>
        </x:is>
      </x:c>
      <x:c r="E4" s="21" t="inlineStr">
        <x:is>
          <x:t xml:space="preserve">No penalty; first-pass no current broad layoff/closure evidence.</x:t>
        </x:is>
      </x:c>
      <x:c r="F4" s="21" t="inlineStr">
        <x:is>
          <x:t xml:space="preserve">2026-06-15</x:t>
        </x:is>
      </x:c>
    </x:row>
    <x:row r="5" ht="32" customHeight="1">
      <x:c r="A5" s="21" t="inlineStr">
        <x:is>
          <x:t xml:space="preserve">Verona Area School District</x:t>
        </x:is>
      </x:c>
      <x:c r="B5" s="21" t="inlineStr">
        <x:is>
          <x:t xml:space="preserve">https://www.verona.k12.wi.us/departments/humanresources/compensation</x:t>
        </x:is>
      </x:c>
      <x:c r="C5" s="21" t="inlineStr">
        <x:is>
          <x:t xml:space="preserve">https://www.verona.k12.wi.us/departments/humanresources/careers/substitute-opportunities</x:t>
        </x:is>
      </x:c>
      <x:c r="D5" s="21" t="inlineStr">
        <x:is>
          <x:t xml:space="preserve">Redfin/Apartments first-pass market lookup</x:t>
        </x:is>
      </x:c>
      <x:c r="E5" s="21" t="inlineStr">
        <x:is>
          <x:t xml:space="preserve">No penalty; first-pass no current broad layoff/closure evidence.</x:t>
        </x:is>
      </x:c>
      <x:c r="F5" s="21" t="inlineStr">
        <x:is>
          <x:t xml:space="preserve">2026-06-15</x:t>
        </x:is>
      </x:c>
    </x:row>
    <x:row r="6" ht="32" customHeight="1">
      <x:c r="A6" s="21" t="inlineStr">
        <x:is>
          <x:t xml:space="preserve">Beaverton School District</x:t>
        </x:is>
      </x:c>
      <x:c r="B6" s="21" t="inlineStr">
        <x:is>
          <x:t xml:space="preserve">https://resources.finalsite.net/images/v1749503218/beavertonk12orus/gd7r4u3u8hlfjssjnbnh/25-26FINALCERTwExtResp.pdf</x:t>
        </x:is>
      </x:c>
      <x:c r="C6" s="21" t="inlineStr">
        <x:is>
          <x:t xml:space="preserve">https://www.beaverton.k12.or.us/departments/human-resources/applicants/beas</x:t>
        </x:is>
      </x:c>
      <x:c r="D6" s="21" t="inlineStr">
        <x:is>
          <x:t xml:space="preserve">Redfin/Apartments first-pass market lookup</x:t>
        </x:is>
      </x:c>
      <x:c r="E6" s="21" t="inlineStr">
        <x:is>
          <x:t xml:space="preserve">10% penalty due to current budget/staffing-reduction risk.</x:t>
        </x:is>
      </x:c>
      <x:c r="F6" s="21" t="inlineStr">
        <x:is>
          <x:t xml:space="preserve">2026-06-15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36" t="inlineStr">
        <x:is>
          <x:t xml:space="preserve">District</x:t>
        </x:is>
      </x:c>
      <x:c r="B1" s="36" t="inlineStr">
        <x:is>
          <x:t xml:space="preserve">Data area</x:t>
        </x:is>
      </x:c>
      <x:c r="C1" s="36" t="inlineStr">
        <x:is>
          <x:t xml:space="preserve">Source / note</x:t>
        </x:is>
      </x:c>
      <x:c r="D1" s="36" t="inlineStr">
        <x:is>
          <x:t xml:space="preserve">URL or citation note</x:t>
        </x:is>
      </x:c>
    </x:row>
    <x:row r="2" ht="32" customHeight="1">
      <x:c r="A2" s="35" t="inlineStr">
        <x:is>
          <x:t xml:space="preserve">Indian Prairie School District 204</x:t>
        </x:is>
      </x:c>
      <x:c r="B2" s="35" t="inlineStr">
        <x:is>
          <x:t xml:space="preserve">Salary schedule</x:t>
        </x:is>
      </x:c>
      <x:c r="C2" s="35" t="inlineStr">
        <x:is>
          <x:t xml:space="preserve">IPEA 2025-2026 salary schedule. BA step 1 $56,403; MA step 1 $68,445; step 10/11 values used for 10-year placement.</x:t>
        </x:is>
      </x:c>
      <x:c r="D2" s="35" t="inlineStr">
        <x:is>
          <x:t xml:space="preserve">https://resources.finalsite.net/images/v1746461433/ipsdorg/ydag27zq4d3atey63stv/IPEA_2025-2026v3_12025.pdf</x:t>
        </x:is>
      </x:c>
    </x:row>
    <x:row r="3" ht="32" customHeight="1">
      <x:c r="A3" s="35" t="inlineStr">
        <x:is>
          <x:t xml:space="preserve">Indian Prairie School District 204</x:t>
        </x:is>
      </x:c>
      <x:c r="B3" s="35" t="inlineStr">
        <x:is>
          <x:t xml:space="preserve">Sub pay</x:t>
        </x:is>
      </x:c>
      <x:c r="C3" s="35" t="inlineStr">
        <x:is>
          <x:t xml:space="preserve">First-pass Indeed current estimate used; verify with HR before final.</x:t>
        </x:is>
      </x:c>
      <x:c r="D3" s="35" t="inlineStr">
        <x:is>
          <x:t xml:space="preserve">https://www.indeed.com/cmp/Indian-Prairie-School-District-204/salaries/Substitute-Teacher/Illinois</x:t>
        </x:is>
      </x:c>
    </x:row>
    <x:row r="4" ht="32" customHeight="1">
      <x:c r="A4" s="35" t="inlineStr">
        <x:is>
          <x:t xml:space="preserve">Glenbrook High School District 225</x:t>
        </x:is>
      </x:c>
      <x:c r="B4" s="35" t="inlineStr">
        <x:is>
          <x:t xml:space="preserve">Salary schedule</x:t>
        </x:is>
      </x:c>
      <x:c r="C4" s="35" t="inlineStr">
        <x:is>
          <x:t xml:space="preserve">2025-26 183-day teacher salary schedule. BA-0 step A $69,929; MA-0 step A $81,169.</x:t>
        </x:is>
      </x:c>
      <x:c r="D4" s="35" t="inlineStr">
        <x:is>
          <x:t xml:space="preserve">https://staff.glenbrook225.org/fs/resource-manager/view/beb41775-feea-40a8-83be-839d1aa2f9ee</x:t>
        </x:is>
      </x:c>
    </x:row>
    <x:row r="5" ht="32" customHeight="1">
      <x:c r="A5" s="35" t="inlineStr">
        <x:is>
          <x:t xml:space="preserve">Glenbrook High School District 225</x:t>
        </x:is>
      </x:c>
      <x:c r="B5" s="35" t="inlineStr">
        <x:is>
          <x:t xml:space="preserve">Housing/rent</x:t>
        </x:is>
      </x:c>
      <x:c r="C5" s="35" t="inlineStr">
        <x:is>
          <x:t xml:space="preserve">Glenview housing/rent sources used as first-pass proxy for district area.</x:t>
        </x:is>
      </x:c>
      <x:c r="D5" s="35" t="inlineStr">
        <x:is>
          <x:t xml:space="preserve">https://www.redfin.com/city/7628/IL/Glenview/housing-market ; https://www.apartments.com/rent-market-trends/glenview-il/</x:t>
        </x:is>
      </x:c>
    </x:row>
    <x:row r="6" ht="32" customHeight="1">
      <x:c r="A6" s="35" t="inlineStr">
        <x:is>
          <x:t xml:space="preserve">Mounds View Public Schools</x:t>
        </x:is>
      </x:c>
      <x:c r="B6" s="35" t="inlineStr">
        <x:is>
          <x:t xml:space="preserve">Salary schedule</x:t>
        </x:is>
      </x:c>
      <x:c r="C6" s="35" t="inlineStr">
        <x:is>
          <x:t xml:space="preserve">2025-2026 MVEA salary schedule. BA00 lane does not advance to steps 9/10, so BA+15 is used for 8-10 years as first accessible BA-family lane.</x:t>
        </x:is>
      </x:c>
      <x:c r="D6" s="35" t="inlineStr">
        <x:is>
          <x:t xml:space="preserve">https://resources.finalsite.net/images/v1767030040/moundsviewschoolsorg/krhc4zxvinezdkxxh8ik/Teachers25-27.pdf</x:t>
        </x:is>
      </x:c>
    </x:row>
    <x:row r="7" ht="32" customHeight="1">
      <x:c r="A7" s="35" t="inlineStr">
        <x:is>
          <x:t xml:space="preserve">Mounds View Public Schools</x:t>
        </x:is>
      </x:c>
      <x:c r="B7" s="35" t="inlineStr">
        <x:is>
          <x:t xml:space="preserve">Sub pay</x:t>
        </x:is>
      </x:c>
      <x:c r="C7" s="35" t="inlineStr">
        <x:is>
          <x:t xml:space="preserve">District employment page lists teacher substitute rate at $200/day.</x:t>
        </x:is>
      </x:c>
      <x:c r="D7" s="35" t="inlineStr">
        <x:is>
          <x:t xml:space="preserve">https://www.mvpschools.org/employment</x:t>
        </x:is>
      </x:c>
    </x:row>
    <x:row r="8" ht="32" customHeight="1">
      <x:c r="A8" s="35" t="inlineStr">
        <x:is>
          <x:t xml:space="preserve">Eden Prairie Schools</x:t>
        </x:is>
      </x:c>
      <x:c r="B8" s="35" t="inlineStr">
        <x:is>
          <x:t xml:space="preserve">Salary schedule</x:t>
        </x:is>
      </x:c>
      <x:c r="C8" s="35" t="inlineStr">
        <x:is>
          <x:t xml:space="preserve">EPEA 2025-2027 contract, Schedule A 2025-2026. Step 10-14 band used for years 9 and 10.</x:t>
        </x:is>
      </x:c>
      <x:c r="D8" s="35" t="inlineStr">
        <x:is>
          <x:t xml:space="preserve">https://resources.finalsite.net/images/v1757436498/edenprorg/llnxrprxcuuikx1elsuq/EPEA2025-2027FINALCONTRACT.pdf</x:t>
        </x:is>
      </x:c>
    </x:row>
    <x:row r="9" ht="32" customHeight="1">
      <x:c r="A9" s="35" t="inlineStr">
        <x:is>
          <x:t xml:space="preserve">Eden Prairie Schools</x:t>
        </x:is>
      </x:c>
      <x:c r="B9" s="35" t="inlineStr">
        <x:is>
          <x:t xml:space="preserve">Sub pay</x:t>
        </x:is>
      </x:c>
      <x:c r="C9" s="35" t="inlineStr">
        <x:is>
          <x:t xml:space="preserve">Reserve teacher posting lists regular/incentive substitute rates; $183/day used as regular full-day first-pass rate.</x:t>
        </x:is>
      </x:c>
      <x:c r="D9" s="35" t="inlineStr">
        <x:is>
          <x:t xml:space="preserve">https://www.applitrack.com/edenpr/OnlineApp/default.aspx?AppliTrackJobID=3655&amp;ref=</x:t>
        </x:is>
      </x:c>
    </x:row>
    <x:row r="10" ht="32" customHeight="1">
      <x:c r="A10" s="35" t="inlineStr">
        <x:is>
          <x:t xml:space="preserve">Naperville CUSD 203</x:t>
        </x:is>
      </x:c>
      <x:c r="B10" s="35" t="inlineStr">
        <x:is>
          <x:t xml:space="preserve">Salary / contract</x:t>
        </x:is>
      </x:c>
      <x:c r="C10" s="35" t="inlineStr">
        <x:is>
          <x:t xml:space="preserve">NUEA contract and current salary schedule page used. Values are first-pass estimates until exact 2025-26 salary schedule is verified.</x:t>
        </x:is>
      </x:c>
      <x:c r="D10" s="35" t="inlineStr">
        <x:is>
          <x:t xml:space="preserve">https://www.naperville203.org/departments-services/human-resources/collective-bargaining-agreements</x:t>
        </x:is>
      </x:c>
    </x:row>
    <x:row r="11" ht="32" customHeight="1">
      <x:c r="A11" s="35" t="inlineStr">
        <x:is>
          <x:t xml:space="preserve">Naperville CUSD 203</x:t>
        </x:is>
      </x:c>
      <x:c r="B11" s="35" t="inlineStr">
        <x:is>
          <x:t xml:space="preserve">Sub pay</x:t>
        </x:is>
      </x:c>
      <x:c r="C11" s="35" t="inlineStr">
        <x:is>
          <x:t xml:space="preserve">2025-26 substitute info lists substitute teacher full day $130.</x:t>
        </x:is>
      </x:c>
      <x:c r="D11" s="35" t="inlineStr">
        <x:is>
          <x:t xml:space="preserve">https://resources.finalsite.net/images/v1756143021/naperville203org/yzetsbkynvoe9x6mjgl7/importantsubstituteinformation-26.pdf</x:t>
        </x:is>
      </x:c>
    </x:row>
    <x:row r="12" ht="32" customHeight="1">
      <x:c r="A12" s="35" t="inlineStr">
        <x:is>
          <x:t xml:space="preserve">Naperville CUSD 203</x:t>
        </x:is>
      </x:c>
      <x:c r="B12" s="35" t="inlineStr">
        <x:is>
          <x:t xml:space="preserve">Rent</x:t>
        </x:is>
      </x:c>
      <x:c r="C12" s="35" t="inlineStr">
        <x:is>
          <x:t xml:space="preserve">Apartments.com Naperville average rent $1,831/month.</x:t>
        </x:is>
      </x:c>
      <x:c r="D12" s="35" t="inlineStr">
        <x:is>
          <x:t xml:space="preserve">https://www.apartments.com/rent-market-trends/naperville-il/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24" customWidth="1"/>
    <x:col min="3" max="3" width="52" customWidth="1"/>
    <x:col min="4" max="4" width="78" customWidth="1"/>
    <x:col min="5" max="5" width="22" customWidth="1"/>
  </x:cols>
  <x:sheetData>
    <x:row r="1" ht="32" customHeight="1">
      <x:c r="A1" s="51" t="inlineStr">
        <x:is>
          <x:t xml:space="preserve">District</x:t>
        </x:is>
      </x:c>
      <x:c r="B1" s="51" t="inlineStr">
        <x:is>
          <x:t xml:space="preserve">Category</x:t>
        </x:is>
      </x:c>
      <x:c r="C1" s="51" t="inlineStr">
        <x:is>
          <x:t xml:space="preserve">Source URL / Reference</x:t>
        </x:is>
      </x:c>
      <x:c r="D1" s="51" t="inlineStr">
        <x:is>
          <x:t xml:space="preserve">Notes</x:t>
        </x:is>
      </x:c>
      <x:c r="E1" s="51" t="inlineStr">
        <x:is>
          <x:t xml:space="preserve">Verification Status</x:t>
        </x:is>
      </x:c>
    </x:row>
    <x:row r="2" ht="61.25" customHeight="1">
      <x:c r="A2" s="4" t="inlineStr">
        <x:is>
          <x:t xml:space="preserve">Minnetonka Public Schools</x:t>
        </x:is>
      </x:c>
      <x:c r="B2" s="4" t="inlineStr">
        <x:is>
          <x:t xml:space="preserve">Teacher contract/salary schedule</x:t>
        </x:is>
      </x:c>
      <x:c r="C2" s="4" t="inlineStr">
        <x:is>
          <x:t xml:space="preserve">https://www.minnetonkaschools.org/district/departments/hr/employee-contracts</x:t>
        </x:is>
      </x:c>
      <x:c r="D2" s="4" t="inlineStr">
        <x:is>
          <x:t xml:space="preserve">District HR page lists 2025-2027 Teacher Collective Bargaining Agreement; salary schedule values entered as first-pass from 2025-26 schedule extraction.</x:t>
        </x:is>
      </x:c>
      <x:c r="E2" s="4" t="inlineStr">
        <x:is>
          <x:t xml:space="preserve">Official source; verify exact schedule PDF if needed</x:t>
        </x:is>
      </x:c>
    </x:row>
    <x:row r="3" ht="61.25" customHeight="1">
      <x:c r="A3" s="4" t="inlineStr">
        <x:is>
          <x:t xml:space="preserve">Minnetonka Public Schools</x:t>
        </x:is>
      </x:c>
      <x:c r="B3" s="4" t="inlineStr">
        <x:is>
          <x:t xml:space="preserve">Sub pay</x:t>
        </x:is>
      </x:c>
      <x:c r="C3" s="4" t="n"/>
      <x:c r="D3" s="4" t="inlineStr">
        <x:is>
          <x:t xml:space="preserve">Daily sub pay not independently verified in the public sources found; entered as first-pass estimate of $180/day.</x:t>
        </x:is>
      </x:c>
      <x:c r="E3" s="4" t="inlineStr">
        <x:is>
          <x:t xml:space="preserve">Estimated</x:t>
        </x:is>
      </x:c>
    </x:row>
    <x:row r="4" ht="61.25" customHeight="1">
      <x:c r="A4" s="4" t="inlineStr">
        <x:is>
          <x:t xml:space="preserve">Wayzata Public Schools</x:t>
        </x:is>
      </x:c>
      <x:c r="B4" s="4" t="inlineStr">
        <x:is>
          <x:t xml:space="preserve">Contracts/handbooks</x:t>
        </x:is>
      </x:c>
      <x:c r="C4" s="4" t="inlineStr">
        <x:is>
          <x:t xml:space="preserve">https://www.wayzataschools.org/careers/contracts</x:t>
        </x:is>
      </x:c>
      <x:c r="D4" s="4" t="inlineStr">
        <x:is>
          <x:t xml:space="preserve">Official contracts/handbooks page located; clear lane/step salary table not found in accessible text during this pass.</x:t>
        </x:is>
      </x:c>
      <x:c r="E4" s="4" t="inlineStr">
        <x:is>
          <x:t xml:space="preserve">Official page; salary estimated</x:t>
        </x:is>
      </x:c>
    </x:row>
    <x:row r="5" ht="61.25" customHeight="1">
      <x:c r="A5" s="4" t="inlineStr">
        <x:is>
          <x:t xml:space="preserve">Wayzata Public Schools</x:t>
        </x:is>
      </x:c>
      <x:c r="B5" s="4" t="inlineStr">
        <x:is>
          <x:t xml:space="preserve">Reserve teacher pay</x:t>
        </x:is>
      </x:c>
      <x:c r="C5" s="4" t="inlineStr">
        <x:is>
          <x:t xml:space="preserve">https://www.wayzataschools.org/careers/reserve-teachers</x:t>
        </x:is>
      </x:c>
      <x:c r="D5" s="4" t="inlineStr">
        <x:is>
          <x:t xml:space="preserve">Official reserve teacher page lists 2025-26 reserve teacher daily pay tiers; used Level 1 regular daily rate of $165/day.</x:t>
        </x:is>
      </x:c>
      <x:c r="E5" s="4" t="inlineStr">
        <x:is>
          <x:t xml:space="preserve">Official</x:t>
        </x:is>
      </x:c>
    </x:row>
    <x:row r="6" ht="61.25" customHeight="1">
      <x:c r="A6" s="4" t="inlineStr">
        <x:is>
          <x:t xml:space="preserve">Rosemount-Apple Valley-Eagan ISD 196</x:t>
        </x:is>
      </x:c>
      <x:c r="B6" s="4" t="inlineStr">
        <x:is>
          <x:t xml:space="preserve">Teacher agreement/salary schedule</x:t>
        </x:is>
      </x:c>
      <x:c r="C6" s="4" t="inlineStr">
        <x:is>
          <x:t xml:space="preserve">https://staffportal.district196.org/fs/resource-manager/view/4036ed68-fb19-43de-a642-27172d09737a</x:t>
        </x:is>
      </x:c>
      <x:c r="D6" s="4" t="inlineStr">
        <x:is>
          <x:t xml:space="preserve">Official 2025-2027 agreement; Schedule A 2025-26 salary schedule used. Some higher-step BA/MA cells are blank or effectively advanced-lane-adjacent, so verify HR placement for direct BA/MA 10-year comparison.</x:t>
        </x:is>
      </x:c>
      <x:c r="E6" s="4" t="inlineStr">
        <x:is>
          <x:t xml:space="preserve">Official source with caution</x:t>
        </x:is>
      </x:c>
    </x:row>
    <x:row r="7" ht="61.25" customHeight="1">
      <x:c r="A7" s="4" t="inlineStr">
        <x:is>
          <x:t xml:space="preserve">Rosemount-Apple Valley-Eagan ISD 196</x:t>
        </x:is>
      </x:c>
      <x:c r="B7" s="4" t="inlineStr">
        <x:is>
          <x:t xml:space="preserve">Sub pay</x:t>
        </x:is>
      </x:c>
      <x:c r="C7" s="4" t="n"/>
      <x:c r="D7" s="4" t="inlineStr">
        <x:is>
          <x:t xml:space="preserve">Daily sub pay not independently verified in the public sources found; entered as first-pass estimate of $180/day.</x:t>
        </x:is>
      </x:c>
      <x:c r="E7" s="4" t="inlineStr">
        <x:is>
          <x:t xml:space="preserve">Estimated</x:t>
        </x:is>
      </x:c>
    </x:row>
    <x:row r="8" ht="61.25" customHeight="1">
      <x:c r="A8" s="4" t="inlineStr">
        <x:is>
          <x:t xml:space="preserve">Edina Public Schools</x:t>
        </x:is>
      </x:c>
      <x:c r="B8" s="4" t="inlineStr">
        <x:is>
          <x:t xml:space="preserve">Teacher agreement/salary schedule</x:t>
        </x:is>
      </x:c>
      <x:c r="C8" s="4" t="inlineStr">
        <x:is>
          <x:t xml:space="preserve">https://resources.finalsite.net/images/v1765291286/edinaschoolsorg/edinaschoolsorg/fhyhmtjvvixlgplvt2wt/EducationMinnesotaEdinaTeachers2025-2027.pdf</x:t>
        </x:is>
      </x:c>
      <x:c r="D8" s="4" t="inlineStr">
        <x:is>
          <x:t xml:space="preserve">Official 2025-2027 teacher agreement; Appendix A 2025-26 salary schedule entered using BA/BA15 and MA/MA15 columns; Step 1&amp;2 repeated for years 0-1.</x:t>
        </x:is>
      </x:c>
      <x:c r="E8" s="4" t="inlineStr">
        <x:is>
          <x:t xml:space="preserve">Official source</x:t>
        </x:is>
      </x:c>
    </x:row>
    <x:row r="9" ht="61.25" customHeight="1">
      <x:c r="A9" s="4" t="inlineStr">
        <x:is>
          <x:t xml:space="preserve">Edina Public Schools</x:t>
        </x:is>
      </x:c>
      <x:c r="B9" s="4" t="inlineStr">
        <x:is>
          <x:t xml:space="preserve">Substitute hiring</x:t>
        </x:is>
      </x:c>
      <x:c r="C9" s="4" t="inlineStr">
        <x:is>
          <x:t xml:space="preserve">https://www.edinaschools.org/careers</x:t>
        </x:is>
      </x:c>
      <x:c r="D9" s="4" t="inlineStr">
        <x:is>
          <x:t xml:space="preserve">Official careers page says Edina partners with Kelly Education for substitute teachers; daily sub rate was not found, so $170/day is a first-pass estimate.</x:t>
        </x:is>
      </x:c>
      <x:c r="E9" s="4" t="inlineStr">
        <x:is>
          <x:t xml:space="preserve">Official page; pay estimated</x:t>
        </x:is>
      </x:c>
    </x:row>
    <x:row r="10" ht="61.25" customHeight="1">
      <x:c r="A10" s="4" t="inlineStr">
        <x:is>
          <x:t xml:space="preserve">New Trier Township High School District 203</x:t>
        </x:is>
      </x:c>
      <x:c r="B10" s="4" t="inlineStr">
        <x:is>
          <x:t xml:space="preserve">Employee agreements</x:t>
        </x:is>
      </x:c>
      <x:c r="C10" s="4" t="inlineStr">
        <x:is>
          <x:t xml:space="preserve">https://www.newtrier.k12.il.us/our-district/administrative-departments/human-resources/employee-agreements</x:t>
        </x:is>
      </x:c>
      <x:c r="D10" s="4" t="inlineStr">
        <x:is>
          <x:t xml:space="preserve">Official page lists NTEA Agreement 2023-2028. A clean 2025-26 lane/step extraction was not completed, so salary rows are first-pass estimates and should be verified before final ranking.</x:t>
        </x:is>
      </x:c>
      <x:c r="E10" s="4" t="inlineStr">
        <x:is>
          <x:t xml:space="preserve">Official page; salary estimated</x:t>
        </x:is>
      </x:c>
    </x:row>
    <x:row r="11" ht="61.25" customHeight="1">
      <x:c r="A11" s="4" t="inlineStr">
        <x:is>
          <x:t xml:space="preserve">New Trier Township High School District 203</x:t>
        </x:is>
      </x:c>
      <x:c r="B11" s="4" t="inlineStr">
        <x:is>
          <x:t xml:space="preserve">Compensation report</x:t>
        </x:is>
      </x:c>
      <x:c r="C11" s="4" t="inlineStr">
        <x:is>
          <x:t xml:space="preserve">https://www.newtrier.k12.il.us/our-district/administrative-departments/human-resources/compensation-reports</x:t>
        </x:is>
      </x:c>
      <x:c r="D11" s="4" t="inlineStr">
        <x:is>
          <x:t xml:space="preserve">Used as a context/check source for New Trier compensation; not a clean BA/MA lane table.</x:t>
        </x:is>
      </x:c>
      <x:c r="E11" s="4" t="inlineStr">
        <x:is>
          <x:t xml:space="preserve">Official page if available</x:t>
        </x:is>
      </x:c>
    </x:row>
    <x:row r="12" ht="61.25" customHeight="1">
      <x:c r="A12" s="4" t="inlineStr">
        <x:is>
          <x:t xml:space="preserve">New Trier Township High School District 203</x:t>
        </x:is>
      </x:c>
      <x:c r="B12" s="4" t="inlineStr">
        <x:is>
          <x:t xml:space="preserve">Sub pay</x:t>
        </x:is>
      </x:c>
      <x:c r="C12" s="4" t="inlineStr">
        <x:is>
          <x:t xml:space="preserve">https://jobs.redroverk12.com/org/newtrierjobs/opening/178696</x:t>
        </x:is>
      </x:c>
      <x:c r="D12" s="4" t="inlineStr">
        <x:is>
          <x:t xml:space="preserve">Public substitute teacher posting found. Daily rate entered as approximately $147/day based on public hourly estimate; verify with district/Red Rover posting details before final ranking.</x:t>
        </x:is>
      </x:c>
      <x:c r="E12" s="4" t="inlineStr">
        <x:is>
          <x:t xml:space="preserve">Estimated from posting</x:t>
        </x:is>
      </x:c>
    </x:row>
    <x:row r="13" ht="61.25" customHeight="1">
      <x:c r="A13" s="4" t="inlineStr">
        <x:is>
          <x:t xml:space="preserve">All Round 3 districts</x:t>
        </x:is>
      </x:c>
      <x:c r="B13" s="4" t="inlineStr">
        <x:is>
          <x:t xml:space="preserve">Housing values</x:t>
        </x:is>
      </x:c>
      <x:c r="C13" s="4" t="n"/>
      <x:c r="D13" s="4" t="inlineStr">
        <x:is>
          <x:t xml:space="preserve">Median home price, rent, and price/sqft are first-pass market estimates entered to test rankings. Replace with preferred Zillow/Redfin/RentCafe source if you want a fully sourced final set.</x:t>
        </x:is>
      </x:c>
      <x:c r="E13" s="4" t="inlineStr">
        <x:is>
          <x:t xml:space="preserve">Estimated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32" customWidth="1"/>
    <x:col min="3" max="3" width="54" customWidth="1"/>
    <x:col min="4" max="4" width="64" customWidth="1"/>
  </x:cols>
  <x:sheetData>
    <x:row r="1" ht="16" customHeight="1">
      <x:c r="A1" s="70" t="inlineStr">
        <x:is>
          <x:t xml:space="preserve">Category</x:t>
        </x:is>
      </x:c>
      <x:c r="B1" s="70" t="inlineStr">
        <x:is>
          <x:t xml:space="preserve">Value / Use</x:t>
        </x:is>
      </x:c>
      <x:c r="C1" s="70" t="inlineStr">
        <x:is>
          <x:t xml:space="preserve">Source</x:t>
        </x:is>
      </x:c>
      <x:c r="D1" s="70" t="inlineStr">
        <x:is>
          <x:t xml:space="preserve">Notes</x:t>
        </x:is>
      </x:c>
    </x:row>
    <x:row r="2">
      <x:c r="A2" t="inlineStr">
        <x:is>
          <x:t xml:space="preserve">Salary schedule</x:t>
        </x:is>
      </x:c>
      <x:c r="B2" t="inlineStr">
        <x:is>
          <x:t xml:space="preserve">2025-26 certificated salary schedule</x:t>
        </x:is>
      </x:c>
      <x:c r="C2" t="inlineStr">
        <x:is>
          <x:t xml:space="preserve">Uploaded PDF: 2025-2026TTEASalarySchedule-BoardApproved5Nov2025.pdf</x:t>
        </x:is>
      </x:c>
      <x:c r="D2" t="inlineStr">
        <x:is>
          <x:t xml:space="preserve">Bachelor's values use BA+30 column; Master's values add the $1,000 Master's stipend listed on the schedule.</x:t>
        </x:is>
      </x:c>
    </x:row>
    <x:row r="3">
      <x:c r="A3" t="inlineStr">
        <x:is>
          <x:t xml:space="preserve">Substitute pay</x:t>
        </x:is>
      </x:c>
      <x:c r="B3" t="inlineStr">
        <x:is>
          <x:t xml:space="preserve">$200 full-day base substitute rate</x:t>
        </x:is>
      </x:c>
      <x:c r="C3" t="inlineStr">
        <x:is>
          <x:t xml:space="preserve">https://www.ttusd.org/departments/human-resources/substitute-teaching</x:t>
        </x:is>
      </x:c>
      <x:c r="D3" t="inlineStr">
        <x:is>
          <x:t xml:space="preserve">TTUSD substitute rates PDF lists $200 full day, $230 Monday/Friday, $250 long-term, $240 TTUSD retirees.</x:t>
        </x:is>
      </x:c>
    </x:row>
    <x:row r="4">
      <x:c r="A4" t="inlineStr">
        <x:is>
          <x:t xml:space="preserve">Enrollment/demographics</x:t>
        </x:is>
      </x:c>
      <x:c r="B4" t="inlineStr">
        <x:is>
          <x:t xml:space="preserve">2025-26 CDE DataQuest totals</x:t>
        </x:is>
      </x:c>
      <x:c r="C4" t="inlineStr">
        <x:is>
          <x:t xml:space="preserve">https://dq.cde.ca.gov/dataquest/dqcensus/enrethlevels.aspx?agglevel=District&amp;cds=3166944&amp;year=2025-26</x:t>
        </x:is>
      </x:c>
      <x:c r="D4" t="inlineStr">
        <x:is>
          <x:t xml:space="preserve">Report totals: 4,183 students; 57.6% White, 34.7% Hispanic, 0.6% Asian, 0.2% African American.</x:t>
        </x:is>
      </x:c>
    </x:row>
    <x:row r="5">
      <x:c r="A5" t="inlineStr">
        <x:is>
          <x:t xml:space="preserve">Student-teacher ratio</x:t>
        </x:is>
      </x:c>
      <x:c r="B5" t="inlineStr">
        <x:is>
          <x:t xml:space="preserve">18.81</x:t>
        </x:is>
      </x:c>
      <x:c r="C5" t="inlineStr">
        <x:is>
          <x:t xml:space="preserve">https://nces.ed.gov/ccd/districtsearch/district_detail.asp?ID2=0638770&amp;Search=2</x:t>
        </x:is>
      </x:c>
      <x:c r="D5" t="inlineStr">
        <x:is>
          <x:t xml:space="preserve">NCES 2024-25 district detail reports 3,959 students, 210.46 classroom teacher FTE, 18.81 ratio.</x:t>
        </x:is>
      </x:c>
    </x:row>
    <x:row r="6">
      <x:c r="A6" t="inlineStr">
        <x:is>
          <x:t xml:space="preserve">School count</x:t>
        </x:is>
      </x:c>
      <x:c r="B6" t="inlineStr">
        <x:is>
          <x:t xml:space="preserve">12 total counted in profile</x:t>
        </x:is>
      </x:c>
      <x:c r="C6" t="inlineStr">
        <x:is>
          <x:t xml:space="preserve">https://www.cde.ca.gov/SchoolDirectory/results?districts=721&amp;items=500&amp;order=-7&amp;status=1</x:t>
        </x:is>
      </x:c>
      <x:c r="D6" t="inlineStr">
        <x:is>
          <x:t xml:space="preserve">CDE directory lists 6 elementary incl. charter, 2 middle, 2 comprehensive high, continuation high, and alternative school. Adult/private entries excluded.</x:t>
        </x:is>
      </x:c>
    </x:row>
    <x:row r="7">
      <x:c r="A7" t="inlineStr">
        <x:is>
          <x:t xml:space="preserve">Housing</x:t>
        </x:is>
      </x:c>
      <x:c r="B7" t="inlineStr">
        <x:is>
          <x:t xml:space="preserve">Home $1,024,669; rent $2,203; ppsf $346</x:t>
        </x:is>
      </x:c>
      <x:c r="C7" t="inlineStr">
        <x:is>
          <x:t xml:space="preserve">Zillow / RentCafe / FRED</x:t>
        </x:is>
      </x:c>
      <x:c r="D7" t="inlineStr">
        <x:is>
          <x:t xml:space="preserve">Zillow Truckee ZHVI 2026-05-31; RentCafe average rent March 2026; FRED Truckee-Grass Valley median listing price per sq ft May 2026.</x:t>
        </x:is>
      </x:c>
    </x:row>
    <x:row r="8">
      <x:c r="A8" t="inlineStr">
        <x:is>
          <x:t xml:space="preserve">Stability</x:t>
        </x:is>
      </x:c>
      <x:c r="B8" t="inlineStr">
        <x:is>
          <x:t xml:space="preserve">Risk multiplier 1.00</x:t>
        </x:is>
      </x:c>
      <x:c r="C8" t="inlineStr">
        <x:is>
          <x:t xml:space="preserve">TTUSD budget/stability review</x:t>
        </x:is>
      </x:c>
      <x:c r="D8" t="inlineStr">
        <x:is>
          <x:t xml:space="preserve">First-pass search found no current broad layoff/closure evidence; Basic Aid/community-funded status noted in TTUSD budget materials.</x:t>
        </x:is>
      </x:c>
    </x:row>
    <x:row r="9">
      <x:c r="A9" t="inlineStr">
        <x:is>
          <x:t xml:space="preserve">Version</x:t>
        </x:is>
      </x:c>
      <x:c r="B9" t="inlineStr">
        <x:is>
          <x:t xml:space="preserve">Prototype 323</x:t>
        </x:is>
      </x:c>
      <x:c r="C9" t="inlineStr">
        <x:is>
          <x:t xml:space="preserve">Local version log</x:t>
        </x:is>
      </x:c>
      <x:c r="D9" t="inlineStr">
        <x:is>
          <x:t xml:space="preserve">Added Tahoe-Truckee Unified School District.</x:t>
        </x:is>
      </x:c>
    </x:row>
    <x:row r="10">
      <x:c r="A10" t="inlineStr">
        <x:is>
          <x:t xml:space="preserve">Last verified</x:t>
        </x:is>
      </x:c>
      <x:c r="B10" t="inlineStr">
        <x:is>
          <x:t xml:space="preserve">2026-06-16</x:t>
        </x:is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10" defaultColWidth="8.83203125" defaultRowHeight="15"/>
  <x:cols>
    <x:col min="1" max="1" width="13" customWidth="1"/>
    <x:col min="2" max="2" width="60" customWidth="1"/>
    <x:col min="3" max="3" width="9.83203125" customWidth="1"/>
    <x:col min="4" max="4" width="65.1640625" customWidth="1"/>
    <x:col min="5" max="5" width="55" customWidth="1"/>
  </x:cols>
  <x:sheetData>
    <x:row r="1" ht="32" customHeight="1">
      <x:c r="A1" s="71" t="inlineStr">
        <x:is>
          <x:t xml:space="preserve">District</x:t>
        </x:is>
      </x:c>
      <x:c r="B1" s="71" t="inlineStr">
        <x:is>
          <x:t xml:space="preserve">Source URL(s)</x:t>
        </x:is>
      </x:c>
      <x:c r="C1" s="71" t="inlineStr">
        <x:is>
          <x:t xml:space="preserve">Last Verified</x:t>
        </x:is>
      </x:c>
      <x:c r="D1" s="71" t="inlineStr">
        <x:is>
          <x:t xml:space="preserve">Data Confidence</x:t>
        </x:is>
      </x:c>
      <x:c r="E1" s="71" t="inlineStr">
        <x:is>
          <x:t xml:space="preserve">Notes</x:t>
        </x:is>
      </x:c>
    </x:row>
    <x:row r="2">
      <x:c r="A2" t="inlineStr">
        <x:is>
          <x:t xml:space="preserve">Channelview ISD</x:t>
        </x:is>
      </x:c>
      <x:c r="B2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C2" t="inlineStr">
        <x:is>
          <x:t xml:space="preserve">2026-06-16</x:t>
        </x:is>
      </x:c>
      <x:c r="D2" t="inlineStr">
        <x:is>
          <x:t xml:space="preserve">First-pass salary values; verify exact step/lane chart before final ranking.</x:t>
        </x:is>
      </x:c>
      <x:c r="E2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3">
      <x:c r="A3" t="inlineStr">
        <x:is>
          <x:t xml:space="preserve">Plano ISD</x:t>
        </x:is>
      </x:c>
      <x:c r="B3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C3" t="inlineStr">
        <x:is>
          <x:t xml:space="preserve">2026-06-16</x:t>
        </x:is>
      </x:c>
      <x:c r="D3" t="inlineStr">
        <x:is>
          <x:t xml:space="preserve">Current public schedule is 2026-27; verify if you require same-year comparability.</x:t>
        </x:is>
      </x:c>
      <x:c r="E3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4">
      <x:c r="A4" t="inlineStr">
        <x:is>
          <x:t xml:space="preserve">Galena Park ISD</x:t>
        </x:is>
      </x:c>
      <x:c r="B4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C4" t="inlineStr">
        <x:is>
          <x:t xml:space="preserve">2026-06-16</x:t>
        </x:is>
      </x:c>
      <x:c r="D4" t="inlineStr">
        <x:is>
          <x:t xml:space="preserve">Rent input is first-pass because rental source coverage is thinner than for larger cities.</x:t>
        </x:is>
      </x:c>
      <x:c r="E4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5">
      <x:c r="A5" t="inlineStr">
        <x:is>
          <x:t xml:space="preserve">Deer Park ISD</x:t>
        </x:is>
      </x:c>
      <x:c r="B5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C5" t="inlineStr">
        <x:is>
          <x:t xml:space="preserve">2026-06-16</x:t>
        </x:is>
      </x:c>
      <x:c r="D5" t="inlineStr">
        <x:is>
          <x:t xml:space="preserve">Salary progression is estimated from published range; verify exact schedule if available.</x:t>
        </x:is>
      </x:c>
      <x:c r="E5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">
      <x:c r="A6" t="inlineStr">
        <x:is>
          <x:t xml:space="preserve">Port Arthur ISD</x:t>
        </x:is>
      </x:c>
      <x:c r="B6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C6" t="inlineStr">
        <x:is>
          <x:t xml:space="preserve">2026-06-16</x:t>
        </x:is>
      </x:c>
      <x:c r="D6" t="inlineStr">
        <x:is>
          <x:t xml:space="preserve">Salary bands are first-pass from announcement; verify against official salary schedule.</x:t>
        </x:is>
      </x:c>
      <x:c r="E6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34" hidden="0" customWidth="1"/>
    <x:col min="3" max="3" width="48" hidden="0" customWidth="1"/>
    <x:col min="4" max="4" width="48" hidden="0" customWidth="1"/>
    <x:col min="5" max="5" width="60" hidden="0" customWidth="1"/>
    <x:col min="6" max="6" width="60" hidden="0" customWidth="1"/>
  </x:cols>
  <x:sheetData>
    <x:row r="1">
      <x:c r="A1" s="185" t="str">
        <x:v>District</x:v>
      </x:c>
      <x:c r="B1" s="185" t="str">
        <x:v>Overall Value Score</x:v>
      </x:c>
      <x:c r="C1" s="185" t="str">
        <x:v>Data Confidence</x:v>
      </x:c>
      <x:c r="D1" s="185" t="str">
        <x:v>Salary Source / Notes</x:v>
      </x:c>
      <x:c r="E1" s="185" t="str">
        <x:v>Source URL</x:v>
      </x:c>
      <x:c r="F1" s="185" t="str">
        <x:v>Housing Source</x:v>
      </x:c>
      <x:c r="G1" s="185" t="str">
        <x:v>Added</x:v>
      </x:c>
    </x:row>
    <x:row r="2">
      <x:c r="A2" t="str">
        <x:v>Hobbs Municipal Schools</x:v>
      </x:c>
      <x:c r="B2" t="n">
        <x:v>63.8852</x:v>
      </x:c>
      <x:c r="C2" t="str">
        <x:v>First-pass addition. Salary values use official schedule where extractable; housing/demographic/school-count values need follow-up audit before final public ranking claims.</x:v>
      </x:c>
      <x:c r="D2" t="str">
        <x:v>Salary schedule uses Level 1 for BA and Level 2 for MA/progression proxy. Verify NM licensure-level mapping before final ranking.</x:v>
      </x:c>
      <x:c r="E2" t="str">
        <x:v>https://files-backend.assets.thrillshare.com/documents/asset/uploaded_file/5248/Hms/57461395-c423-4519-8705-b166b34bf5fc/25-26_Certified_Salary_Schedule.pdf?disposition=inline ; https://www.hobbsschools.net/documents/departments/human-resources/salary-schedules/16446179</x:v>
      </x:c>
      <x:c r="F2" t="str">
        <x:v>First-pass Zillow/Redfin/Apartments market lookup, 2026-06-17</x:v>
      </x:c>
      <x:c r="G2" t="str">
        <x:v>Prototype 343</x:v>
      </x:c>
    </x:row>
    <x:row r="3">
      <x:c r="A3" t="str">
        <x:v>Farmington Municipal Schools</x:v>
      </x:c>
      <x:c r="B3" t="n">
        <x:v>57.3212</x:v>
      </x:c>
      <x:c r="C3" t="str">
        <x:v>First-pass addition. Salary values use official schedule where extractable; housing/demographic/school-count values need follow-up audit before final public ranking claims.</x:v>
      </x:c>
      <x:c r="D3" t="str">
        <x:v>Official teacher schedule extracted. BA uses BA01; MA uses MA01. Sub pay/housing/demographics remain first-pass.</x:v>
      </x:c>
      <x:c r="E3" t="str">
        <x:v>https://files-backend.assets.thrillshare.com/documents/asset/uploaded_file/2605/Fms/20b7d19b-4e48-4c30-b917-734b8cb62d00/2025-26_Teacher.pdf?disposition=inline ; https://www.farmingtonschools.us/page/salary-schedules/</x:v>
      </x:c>
      <x:c r="F3" t="str">
        <x:v>First-pass Zillow/Redfin/Apartments market lookup, 2026-06-17</x:v>
      </x:c>
      <x:c r="G3" t="str">
        <x:v>Prototype 343</x:v>
      </x:c>
    </x:row>
    <x:row r="4">
      <x:c r="A4" t="str">
        <x:v>Carlsbad Municipal Schools</x:v>
      </x:c>
      <x:c r="B4" t="n">
        <x:v>60.7759</x:v>
      </x:c>
      <x:c r="C4" t="str">
        <x:v>First-pass addition. Salary values use official schedule where extractable; housing/demographic/school-count values need follow-up audit before final public ranking claims.</x:v>
      </x:c>
      <x:c r="D4" t="str">
        <x:v>Salary source located as district Google Sheet, but teacher tab did not extract cleanly in this pass; salary values are first-pass NM schedule estimates and must be audited.</x:v>
      </x:c>
      <x:c r="E4" t="str">
        <x:v>https://www.carlsbadschools.net/human-resources-home ; https://docs.google.com/spreadsheets/d/1c2DfLQSnot6LMPN4GUDIVlOWXcF9gnVc/edit?gid=878415856</x:v>
      </x:c>
      <x:c r="F4" t="str">
        <x:v>First-pass Zillow/Redfin/Apartments market lookup, 2026-06-17</x:v>
      </x:c>
      <x:c r="G4" t="str">
        <x:v>Prototype 343</x:v>
      </x:c>
    </x:row>
    <x:row r="5">
      <x:c r="A5" t="str">
        <x:v>Chaffey Joint Union High School District</x:v>
      </x:c>
      <x:c r="B5" t="n">
        <x:v>59.17</x:v>
      </x:c>
      <x:c r="C5" t="str">
        <x:v>First-pass addition. Salary values use official schedule where extractable; housing/demographic/school-count values need follow-up audit before final public ranking claims.</x:v>
      </x:c>
      <x:c r="D5" t="str">
        <x:v>Official salary schedule extracted. BA maps to Class A; MA maps to Class D. High Hispanic concentration triggers demographic-balance caution.</x:v>
      </x:c>
      <x:c r="E5" t="str">
        <x:v>https://cjuhsd.net/apps/pages/index.jsp?uREC_ID=1762902&amp;type=d&amp;pREC_ID=2190159 ; https://4.files.edl.io/e807/10/16/25/151627-85728596-b3ab-47e6-bfd8-3c0f28fb5dbe.pdf ; https://4.files.edl.io/9882/11/19/25/192915-57d90327-94c9-48a4-8b14-c745496d224e.pdf</x:v>
      </x:c>
      <x:c r="F5" t="str">
        <x:v>First-pass Zillow/Redfin/Apartments market lookup, 2026-06-17</x:v>
      </x:c>
      <x:c r="G5" t="str">
        <x:v>Prototype 343</x:v>
      </x:c>
    </x:row>
    <x:row r="6">
      <x:c r="A6" t="str">
        <x:v>Antelope Valley Union High School District</x:v>
      </x:c>
      <x:c r="B6" t="n">
        <x:v>63.2613</x:v>
      </x:c>
      <x:c r="C6" t="str">
        <x:v>First-pass addition. Salary values use official schedule where extractable; housing/demographic/school-count values need follow-up audit before final public ranking claims.</x:v>
      </x:c>
      <x:c r="D6" t="str">
        <x:v>Agreement confirms 2025-26 schedule exists and 3% increase over 2024-25; exact table did not extract cleanly. Sub pay source shows $230-$280; this entry uses $230.</x:v>
      </x:c>
      <x:c r="E6" t="str">
        <x:v>https://resources.finalsite.net/images/v1765573588/avdistrictorg/s3hwqugkj5t4nazjseac/2025-2028AVUHSDAVTAAgreement.pdf ; https://www.avteachers.com/salary-schedules ; https://www.edjoin.org/Home/JobPosting/2040446</x:v>
      </x:c>
      <x:c r="F6" t="str">
        <x:v>First-pass Zillow/Redfin/Apartments market lookup, 2026-06-17</x:v>
      </x:c>
      <x:c r="G6" t="str">
        <x:v>Prototype 343</x:v>
      </x:c>
    </x:row>
    <x:row r="7">
      <x:c r="A7" t="str">
        <x:v>Grossmont Union High School District</x:v>
      </x:c>
      <x:c r="B7" t="n">
        <x:v>51.1944</x:v>
      </x:c>
      <x:c r="C7" t="str">
        <x:v>First-pass addition. Salary values use official schedule where extractable; housing/demographic/school-count values need follow-up audit before final public ranking claims.</x:v>
      </x:c>
      <x:c r="D7" t="str">
        <x:v>Official 2025-26 salary-schedule page located, but table did not extract cleanly in this pass; salary and sub pay are first-pass estimates requiring audit.</x:v>
      </x:c>
      <x:c r="E7" t="str">
        <x:v>https://www.guhsd.net/Departments/Human-Resources/Certificated-Salary-Schedules/index.html</x:v>
      </x:c>
      <x:c r="F7" t="str">
        <x:v>First-pass Zillow/Redfin/Apartments market lookup, 2026-06-17</x:v>
      </x:c>
      <x:c r="G7" t="str">
        <x:v>Prototype 343</x:v>
      </x:c>
    </x:row>
    <x:row r="8">
      <x:c r="A8" t="str">
        <x:v>Clear Creek ISD</x:v>
      </x:c>
      <x:c r="B8" t="n">
        <x:v>46.4592</x:v>
      </x:c>
      <x:c r="C8" t="str">
        <x:v>First-pass addition. Salary values use official schedule where extractable; housing/demographic/school-count values need follow-up audit before final public ranking claims.</x:v>
      </x:c>
      <x:c r="D8" t="str">
        <x:v>Official salary schedule extracted. Bachelor and master values come from the published 2025-26 table. Sub pay is first-pass and needs district confirmation.</x:v>
      </x:c>
      <x:c r="E8" t="str">
        <x:v>https://www.ccisd.net/joinourteam/teach-in-ccisd ; https://resources.finalsite.net/images/v1691770822/ccisdnet/ij7a9xnseovkhvt0kvdp/2023-2024TeacherSalarySchedule.pdf</x:v>
      </x:c>
      <x:c r="F8" t="str">
        <x:v>First-pass Zillow/Redfin/Apartments market lookup, 2026-06-17</x:v>
      </x:c>
      <x:c r="G8" t="str">
        <x:v>Prototype 343</x:v>
      </x:c>
    </x:row>
    <x:row r="9">
      <x:c r="A9" t="str">
        <x:v>Pearland ISD</x:v>
      </x:c>
      <x:c r="B9" t="n">
        <x:v>49.8858</x:v>
      </x:c>
      <x:c r="C9" t="str">
        <x:v>First-pass addition. Salary values use official schedule where extractable; housing/demographic/school-count values need follow-up audit before final public ranking claims.</x:v>
      </x:c>
      <x:c r="D9" t="str">
        <x:v>Pearland publishes min/control/max rather than a traditional experience schedule; BA 5-year uses control point, MA adds $1,400 stipend. 10-year is a simplified placement estimate.</x:v>
      </x:c>
      <x:c r="E9" t="str">
        <x:v>https://www.pearlandisd.org/departments/hrs/salaries ; https://www.pearlandisd.org/fs/resource-manager/view/5344b3e9-803d-4698-98fc-0bbaebc9038b</x:v>
      </x:c>
      <x:c r="F9" t="str">
        <x:v>First-pass Zillow/Redfin/Apartments market lookup, 2026-06-17</x:v>
      </x:c>
      <x:c r="G9" t="str">
        <x:v>Prototype 343</x:v>
      </x:c>
    </x:row>
    <x:row r="10">
      <x:c r="A10" t="str">
        <x:v>Anoka-Hennepin Schools</x:v>
      </x:c>
      <x:c r="B10" t="n">
        <x:v>67.7372</x:v>
      </x:c>
      <x:c r="C10" t="str">
        <x:v>First-pass addition. Salary values use official schedule where extractable; housing/demographic/school-count values need follow-up audit before final public ranking claims.</x:v>
      </x:c>
      <x:c r="D10" t="str">
        <x:v>Official contract and sub-pay pages located; exact salary table did not extract cleanly. Starting BA/MA values use public job/schedule references; later steps are first-pass estimates.</x:v>
      </x:c>
      <x:c r="E10" t="str">
        <x:v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x:v>
      </x:c>
      <x:c r="F10" t="str">
        <x:v>First-pass Zillow/Redfin/Apartments market lookup, 2026-06-17</x:v>
      </x:c>
      <x:c r="G10" t="str">
        <x:v>Prototype 343</x:v>
      </x:c>
    </x:row>
    <x:row r="11">
      <x:c r="A11" t="str">
        <x:v>Osseo Area Schools / ISD 279</x:v>
      </x:c>
      <x:c r="B11" t="n">
        <x:v>61.4663</x:v>
      </x:c>
      <x:c r="C11" t="str">
        <x:v>First-pass addition. Salary values use official schedule where extractable; housing/demographic/school-count values need follow-up audit before final public ranking claims.</x:v>
      </x:c>
      <x:c r="D11" t="str">
        <x:v>Official salary schedule extracted. BA maps to Lane 1; MA maps to Lane 5. Years 0-2 use Step A because the agreement groups beginning years together.</x:v>
      </x:c>
      <x:c r="E11" t="str">
        <x:v>https://www.osseoschools.org/careers/life-279/workagreements ; https://resources.finalsite.net/images/v1777648251/district279org/yhlbsugypdbmkm9mlaa4/2025-2027TeachersFINAL1.pdf ; https://www.osseoschools.org/become-a-substitute</x:v>
      </x:c>
      <x:c r="F11" t="str">
        <x:v>First-pass Zillow/Redfin/Apartments market lookup, 2026-06-17</x:v>
      </x:c>
      <x:c r="G11" t="str">
        <x:v>Prototype 343</x:v>
      </x:c>
    </x:row>
  </x:sheetData>
  <x:pageMargins left="0.7" right="0.7" top="0.75" bottom="0.75" header="0.3" footer="0.3"/>
</x:worksheet>
</file>