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b7cb1704e47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 Data" sheetId="1" r:id="R9a37971dafab4ad5"/>
    <x:sheet xmlns:r="http://schemas.openxmlformats.org/officeDocument/2006/relationships" name="State Funding Scale" sheetId="2" r:id="Rf9127ecb19134b89"/>
    <x:sheet xmlns:r="http://schemas.openxmlformats.org/officeDocument/2006/relationships" name="Housing Salary Share Phase 1" sheetId="3" r:id="Rd9a277815cf4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$#,##0"/>
    <x:numFmt numFmtId="202" formatCode="0%"/>
    <x:numFmt numFmtId="203" formatCode="0"/>
    <x:numFmt numFmtId="204" formatCode="0.0%"/>
    <x:numFmt numFmtId="205" formatCode="0.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2033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143865"/>
      </x:patternFill>
    </x:fill>
    <x:fill>
      <x:patternFill patternType="solid">
        <x:fgColor rgb="FF0A843D"/>
      </x:patternFill>
    </x:fill>
    <x:fill>
      <x:patternFill patternType="solid">
        <x:fgColor rgb="FFFEF3C7"/>
      </x:patternFill>
    </x:fill>
    <x:fill>
      <x:patternFill patternType="solid">
        <x:fgColor rgb="FF14386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204" fontId="1" fillId="3" borderId="0" xfId="0" applyNumberFormat="1" applyFont="1" applyFill="1" applyBorder="1" applyAlignment="1">
      <x:alignment horizontal="center" vertical="center" wrapText="1"/>
    </x:xf>
    <x:xf numFmtId="205" fontId="1" fillId="3" borderId="0" xfId="0" applyNumberFormat="1" applyFont="1" applyFill="1" applyBorder="1" applyAlignment="1">
      <x:alignment horizontal="center" vertical="center" wrapText="1"/>
    </x:xf>
    <x:xf numFmtId="201" fontId="1" fillId="6" borderId="0" xfId="0" applyNumberFormat="1" applyFont="1" applyFill="1" applyBorder="1" applyAlignment="1">
      <x:alignment horizontal="center" vertical="center" wrapText="1"/>
    </x:xf>
    <x:xf numFmtId="204" fontId="1" fillId="6" borderId="0" xfId="0" applyNumberFormat="1" applyFont="1" applyFill="1" applyBorder="1" applyAlignment="1">
      <x:alignment horizontal="center" vertical="center" wrapText="1"/>
    </x:xf>
    <x:xf numFmtId="205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202" fontId="1" fillId="6" borderId="0" xfId="0" applyNumberFormat="1" applyFont="1" applyFill="1" applyBorder="1" applyAlignment="1">
      <x:alignment horizontal="center" vertical="center" wrapText="1"/>
    </x:xf>
    <x:xf numFmtId="203" fontId="1" fillId="6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56227b718a4592" /><Relationship Type="http://schemas.openxmlformats.org/officeDocument/2006/relationships/theme" Target="/xl/theme/theme1.xml" Id="R9657d62df9514593" /><Relationship Type="http://schemas.openxmlformats.org/officeDocument/2006/relationships/sharedStrings" Target="/xl/sharedStrings.xml" Id="Rf4a0adb05b754eec" /><Relationship Type="http://schemas.openxmlformats.org/officeDocument/2006/relationships/worksheet" Target="/xl/worksheets/sheet1.xml" Id="R9a37971dafab4ad5" /><Relationship Type="http://schemas.openxmlformats.org/officeDocument/2006/relationships/worksheet" Target="/xl/worksheets/sheet2.xml" Id="Rf9127ecb19134b89" /><Relationship Type="http://schemas.openxmlformats.org/officeDocument/2006/relationships/worksheet" Target="/xl/worksheets/sheet3.xml" Id="Rd9a277815cf44c5d" /></Relationships>
</file>

<file path=xl/tables/table1.xml><?xml version="1.0" encoding="utf-8"?>
<x:table xmlns:x="http://schemas.openxmlformats.org/spreadsheetml/2006/main" id="1" name="DistrictStateFundingTable" displayName="DistrictStateFundingTable" ref="A1:V86" headerRowCount="1">
  <x:tableColumns count="22">
    <x:tableColumn id="1" name="rank"/>
    <x:tableColumn id="2" name="District"/>
    <x:tableColumn id="3" name="State"/>
    <x:tableColumn id="4" name="Region"/>
    <x:tableColumn id="5" name="Overall Value Score"/>
    <x:tableColumn id="6" name="Previous Overall Value Score"/>
    <x:tableColumn id="7" name="State Current Spending Per Pupil"/>
    <x:tableColumn id="8" name="State Funding Context Score"/>
    <x:tableColumn id="9" name="State Funding Context Rating"/>
    <x:tableColumn id="10" name="BA Start"/>
    <x:tableColumn id="11" name="MA Start"/>
    <x:tableColumn id="12" name="BA 5-Year"/>
    <x:tableColumn id="13" name="MA 5-Year"/>
    <x:tableColumn id="14" name="BA 10-Year"/>
    <x:tableColumn id="15" name="MA 10-Year"/>
    <x:tableColumn id="16" name="Master's Premium"/>
    <x:tableColumn id="17" name="Median Rent"/>
    <x:tableColumn id="18" name="Median Home Price"/>
    <x:tableColumn id="19" name="Licensed Sub Pay"/>
    <x:tableColumn id="20" name="Stability Score"/>
    <x:tableColumn id="21" name="stabilityLabel"/>
    <x:tableColumn id="22" name="State Funding 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3ccaba39cf466c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8" hidden="0" customWidth="1"/>
    <x:col min="4" max="4" width="22" hidden="0" customWidth="1"/>
    <x:col min="5" max="5" width="14" hidden="0" customWidth="1"/>
    <x:col min="6" max="6" width="16" hidden="0" customWidth="1"/>
    <x:col min="7" max="7" width="16" hidden="0" customWidth="1"/>
    <x:col min="8" max="8" width="14" hidden="0" customWidth="1"/>
    <x:col min="9" max="9" width="16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  <x:col min="17" max="17" width="12" hidden="0" customWidth="1"/>
    <x:col min="18" max="18" width="14" hidden="0" customWidth="1"/>
    <x:col min="19" max="19" width="12" hidden="0" customWidth="1"/>
    <x:col min="20" max="20" width="12" hidden="0" customWidth="1"/>
    <x:col min="21" max="21" width="14" hidden="0" customWidth="1"/>
    <x:col min="22" max="22" width="40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22" hidden="0" customWidth="1"/>
    <x:col min="32" max="32" width="22" hidden="0" customWidth="1"/>
  </x:cols>
  <x:sheetData>
    <x:row r="1">
      <x:c r="A1" s="6" t="str">
        <x:v>rank</x:v>
      </x:c>
      <x:c r="B1" s="6" t="str">
        <x:v>District</x:v>
      </x:c>
      <x:c r="C1" s="6" t="str">
        <x:v>State</x:v>
      </x:c>
      <x:c r="D1" s="6" t="str">
        <x:v>Region</x:v>
      </x:c>
      <x:c r="E1" s="6" t="str">
        <x:v>Overall Value Score</x:v>
      </x:c>
      <x:c r="F1" s="6" t="str">
        <x:v>Previous Overall Value Score</x:v>
      </x:c>
      <x:c r="G1" s="6" t="str">
        <x:v>State Current Spending Per Pupil</x:v>
      </x:c>
      <x:c r="H1" s="6" t="str">
        <x:v>State Funding Context Score</x:v>
      </x:c>
      <x:c r="I1" s="6" t="str">
        <x:v>State Funding Context Rating</x:v>
      </x:c>
      <x:c r="J1" s="6" t="str">
        <x:v>BA Start</x:v>
      </x:c>
      <x:c r="K1" s="6" t="str">
        <x:v>MA Start</x:v>
      </x:c>
      <x:c r="L1" s="6" t="str">
        <x:v>BA 5-Year</x:v>
      </x:c>
      <x:c r="M1" s="6" t="str">
        <x:v>MA 5-Year</x:v>
      </x:c>
      <x:c r="N1" s="6" t="str">
        <x:v>BA 10-Year</x:v>
      </x:c>
      <x:c r="O1" s="6" t="str">
        <x:v>MA 10-Year</x:v>
      </x:c>
      <x:c r="P1" s="6" t="str">
        <x:v>Master's Premium</x:v>
      </x:c>
      <x:c r="Q1" s="6" t="str">
        <x:v>Median Rent</x:v>
      </x:c>
      <x:c r="R1" s="6" t="str">
        <x:v>Median Home Price</x:v>
      </x:c>
      <x:c r="S1" s="6" t="str">
        <x:v>Licensed Sub Pay</x:v>
      </x:c>
      <x:c r="T1" s="6" t="str">
        <x:v>Stability Score</x:v>
      </x:c>
      <x:c r="U1" s="6" t="str">
        <x:v>stabilityLabel</x:v>
      </x:c>
      <x:c r="V1" s="6" t="str">
        <x:v>State Funding Source URL</x:v>
      </x:c>
      <x:c r="W1" s="36" t="str">
        <x:v>Selected Salary</x:v>
      </x:c>
      <x:c r="X1" s="36" t="str">
        <x:v>Selected Monthly Salary</x:v>
      </x:c>
      <x:c r="Y1" s="40" t="str">
        <x:v>Rent % of Salary</x:v>
      </x:c>
      <x:c r="Z1" s="36" t="str">
        <x:v>Est. Monthly Mortgage P&amp;I</x:v>
      </x:c>
      <x:c r="AA1" s="40" t="str">
        <x:v>Mortgage % of Salary</x:v>
      </x:c>
      <x:c r="AB1" s="41" t="str">
        <x:v>Rent Salary Share Score</x:v>
      </x:c>
      <x:c r="AC1" s="41" t="str">
        <x:v>Mortgage Salary Share Score</x:v>
      </x:c>
      <x:c r="AD1" s="41" t="str">
        <x:v>Housing Salary Share Score</x:v>
      </x:c>
      <x:c r="AE1" s="39" t="str">
        <x:v>Rent Salary % Label</x:v>
      </x:c>
      <x:c r="AF1" s="39" t="str">
        <x:v>Mortgage Salary % Label</x:v>
      </x:c>
    </x:row>
    <x:row r="2">
      <x:c r="A2" t="str">
        <x:v>1</x:v>
      </x:c>
      <x:c r="B2" t="str">
        <x:v>Clovis Unified School District</x:v>
      </x:c>
      <x:c r="C2" t="str">
        <x:v>CA</x:v>
      </x:c>
      <x:c r="D2" t="str">
        <x:v>Central Valley / Fresno-Clovis</x:v>
      </x:c>
      <x:c r="E2" s="8" t="str">
        <x:v>73.0479</x:v>
      </x:c>
      <x:c r="F2" s="8" t="str">
        <x:v>72.4188</x:v>
      </x:c>
      <x:c r="G2" s="10" t="str">
        <x:v>20791</x:v>
      </x:c>
      <x:c r="H2" s="8" t="str">
        <x:v>85</x:v>
      </x:c>
      <x:c r="I2" t="str">
        <x:v>Very Good</x:v>
      </x:c>
      <x:c r="J2" s="10" t="str">
        <x:v>60822</x:v>
      </x:c>
      <x:c r="K2" s="10" t="str">
        <x:v>65822</x:v>
      </x:c>
      <x:c r="L2" s="10" t="str">
        <x:v>76800</x:v>
      </x:c>
      <x:c r="M2" s="10" t="str">
        <x:v>84300</x:v>
      </x:c>
      <x:c r="N2" s="10" t="str">
        <x:v>92800</x:v>
      </x:c>
      <x:c r="O2" s="10" t="str">
        <x:v>102800</x:v>
      </x:c>
      <x:c r="P2" s="10" t="str">
        <x:v>5000</x:v>
      </x:c>
      <x:c r="Q2" s="10" t="str">
        <x:v>1900</x:v>
      </x:c>
      <x:c r="R2" s="10" t="str">
        <x:v>505000</x:v>
      </x:c>
      <x:c r="S2" s="10" t="str">
        <x:v>210</x:v>
      </x:c>
      <x:c r="T2" s="8" t="str">
        <x:v>100</x:v>
      </x:c>
      <x:c r="U2" t="str"/>
      <x:c r="V2" t="str">
        <x:v>https://www.census.gov/newsroom/press-releases/2026/school-system-finances.html</x:v>
      </x:c>
      <x:c r="W2" t="str">
        <x:f>J2</x:f>
        <x:v>60822</x:v>
      </x:c>
      <x:c r="X2" t="n">
        <x:f>W2/12</x:f>
        <x:v>5068.5</x:v>
      </x:c>
      <x:c r="Y2" t="n">
        <x:f>IFERROR(Q2/X2,"")</x:f>
        <x:v>0.37486435829140774</x:v>
      </x:c>
      <x:c r="Z2" t="n">
        <x:f>IFERROR(PMT('Housing Salary Share Phase 1'!$B$7/12,'Housing Salary Share Phase 1'!$B$8*12,-R2*(1-'Housing Salary Share Phase 1'!$B$6)),"")</x:f>
        <x:v>2687.8220805239002</x:v>
      </x:c>
      <x:c r="AA2" t="n">
        <x:f>IFERROR(Z2/X2,"")</x:f>
        <x:v>0.5302993154826675</x:v>
      </x:c>
      <x:c r="AB2" t="n">
        <x:f>IFS(Y2&lt;=20%,95,Y2&lt;=25%,82,Y2&lt;=30%,65,Y2&lt;=40%,45,TRUE,20)</x:f>
        <x:v>45</x:v>
      </x:c>
      <x:c r="AC2" t="n">
        <x:f>IFS(AA2&lt;=20%,95,AA2&lt;=25%,82,AA2&lt;=30%,65,AA2&lt;=40%,45,TRUE,20)</x:f>
        <x:v>20</x:v>
      </x:c>
      <x:c r="AD2" t="n">
        <x:f>AB2*'Housing Salary Share Phase 1'!$B$9+AC2*'Housing Salary Share Phase 1'!$B$10</x:f>
        <x:v>37.5</x:v>
      </x:c>
      <x:c r="AE2" t="str">
        <x:f>IFERROR(TEXT(Y2,"0%")&amp;" of Salary","")</x:f>
        <x:v>37% of Salary</x:v>
      </x:c>
      <x:c r="AF2" t="str">
        <x:f>IFERROR(TEXT(AA2,"0%")&amp;" of Salary","")</x:f>
        <x:v>53% of Salary</x:v>
      </x:c>
    </x:row>
    <x:row r="3">
      <x:c r="A3" t="str">
        <x:v>2</x:v>
      </x:c>
      <x:c r="B3" t="str">
        <x:v>Las Cruces Public Schools</x:v>
      </x:c>
      <x:c r="C3" t="str">
        <x:v>NM</x:v>
      </x:c>
      <x:c r="D3" t="str">
        <x:v>Southern New Mexico</x:v>
      </x:c>
      <x:c r="E3" s="8" t="str">
        <x:v>72.4402</x:v>
      </x:c>
      <x:c r="F3" s="8" t="str">
        <x:v>72.5686</x:v>
      </x:c>
      <x:c r="G3" s="10" t="str">
        <x:v>17664</x:v>
      </x:c>
      <x:c r="H3" s="8" t="str">
        <x:v>70</x:v>
      </x:c>
      <x:c r="I3" t="str">
        <x:v>Good</x:v>
      </x:c>
      <x:c r="J3" s="10" t="str">
        <x:v>55000</x:v>
      </x:c>
      <x:c r="K3" s="10" t="str">
        <x:v>59000</x:v>
      </x:c>
      <x:c r="L3" s="10" t="str">
        <x:v>66000</x:v>
      </x:c>
      <x:c r="M3" s="10" t="str">
        <x:v>70000</x:v>
      </x:c>
      <x:c r="N3" s="10" t="str">
        <x:v>75000</x:v>
      </x:c>
      <x:c r="O3" s="10" t="str">
        <x:v>79000</x:v>
      </x:c>
      <x:c r="P3" s="10" t="str">
        <x:v>4000</x:v>
      </x:c>
      <x:c r="Q3" s="10" t="str">
        <x:v>1450</x:v>
      </x:c>
      <x:c r="R3" s="10" t="str">
        <x:v>310000</x:v>
      </x:c>
      <x:c r="S3" s="10" t="str">
        <x:v>180</x:v>
      </x:c>
      <x:c r="T3" s="8" t="str">
        <x:v>100</x:v>
      </x:c>
      <x:c r="U3" t="str"/>
      <x:c r="V3" t="str">
        <x:v>https://www.census.gov/newsroom/press-releases/2026/school-system-finances.html</x:v>
      </x:c>
      <x:c r="W3" t="str">
        <x:f>J3</x:f>
        <x:v>55000</x:v>
      </x:c>
      <x:c r="X3" t="n">
        <x:f>W3/12</x:f>
        <x:v>4583.333333333333</x:v>
      </x:c>
      <x:c r="Y3" t="n">
        <x:f>IFERROR(Q3/X3,"")</x:f>
        <x:v>0.3163636363636364</x:v>
      </x:c>
      <x:c r="Z3" t="n">
        <x:f>IFERROR(PMT('Housing Salary Share Phase 1'!$B$7/12,'Housing Salary Share Phase 1'!$B$8*12,-R3*(1-'Housing Salary Share Phase 1'!$B$6)),"")</x:f>
        <x:v>1649.9501880443743</x:v>
      </x:c>
      <x:c r="AA3" t="n">
        <x:f>IFERROR(Z3/X3,"")</x:f>
        <x:v>0.3599891319369544</x:v>
      </x:c>
      <x:c r="AB3" t="n">
        <x:f>IFS(Y3&lt;=20%,95,Y3&lt;=25%,82,Y3&lt;=30%,65,Y3&lt;=40%,45,TRUE,20)</x:f>
        <x:v>45</x:v>
      </x:c>
      <x:c r="AC3" t="n">
        <x:f>IFS(AA3&lt;=20%,95,AA3&lt;=25%,82,AA3&lt;=30%,65,AA3&lt;=40%,45,TRUE,20)</x:f>
        <x:v>45</x:v>
      </x:c>
      <x:c r="AD3" t="n">
        <x:f>AB3*'Housing Salary Share Phase 1'!$B$9+AC3*'Housing Salary Share Phase 1'!$B$10</x:f>
        <x:v>45</x:v>
      </x:c>
      <x:c r="AE3" t="str">
        <x:f>IFERROR(TEXT(Y3,"0%")&amp;" of Salary","")</x:f>
        <x:v>32% of Salary</x:v>
      </x:c>
      <x:c r="AF3" t="str">
        <x:f>IFERROR(TEXT(AA3,"0%")&amp;" of Salary","")</x:f>
        <x:v>36% of Salary</x:v>
      </x:c>
    </x:row>
    <x:row r="4">
      <x:c r="A4" t="str">
        <x:v>3</x:v>
      </x:c>
      <x:c r="B4" t="str">
        <x:v>Mounds View Public Schools</x:v>
      </x:c>
      <x:c r="C4" t="str">
        <x:v>MN</x:v>
      </x:c>
      <x:c r="D4" t="str">
        <x:v>Twin Cities</x:v>
      </x:c>
      <x:c r="E4" s="8" t="str">
        <x:v>71.2468</x:v>
      </x:c>
      <x:c r="F4" s="8" t="str">
        <x:v>71.3124</x:v>
      </x:c>
      <x:c r="G4" s="10" t="str">
        <x:v>17098</x:v>
      </x:c>
      <x:c r="H4" s="8" t="str">
        <x:v>70</x:v>
      </x:c>
      <x:c r="I4" t="str">
        <x:v>Good</x:v>
      </x:c>
      <x:c r="J4" s="10" t="str">
        <x:v>52932</x:v>
      </x:c>
      <x:c r="K4" s="10" t="str">
        <x:v>62732</x:v>
      </x:c>
      <x:c r="L4" s="10" t="str">
        <x:v>57028</x:v>
      </x:c>
      <x:c r="M4" s="10" t="str">
        <x:v>68282</x:v>
      </x:c>
      <x:c r="N4" s="10" t="str">
        <x:v>79976</x:v>
      </x:c>
      <x:c r="O4" s="10" t="str">
        <x:v>91578</x:v>
      </x:c>
      <x:c r="P4" s="10" t="str">
        <x:v>9800</x:v>
      </x:c>
      <x:c r="Q4" s="10" t="str">
        <x:v>1500</x:v>
      </x:c>
      <x:c r="R4" s="10" t="str">
        <x:v>425000</x:v>
      </x:c>
      <x:c r="S4" s="10" t="str">
        <x:v>200</x:v>
      </x:c>
      <x:c r="T4" s="8" t="str">
        <x:v>100</x:v>
      </x:c>
      <x:c r="U4" t="str">
        <x:v>Stable</x:v>
      </x:c>
      <x:c r="V4" t="str">
        <x:v>https://www.census.gov/newsroom/press-releases/2026/school-system-finances.html</x:v>
      </x:c>
      <x:c r="W4" t="str">
        <x:f>J4</x:f>
        <x:v>52932</x:v>
      </x:c>
      <x:c r="X4" t="n">
        <x:f>W4/12</x:f>
        <x:v>4411</x:v>
      </x:c>
      <x:c r="Y4" t="n">
        <x:f>IFERROR(Q4/X4,"")</x:f>
        <x:v>0.3400589435502154</x:v>
      </x:c>
      <x:c r="Z4" t="n">
        <x:f>IFERROR(PMT('Housing Salary Share Phase 1'!$B$7/12,'Housing Salary Share Phase 1'!$B$8*12,-R4*(1-'Housing Salary Share Phase 1'!$B$6)),"")</x:f>
        <x:v>2262.028483609223</x:v>
      </x:c>
      <x:c r="AA4" t="n">
        <x:f>IFERROR(Z4/X4,"")</x:f>
        <x:v>0.5128153442777653</x:v>
      </x:c>
      <x:c r="AB4" t="n">
        <x:f>IFS(Y4&lt;=20%,95,Y4&lt;=25%,82,Y4&lt;=30%,65,Y4&lt;=40%,45,TRUE,20)</x:f>
        <x:v>45</x:v>
      </x:c>
      <x:c r="AC4" t="n">
        <x:f>IFS(AA4&lt;=20%,95,AA4&lt;=25%,82,AA4&lt;=30%,65,AA4&lt;=40%,45,TRUE,20)</x:f>
        <x:v>20</x:v>
      </x:c>
      <x:c r="AD4" t="n">
        <x:f>AB4*'Housing Salary Share Phase 1'!$B$9+AC4*'Housing Salary Share Phase 1'!$B$10</x:f>
        <x:v>37.5</x:v>
      </x:c>
      <x:c r="AE4" t="str">
        <x:f>IFERROR(TEXT(Y4,"0%")&amp;" of Salary","")</x:f>
        <x:v>34% of Salary</x:v>
      </x:c>
      <x:c r="AF4" t="str">
        <x:f>IFERROR(TEXT(AA4,"0%")&amp;" of Salary","")</x:f>
        <x:v>51% of Salary</x:v>
      </x:c>
    </x:row>
    <x:row r="5">
      <x:c r="A5" t="str">
        <x:v>4</x:v>
      </x:c>
      <x:c r="B5" t="str">
        <x:v>Rio Rancho Public Schools</x:v>
      </x:c>
      <x:c r="C5" t="str">
        <x:v>NM</x:v>
      </x:c>
      <x:c r="D5" t="str">
        <x:v>Albuquerque / Rio Rancho</x:v>
      </x:c>
      <x:c r="E5" s="8" t="str">
        <x:v>70.2425</x:v>
      </x:c>
      <x:c r="F5" s="8" t="str">
        <x:v>70.2553</x:v>
      </x:c>
      <x:c r="G5" s="10" t="str">
        <x:v>17664</x:v>
      </x:c>
      <x:c r="H5" s="8" t="str">
        <x:v>70</x:v>
      </x:c>
      <x:c r="I5" t="str">
        <x:v>Good</x:v>
      </x:c>
      <x:c r="J5" s="10" t="str">
        <x:v>56000</x:v>
      </x:c>
      <x:c r="K5" s="10" t="str">
        <x:v>60000</x:v>
      </x:c>
      <x:c r="L5" s="10" t="str">
        <x:v>67000</x:v>
      </x:c>
      <x:c r="M5" s="10" t="str">
        <x:v>72000</x:v>
      </x:c>
      <x:c r="N5" s="10" t="str">
        <x:v>76000</x:v>
      </x:c>
      <x:c r="O5" s="10" t="str">
        <x:v>81000</x:v>
      </x:c>
      <x:c r="P5" s="10" t="str">
        <x:v>4000</x:v>
      </x:c>
      <x:c r="Q5" s="10" t="str">
        <x:v>1650</x:v>
      </x:c>
      <x:c r="R5" s="10" t="str">
        <x:v>350000</x:v>
      </x:c>
      <x:c r="S5" s="10" t="str">
        <x:v>180</x:v>
      </x:c>
      <x:c r="T5" s="8" t="str">
        <x:v>100</x:v>
      </x:c>
      <x:c r="U5" t="str"/>
      <x:c r="V5" t="str">
        <x:v>https://www.census.gov/newsroom/press-releases/2026/school-system-finances.html</x:v>
      </x:c>
      <x:c r="W5" t="str">
        <x:f>J5</x:f>
        <x:v>56000</x:v>
      </x:c>
      <x:c r="X5" t="n">
        <x:f>W5/12</x:f>
        <x:v>4666.666666666667</x:v>
      </x:c>
      <x:c r="Y5" t="n">
        <x:f>IFERROR(Q5/X5,"")</x:f>
        <x:v>0.35357142857142854</x:v>
      </x:c>
      <x:c r="Z5" t="n">
        <x:f>IFERROR(PMT('Housing Salary Share Phase 1'!$B$7/12,'Housing Salary Share Phase 1'!$B$8*12,-R5*(1-'Housing Salary Share Phase 1'!$B$6)),"")</x:f>
        <x:v>1862.846986501713</x:v>
      </x:c>
      <x:c r="AA5" t="n">
        <x:f>IFERROR(Z5/X5,"")</x:f>
        <x:v>0.3991814971075099</x:v>
      </x:c>
      <x:c r="AB5" t="n">
        <x:f>IFS(Y5&lt;=20%,95,Y5&lt;=25%,82,Y5&lt;=30%,65,Y5&lt;=40%,45,TRUE,20)</x:f>
        <x:v>45</x:v>
      </x:c>
      <x:c r="AC5" t="n">
        <x:f>IFS(AA5&lt;=20%,95,AA5&lt;=25%,82,AA5&lt;=30%,65,AA5&lt;=40%,45,TRUE,20)</x:f>
        <x:v>45</x:v>
      </x:c>
      <x:c r="AD5" t="n">
        <x:f>AB5*'Housing Salary Share Phase 1'!$B$9+AC5*'Housing Salary Share Phase 1'!$B$10</x:f>
        <x:v>45</x:v>
      </x:c>
      <x:c r="AE5" t="str">
        <x:f>IFERROR(TEXT(Y5,"0%")&amp;" of Salary","")</x:f>
        <x:v>35% of Salary</x:v>
      </x:c>
      <x:c r="AF5" t="str">
        <x:f>IFERROR(TEXT(AA5,"0%")&amp;" of Salary","")</x:f>
        <x:v>40% of Salary</x:v>
      </x:c>
    </x:row>
    <x:row r="6">
      <x:c r="A6" t="str">
        <x:v>5</x:v>
      </x:c>
      <x:c r="B6" t="str">
        <x:v>Anoka-Hennepin Schools</x:v>
      </x:c>
      <x:c r="C6" t="str">
        <x:v>MN</x:v>
      </x:c>
      <x:c r="D6" t="str">
        <x:v>Twin Cities North Metro</x:v>
      </x:c>
      <x:c r="E6" s="8" t="str">
        <x:v>67.8503</x:v>
      </x:c>
      <x:c r="F6" s="8" t="str">
        <x:v>67.7372</x:v>
      </x:c>
      <x:c r="G6" s="10" t="str">
        <x:v>17098</x:v>
      </x:c>
      <x:c r="H6" s="8" t="str">
        <x:v>70</x:v>
      </x:c>
      <x:c r="I6" t="str">
        <x:v>Good</x:v>
      </x:c>
      <x:c r="J6" s="10" t="str">
        <x:v>53864</x:v>
      </x:c>
      <x:c r="K6" s="10" t="str">
        <x:v>63291</x:v>
      </x:c>
      <x:c r="L6" s="10" t="str">
        <x:v>61000</x:v>
      </x:c>
      <x:c r="M6" s="10" t="str">
        <x:v>71000</x:v>
      </x:c>
      <x:c r="N6" s="10" t="str">
        <x:v>73000</x:v>
      </x:c>
      <x:c r="O6" s="10" t="str">
        <x:v>90000</x:v>
      </x:c>
      <x:c r="P6" s="10" t="str">
        <x:v>9427</x:v>
      </x:c>
      <x:c r="Q6" s="10" t="str">
        <x:v>1500</x:v>
      </x:c>
      <x:c r="R6" s="10" t="str">
        <x:v>375000</x:v>
      </x:c>
      <x:c r="S6" s="10" t="str">
        <x:v>200</x:v>
      </x:c>
      <x:c r="T6" s="8" t="str">
        <x:v>100</x:v>
      </x:c>
      <x:c r="U6" t="str">
        <x:v>Stable</x:v>
      </x:c>
      <x:c r="V6" t="str">
        <x:v>https://www.census.gov/newsroom/press-releases/2026/school-system-finances.html</x:v>
      </x:c>
      <x:c r="W6" t="str">
        <x:f>J6</x:f>
        <x:v>53864</x:v>
      </x:c>
      <x:c r="X6" t="n">
        <x:f>W6/12</x:f>
        <x:v>4488.666666666667</x:v>
      </x:c>
      <x:c r="Y6" t="n">
        <x:f>IFERROR(Q6/X6,"")</x:f>
        <x:v>0.33417495915639384</x:v>
      </x:c>
      <x:c r="Z6" t="n">
        <x:f>IFERROR(PMT('Housing Salary Share Phase 1'!$B$7/12,'Housing Salary Share Phase 1'!$B$8*12,-R6*(1-'Housing Salary Share Phase 1'!$B$6)),"")</x:f>
        <x:v>1995.9074855375495</x:v>
      </x:c>
      <x:c r="AA6" t="n">
        <x:f>IFERROR(Z6/X6,"")</x:f>
        <x:v>0.4446548683063009</x:v>
      </x:c>
      <x:c r="AB6" t="n">
        <x:f>IFS(Y6&lt;=20%,95,Y6&lt;=25%,82,Y6&lt;=30%,65,Y6&lt;=40%,45,TRUE,20)</x:f>
        <x:v>45</x:v>
      </x:c>
      <x:c r="AC6" t="n">
        <x:f>IFS(AA6&lt;=20%,95,AA6&lt;=25%,82,AA6&lt;=30%,65,AA6&lt;=40%,45,TRUE,20)</x:f>
        <x:v>20</x:v>
      </x:c>
      <x:c r="AD6" t="n">
        <x:f>AB6*'Housing Salary Share Phase 1'!$B$9+AC6*'Housing Salary Share Phase 1'!$B$10</x:f>
        <x:v>37.5</x:v>
      </x:c>
      <x:c r="AE6" t="str">
        <x:f>IFERROR(TEXT(Y6,"0%")&amp;" of Salary","")</x:f>
        <x:v>33% of Salary</x:v>
      </x:c>
      <x:c r="AF6" t="str">
        <x:f>IFERROR(TEXT(AA6,"0%")&amp;" of Salary","")</x:f>
        <x:v>44% of Salary</x:v>
      </x:c>
    </x:row>
    <x:row r="7">
      <x:c r="A7" t="str">
        <x:v>6</x:v>
      </x:c>
      <x:c r="B7" t="str">
        <x:v>Rosemount-Apple Valley-Eagan ISD 196</x:v>
      </x:c>
      <x:c r="C7" t="str">
        <x:v>MN</x:v>
      </x:c>
      <x:c r="D7" t="str">
        <x:v>Twin Cities Suburbs</x:v>
      </x:c>
      <x:c r="E7" s="8" t="str">
        <x:v>67.5322</x:v>
      </x:c>
      <x:c r="F7" s="8" t="str">
        <x:v>67.4023</x:v>
      </x:c>
      <x:c r="G7" s="10" t="str">
        <x:v>17098</x:v>
      </x:c>
      <x:c r="H7" s="8" t="str">
        <x:v>70</x:v>
      </x:c>
      <x:c r="I7" t="str">
        <x:v>Good</x:v>
      </x:c>
      <x:c r="J7" s="10" t="str">
        <x:v>51322</x:v>
      </x:c>
      <x:c r="K7" s="10" t="str">
        <x:v>54157</x:v>
      </x:c>
      <x:c r="L7" s="10" t="str">
        <x:v>63680</x:v>
      </x:c>
      <x:c r="M7" s="10" t="str">
        <x:v>72068</x:v>
      </x:c>
      <x:c r="N7" s="10" t="str">
        <x:v>87104</x:v>
      </x:c>
      <x:c r="O7" s="10" t="str">
        <x:v>92502</x:v>
      </x:c>
      <x:c r="P7" s="10" t="str">
        <x:v>2835</x:v>
      </x:c>
      <x:c r="Q7" s="10" t="str">
        <x:v>1700</x:v>
      </x:c>
      <x:c r="R7" s="10" t="str">
        <x:v>435000</x:v>
      </x:c>
      <x:c r="S7" s="10" t="str">
        <x:v>180</x:v>
      </x:c>
      <x:c r="T7" s="8" t="str">
        <x:v>100</x:v>
      </x:c>
      <x:c r="U7" t="str">
        <x:v>Stable</x:v>
      </x:c>
      <x:c r="V7" t="str">
        <x:v>https://www.census.gov/newsroom/press-releases/2026/school-system-finances.html</x:v>
      </x:c>
      <x:c r="W7" t="str">
        <x:f>J7</x:f>
        <x:v>51322</x:v>
      </x:c>
      <x:c r="X7" t="n">
        <x:f>W7/12</x:f>
        <x:v>4276.833333333333</x:v>
      </x:c>
      <x:c r="Y7" t="n">
        <x:f>IFERROR(Q7/X7,"")</x:f>
        <x:v>0.39749035501344454</x:v>
      </x:c>
      <x:c r="Z7" t="n">
        <x:f>IFERROR(PMT('Housing Salary Share Phase 1'!$B$7/12,'Housing Salary Share Phase 1'!$B$8*12,-R7*(1-'Housing Salary Share Phase 1'!$B$6)),"")</x:f>
        <x:v>2315.2526832235576</x:v>
      </x:c>
      <x:c r="AA7" t="n">
        <x:f>IFERROR(Z7/X7,"")</x:f>
        <x:v>0.541347418235507</x:v>
      </x:c>
      <x:c r="AB7" t="n">
        <x:f>IFS(Y7&lt;=20%,95,Y7&lt;=25%,82,Y7&lt;=30%,65,Y7&lt;=40%,45,TRUE,20)</x:f>
        <x:v>45</x:v>
      </x:c>
      <x:c r="AC7" t="n">
        <x:f>IFS(AA7&lt;=20%,95,AA7&lt;=25%,82,AA7&lt;=30%,65,AA7&lt;=40%,45,TRUE,20)</x:f>
        <x:v>20</x:v>
      </x:c>
      <x:c r="AD7" t="n">
        <x:f>AB7*'Housing Salary Share Phase 1'!$B$9+AC7*'Housing Salary Share Phase 1'!$B$10</x:f>
        <x:v>37.5</x:v>
      </x:c>
      <x:c r="AE7" t="str">
        <x:f>IFERROR(TEXT(Y7,"0%")&amp;" of Salary","")</x:f>
        <x:v>40% of Salary</x:v>
      </x:c>
      <x:c r="AF7" t="str">
        <x:f>IFERROR(TEXT(AA7,"0%")&amp;" of Salary","")</x:f>
        <x:v>54% of Salary</x:v>
      </x:c>
    </x:row>
    <x:row r="8">
      <x:c r="A8" t="str">
        <x:v>7</x:v>
      </x:c>
      <x:c r="B8" t="str">
        <x:v>Eden Prairie Schools</x:v>
      </x:c>
      <x:c r="C8" t="str">
        <x:v>MN</x:v>
      </x:c>
      <x:c r="D8" t="str">
        <x:v>Twin Cities</x:v>
      </x:c>
      <x:c r="E8" s="8" t="str">
        <x:v>65.2356</x:v>
      </x:c>
      <x:c r="F8" s="8" t="str">
        <x:v>64.9848</x:v>
      </x:c>
      <x:c r="G8" s="10" t="str">
        <x:v>17098</x:v>
      </x:c>
      <x:c r="H8" s="8" t="str">
        <x:v>70</x:v>
      </x:c>
      <x:c r="I8" t="str">
        <x:v>Good</x:v>
      </x:c>
      <x:c r="J8" s="10" t="str">
        <x:v>51831</x:v>
      </x:c>
      <x:c r="K8" s="10" t="str">
        <x:v>66354</x:v>
      </x:c>
      <x:c r="L8" s="10" t="str">
        <x:v>61041</x:v>
      </x:c>
      <x:c r="M8" s="10" t="str">
        <x:v>75565</x:v>
      </x:c>
      <x:c r="N8" s="10" t="str">
        <x:v>70817</x:v>
      </x:c>
      <x:c r="O8" s="10" t="str">
        <x:v>94481</x:v>
      </x:c>
      <x:c r="P8" s="10" t="str">
        <x:v>14523</x:v>
      </x:c>
      <x:c r="Q8" s="10" t="str">
        <x:v>1650</x:v>
      </x:c>
      <x:c r="R8" s="10" t="str">
        <x:v>515000</x:v>
      </x:c>
      <x:c r="S8" s="10" t="str">
        <x:v>183</x:v>
      </x:c>
      <x:c r="T8" s="8" t="str">
        <x:v>100</x:v>
      </x:c>
      <x:c r="U8" t="str">
        <x:v>Stable</x:v>
      </x:c>
      <x:c r="V8" t="str">
        <x:v>https://www.census.gov/newsroom/press-releases/2026/school-system-finances.html</x:v>
      </x:c>
      <x:c r="W8" t="str">
        <x:f>J8</x:f>
        <x:v>51831</x:v>
      </x:c>
      <x:c r="X8" t="n">
        <x:f>W8/12</x:f>
        <x:v>4319.25</x:v>
      </x:c>
      <x:c r="Y8" t="n">
        <x:f>IFERROR(Q8/X8,"")</x:f>
        <x:v>0.38201076575794407</x:v>
      </x:c>
      <x:c r="Z8" t="n">
        <x:f>IFERROR(PMT('Housing Salary Share Phase 1'!$B$7/12,'Housing Salary Share Phase 1'!$B$8*12,-R8*(1-'Housing Salary Share Phase 1'!$B$6)),"")</x:f>
        <x:v>2741.0462801382346</x:v>
      </x:c>
      <x:c r="AA8" t="n">
        <x:f>IFERROR(Z8/X8,"")</x:f>
        <x:v>0.6346116293658007</x:v>
      </x:c>
      <x:c r="AB8" t="n">
        <x:f>IFS(Y8&lt;=20%,95,Y8&lt;=25%,82,Y8&lt;=30%,65,Y8&lt;=40%,45,TRUE,20)</x:f>
        <x:v>45</x:v>
      </x:c>
      <x:c r="AC8" t="n">
        <x:f>IFS(AA8&lt;=20%,95,AA8&lt;=25%,82,AA8&lt;=30%,65,AA8&lt;=40%,45,TRUE,20)</x:f>
        <x:v>20</x:v>
      </x:c>
      <x:c r="AD8" t="n">
        <x:f>AB8*'Housing Salary Share Phase 1'!$B$9+AC8*'Housing Salary Share Phase 1'!$B$10</x:f>
        <x:v>37.5</x:v>
      </x:c>
      <x:c r="AE8" t="str">
        <x:f>IFERROR(TEXT(Y8,"0%")&amp;" of Salary","")</x:f>
        <x:v>38% of Salary</x:v>
      </x:c>
      <x:c r="AF8" t="str">
        <x:f>IFERROR(TEXT(AA8,"0%")&amp;" of Salary","")</x:f>
        <x:v>63% of Salary</x:v>
      </x:c>
    </x:row>
    <x:row r="9">
      <x:c r="A9" t="str">
        <x:v>8</x:v>
      </x:c>
      <x:c r="B9" t="str">
        <x:v>Antelope Valley Union High School District</x:v>
      </x:c>
      <x:c r="C9" t="str">
        <x:v>CA</x:v>
      </x:c>
      <x:c r="D9" t="str">
        <x:v>Northern Los Angeles County / Antelope Valley</x:v>
      </x:c>
      <x:c r="E9" s="8" t="str">
        <x:v>64.3482</x:v>
      </x:c>
      <x:c r="F9" s="8" t="str">
        <x:v>63.2613</x:v>
      </x:c>
      <x:c r="G9" s="10" t="str">
        <x:v>20791</x:v>
      </x:c>
      <x:c r="H9" s="8" t="str">
        <x:v>85</x:v>
      </x:c>
      <x:c r="I9" t="str">
        <x:v>Very Good</x:v>
      </x:c>
      <x:c r="J9" s="10" t="str">
        <x:v>64000</x:v>
      </x:c>
      <x:c r="K9" s="10" t="str">
        <x:v>70000</x:v>
      </x:c>
      <x:c r="L9" s="10" t="str">
        <x:v>80000</x:v>
      </x:c>
      <x:c r="M9" s="10" t="str">
        <x:v>89000</x:v>
      </x:c>
      <x:c r="N9" s="10" t="str">
        <x:v>94000</x:v>
      </x:c>
      <x:c r="O9" s="10" t="str">
        <x:v>105000</x:v>
      </x:c>
      <x:c r="P9" s="10" t="str">
        <x:v>6000</x:v>
      </x:c>
      <x:c r="Q9" s="10" t="str">
        <x:v>2050</x:v>
      </x:c>
      <x:c r="R9" s="10" t="str">
        <x:v>470000</x:v>
      </x:c>
      <x:c r="S9" s="10" t="str">
        <x:v>230</x:v>
      </x:c>
      <x:c r="T9" s="8" t="str">
        <x:v>100</x:v>
      </x:c>
      <x:c r="U9" t="str">
        <x:v>Stable</x:v>
      </x:c>
      <x:c r="V9" t="str">
        <x:v>https://www.census.gov/newsroom/press-releases/2026/school-system-finances.html</x:v>
      </x:c>
      <x:c r="W9" t="str">
        <x:f>J9</x:f>
        <x:v>64000</x:v>
      </x:c>
      <x:c r="X9" t="n">
        <x:f>W9/12</x:f>
        <x:v>5333.333333333333</x:v>
      </x:c>
      <x:c r="Y9" t="n">
        <x:f>IFERROR(Q9/X9,"")</x:f>
        <x:v>0.384375</x:v>
      </x:c>
      <x:c r="Z9" t="n">
        <x:f>IFERROR(PMT('Housing Salary Share Phase 1'!$B$7/12,'Housing Salary Share Phase 1'!$B$8*12,-R9*(1-'Housing Salary Share Phase 1'!$B$6)),"")</x:f>
        <x:v>2501.537381873729</x:v>
      </x:c>
      <x:c r="AA9" t="n">
        <x:f>IFERROR(Z9/X9,"")</x:f>
        <x:v>0.4690382591013242</x:v>
      </x:c>
      <x:c r="AB9" t="n">
        <x:f>IFS(Y9&lt;=20%,95,Y9&lt;=25%,82,Y9&lt;=30%,65,Y9&lt;=40%,45,TRUE,20)</x:f>
        <x:v>45</x:v>
      </x:c>
      <x:c r="AC9" t="n">
        <x:f>IFS(AA9&lt;=20%,95,AA9&lt;=25%,82,AA9&lt;=30%,65,AA9&lt;=40%,45,TRUE,20)</x:f>
        <x:v>20</x:v>
      </x:c>
      <x:c r="AD9" t="n">
        <x:f>AB9*'Housing Salary Share Phase 1'!$B$9+AC9*'Housing Salary Share Phase 1'!$B$10</x:f>
        <x:v>37.5</x:v>
      </x:c>
      <x:c r="AE9" t="str">
        <x:f>IFERROR(TEXT(Y9,"0%")&amp;" of Salary","")</x:f>
        <x:v>38% of Salary</x:v>
      </x:c>
      <x:c r="AF9" t="str">
        <x:f>IFERROR(TEXT(AA9,"0%")&amp;" of Salary","")</x:f>
        <x:v>47% of Salary</x:v>
      </x:c>
    </x:row>
    <x:row r="10">
      <x:c r="A10" t="str">
        <x:v>9</x:v>
      </x:c>
      <x:c r="B10" t="str">
        <x:v>Kern High School District</x:v>
      </x:c>
      <x:c r="C10" t="str">
        <x:v>CA</x:v>
      </x:c>
      <x:c r="D10" t="str">
        <x:v>Central Valley / Bakersfield</x:v>
      </x:c>
      <x:c r="E10" s="8" t="str">
        <x:v>64.2606</x:v>
      </x:c>
      <x:c r="F10" s="8" t="str">
        <x:v>63.169</x:v>
      </x:c>
      <x:c r="G10" s="10" t="str">
        <x:v>20791</x:v>
      </x:c>
      <x:c r="H10" s="8" t="str">
        <x:v>85</x:v>
      </x:c>
      <x:c r="I10" t="str">
        <x:v>Very Good</x:v>
      </x:c>
      <x:c r="J10" s="10" t="str">
        <x:v>64147</x:v>
      </x:c>
      <x:c r="K10" s="10" t="str">
        <x:v>68844</x:v>
      </x:c>
      <x:c r="L10" s="10" t="str">
        <x:v>67705</x:v>
      </x:c>
      <x:c r="M10" s="10" t="str">
        <x:v>81740</x:v>
      </x:c>
      <x:c r="N10" s="10" t="str">
        <x:v>80601</x:v>
      </x:c>
      <x:c r="O10" s="10" t="str">
        <x:v>94638</x:v>
      </x:c>
      <x:c r="P10" s="10" t="str">
        <x:v>4697</x:v>
      </x:c>
      <x:c r="Q10" s="10" t="str">
        <x:v>1695</x:v>
      </x:c>
      <x:c r="R10" s="10" t="str">
        <x:v>395000</x:v>
      </x:c>
      <x:c r="S10" s="10" t="str">
        <x:v>200</x:v>
      </x:c>
      <x:c r="T10" s="8" t="str">
        <x:v>100</x:v>
      </x:c>
      <x:c r="U10" t="str"/>
      <x:c r="V10" t="str">
        <x:v>https://www.census.gov/newsroom/press-releases/2026/school-system-finances.html</x:v>
      </x:c>
      <x:c r="W10" t="str">
        <x:f>J10</x:f>
        <x:v>64147</x:v>
      </x:c>
      <x:c r="X10" t="n">
        <x:f>W10/12</x:f>
        <x:v>5345.583333333333</x:v>
      </x:c>
      <x:c r="Y10" t="n">
        <x:f>IFERROR(Q10/X10,"")</x:f>
        <x:v>0.31708419723447706</x:v>
      </x:c>
      <x:c r="Z10" t="n">
        <x:f>IFERROR(PMT('Housing Salary Share Phase 1'!$B$7/12,'Housing Salary Share Phase 1'!$B$8*12,-R10*(1-'Housing Salary Share Phase 1'!$B$6)),"")</x:f>
        <x:v>2102.355884766219</x:v>
      </x:c>
      <x:c r="AA10" t="n">
        <x:f>IFERROR(Z10/X10,"")</x:f>
        <x:v>0.39328839411343675</x:v>
      </x:c>
      <x:c r="AB10" t="n">
        <x:f>IFS(Y10&lt;=20%,95,Y10&lt;=25%,82,Y10&lt;=30%,65,Y10&lt;=40%,45,TRUE,20)</x:f>
        <x:v>45</x:v>
      </x:c>
      <x:c r="AC10" t="n">
        <x:f>IFS(AA10&lt;=20%,95,AA10&lt;=25%,82,AA10&lt;=30%,65,AA10&lt;=40%,45,TRUE,20)</x:f>
        <x:v>45</x:v>
      </x:c>
      <x:c r="AD10" t="n">
        <x:f>AB10*'Housing Salary Share Phase 1'!$B$9+AC10*'Housing Salary Share Phase 1'!$B$10</x:f>
        <x:v>45</x:v>
      </x:c>
      <x:c r="AE10" t="str">
        <x:f>IFERROR(TEXT(Y10,"0%")&amp;" of Salary","")</x:f>
        <x:v>32% of Salary</x:v>
      </x:c>
      <x:c r="AF10" t="str">
        <x:f>IFERROR(TEXT(AA10,"0%")&amp;" of Salary","")</x:f>
        <x:v>39% of Salary</x:v>
      </x:c>
    </x:row>
    <x:row r="11">
      <x:c r="A11" t="str">
        <x:v>10</x:v>
      </x:c>
      <x:c r="B11" t="str">
        <x:v>Hobbs Municipal Schools</x:v>
      </x:c>
      <x:c r="C11" t="str">
        <x:v>NM</x:v>
      </x:c>
      <x:c r="D11" t="str">
        <x:v>Southeast New Mexico</x:v>
      </x:c>
      <x:c r="E11" s="8" t="str">
        <x:v>64.1909</x:v>
      </x:c>
      <x:c r="F11" s="8" t="str">
        <x:v>63.8852</x:v>
      </x:c>
      <x:c r="G11" s="10" t="str">
        <x:v>17664</x:v>
      </x:c>
      <x:c r="H11" s="8" t="str">
        <x:v>70</x:v>
      </x:c>
      <x:c r="I11" t="str">
        <x:v>Good</x:v>
      </x:c>
      <x:c r="J11" s="10" t="str">
        <x:v>63024</x:v>
      </x:c>
      <x:c r="K11" s="10" t="str">
        <x:v>73022</x:v>
      </x:c>
      <x:c r="L11" s="10" t="str">
        <x:v>65178</x:v>
      </x:c>
      <x:c r="M11" s="10" t="str">
        <x:v>73263</x:v>
      </x:c>
      <x:c r="N11" s="10" t="str">
        <x:v>72786</x:v>
      </x:c>
      <x:c r="O11" s="10" t="str">
        <x:v>75724</x:v>
      </x:c>
      <x:c r="P11" s="10" t="str">
        <x:v>9998</x:v>
      </x:c>
      <x:c r="Q11" s="10" t="str">
        <x:v>1250</x:v>
      </x:c>
      <x:c r="R11" s="10" t="str">
        <x:v>240000</x:v>
      </x:c>
      <x:c r="S11" s="10" t="str">
        <x:v>150</x:v>
      </x:c>
      <x:c r="T11" s="8" t="str">
        <x:v>100</x:v>
      </x:c>
      <x:c r="U11" t="str">
        <x:v>Stable</x:v>
      </x:c>
      <x:c r="V11" t="str">
        <x:v>https://www.census.gov/newsroom/press-releases/2026/school-system-finances.html</x:v>
      </x:c>
      <x:c r="W11" t="str">
        <x:f>J11</x:f>
        <x:v>63024</x:v>
      </x:c>
      <x:c r="X11" t="n">
        <x:f>W11/12</x:f>
        <x:v>5252</x:v>
      </x:c>
      <x:c r="Y11" t="n">
        <x:f>IFERROR(Q11/X11,"")</x:f>
        <x:v>0.238004569687738</x:v>
      </x:c>
      <x:c r="Z11" t="n">
        <x:f>IFERROR(PMT('Housing Salary Share Phase 1'!$B$7/12,'Housing Salary Share Phase 1'!$B$8*12,-R11*(1-'Housing Salary Share Phase 1'!$B$6)),"")</x:f>
        <x:v>1277.3807907440319</x:v>
      </x:c>
      <x:c r="AA11" t="n">
        <x:f>IFERROR(Z11/X11,"")</x:f>
        <x:v>0.24321797234273265</x:v>
      </x:c>
      <x:c r="AB11" t="n">
        <x:f>IFS(Y11&lt;=20%,95,Y11&lt;=25%,82,Y11&lt;=30%,65,Y11&lt;=40%,45,TRUE,20)</x:f>
        <x:v>82</x:v>
      </x:c>
      <x:c r="AC11" t="n">
        <x:f>IFS(AA11&lt;=20%,95,AA11&lt;=25%,82,AA11&lt;=30%,65,AA11&lt;=40%,45,TRUE,20)</x:f>
        <x:v>82</x:v>
      </x:c>
      <x:c r="AD11" t="n">
        <x:f>AB11*'Housing Salary Share Phase 1'!$B$9+AC11*'Housing Salary Share Phase 1'!$B$10</x:f>
        <x:v>82</x:v>
      </x:c>
      <x:c r="AE11" t="str">
        <x:f>IFERROR(TEXT(Y11,"0%")&amp;" of Salary","")</x:f>
        <x:v>24% of Salary</x:v>
      </x:c>
      <x:c r="AF11" t="str">
        <x:f>IFERROR(TEXT(AA11,"0%")&amp;" of Salary","")</x:f>
        <x:v>24% of Salary</x:v>
      </x:c>
    </x:row>
    <x:row r="12">
      <x:c r="A12" t="str">
        <x:v>11</x:v>
      </x:c>
      <x:c r="B12" t="str">
        <x:v>Twin Falls School District</x:v>
      </x:c>
      <x:c r="C12" t="str">
        <x:v>ID</x:v>
      </x:c>
      <x:c r="D12" t="str">
        <x:v>Magic Valley</x:v>
      </x:c>
      <x:c r="E12" s="8" t="str">
        <x:v>64.0497</x:v>
      </x:c>
      <x:c r="F12" s="8" t="str">
        <x:v>65.3155</x:v>
      </x:c>
      <x:c r="G12" s="10" t="str">
        <x:v>11060</x:v>
      </x:c>
      <x:c r="H12" s="8" t="str">
        <x:v>40</x:v>
      </x:c>
      <x:c r="I12" t="str">
        <x:v>Low</x:v>
      </x:c>
      <x:c r="J12" s="10" t="str">
        <x:v>50252</x:v>
      </x:c>
      <x:c r="K12" s="10" t="str">
        <x:v>56000</x:v>
      </x:c>
      <x:c r="L12" s="10" t="str">
        <x:v>59000</x:v>
      </x:c>
      <x:c r="M12" s="10" t="str">
        <x:v>66000</x:v>
      </x:c>
      <x:c r="N12" s="10" t="str">
        <x:v>66000</x:v>
      </x:c>
      <x:c r="O12" s="10" t="str">
        <x:v>73500</x:v>
      </x:c>
      <x:c r="P12" s="10" t="str">
        <x:v>5748</x:v>
      </x:c>
      <x:c r="Q12" s="10" t="str">
        <x:v>1450</x:v>
      </x:c>
      <x:c r="R12" s="10" t="str">
        <x:v>370000</x:v>
      </x:c>
      <x:c r="S12" s="10" t="str">
        <x:v>125</x:v>
      </x:c>
      <x:c r="T12" s="8" t="str">
        <x:v>100</x:v>
      </x:c>
      <x:c r="U12" t="str"/>
      <x:c r="V12" t="str">
        <x:v>https://www.census.gov/newsroom/press-releases/2026/school-system-finances.html</x:v>
      </x:c>
      <x:c r="W12" t="str">
        <x:f>J12</x:f>
        <x:v>50252</x:v>
      </x:c>
      <x:c r="X12" t="n">
        <x:f>W12/12</x:f>
        <x:v>4187.666666666667</x:v>
      </x:c>
      <x:c r="Y12" t="n">
        <x:f>IFERROR(Q12/X12,"")</x:f>
        <x:v>0.34625487542784367</x:v>
      </x:c>
      <x:c r="Z12" t="n">
        <x:f>IFERROR(PMT('Housing Salary Share Phase 1'!$B$7/12,'Housing Salary Share Phase 1'!$B$8*12,-R12*(1-'Housing Salary Share Phase 1'!$B$6)),"")</x:f>
        <x:v>1969.2953857303823</x:v>
      </x:c>
      <x:c r="AA12" t="n">
        <x:f>IFERROR(Z12/X12,"")</x:f>
        <x:v>0.47026077825289714</x:v>
      </x:c>
      <x:c r="AB12" t="n">
        <x:f>IFS(Y12&lt;=20%,95,Y12&lt;=25%,82,Y12&lt;=30%,65,Y12&lt;=40%,45,TRUE,20)</x:f>
        <x:v>45</x:v>
      </x:c>
      <x:c r="AC12" t="n">
        <x:f>IFS(AA12&lt;=20%,95,AA12&lt;=25%,82,AA12&lt;=30%,65,AA12&lt;=40%,45,TRUE,20)</x:f>
        <x:v>20</x:v>
      </x:c>
      <x:c r="AD12" t="n">
        <x:f>AB12*'Housing Salary Share Phase 1'!$B$9+AC12*'Housing Salary Share Phase 1'!$B$10</x:f>
        <x:v>37.5</x:v>
      </x:c>
      <x:c r="AE12" t="str">
        <x:f>IFERROR(TEXT(Y12,"0%")&amp;" of Salary","")</x:f>
        <x:v>35% of Salary</x:v>
      </x:c>
      <x:c r="AF12" t="str">
        <x:f>IFERROR(TEXT(AA12,"0%")&amp;" of Salary","")</x:f>
        <x:v>47% of Salary</x:v>
      </x:c>
    </x:row>
    <x:row r="13">
      <x:c r="A13" t="str">
        <x:v>12</x:v>
      </x:c>
      <x:c r="B13" t="str">
        <x:v>Vail School District</x:v>
      </x:c>
      <x:c r="C13" t="str">
        <x:v>AZ</x:v>
      </x:c>
      <x:c r="D13" t="str">
        <x:v>Tucson / Vail</x:v>
      </x:c>
      <x:c r="E13" s="8" t="str">
        <x:v>63.8752</x:v>
      </x:c>
      <x:c r="F13" s="8" t="str">
        <x:v>65.1318</x:v>
      </x:c>
      <x:c r="G13" s="10" t="str">
        <x:v>12003</x:v>
      </x:c>
      <x:c r="H13" s="8" t="str">
        <x:v>40</x:v>
      </x:c>
      <x:c r="I13" t="str">
        <x:v>Low</x:v>
      </x:c>
      <x:c r="J13" s="10" t="str">
        <x:v>50250</x:v>
      </x:c>
      <x:c r="K13" s="10" t="str">
        <x:v>55250</x:v>
      </x:c>
      <x:c r="L13" s="10" t="str">
        <x:v>62000</x:v>
      </x:c>
      <x:c r="M13" s="10" t="str">
        <x:v>67000</x:v>
      </x:c>
      <x:c r="N13" s="10" t="str">
        <x:v>69500</x:v>
      </x:c>
      <x:c r="O13" s="10" t="str">
        <x:v>75500</x:v>
      </x:c>
      <x:c r="P13" s="10" t="str">
        <x:v>5000</x:v>
      </x:c>
      <x:c r="Q13" s="10" t="str">
        <x:v>1700</x:v>
      </x:c>
      <x:c r="R13" s="10" t="str">
        <x:v>370000</x:v>
      </x:c>
      <x:c r="S13" s="10" t="str">
        <x:v>140</x:v>
      </x:c>
      <x:c r="T13" s="8" t="str">
        <x:v>100</x:v>
      </x:c>
      <x:c r="U13" t="str"/>
      <x:c r="V13" t="str">
        <x:v>https://www.census.gov/newsroom/press-releases/2026/school-system-finances.html</x:v>
      </x:c>
      <x:c r="W13" t="str">
        <x:f>J13</x:f>
        <x:v>50250</x:v>
      </x:c>
      <x:c r="X13" t="n">
        <x:f>W13/12</x:f>
        <x:v>4187.5</x:v>
      </x:c>
      <x:c r="Y13" t="n">
        <x:f>IFERROR(Q13/X13,"")</x:f>
        <x:v>0.4059701492537313</x:v>
      </x:c>
      <x:c r="Z13" t="n">
        <x:f>IFERROR(PMT('Housing Salary Share Phase 1'!$B$7/12,'Housing Salary Share Phase 1'!$B$8*12,-R13*(1-'Housing Salary Share Phase 1'!$B$6)),"")</x:f>
        <x:v>1969.2953857303823</x:v>
      </x:c>
      <x:c r="AA13" t="n">
        <x:f>IFERROR(Z13/X13,"")</x:f>
        <x:v>0.4702794950997928</x:v>
      </x:c>
      <x:c r="AB13" t="n">
        <x:f>IFS(Y13&lt;=20%,95,Y13&lt;=25%,82,Y13&lt;=30%,65,Y13&lt;=40%,45,TRUE,20)</x:f>
        <x:v>20</x:v>
      </x:c>
      <x:c r="AC13" t="n">
        <x:f>IFS(AA13&lt;=20%,95,AA13&lt;=25%,82,AA13&lt;=30%,65,AA13&lt;=40%,45,TRUE,20)</x:f>
        <x:v>20</x:v>
      </x:c>
      <x:c r="AD13" t="n">
        <x:f>AB13*'Housing Salary Share Phase 1'!$B$9+AC13*'Housing Salary Share Phase 1'!$B$10</x:f>
        <x:v>20</x:v>
      </x:c>
      <x:c r="AE13" t="str">
        <x:f>IFERROR(TEXT(Y13,"0%")&amp;" of Salary","")</x:f>
        <x:v>41% of Salary</x:v>
      </x:c>
      <x:c r="AF13" t="str">
        <x:f>IFERROR(TEXT(AA13,"0%")&amp;" of Salary","")</x:f>
        <x:v>47% of Salary</x:v>
      </x:c>
    </x:row>
    <x:row r="14">
      <x:c r="A14" t="str">
        <x:v>13</x:v>
      </x:c>
      <x:c r="B14" t="str">
        <x:v>Naperville CUSD 203</x:v>
      </x:c>
      <x:c r="C14" t="str">
        <x:v>IL</x:v>
      </x:c>
      <x:c r="D14" t="str">
        <x:v>Chicago Suburbs</x:v>
      </x:c>
      <x:c r="E14" s="8" t="str">
        <x:v>62.4951</x:v>
      </x:c>
      <x:c r="F14" s="8" t="str">
        <x:v>61.3106</x:v>
      </x:c>
      <x:c r="G14" s="10" t="str">
        <x:v>21776</x:v>
      </x:c>
      <x:c r="H14" s="8" t="str">
        <x:v>85</x:v>
      </x:c>
      <x:c r="I14" t="str">
        <x:v>Very Good</x:v>
      </x:c>
      <x:c r="J14" s="10" t="str">
        <x:v>58403</x:v>
      </x:c>
      <x:c r="K14" s="10" t="str">
        <x:v>68946</x:v>
      </x:c>
      <x:c r="L14" s="10" t="str">
        <x:v>71189</x:v>
      </x:c>
      <x:c r="M14" s="10" t="str">
        <x:v>82123</x:v>
      </x:c>
      <x:c r="N14" s="10" t="str">
        <x:v>85764</x:v>
      </x:c>
      <x:c r="O14" s="10" t="str">
        <x:v>94911</x:v>
      </x:c>
      <x:c r="P14" s="10" t="str">
        <x:v>10543</x:v>
      </x:c>
      <x:c r="Q14" s="10" t="str">
        <x:v>1831</x:v>
      </x:c>
      <x:c r="R14" s="10" t="str">
        <x:v>600000</x:v>
      </x:c>
      <x:c r="S14" s="10" t="str">
        <x:v>130</x:v>
      </x:c>
      <x:c r="T14" s="8" t="str">
        <x:v>100</x:v>
      </x:c>
      <x:c r="U14" t="str">
        <x:v>Stable</x:v>
      </x:c>
      <x:c r="V14" t="str">
        <x:v>https://www.census.gov/newsroom/press-releases/2026/school-system-finances.html</x:v>
      </x:c>
      <x:c r="W14" t="str">
        <x:f>J14</x:f>
        <x:v>58403</x:v>
      </x:c>
      <x:c r="X14" t="n">
        <x:f>W14/12</x:f>
        <x:v>4866.916666666667</x:v>
      </x:c>
      <x:c r="Y14" t="n">
        <x:f>IFERROR(Q14/X14,"")</x:f>
        <x:v>0.3762135506737667</x:v>
      </x:c>
      <x:c r="Z14" t="n">
        <x:f>IFERROR(PMT('Housing Salary Share Phase 1'!$B$7/12,'Housing Salary Share Phase 1'!$B$8*12,-R14*(1-'Housing Salary Share Phase 1'!$B$6)),"")</x:f>
        <x:v>3193.4519768600794</x:v>
      </x:c>
      <x:c r="AA14" t="n">
        <x:f>IFERROR(Z14/X14,"")</x:f>
        <x:v>0.6561550557731786</x:v>
      </x:c>
      <x:c r="AB14" t="n">
        <x:f>IFS(Y14&lt;=20%,95,Y14&lt;=25%,82,Y14&lt;=30%,65,Y14&lt;=40%,45,TRUE,20)</x:f>
        <x:v>45</x:v>
      </x:c>
      <x:c r="AC14" t="n">
        <x:f>IFS(AA14&lt;=20%,95,AA14&lt;=25%,82,AA14&lt;=30%,65,AA14&lt;=40%,45,TRUE,20)</x:f>
        <x:v>20</x:v>
      </x:c>
      <x:c r="AD14" t="n">
        <x:f>AB14*'Housing Salary Share Phase 1'!$B$9+AC14*'Housing Salary Share Phase 1'!$B$10</x:f>
        <x:v>37.5</x:v>
      </x:c>
      <x:c r="AE14" t="str">
        <x:f>IFERROR(TEXT(Y14,"0%")&amp;" of Salary","")</x:f>
        <x:v>38% of Salary</x:v>
      </x:c>
      <x:c r="AF14" t="str">
        <x:f>IFERROR(TEXT(AA14,"0%")&amp;" of Salary","")</x:f>
        <x:v>66% of Salary</x:v>
      </x:c>
    </x:row>
    <x:row r="15">
      <x:c r="A15" t="str">
        <x:v>14</x:v>
      </x:c>
      <x:c r="B15" t="str">
        <x:v>Glenbrook High School District 225</x:v>
      </x:c>
      <x:c r="C15" t="str">
        <x:v>IL</x:v>
      </x:c>
      <x:c r="D15" t="str">
        <x:v>Chicago North Shore</x:v>
      </x:c>
      <x:c r="E15" s="8" t="str">
        <x:v>62.1158</x:v>
      </x:c>
      <x:c r="F15" s="8" t="str">
        <x:v>60.9114</x:v>
      </x:c>
      <x:c r="G15" s="10" t="str">
        <x:v>21776</x:v>
      </x:c>
      <x:c r="H15" s="8" t="str">
        <x:v>85</x:v>
      </x:c>
      <x:c r="I15" t="str">
        <x:v>Very Good</x:v>
      </x:c>
      <x:c r="J15" s="10" t="str">
        <x:v>69929</x:v>
      </x:c>
      <x:c r="K15" s="10" t="str">
        <x:v>81169</x:v>
      </x:c>
      <x:c r="L15" s="10" t="str">
        <x:v>77208</x:v>
      </x:c>
      <x:c r="M15" s="10" t="str">
        <x:v>89616</x:v>
      </x:c>
      <x:c r="N15" s="10" t="str">
        <x:v>85244</x:v>
      </x:c>
      <x:c r="O15" s="10" t="str">
        <x:v>98944</x:v>
      </x:c>
      <x:c r="P15" s="10" t="str">
        <x:v>11240</x:v>
      </x:c>
      <x:c r="Q15" s="10" t="str">
        <x:v>1957</x:v>
      </x:c>
      <x:c r="R15" s="10" t="str">
        <x:v>811015</x:v>
      </x:c>
      <x:c r="S15" s="10" t="str">
        <x:v>246</x:v>
      </x:c>
      <x:c r="T15" s="8" t="str">
        <x:v>100</x:v>
      </x:c>
      <x:c r="U15" t="str">
        <x:v>Stable</x:v>
      </x:c>
      <x:c r="V15" t="str">
        <x:v>https://www.census.gov/newsroom/press-releases/2026/school-system-finances.html</x:v>
      </x:c>
      <x:c r="W15" t="str">
        <x:f>J15</x:f>
        <x:v>69929</x:v>
      </x:c>
      <x:c r="X15" t="n">
        <x:f>W15/12</x:f>
        <x:v>5827.416666666667</x:v>
      </x:c>
      <x:c r="Y15" t="n">
        <x:f>IFERROR(Q15/X15,"")</x:f>
        <x:v>0.3358263381429736</x:v>
      </x:c>
      <x:c r="Z15" t="n">
        <x:f>IFERROR(PMT('Housing Salary Share Phase 1'!$B$7/12,'Housing Salary Share Phase 1'!$B$8*12,-R15*(1-'Housing Salary Share Phase 1'!$B$6)),"")</x:f>
        <x:v>4316.562425021963</x:v>
      </x:c>
      <x:c r="AA15" t="n">
        <x:f>IFERROR(Z15/X15,"")</x:f>
        <x:v>0.7407334453554827</x:v>
      </x:c>
      <x:c r="AB15" t="n">
        <x:f>IFS(Y15&lt;=20%,95,Y15&lt;=25%,82,Y15&lt;=30%,65,Y15&lt;=40%,45,TRUE,20)</x:f>
        <x:v>45</x:v>
      </x:c>
      <x:c r="AC15" t="n">
        <x:f>IFS(AA15&lt;=20%,95,AA15&lt;=25%,82,AA15&lt;=30%,65,AA15&lt;=40%,45,TRUE,20)</x:f>
        <x:v>20</x:v>
      </x:c>
      <x:c r="AD15" t="n">
        <x:f>AB15*'Housing Salary Share Phase 1'!$B$9+AC15*'Housing Salary Share Phase 1'!$B$10</x:f>
        <x:v>37.5</x:v>
      </x:c>
      <x:c r="AE15" t="str">
        <x:f>IFERROR(TEXT(Y15,"0%")&amp;" of Salary","")</x:f>
        <x:v>34% of Salary</x:v>
      </x:c>
      <x:c r="AF15" t="str">
        <x:f>IFERROR(TEXT(AA15,"0%")&amp;" of Salary","")</x:f>
        <x:v>74% of Salary</x:v>
      </x:c>
    </x:row>
    <x:row r="16">
      <x:c r="A16" t="str">
        <x:v>15</x:v>
      </x:c>
      <x:c r="B16" t="str">
        <x:v>Madison Metropolitan School District</x:v>
      </x:c>
      <x:c r="C16" t="str">
        <x:v>WI</x:v>
      </x:c>
      <x:c r="D16" t="str">
        <x:v>Madison</x:v>
      </x:c>
      <x:c r="E16" s="8" t="str">
        <x:v>62.058</x:v>
      </x:c>
      <x:c r="F16" s="8" t="str">
        <x:v>61.64</x:v>
      </x:c>
      <x:c r="G16" s="10" t="str">
        <x:v>15952</x:v>
      </x:c>
      <x:c r="H16" s="8" t="str">
        <x:v>70</x:v>
      </x:c>
      <x:c r="I16" t="str">
        <x:v>Good</x:v>
      </x:c>
      <x:c r="J16" s="10" t="str">
        <x:v>57587</x:v>
      </x:c>
      <x:c r="K16" s="10" t="str">
        <x:v>62105</x:v>
      </x:c>
      <x:c r="L16" s="10" t="str">
        <x:v>68880</x:v>
      </x:c>
      <x:c r="M16" s="10" t="str">
        <x:v>73398</x:v>
      </x:c>
      <x:c r="N16" s="10" t="str">
        <x:v>75476</x:v>
      </x:c>
      <x:c r="O16" s="10" t="str">
        <x:v>80689</x:v>
      </x:c>
      <x:c r="P16" s="10" t="str">
        <x:v>4518</x:v>
      </x:c>
      <x:c r="Q16" s="10" t="str">
        <x:v>1655</x:v>
      </x:c>
      <x:c r="R16" s="10" t="str">
        <x:v>439737</x:v>
      </x:c>
      <x:c r="S16" s="10" t="str">
        <x:v>195.44</x:v>
      </x:c>
      <x:c r="T16" s="8" t="str">
        <x:v>100</x:v>
      </x:c>
      <x:c r="U16" t="str">
        <x:v>Stable</x:v>
      </x:c>
      <x:c r="V16" t="str">
        <x:v>https://www.census.gov/newsroom/press-releases/2026/school-system-finances.html</x:v>
      </x:c>
      <x:c r="W16" t="str">
        <x:f>J16</x:f>
        <x:v>57587</x:v>
      </x:c>
      <x:c r="X16" t="n">
        <x:f>W16/12</x:f>
        <x:v>4798.916666666667</x:v>
      </x:c>
      <x:c r="Y16" t="n">
        <x:f>IFERROR(Q16/X16,"")</x:f>
        <x:v>0.3448695017972806</x:v>
      </x:c>
      <x:c r="Z16" t="n">
        <x:f>IFERROR(PMT('Housing Salary Share Phase 1'!$B$7/12,'Housing Salary Share Phase 1'!$B$8*12,-R16*(1-'Housing Salary Share Phase 1'!$B$6)),"")</x:f>
        <x:v>2340.464986580868</x:v>
      </x:c>
      <x:c r="AA16" t="n">
        <x:f>IFERROR(Z16/X16,"")</x:f>
        <x:v>0.4877069449523401</x:v>
      </x:c>
      <x:c r="AB16" t="n">
        <x:f>IFS(Y16&lt;=20%,95,Y16&lt;=25%,82,Y16&lt;=30%,65,Y16&lt;=40%,45,TRUE,20)</x:f>
        <x:v>45</x:v>
      </x:c>
      <x:c r="AC16" t="n">
        <x:f>IFS(AA16&lt;=20%,95,AA16&lt;=25%,82,AA16&lt;=30%,65,AA16&lt;=40%,45,TRUE,20)</x:f>
        <x:v>20</x:v>
      </x:c>
      <x:c r="AD16" t="n">
        <x:f>AB16*'Housing Salary Share Phase 1'!$B$9+AC16*'Housing Salary Share Phase 1'!$B$10</x:f>
        <x:v>37.5</x:v>
      </x:c>
      <x:c r="AE16" t="str">
        <x:f>IFERROR(TEXT(Y16,"0%")&amp;" of Salary","")</x:f>
        <x:v>34% of Salary</x:v>
      </x:c>
      <x:c r="AF16" t="str">
        <x:f>IFERROR(TEXT(AA16,"0%")&amp;" of Salary","")</x:f>
        <x:v>49% of Salary</x:v>
      </x:c>
    </x:row>
    <x:row r="17">
      <x:c r="A17" t="str">
        <x:v>16</x:v>
      </x:c>
      <x:c r="B17" t="str">
        <x:v>Osseo Area Schools / ISD 279</x:v>
      </x:c>
      <x:c r="C17" t="str">
        <x:v>MN</x:v>
      </x:c>
      <x:c r="D17" t="str">
        <x:v>Twin Cities Northwest Metro</x:v>
      </x:c>
      <x:c r="E17" s="8" t="str">
        <x:v>61.893</x:v>
      </x:c>
      <x:c r="F17" s="8" t="str">
        <x:v>61.4663</x:v>
      </x:c>
      <x:c r="G17" s="10" t="str">
        <x:v>17098</x:v>
      </x:c>
      <x:c r="H17" s="8" t="str">
        <x:v>70</x:v>
      </x:c>
      <x:c r="I17" t="str">
        <x:v>Good</x:v>
      </x:c>
      <x:c r="J17" s="10" t="str">
        <x:v>53073</x:v>
      </x:c>
      <x:c r="K17" s="10" t="str">
        <x:v>64423</x:v>
      </x:c>
      <x:c r="L17" s="10" t="str">
        <x:v>57376</x:v>
      </x:c>
      <x:c r="M17" s="10" t="str">
        <x:v>70721</x:v>
      </x:c>
      <x:c r="N17" s="10" t="str">
        <x:v>67097</x:v>
      </x:c>
      <x:c r="O17" s="10" t="str">
        <x:v>85795</x:v>
      </x:c>
      <x:c r="P17" s="10" t="str">
        <x:v>11350</x:v>
      </x:c>
      <x:c r="Q17" s="10" t="str">
        <x:v>1600</x:v>
      </x:c>
      <x:c r="R17" s="10" t="str">
        <x:v>400000</x:v>
      </x:c>
      <x:c r="S17" s="10" t="str">
        <x:v>200</x:v>
      </x:c>
      <x:c r="T17" s="8" t="str">
        <x:v>100</x:v>
      </x:c>
      <x:c r="U17" t="str">
        <x:v>Stable</x:v>
      </x:c>
      <x:c r="V17" t="str">
        <x:v>https://www.census.gov/newsroom/press-releases/2026/school-system-finances.html</x:v>
      </x:c>
      <x:c r="W17" t="str">
        <x:f>J17</x:f>
        <x:v>53073</x:v>
      </x:c>
      <x:c r="X17" t="n">
        <x:f>W17/12</x:f>
        <x:v>4422.75</x:v>
      </x:c>
      <x:c r="Y17" t="n">
        <x:f>IFERROR(Q17/X17,"")</x:f>
        <x:v>0.3617658696512351</x:v>
      </x:c>
      <x:c r="Z17" t="n">
        <x:f>IFERROR(PMT('Housing Salary Share Phase 1'!$B$7/12,'Housing Salary Share Phase 1'!$B$8*12,-R17*(1-'Housing Salary Share Phase 1'!$B$6)),"")</x:f>
        <x:v>2128.9679845733863</x:v>
      </x:c>
      <x:c r="AA17" t="n">
        <x:f>IFERROR(Z17/X17,"")</x:f>
        <x:v>0.48136747149926773</x:v>
      </x:c>
      <x:c r="AB17" t="n">
        <x:f>IFS(Y17&lt;=20%,95,Y17&lt;=25%,82,Y17&lt;=30%,65,Y17&lt;=40%,45,TRUE,20)</x:f>
        <x:v>45</x:v>
      </x:c>
      <x:c r="AC17" t="n">
        <x:f>IFS(AA17&lt;=20%,95,AA17&lt;=25%,82,AA17&lt;=30%,65,AA17&lt;=40%,45,TRUE,20)</x:f>
        <x:v>20</x:v>
      </x:c>
      <x:c r="AD17" t="n">
        <x:f>AB17*'Housing Salary Share Phase 1'!$B$9+AC17*'Housing Salary Share Phase 1'!$B$10</x:f>
        <x:v>37.5</x:v>
      </x:c>
      <x:c r="AE17" t="str">
        <x:f>IFERROR(TEXT(Y17,"0%")&amp;" of Salary","")</x:f>
        <x:v>36% of Salary</x:v>
      </x:c>
      <x:c r="AF17" t="str">
        <x:f>IFERROR(TEXT(AA17,"0%")&amp;" of Salary","")</x:f>
        <x:v>48% of Salary</x:v>
      </x:c>
    </x:row>
    <x:row r="18">
      <x:c r="A18" t="str">
        <x:v>17</x:v>
      </x:c>
      <x:c r="B18" t="str">
        <x:v>Indian Prairie School District 204</x:v>
      </x:c>
      <x:c r="C18" t="str">
        <x:v>IL</x:v>
      </x:c>
      <x:c r="D18" t="str">
        <x:v>Chicago Suburbs</x:v>
      </x:c>
      <x:c r="E18" s="8" t="str">
        <x:v>61.4912</x:v>
      </x:c>
      <x:c r="F18" s="8" t="str">
        <x:v>60.2539</x:v>
      </x:c>
      <x:c r="G18" s="10" t="str">
        <x:v>21776</x:v>
      </x:c>
      <x:c r="H18" s="8" t="str">
        <x:v>85</x:v>
      </x:c>
      <x:c r="I18" t="str">
        <x:v>Very Good</x:v>
      </x:c>
      <x:c r="J18" s="10" t="str">
        <x:v>56403</x:v>
      </x:c>
      <x:c r="K18" s="10" t="str">
        <x:v>68445</x:v>
      </x:c>
      <x:c r="L18" s="10" t="str">
        <x:v>61362</x:v>
      </x:c>
      <x:c r="M18" s="10" t="str">
        <x:v>74462</x:v>
      </x:c>
      <x:c r="N18" s="10" t="str">
        <x:v>68748</x:v>
      </x:c>
      <x:c r="O18" s="10" t="str">
        <x:v>83425</x:v>
      </x:c>
      <x:c r="P18" s="10" t="str">
        <x:v>12042</x:v>
      </x:c>
      <x:c r="Q18" s="10" t="str">
        <x:v>1831</x:v>
      </x:c>
      <x:c r="R18" s="10" t="str">
        <x:v>475000</x:v>
      </x:c>
      <x:c r="S18" s="10" t="str">
        <x:v>258</x:v>
      </x:c>
      <x:c r="T18" s="8" t="str">
        <x:v>100</x:v>
      </x:c>
      <x:c r="U18" t="str">
        <x:v>Stable</x:v>
      </x:c>
      <x:c r="V18" t="str">
        <x:v>https://www.census.gov/newsroom/press-releases/2026/school-system-finances.html</x:v>
      </x:c>
      <x:c r="W18" t="str">
        <x:f>J18</x:f>
        <x:v>56403</x:v>
      </x:c>
      <x:c r="X18" t="n">
        <x:f>W18/12</x:f>
        <x:v>4700.25</x:v>
      </x:c>
      <x:c r="Y18" t="n">
        <x:f>IFERROR(Q18/X18,"")</x:f>
        <x:v>0.3895537471411095</x:v>
      </x:c>
      <x:c r="Z18" t="n">
        <x:f>IFERROR(PMT('Housing Salary Share Phase 1'!$B$7/12,'Housing Salary Share Phase 1'!$B$8*12,-R18*(1-'Housing Salary Share Phase 1'!$B$6)),"")</x:f>
        <x:v>2528.1494816808963</x:v>
      </x:c>
      <x:c r="AA18" t="n">
        <x:f>IFERROR(Z18/X18,"")</x:f>
        <x:v>0.53787553463771</x:v>
      </x:c>
      <x:c r="AB18" t="n">
        <x:f>IFS(Y18&lt;=20%,95,Y18&lt;=25%,82,Y18&lt;=30%,65,Y18&lt;=40%,45,TRUE,20)</x:f>
        <x:v>45</x:v>
      </x:c>
      <x:c r="AC18" t="n">
        <x:f>IFS(AA18&lt;=20%,95,AA18&lt;=25%,82,AA18&lt;=30%,65,AA18&lt;=40%,45,TRUE,20)</x:f>
        <x:v>20</x:v>
      </x:c>
      <x:c r="AD18" t="n">
        <x:f>AB18*'Housing Salary Share Phase 1'!$B$9+AC18*'Housing Salary Share Phase 1'!$B$10</x:f>
        <x:v>37.5</x:v>
      </x:c>
      <x:c r="AE18" t="str">
        <x:f>IFERROR(TEXT(Y18,"0%")&amp;" of Salary","")</x:f>
        <x:v>39% of Salary</x:v>
      </x:c>
      <x:c r="AF18" t="str">
        <x:f>IFERROR(TEXT(AA18,"0%")&amp;" of Salary","")</x:f>
        <x:v>54% of Salary</x:v>
      </x:c>
    </x:row>
    <x:row r="19">
      <x:c r="A19" t="str">
        <x:v>18</x:v>
      </x:c>
      <x:c r="B19" t="str">
        <x:v>Carlsbad Municipal Schools</x:v>
      </x:c>
      <x:c r="C19" t="str">
        <x:v>NM</x:v>
      </x:c>
      <x:c r="D19" t="str">
        <x:v>Southeast New Mexico</x:v>
      </x:c>
      <x:c r="E19" s="8" t="str">
        <x:v>61.2371</x:v>
      </x:c>
      <x:c r="F19" s="8" t="str">
        <x:v>60.7759</x:v>
      </x:c>
      <x:c r="G19" s="10" t="str">
        <x:v>17664</x:v>
      </x:c>
      <x:c r="H19" s="8" t="str">
        <x:v>70</x:v>
      </x:c>
      <x:c r="I19" t="str">
        <x:v>Good</x:v>
      </x:c>
      <x:c r="J19" s="10" t="str">
        <x:v>60000</x:v>
      </x:c>
      <x:c r="K19" s="10" t="str">
        <x:v>64000</x:v>
      </x:c>
      <x:c r="L19" s="10" t="str">
        <x:v>65000</x:v>
      </x:c>
      <x:c r="M19" s="10" t="str">
        <x:v>70000</x:v>
      </x:c>
      <x:c r="N19" s="10" t="str">
        <x:v>73500</x:v>
      </x:c>
      <x:c r="O19" s="10" t="str">
        <x:v>79000</x:v>
      </x:c>
      <x:c r="P19" s="10" t="str">
        <x:v>4000</x:v>
      </x:c>
      <x:c r="Q19" s="10" t="str">
        <x:v>1450</x:v>
      </x:c>
      <x:c r="R19" s="10" t="str">
        <x:v>290000</x:v>
      </x:c>
      <x:c r="S19" s="10" t="str">
        <x:v>150</x:v>
      </x:c>
      <x:c r="T19" s="8" t="str">
        <x:v>100</x:v>
      </x:c>
      <x:c r="U19" t="str">
        <x:v>Stable</x:v>
      </x:c>
      <x:c r="V19" t="str">
        <x:v>https://www.census.gov/newsroom/press-releases/2026/school-system-finances.html</x:v>
      </x:c>
      <x:c r="W19" t="str">
        <x:f>J19</x:f>
        <x:v>60000</x:v>
      </x:c>
      <x:c r="X19" t="n">
        <x:f>W19/12</x:f>
        <x:v>5000</x:v>
      </x:c>
      <x:c r="Y19" t="n">
        <x:f>IFERROR(Q19/X19,"")</x:f>
        <x:v>0.29</x:v>
      </x:c>
      <x:c r="Z19" t="n">
        <x:f>IFERROR(PMT('Housing Salary Share Phase 1'!$B$7/12,'Housing Salary Share Phase 1'!$B$8*12,-R19*(1-'Housing Salary Share Phase 1'!$B$6)),"")</x:f>
        <x:v>1543.501788815705</x:v>
      </x:c>
      <x:c r="AA19" t="n">
        <x:f>IFERROR(Z19/X19,"")</x:f>
        <x:v>0.308700357763141</x:v>
      </x:c>
      <x:c r="AB19" t="n">
        <x:f>IFS(Y19&lt;=20%,95,Y19&lt;=25%,82,Y19&lt;=30%,65,Y19&lt;=40%,45,TRUE,20)</x:f>
        <x:v>65</x:v>
      </x:c>
      <x:c r="AC19" t="n">
        <x:f>IFS(AA19&lt;=20%,95,AA19&lt;=25%,82,AA19&lt;=30%,65,AA19&lt;=40%,45,TRUE,20)</x:f>
        <x:v>45</x:v>
      </x:c>
      <x:c r="AD19" t="n">
        <x:f>AB19*'Housing Salary Share Phase 1'!$B$9+AC19*'Housing Salary Share Phase 1'!$B$10</x:f>
        <x:v>59</x:v>
      </x:c>
      <x:c r="AE19" t="str">
        <x:f>IFERROR(TEXT(Y19,"0%")&amp;" of Salary","")</x:f>
        <x:v>29% of Salary</x:v>
      </x:c>
      <x:c r="AF19" t="str">
        <x:f>IFERROR(TEXT(AA19,"0%")&amp;" of Salary","")</x:f>
        <x:v>31% of Salary</x:v>
      </x:c>
    </x:row>
    <x:row r="20">
      <x:c r="A20" t="str">
        <x:v>19</x:v>
      </x:c>
      <x:c r="B20" t="str">
        <x:v>Deer Park ISD</x:v>
      </x:c>
      <x:c r="C20" t="str">
        <x:v>TX</x:v>
      </x:c>
      <x:c r="D20" t="str">
        <x:v>Houston</x:v>
      </x:c>
      <x:c r="E20" s="8" t="str">
        <x:v>61.2215</x:v>
      </x:c>
      <x:c r="F20" s="8" t="str">
        <x:v>62.3385</x:v>
      </x:c>
      <x:c r="G20" s="10" t="str">
        <x:v>12895</x:v>
      </x:c>
      <x:c r="H20" s="8" t="str">
        <x:v>40</x:v>
      </x:c>
      <x:c r="I20" t="str">
        <x:v>Low</x:v>
      </x:c>
      <x:c r="J20" s="10" t="str">
        <x:v>63000</x:v>
      </x:c>
      <x:c r="K20" s="10" t="str">
        <x:v>63000</x:v>
      </x:c>
      <x:c r="L20" s="10" t="str">
        <x:v>70500</x:v>
      </x:c>
      <x:c r="M20" s="10" t="str">
        <x:v>70500</x:v>
      </x:c>
      <x:c r="N20" s="10" t="str">
        <x:v>78000</x:v>
      </x:c>
      <x:c r="O20" s="10" t="str">
        <x:v>78000</x:v>
      </x:c>
      <x:c r="P20" s="10" t="str">
        <x:v>0</x:v>
      </x:c>
      <x:c r="Q20" s="10" t="str">
        <x:v>2000</x:v>
      </x:c>
      <x:c r="R20" s="10" t="str">
        <x:v>272837</x:v>
      </x:c>
      <x:c r="S20" s="10" t="str">
        <x:v>130</x:v>
      </x:c>
      <x:c r="T20" s="8" t="str"/>
      <x:c r="U20" t="str"/>
      <x:c r="V20" t="str">
        <x:v>https://www.census.gov/newsroom/press-releases/2026/school-system-finances.html</x:v>
      </x:c>
      <x:c r="W20" t="str">
        <x:f>J20</x:f>
        <x:v>63000</x:v>
      </x:c>
      <x:c r="X20" t="n">
        <x:f>W20/12</x:f>
        <x:v>5250</x:v>
      </x:c>
      <x:c r="Y20" t="n">
        <x:f>IFERROR(Q20/X20,"")</x:f>
        <x:v>0.38095238095238093</x:v>
      </x:c>
      <x:c r="Z20" t="n">
        <x:f>IFERROR(PMT('Housing Salary Share Phase 1'!$B$7/12,'Housing Salary Share Phase 1'!$B$8*12,-R20*(1-'Housing Salary Share Phase 1'!$B$6)),"")</x:f>
        <x:v>1452.1530950176225</x:v>
      </x:c>
      <x:c r="AA20" t="n">
        <x:f>IFERROR(Z20/X20,"")</x:f>
        <x:v>0.2766005895271662</x:v>
      </x:c>
      <x:c r="AB20" t="n">
        <x:f>IFS(Y20&lt;=20%,95,Y20&lt;=25%,82,Y20&lt;=30%,65,Y20&lt;=40%,45,TRUE,20)</x:f>
        <x:v>45</x:v>
      </x:c>
      <x:c r="AC20" t="n">
        <x:f>IFS(AA20&lt;=20%,95,AA20&lt;=25%,82,AA20&lt;=30%,65,AA20&lt;=40%,45,TRUE,20)</x:f>
        <x:v>65</x:v>
      </x:c>
      <x:c r="AD20" t="n">
        <x:f>AB20*'Housing Salary Share Phase 1'!$B$9+AC20*'Housing Salary Share Phase 1'!$B$10</x:f>
        <x:v>51</x:v>
      </x:c>
      <x:c r="AE20" t="str">
        <x:f>IFERROR(TEXT(Y20,"0%")&amp;" of Salary","")</x:f>
        <x:v>38% of Salary</x:v>
      </x:c>
      <x:c r="AF20" t="str">
        <x:f>IFERROR(TEXT(AA20,"0%")&amp;" of Salary","")</x:f>
        <x:v>28% of Salary</x:v>
      </x:c>
    </x:row>
    <x:row r="21">
      <x:c r="A21" t="str">
        <x:v>20</x:v>
      </x:c>
      <x:c r="B21" t="str">
        <x:v>West Des Moines Community Schools</x:v>
      </x:c>
      <x:c r="C21" t="str">
        <x:v>IA</x:v>
      </x:c>
      <x:c r="D21" t="str">
        <x:v>Des Moines</x:v>
      </x:c>
      <x:c r="E21" s="8" t="str">
        <x:v>60.9558</x:v>
      </x:c>
      <x:c r="F21" s="8" t="str">
        <x:v>61.2693</x:v>
      </x:c>
      <x:c r="G21" s="10" t="str">
        <x:v>14369</x:v>
      </x:c>
      <x:c r="H21" s="8" t="str">
        <x:v>55</x:v>
      </x:c>
      <x:c r="I21" t="str">
        <x:v>Fair</x:v>
      </x:c>
      <x:c r="J21" s="10" t="str">
        <x:v>51584</x:v>
      </x:c>
      <x:c r="K21" s="10" t="str">
        <x:v>54411</x:v>
      </x:c>
      <x:c r="L21" s="10" t="str">
        <x:v>55017</x:v>
      </x:c>
      <x:c r="M21" s="10" t="str">
        <x:v>58011</x:v>
      </x:c>
      <x:c r="N21" s="10" t="str">
        <x:v>62175</x:v>
      </x:c>
      <x:c r="O21" s="10" t="str">
        <x:v>65512</x:v>
      </x:c>
      <x:c r="P21" s="10" t="str">
        <x:v>2827</x:v>
      </x:c>
      <x:c r="Q21" s="10" t="str">
        <x:v>1126</x:v>
      </x:c>
      <x:c r="R21" s="10" t="str">
        <x:v>327554</x:v>
      </x:c>
      <x:c r="S21" s="10" t="str">
        <x:v>170</x:v>
      </x:c>
      <x:c r="T21" s="8" t="str">
        <x:v>100</x:v>
      </x:c>
      <x:c r="U21" t="str">
        <x:v>Stable</x:v>
      </x:c>
      <x:c r="V21" t="str">
        <x:v>https://www.census.gov/newsroom/press-releases/2026/school-system-finances.html</x:v>
      </x:c>
      <x:c r="W21" t="str">
        <x:f>J21</x:f>
        <x:v>51584</x:v>
      </x:c>
      <x:c r="X21" t="n">
        <x:f>W21/12</x:f>
        <x:v>4298.666666666667</x:v>
      </x:c>
      <x:c r="Y21" t="n">
        <x:f>IFERROR(Q21/X21,"")</x:f>
        <x:v>0.26194168734491313</x:v>
      </x:c>
      <x:c r="Z21" t="n">
        <x:f>IFERROR(PMT('Housing Salary Share Phase 1'!$B$7/12,'Housing Salary Share Phase 1'!$B$8*12,-R21*(1-'Housing Salary Share Phase 1'!$B$6)),"")</x:f>
        <x:v>1743.3799480473774</x:v>
      </x:c>
      <x:c r="AA21" t="n">
        <x:f>IFERROR(Z21/X21,"")</x:f>
        <x:v>0.40556295317479313</x:v>
      </x:c>
      <x:c r="AB21" t="n">
        <x:f>IFS(Y21&lt;=20%,95,Y21&lt;=25%,82,Y21&lt;=30%,65,Y21&lt;=40%,45,TRUE,20)</x:f>
        <x:v>65</x:v>
      </x:c>
      <x:c r="AC21" t="n">
        <x:f>IFS(AA21&lt;=20%,95,AA21&lt;=25%,82,AA21&lt;=30%,65,AA21&lt;=40%,45,TRUE,20)</x:f>
        <x:v>20</x:v>
      </x:c>
      <x:c r="AD21" t="n">
        <x:f>AB21*'Housing Salary Share Phase 1'!$B$9+AC21*'Housing Salary Share Phase 1'!$B$10</x:f>
        <x:v>51.5</x:v>
      </x:c>
      <x:c r="AE21" t="str">
        <x:f>IFERROR(TEXT(Y21,"0%")&amp;" of Salary","")</x:f>
        <x:v>26% of Salary</x:v>
      </x:c>
      <x:c r="AF21" t="str">
        <x:f>IFERROR(TEXT(AA21,"0%")&amp;" of Salary","")</x:f>
        <x:v>41% of Salary</x:v>
      </x:c>
    </x:row>
    <x:row r="22">
      <x:c r="A22" t="str">
        <x:v>21</x:v>
      </x:c>
      <x:c r="B22" t="str">
        <x:v>Galena Park ISD</x:v>
      </x:c>
      <x:c r="C22" t="str">
        <x:v>TX</x:v>
      </x:c>
      <x:c r="D22" t="str">
        <x:v>Houston</x:v>
      </x:c>
      <x:c r="E22" s="8" t="str">
        <x:v>60.6889</x:v>
      </x:c>
      <x:c r="F22" s="8" t="str">
        <x:v>61.7778</x:v>
      </x:c>
      <x:c r="G22" s="10" t="str">
        <x:v>12895</x:v>
      </x:c>
      <x:c r="H22" s="8" t="str">
        <x:v>40</x:v>
      </x:c>
      <x:c r="I22" t="str">
        <x:v>Low</x:v>
      </x:c>
      <x:c r="J22" s="10" t="str">
        <x:v>66575</x:v>
      </x:c>
      <x:c r="K22" s="10" t="str">
        <x:v>68575</x:v>
      </x:c>
      <x:c r="L22" s="10" t="str">
        <x:v>71700</x:v>
      </x:c>
      <x:c r="M22" s="10" t="str">
        <x:v>73700</x:v>
      </x:c>
      <x:c r="N22" s="10" t="str">
        <x:v>73200</x:v>
      </x:c>
      <x:c r="O22" s="10" t="str">
        <x:v>75200</x:v>
      </x:c>
      <x:c r="P22" s="10" t="str">
        <x:v>2000</x:v>
      </x:c>
      <x:c r="Q22" s="10" t="str">
        <x:v>1600</x:v>
      </x:c>
      <x:c r="R22" s="10" t="str">
        <x:v>194134</x:v>
      </x:c>
      <x:c r="S22" s="10" t="str">
        <x:v>125</x:v>
      </x:c>
      <x:c r="T22" s="8" t="str"/>
      <x:c r="U22" t="str"/>
      <x:c r="V22" t="str">
        <x:v>https://www.census.gov/newsroom/press-releases/2026/school-system-finances.html</x:v>
      </x:c>
      <x:c r="W22" t="str">
        <x:f>J22</x:f>
        <x:v>66575</x:v>
      </x:c>
      <x:c r="X22" t="n">
        <x:f>W22/12</x:f>
        <x:v>5547.916666666667</x:v>
      </x:c>
      <x:c r="Y22" t="n">
        <x:f>IFERROR(Q22/X22,"")</x:f>
        <x:v>0.28839654524971836</x:v>
      </x:c>
      <x:c r="Z22" t="n">
        <x:f>IFERROR(PMT('Housing Salary Share Phase 1'!$B$7/12,'Housing Salary Share Phase 1'!$B$8*12,-R22*(1-'Housing Salary Share Phase 1'!$B$6)),"")</x:f>
        <x:v>1033.2626767929244</x:v>
      </x:c>
      <x:c r="AA22" t="n">
        <x:f>IFERROR(Z22/X22,"")</x:f>
        <x:v>0.1862433664515973</x:v>
      </x:c>
      <x:c r="AB22" t="n">
        <x:f>IFS(Y22&lt;=20%,95,Y22&lt;=25%,82,Y22&lt;=30%,65,Y22&lt;=40%,45,TRUE,20)</x:f>
        <x:v>65</x:v>
      </x:c>
      <x:c r="AC22" t="n">
        <x:f>IFS(AA22&lt;=20%,95,AA22&lt;=25%,82,AA22&lt;=30%,65,AA22&lt;=40%,45,TRUE,20)</x:f>
        <x:v>95</x:v>
      </x:c>
      <x:c r="AD22" t="n">
        <x:f>AB22*'Housing Salary Share Phase 1'!$B$9+AC22*'Housing Salary Share Phase 1'!$B$10</x:f>
        <x:v>74</x:v>
      </x:c>
      <x:c r="AE22" t="str">
        <x:f>IFERROR(TEXT(Y22,"0%")&amp;" of Salary","")</x:f>
        <x:v>29% of Salary</x:v>
      </x:c>
      <x:c r="AF22" t="str">
        <x:f>IFERROR(TEXT(AA22,"0%")&amp;" of Salary","")</x:f>
        <x:v>19% of Salary</x:v>
      </x:c>
    </x:row>
    <x:row r="23">
      <x:c r="A23" t="str">
        <x:v>22</x:v>
      </x:c>
      <x:c r="B23" t="str">
        <x:v>Chaffey Joint Union High School District</x:v>
      </x:c>
      <x:c r="C23" t="str">
        <x:v>CA</x:v>
      </x:c>
      <x:c r="D23" t="str">
        <x:v>Inland Empire / San Bernardino County</x:v>
      </x:c>
      <x:c r="E23" s="8" t="str">
        <x:v>60.4615</x:v>
      </x:c>
      <x:c r="F23" s="8" t="str">
        <x:v>59.17</x:v>
      </x:c>
      <x:c r="G23" s="10" t="str">
        <x:v>20791</x:v>
      </x:c>
      <x:c r="H23" s="8" t="str">
        <x:v>85</x:v>
      </x:c>
      <x:c r="I23" t="str">
        <x:v>Very Good</x:v>
      </x:c>
      <x:c r="J23" s="10" t="str">
        <x:v>66385</x:v>
      </x:c>
      <x:c r="K23" s="10" t="str">
        <x:v>80326</x:v>
      </x:c>
      <x:c r="L23" s="10" t="str">
        <x:v>86301</x:v>
      </x:c>
      <x:c r="M23" s="10" t="str">
        <x:v>100241</x:v>
      </x:c>
      <x:c r="N23" s="10" t="str">
        <x:v>106216</x:v>
      </x:c>
      <x:c r="O23" s="10" t="str">
        <x:v>120157</x:v>
      </x:c>
      <x:c r="P23" s="10" t="str">
        <x:v>13941</x:v>
      </x:c>
      <x:c r="Q23" s="10" t="str">
        <x:v>2600</x:v>
      </x:c>
      <x:c r="R23" s="10" t="str">
        <x:v>675000</x:v>
      </x:c>
      <x:c r="S23" s="10" t="str">
        <x:v>180</x:v>
      </x:c>
      <x:c r="T23" s="8" t="str">
        <x:v>100</x:v>
      </x:c>
      <x:c r="U23" t="str">
        <x:v>Stable</x:v>
      </x:c>
      <x:c r="V23" t="str">
        <x:v>https://www.census.gov/newsroom/press-releases/2026/school-system-finances.html</x:v>
      </x:c>
      <x:c r="W23" t="str">
        <x:f>J23</x:f>
        <x:v>66385</x:v>
      </x:c>
      <x:c r="X23" t="n">
        <x:f>W23/12</x:f>
        <x:v>5532.083333333333</x:v>
      </x:c>
      <x:c r="Y23" t="n">
        <x:f>IFERROR(Q23/X23,"")</x:f>
        <x:v>0.46998568953829933</x:v>
      </x:c>
      <x:c r="Z23" t="n">
        <x:f>IFERROR(PMT('Housing Salary Share Phase 1'!$B$7/12,'Housing Salary Share Phase 1'!$B$8*12,-R23*(1-'Housing Salary Share Phase 1'!$B$6)),"")</x:f>
        <x:v>3592.6334739675895</x:v>
      </x:c>
      <x:c r="AA23" t="n">
        <x:f>IFERROR(Z23/X23,"")</x:f>
        <x:v>0.6494178155850128</x:v>
      </x:c>
      <x:c r="AB23" t="n">
        <x:f>IFS(Y23&lt;=20%,95,Y23&lt;=25%,82,Y23&lt;=30%,65,Y23&lt;=40%,45,TRUE,20)</x:f>
        <x:v>20</x:v>
      </x:c>
      <x:c r="AC23" t="n">
        <x:f>IFS(AA23&lt;=20%,95,AA23&lt;=25%,82,AA23&lt;=30%,65,AA23&lt;=40%,45,TRUE,20)</x:f>
        <x:v>20</x:v>
      </x:c>
      <x:c r="AD23" t="n">
        <x:f>AB23*'Housing Salary Share Phase 1'!$B$9+AC23*'Housing Salary Share Phase 1'!$B$10</x:f>
        <x:v>20</x:v>
      </x:c>
      <x:c r="AE23" t="str">
        <x:f>IFERROR(TEXT(Y23,"0%")&amp;" of Salary","")</x:f>
        <x:v>47% of Salary</x:v>
      </x:c>
      <x:c r="AF23" t="str">
        <x:f>IFERROR(TEXT(AA23,"0%")&amp;" of Salary","")</x:f>
        <x:v>65% of Salary</x:v>
      </x:c>
    </x:row>
    <x:row r="24">
      <x:c r="A24" t="str">
        <x:v>23</x:v>
      </x:c>
      <x:c r="B24" t="str">
        <x:v>Port Arthur ISD</x:v>
      </x:c>
      <x:c r="C24" t="str">
        <x:v>TX</x:v>
      </x:c>
      <x:c r="D24" t="str">
        <x:v>Beaumont-Port Arthur</x:v>
      </x:c>
      <x:c r="E24" s="8" t="str">
        <x:v>59.3218</x:v>
      </x:c>
      <x:c r="F24" s="8" t="str">
        <x:v>60.3388</x:v>
      </x:c>
      <x:c r="G24" s="10" t="str">
        <x:v>12895</x:v>
      </x:c>
      <x:c r="H24" s="8" t="str">
        <x:v>40</x:v>
      </x:c>
      <x:c r="I24" t="str">
        <x:v>Low</x:v>
      </x:c>
      <x:c r="J24" s="10" t="str">
        <x:v>55500</x:v>
      </x:c>
      <x:c r="K24" s="10" t="str">
        <x:v>56980</x:v>
      </x:c>
      <x:c r="L24" s="10" t="str">
        <x:v>60500</x:v>
      </x:c>
      <x:c r="M24" s="10" t="str">
        <x:v>61980</x:v>
      </x:c>
      <x:c r="N24" s="10" t="str">
        <x:v>60500</x:v>
      </x:c>
      <x:c r="O24" s="10" t="str">
        <x:v>61980</x:v>
      </x:c>
      <x:c r="P24" s="10" t="str">
        <x:v>1480</x:v>
      </x:c>
      <x:c r="Q24" s="10" t="str">
        <x:v>1331</x:v>
      </x:c>
      <x:c r="R24" s="10" t="str">
        <x:v>154907</x:v>
      </x:c>
      <x:c r="S24" s="10" t="str">
        <x:v>115</x:v>
      </x:c>
      <x:c r="T24" s="8" t="str"/>
      <x:c r="U24" t="str"/>
      <x:c r="V24" t="str">
        <x:v>https://www.census.gov/newsroom/press-releases/2026/school-system-finances.html</x:v>
      </x:c>
      <x:c r="W24" t="str">
        <x:f>J24</x:f>
        <x:v>55500</x:v>
      </x:c>
      <x:c r="X24" t="n">
        <x:f>W24/12</x:f>
        <x:v>4625</x:v>
      </x:c>
      <x:c r="Y24" t="n">
        <x:f>IFERROR(Q24/X24,"")</x:f>
        <x:v>0.2877837837837838</x:v>
      </x:c>
      <x:c r="Z24" t="n">
        <x:f>IFERROR(PMT('Housing Salary Share Phase 1'!$B$7/12,'Housing Salary Share Phase 1'!$B$8*12,-R24*(1-'Housing Salary Share Phase 1'!$B$6)),"")</x:f>
        <x:v>824.4801089657739</x:v>
      </x:c>
      <x:c r="AA24" t="n">
        <x:f>IFERROR(Z24/X24,"")</x:f>
        <x:v>0.17826596950611326</x:v>
      </x:c>
      <x:c r="AB24" t="n">
        <x:f>IFS(Y24&lt;=20%,95,Y24&lt;=25%,82,Y24&lt;=30%,65,Y24&lt;=40%,45,TRUE,20)</x:f>
        <x:v>65</x:v>
      </x:c>
      <x:c r="AC24" t="n">
        <x:f>IFS(AA24&lt;=20%,95,AA24&lt;=25%,82,AA24&lt;=30%,65,AA24&lt;=40%,45,TRUE,20)</x:f>
        <x:v>95</x:v>
      </x:c>
      <x:c r="AD24" t="n">
        <x:f>AB24*'Housing Salary Share Phase 1'!$B$9+AC24*'Housing Salary Share Phase 1'!$B$10</x:f>
        <x:v>74</x:v>
      </x:c>
      <x:c r="AE24" t="str">
        <x:f>IFERROR(TEXT(Y24,"0%")&amp;" of Salary","")</x:f>
        <x:v>29% of Salary</x:v>
      </x:c>
      <x:c r="AF24" t="str">
        <x:f>IFERROR(TEXT(AA24,"0%")&amp;" of Salary","")</x:f>
        <x:v>18% of Salary</x:v>
      </x:c>
    </x:row>
    <x:row r="25">
      <x:c r="A25" t="str">
        <x:v>24</x:v>
      </x:c>
      <x:c r="B25" t="str">
        <x:v>Wayzata Public Schools</x:v>
      </x:c>
      <x:c r="C25" t="str">
        <x:v>MN</x:v>
      </x:c>
      <x:c r="D25" t="str">
        <x:v>Twin Cities Suburbs</x:v>
      </x:c>
      <x:c r="E25" s="8" t="str">
        <x:v>59.1858</x:v>
      </x:c>
      <x:c r="F25" s="8" t="str">
        <x:v>58.6166</x:v>
      </x:c>
      <x:c r="G25" s="10" t="str">
        <x:v>17098</x:v>
      </x:c>
      <x:c r="H25" s="8" t="str">
        <x:v>70</x:v>
      </x:c>
      <x:c r="I25" t="str">
        <x:v>Good</x:v>
      </x:c>
      <x:c r="J25" s="10" t="str">
        <x:v>52308</x:v>
      </x:c>
      <x:c r="K25" s="10" t="str">
        <x:v>64000</x:v>
      </x:c>
      <x:c r="L25" s="10" t="str">
        <x:v>66033</x:v>
      </x:c>
      <x:c r="M25" s="10" t="str">
        <x:v>79000</x:v>
      </x:c>
      <x:c r="N25" s="10" t="str">
        <x:v>79758</x:v>
      </x:c>
      <x:c r="O25" s="10" t="str">
        <x:v>94000</x:v>
      </x:c>
      <x:c r="P25" s="10" t="str">
        <x:v>11692</x:v>
      </x:c>
      <x:c r="Q25" s="10" t="str">
        <x:v>1850</x:v>
      </x:c>
      <x:c r="R25" s="10" t="str">
        <x:v>580000</x:v>
      </x:c>
      <x:c r="S25" s="10" t="str">
        <x:v>165</x:v>
      </x:c>
      <x:c r="T25" s="8" t="str">
        <x:v>100</x:v>
      </x:c>
      <x:c r="U25" t="str">
        <x:v>Stable</x:v>
      </x:c>
      <x:c r="V25" t="str">
        <x:v>https://www.census.gov/newsroom/press-releases/2026/school-system-finances.html</x:v>
      </x:c>
      <x:c r="W25" t="str">
        <x:f>J25</x:f>
        <x:v>52308</x:v>
      </x:c>
      <x:c r="X25" t="n">
        <x:f>W25/12</x:f>
        <x:v>4359</x:v>
      </x:c>
      <x:c r="Y25" t="n">
        <x:f>IFERROR(Q25/X25,"")</x:f>
        <x:v>0.4244092681807754</x:v>
      </x:c>
      <x:c r="Z25" t="n">
        <x:f>IFERROR(PMT('Housing Salary Share Phase 1'!$B$7/12,'Housing Salary Share Phase 1'!$B$8*12,-R25*(1-'Housing Salary Share Phase 1'!$B$6)),"")</x:f>
        <x:v>3087.00357763141</x:v>
      </x:c>
      <x:c r="AA25" t="n">
        <x:f>IFERROR(Z25/X25,"")</x:f>
        <x:v>0.7081907725697201</x:v>
      </x:c>
      <x:c r="AB25" t="n">
        <x:f>IFS(Y25&lt;=20%,95,Y25&lt;=25%,82,Y25&lt;=30%,65,Y25&lt;=40%,45,TRUE,20)</x:f>
        <x:v>20</x:v>
      </x:c>
      <x:c r="AC25" t="n">
        <x:f>IFS(AA25&lt;=20%,95,AA25&lt;=25%,82,AA25&lt;=30%,65,AA25&lt;=40%,45,TRUE,20)</x:f>
        <x:v>20</x:v>
      </x:c>
      <x:c r="AD25" t="n">
        <x:f>AB25*'Housing Salary Share Phase 1'!$B$9+AC25*'Housing Salary Share Phase 1'!$B$10</x:f>
        <x:v>20</x:v>
      </x:c>
      <x:c r="AE25" t="str">
        <x:f>IFERROR(TEXT(Y25,"0%")&amp;" of Salary","")</x:f>
        <x:v>42% of Salary</x:v>
      </x:c>
      <x:c r="AF25" t="str">
        <x:f>IFERROR(TEXT(AA25,"0%")&amp;" of Salary","")</x:f>
        <x:v>71% of Salary</x:v>
      </x:c>
    </x:row>
    <x:row r="26">
      <x:c r="A26" t="str">
        <x:v>25</x:v>
      </x:c>
      <x:c r="B26" t="str">
        <x:v>West Ada School District</x:v>
      </x:c>
      <x:c r="C26" t="str">
        <x:v>ID</x:v>
      </x:c>
      <x:c r="D26" t="str">
        <x:v>Boise / Meridian</x:v>
      </x:c>
      <x:c r="E26" s="8" t="str">
        <x:v>59.0059</x:v>
      </x:c>
      <x:c r="F26" s="8" t="str">
        <x:v>60.0062</x:v>
      </x:c>
      <x:c r="G26" s="10" t="str">
        <x:v>11060</x:v>
      </x:c>
      <x:c r="H26" s="8" t="str">
        <x:v>40</x:v>
      </x:c>
      <x:c r="I26" t="str">
        <x:v>Low</x:v>
      </x:c>
      <x:c r="J26" s="10" t="str">
        <x:v>50252</x:v>
      </x:c>
      <x:c r="K26" s="10" t="str">
        <x:v>56000</x:v>
      </x:c>
      <x:c r="L26" s="10" t="str">
        <x:v>61000</x:v>
      </x:c>
      <x:c r="M26" s="10" t="str">
        <x:v>67500</x:v>
      </x:c>
      <x:c r="N26" s="10" t="str">
        <x:v>68500</x:v>
      </x:c>
      <x:c r="O26" s="10" t="str">
        <x:v>77500</x:v>
      </x:c>
      <x:c r="P26" s="10" t="str">
        <x:v>5748</x:v>
      </x:c>
      <x:c r="Q26" s="10" t="str">
        <x:v>1850</x:v>
      </x:c>
      <x:c r="R26" s="10" t="str">
        <x:v>525000</x:v>
      </x:c>
      <x:c r="S26" s="10" t="str">
        <x:v>125</x:v>
      </x:c>
      <x:c r="T26" s="8" t="str">
        <x:v>100</x:v>
      </x:c>
      <x:c r="U26" t="str"/>
      <x:c r="V26" t="str">
        <x:v>https://www.census.gov/newsroom/press-releases/2026/school-system-finances.html</x:v>
      </x:c>
      <x:c r="W26" t="str">
        <x:f>J26</x:f>
        <x:v>50252</x:v>
      </x:c>
      <x:c r="X26" t="n">
        <x:f>W26/12</x:f>
        <x:v>4187.666666666667</x:v>
      </x:c>
      <x:c r="Y26" t="n">
        <x:f>IFERROR(Q26/X26,"")</x:f>
        <x:v>0.44177346175276605</x:v>
      </x:c>
      <x:c r="Z26" t="n">
        <x:f>IFERROR(PMT('Housing Salary Share Phase 1'!$B$7/12,'Housing Salary Share Phase 1'!$B$8*12,-R26*(1-'Housing Salary Share Phase 1'!$B$6)),"")</x:f>
        <x:v>2794.2704797525694</x:v>
      </x:c>
      <x:c r="AA26" t="n">
        <x:f>IFERROR(Z26/X26,"")</x:f>
        <x:v>0.6672619150885702</x:v>
      </x:c>
      <x:c r="AB26" t="n">
        <x:f>IFS(Y26&lt;=20%,95,Y26&lt;=25%,82,Y26&lt;=30%,65,Y26&lt;=40%,45,TRUE,20)</x:f>
        <x:v>20</x:v>
      </x:c>
      <x:c r="AC26" t="n">
        <x:f>IFS(AA26&lt;=20%,95,AA26&lt;=25%,82,AA26&lt;=30%,65,AA26&lt;=40%,45,TRUE,20)</x:f>
        <x:v>20</x:v>
      </x:c>
      <x:c r="AD26" t="n">
        <x:f>AB26*'Housing Salary Share Phase 1'!$B$9+AC26*'Housing Salary Share Phase 1'!$B$10</x:f>
        <x:v>20</x:v>
      </x:c>
      <x:c r="AE26" t="str">
        <x:f>IFERROR(TEXT(Y26,"0%")&amp;" of Salary","")</x:f>
        <x:v>44% of Salary</x:v>
      </x:c>
      <x:c r="AF26" t="str">
        <x:f>IFERROR(TEXT(AA26,"0%")&amp;" of Salary","")</x:f>
        <x:v>67% of Salary</x:v>
      </x:c>
    </x:row>
    <x:row r="27">
      <x:c r="A27" t="str">
        <x:v>26</x:v>
      </x:c>
      <x:c r="B27" t="str">
        <x:v>Cobb County School District</x:v>
      </x:c>
      <x:c r="C27" t="str">
        <x:v>GA</x:v>
      </x:c>
      <x:c r="D27" t="str">
        <x:v>Atlanta</x:v>
      </x:c>
      <x:c r="E27" s="8" t="str">
        <x:v>58.9463</x:v>
      </x:c>
      <x:c r="F27" s="8" t="str">
        <x:v>58.3645</x:v>
      </x:c>
      <x:c r="G27" s="10" t="str">
        <x:v>15833</x:v>
      </x:c>
      <x:c r="H27" s="8" t="str">
        <x:v>70</x:v>
      </x:c>
      <x:c r="I27" t="str">
        <x:v>Good</x:v>
      </x:c>
      <x:c r="J27" s="10" t="str">
        <x:v>60604</x:v>
      </x:c>
      <x:c r="K27" s="10" t="str">
        <x:v>65731</x:v>
      </x:c>
      <x:c r="L27" s="10" t="str">
        <x:v>62222</x:v>
      </x:c>
      <x:c r="M27" s="10" t="str">
        <x:v>69938</x:v>
      </x:c>
      <x:c r="N27" s="10" t="str">
        <x:v>72953</x:v>
      </x:c>
      <x:c r="O27" s="10" t="str">
        <x:v>82813</x:v>
      </x:c>
      <x:c r="P27" s="10" t="str">
        <x:v>5127</x:v>
      </x:c>
      <x:c r="Q27" s="10" t="str">
        <x:v>1534</x:v>
      </x:c>
      <x:c r="R27" s="10" t="str">
        <x:v>475000</x:v>
      </x:c>
      <x:c r="S27" s="10" t="str">
        <x:v>150</x:v>
      </x:c>
      <x:c r="T27" s="8" t="str">
        <x:v>100</x:v>
      </x:c>
      <x:c r="U27" t="str">
        <x:v>Stable</x:v>
      </x:c>
      <x:c r="V27" t="str">
        <x:v>https://www.census.gov/newsroom/press-releases/2026/school-system-finances.html</x:v>
      </x:c>
      <x:c r="W27" t="str">
        <x:f>J27</x:f>
        <x:v>60604</x:v>
      </x:c>
      <x:c r="X27" t="n">
        <x:f>W27/12</x:f>
        <x:v>5050.333333333333</x:v>
      </x:c>
      <x:c r="Y27" t="n">
        <x:f>IFERROR(Q27/X27,"")</x:f>
        <x:v>0.30374232723912614</x:v>
      </x:c>
      <x:c r="Z27" t="n">
        <x:f>IFERROR(PMT('Housing Salary Share Phase 1'!$B$7/12,'Housing Salary Share Phase 1'!$B$8*12,-R27*(1-'Housing Salary Share Phase 1'!$B$6)),"")</x:f>
        <x:v>2528.1494816808963</x:v>
      </x:c>
      <x:c r="AA27" t="n">
        <x:f>IFERROR(Z27/X27,"")</x:f>
        <x:v>0.500590617453811</x:v>
      </x:c>
      <x:c r="AB27" t="n">
        <x:f>IFS(Y27&lt;=20%,95,Y27&lt;=25%,82,Y27&lt;=30%,65,Y27&lt;=40%,45,TRUE,20)</x:f>
        <x:v>45</x:v>
      </x:c>
      <x:c r="AC27" t="n">
        <x:f>IFS(AA27&lt;=20%,95,AA27&lt;=25%,82,AA27&lt;=30%,65,AA27&lt;=40%,45,TRUE,20)</x:f>
        <x:v>20</x:v>
      </x:c>
      <x:c r="AD27" t="n">
        <x:f>AB27*'Housing Salary Share Phase 1'!$B$9+AC27*'Housing Salary Share Phase 1'!$B$10</x:f>
        <x:v>37.5</x:v>
      </x:c>
      <x:c r="AE27" t="str">
        <x:f>IFERROR(TEXT(Y27,"0%")&amp;" of Salary","")</x:f>
        <x:v>30% of Salary</x:v>
      </x:c>
      <x:c r="AF27" t="str">
        <x:f>IFERROR(TEXT(AA27,"0%")&amp;" of Salary","")</x:f>
        <x:v>50% of Salary</x:v>
      </x:c>
    </x:row>
    <x:row r="28">
      <x:c r="A28" t="str">
        <x:v>27</x:v>
      </x:c>
      <x:c r="B28" t="str">
        <x:v>Farmington Municipal Schools</x:v>
      </x:c>
      <x:c r="C28" t="str">
        <x:v>NM</x:v>
      </x:c>
      <x:c r="D28" t="str">
        <x:v>Four Corners New Mexico</x:v>
      </x:c>
      <x:c r="E28" s="8" t="str">
        <x:v>57.9551</x:v>
      </x:c>
      <x:c r="F28" s="8" t="str">
        <x:v>57.3212</x:v>
      </x:c>
      <x:c r="G28" s="10" t="str">
        <x:v>17664</x:v>
      </x:c>
      <x:c r="H28" s="8" t="str">
        <x:v>70</x:v>
      </x:c>
      <x:c r="I28" t="str">
        <x:v>Good</x:v>
      </x:c>
      <x:c r="J28" s="10" t="str">
        <x:v>57231</x:v>
      </x:c>
      <x:c r="K28" s="10" t="str">
        <x:v>58838</x:v>
      </x:c>
      <x:c r="L28" s="10" t="str">
        <x:v>57504</x:v>
      </x:c>
      <x:c r="M28" s="10" t="str">
        <x:v>59110</x:v>
      </x:c>
      <x:c r="N28" s="10" t="str">
        <x:v>70272</x:v>
      </x:c>
      <x:c r="O28" s="10" t="str">
        <x:v>72195</x:v>
      </x:c>
      <x:c r="P28" s="10" t="str">
        <x:v>1607</x:v>
      </x:c>
      <x:c r="Q28" s="10" t="str">
        <x:v>1350</x:v>
      </x:c>
      <x:c r="R28" s="10" t="str">
        <x:v>285000</x:v>
      </x:c>
      <x:c r="S28" s="10" t="str">
        <x:v>140</x:v>
      </x:c>
      <x:c r="T28" s="8" t="str">
        <x:v>100</x:v>
      </x:c>
      <x:c r="U28" t="str">
        <x:v>Stable</x:v>
      </x:c>
      <x:c r="V28" t="str">
        <x:v>https://www.census.gov/newsroom/press-releases/2026/school-system-finances.html</x:v>
      </x:c>
      <x:c r="W28" t="str">
        <x:f>J28</x:f>
        <x:v>57231</x:v>
      </x:c>
      <x:c r="X28" t="n">
        <x:f>W28/12</x:f>
        <x:v>4769.25</x:v>
      </x:c>
      <x:c r="Y28" t="n">
        <x:f>IFERROR(Q28/X28,"")</x:f>
        <x:v>0.2830633747444567</x:v>
      </x:c>
      <x:c r="Z28" t="n">
        <x:f>IFERROR(PMT('Housing Salary Share Phase 1'!$B$7/12,'Housing Salary Share Phase 1'!$B$8*12,-R28*(1-'Housing Salary Share Phase 1'!$B$6)),"")</x:f>
        <x:v>1516.8896890085377</x:v>
      </x:c>
      <x:c r="AA28" t="n">
        <x:f>IFERROR(Z28/X28,"")</x:f>
        <x:v>0.31805623295246377</x:v>
      </x:c>
      <x:c r="AB28" t="n">
        <x:f>IFS(Y28&lt;=20%,95,Y28&lt;=25%,82,Y28&lt;=30%,65,Y28&lt;=40%,45,TRUE,20)</x:f>
        <x:v>65</x:v>
      </x:c>
      <x:c r="AC28" t="n">
        <x:f>IFS(AA28&lt;=20%,95,AA28&lt;=25%,82,AA28&lt;=30%,65,AA28&lt;=40%,45,TRUE,20)</x:f>
        <x:v>45</x:v>
      </x:c>
      <x:c r="AD28" t="n">
        <x:f>AB28*'Housing Salary Share Phase 1'!$B$9+AC28*'Housing Salary Share Phase 1'!$B$10</x:f>
        <x:v>59</x:v>
      </x:c>
      <x:c r="AE28" t="str">
        <x:f>IFERROR(TEXT(Y28,"0%")&amp;" of Salary","")</x:f>
        <x:v>28% of Salary</x:v>
      </x:c>
      <x:c r="AF28" t="str">
        <x:f>IFERROR(TEXT(AA28,"0%")&amp;" of Salary","")</x:f>
        <x:v>32% of Salary</x:v>
      </x:c>
    </x:row>
    <x:row r="29">
      <x:c r="A29" t="str">
        <x:v>28</x:v>
      </x:c>
      <x:c r="B29" t="str">
        <x:v>Washoe County School District</x:v>
      </x:c>
      <x:c r="C29" t="str">
        <x:v>NV</x:v>
      </x:c>
      <x:c r="D29" t="str">
        <x:v>Reno / Washoe County</x:v>
      </x:c>
      <x:c r="E29" s="8" t="str">
        <x:v>57.7598</x:v>
      </x:c>
      <x:c r="F29" s="8" t="str">
        <x:v>57.9051</x:v>
      </x:c>
      <x:c r="G29" s="10" t="str">
        <x:v>14812</x:v>
      </x:c>
      <x:c r="H29" s="8" t="str">
        <x:v>55</x:v>
      </x:c>
      <x:c r="I29" t="str">
        <x:v>Fair</x:v>
      </x:c>
      <x:c r="J29" s="10" t="str">
        <x:v>63000</x:v>
      </x:c>
      <x:c r="K29" s="10" t="str">
        <x:v>68000</x:v>
      </x:c>
      <x:c r="L29" s="10" t="str">
        <x:v>70500</x:v>
      </x:c>
      <x:c r="M29" s="10" t="str">
        <x:v>78000</x:v>
      </x:c>
      <x:c r="N29" s="10" t="str">
        <x:v>78000</x:v>
      </x:c>
      <x:c r="O29" s="10" t="str">
        <x:v>88000</x:v>
      </x:c>
      <x:c r="P29" s="10" t="str">
        <x:v>5000</x:v>
      </x:c>
      <x:c r="Q29" s="10" t="str">
        <x:v>1850</x:v>
      </x:c>
      <x:c r="R29" s="10" t="str">
        <x:v>550000</x:v>
      </x:c>
      <x:c r="S29" s="10" t="str">
        <x:v>150</x:v>
      </x:c>
      <x:c r="T29" s="8" t="str">
        <x:v>75</x:v>
      </x:c>
      <x:c r="U29" t="str"/>
      <x:c r="V29" t="str">
        <x:v>https://www.census.gov/newsroom/press-releases/2026/school-system-finances.html</x:v>
      </x:c>
      <x:c r="W29" t="str">
        <x:f>J29</x:f>
        <x:v>63000</x:v>
      </x:c>
      <x:c r="X29" t="n">
        <x:f>W29/12</x:f>
        <x:v>5250</x:v>
      </x:c>
      <x:c r="Y29" t="n">
        <x:f>IFERROR(Q29/X29,"")</x:f>
        <x:v>0.3523809523809524</x:v>
      </x:c>
      <x:c r="Z29" t="n">
        <x:f>IFERROR(PMT('Housing Salary Share Phase 1'!$B$7/12,'Housing Salary Share Phase 1'!$B$8*12,-R29*(1-'Housing Salary Share Phase 1'!$B$6)),"")</x:f>
        <x:v>2927.330978788406</x:v>
      </x:c>
      <x:c r="AA29" t="n">
        <x:f>IFERROR(Z29/X29,"")</x:f>
        <x:v>0.5575868531025535</x:v>
      </x:c>
      <x:c r="AB29" t="n">
        <x:f>IFS(Y29&lt;=20%,95,Y29&lt;=25%,82,Y29&lt;=30%,65,Y29&lt;=40%,45,TRUE,20)</x:f>
        <x:v>45</x:v>
      </x:c>
      <x:c r="AC29" t="n">
        <x:f>IFS(AA29&lt;=20%,95,AA29&lt;=25%,82,AA29&lt;=30%,65,AA29&lt;=40%,45,TRUE,20)</x:f>
        <x:v>20</x:v>
      </x:c>
      <x:c r="AD29" t="n">
        <x:f>AB29*'Housing Salary Share Phase 1'!$B$9+AC29*'Housing Salary Share Phase 1'!$B$10</x:f>
        <x:v>37.5</x:v>
      </x:c>
      <x:c r="AE29" t="str">
        <x:f>IFERROR(TEXT(Y29,"0%")&amp;" of Salary","")</x:f>
        <x:v>35% of Salary</x:v>
      </x:c>
      <x:c r="AF29" t="str">
        <x:f>IFERROR(TEXT(AA29,"0%")&amp;" of Salary","")</x:f>
        <x:v>56% of Salary</x:v>
      </x:c>
    </x:row>
    <x:row r="30">
      <x:c r="A30" t="str">
        <x:v>29</x:v>
      </x:c>
      <x:c r="B30" t="str">
        <x:v>New Trier Township High School District 203</x:v>
      </x:c>
      <x:c r="C30" t="str">
        <x:v>IL</x:v>
      </x:c>
      <x:c r="D30" t="str">
        <x:v>Chicago North Shore</x:v>
      </x:c>
      <x:c r="E30" s="8" t="str">
        <x:v>57.7436</x:v>
      </x:c>
      <x:c r="F30" s="8" t="str">
        <x:v>56.3091</x:v>
      </x:c>
      <x:c r="G30" s="10" t="str">
        <x:v>21776</x:v>
      </x:c>
      <x:c r="H30" s="8" t="str">
        <x:v>85</x:v>
      </x:c>
      <x:c r="I30" t="str">
        <x:v>Very Good</x:v>
      </x:c>
      <x:c r="J30" s="10" t="str">
        <x:v>75000</x:v>
      </x:c>
      <x:c r="K30" s="10" t="str">
        <x:v>86000</x:v>
      </x:c>
      <x:c r="L30" s="10" t="str">
        <x:v>90000</x:v>
      </x:c>
      <x:c r="M30" s="10" t="str">
        <x:v>105000</x:v>
      </x:c>
      <x:c r="N30" s="10" t="str">
        <x:v>115000</x:v>
      </x:c>
      <x:c r="O30" s="10" t="str">
        <x:v>130000</x:v>
      </x:c>
      <x:c r="P30" s="10" t="str">
        <x:v>11000</x:v>
      </x:c>
      <x:c r="Q30" s="10" t="str">
        <x:v>3300</x:v>
      </x:c>
      <x:c r="R30" s="10" t="str">
        <x:v>1600000</x:v>
      </x:c>
      <x:c r="S30" s="10" t="str">
        <x:v>147</x:v>
      </x:c>
      <x:c r="T30" s="8" t="str">
        <x:v>100</x:v>
      </x:c>
      <x:c r="U30" t="str">
        <x:v>Stable</x:v>
      </x:c>
      <x:c r="V30" t="str">
        <x:v>https://www.census.gov/newsroom/press-releases/2026/school-system-finances.html</x:v>
      </x:c>
      <x:c r="W30" t="str">
        <x:f>J30</x:f>
        <x:v>75000</x:v>
      </x:c>
      <x:c r="X30" t="n">
        <x:f>W30/12</x:f>
        <x:v>6250</x:v>
      </x:c>
      <x:c r="Y30" t="n">
        <x:f>IFERROR(Q30/X30,"")</x:f>
        <x:v>0.528</x:v>
      </x:c>
      <x:c r="Z30" t="n">
        <x:f>IFERROR(PMT('Housing Salary Share Phase 1'!$B$7/12,'Housing Salary Share Phase 1'!$B$8*12,-R30*(1-'Housing Salary Share Phase 1'!$B$6)),"")</x:f>
        <x:v>8515.871938293545</x:v>
      </x:c>
      <x:c r="AA30" t="n">
        <x:f>IFERROR(Z30/X30,"")</x:f>
        <x:v>1.3625395101269673</x:v>
      </x:c>
      <x:c r="AB30" t="n">
        <x:f>IFS(Y30&lt;=20%,95,Y30&lt;=25%,82,Y30&lt;=30%,65,Y30&lt;=40%,45,TRUE,20)</x:f>
        <x:v>20</x:v>
      </x:c>
      <x:c r="AC30" t="n">
        <x:f>IFS(AA30&lt;=20%,95,AA30&lt;=25%,82,AA30&lt;=30%,65,AA30&lt;=40%,45,TRUE,20)</x:f>
        <x:v>20</x:v>
      </x:c>
      <x:c r="AD30" t="n">
        <x:f>AB30*'Housing Salary Share Phase 1'!$B$9+AC30*'Housing Salary Share Phase 1'!$B$10</x:f>
        <x:v>20</x:v>
      </x:c>
      <x:c r="AE30" t="str">
        <x:f>IFERROR(TEXT(Y30,"0%")&amp;" of Salary","")</x:f>
        <x:v>53% of Salary</x:v>
      </x:c>
      <x:c r="AF30" t="str">
        <x:f>IFERROR(TEXT(AA30,"0%")&amp;" of Salary","")</x:f>
        <x:v>136% of Salary</x:v>
      </x:c>
    </x:row>
    <x:row r="31">
      <x:c r="A31" t="str">
        <x:v>30</x:v>
      </x:c>
      <x:c r="B31" t="str">
        <x:v>Gilbert Public Schools</x:v>
      </x:c>
      <x:c r="C31" t="str">
        <x:v>AZ</x:v>
      </x:c>
      <x:c r="D31" t="str">
        <x:v>Phoenix East Valley</x:v>
      </x:c>
      <x:c r="E31" s="8" t="str">
        <x:v>57.387</x:v>
      </x:c>
      <x:c r="F31" s="8" t="str">
        <x:v>58.3021</x:v>
      </x:c>
      <x:c r="G31" s="10" t="str">
        <x:v>12003</x:v>
      </x:c>
      <x:c r="H31" s="8" t="str">
        <x:v>40</x:v>
      </x:c>
      <x:c r="I31" t="str">
        <x:v>Low</x:v>
      </x:c>
      <x:c r="J31" s="10" t="str">
        <x:v>53530</x:v>
      </x:c>
      <x:c r="K31" s="10" t="str">
        <x:v>58500</x:v>
      </x:c>
      <x:c r="L31" s="10" t="str">
        <x:v>65000</x:v>
      </x:c>
      <x:c r="M31" s="10" t="str">
        <x:v>70000</x:v>
      </x:c>
      <x:c r="N31" s="10" t="str">
        <x:v>70000</x:v>
      </x:c>
      <x:c r="O31" s="10" t="str">
        <x:v>75500</x:v>
      </x:c>
      <x:c r="P31" s="10" t="str">
        <x:v>4970</x:v>
      </x:c>
      <x:c r="Q31" s="10" t="str">
        <x:v>2250</x:v>
      </x:c>
      <x:c r="R31" s="10" t="str">
        <x:v>565000</x:v>
      </x:c>
      <x:c r="S31" s="10" t="str">
        <x:v>150</x:v>
      </x:c>
      <x:c r="T31" s="8" t="str">
        <x:v>100</x:v>
      </x:c>
      <x:c r="U31" t="str"/>
      <x:c r="V31" t="str">
        <x:v>https://www.census.gov/newsroom/press-releases/2026/school-system-finances.html</x:v>
      </x:c>
      <x:c r="W31" t="str">
        <x:f>J31</x:f>
        <x:v>53530</x:v>
      </x:c>
      <x:c r="X31" t="n">
        <x:f>W31/12</x:f>
        <x:v>4460.833333333333</x:v>
      </x:c>
      <x:c r="Y31" t="n">
        <x:f>IFERROR(Q31/X31,"")</x:f>
        <x:v>0.5043900616476742</x:v>
      </x:c>
      <x:c r="Z31" t="n">
        <x:f>IFERROR(PMT('Housing Salary Share Phase 1'!$B$7/12,'Housing Salary Share Phase 1'!$B$8*12,-R31*(1-'Housing Salary Share Phase 1'!$B$6)),"")</x:f>
        <x:v>3007.167278209908</x:v>
      </x:c>
      <x:c r="AA31" t="n">
        <x:f>IFERROR(Z31/X31,"")</x:f>
        <x:v>0.6741267950405174</x:v>
      </x:c>
      <x:c r="AB31" t="n">
        <x:f>IFS(Y31&lt;=20%,95,Y31&lt;=25%,82,Y31&lt;=30%,65,Y31&lt;=40%,45,TRUE,20)</x:f>
        <x:v>20</x:v>
      </x:c>
      <x:c r="AC31" t="n">
        <x:f>IFS(AA31&lt;=20%,95,AA31&lt;=25%,82,AA31&lt;=30%,65,AA31&lt;=40%,45,TRUE,20)</x:f>
        <x:v>20</x:v>
      </x:c>
      <x:c r="AD31" t="n">
        <x:f>AB31*'Housing Salary Share Phase 1'!$B$9+AC31*'Housing Salary Share Phase 1'!$B$10</x:f>
        <x:v>20</x:v>
      </x:c>
      <x:c r="AE31" t="str">
        <x:f>IFERROR(TEXT(Y31,"0%")&amp;" of Salary","")</x:f>
        <x:v>50% of Salary</x:v>
      </x:c>
      <x:c r="AF31" t="str">
        <x:f>IFERROR(TEXT(AA31,"0%")&amp;" of Salary","")</x:f>
        <x:v>67% of Salary</x:v>
      </x:c>
    </x:row>
    <x:row r="32">
      <x:c r="A32" t="str">
        <x:v>31</x:v>
      </x:c>
      <x:c r="B32" t="str">
        <x:v>Syosset Central School District</x:v>
      </x:c>
      <x:c r="C32" t="str">
        <x:v>NY</x:v>
      </x:c>
      <x:c r="D32" t="str">
        <x:v>Long Island</x:v>
      </x:c>
      <x:c r="E32" s="8" t="str">
        <x:v>57.1648</x:v>
      </x:c>
      <x:c r="F32" s="8" t="str">
        <x:v>54.9103</x:v>
      </x:c>
      <x:c r="G32" s="10" t="str">
        <x:v>31918</x:v>
      </x:c>
      <x:c r="H32" s="8" t="str">
        <x:v>100</x:v>
      </x:c>
      <x:c r="I32" t="str">
        <x:v>Excellent</x:v>
      </x:c>
      <x:c r="J32" s="10" t="str">
        <x:v>68687</x:v>
      </x:c>
      <x:c r="K32" s="10" t="str">
        <x:v>79562</x:v>
      </x:c>
      <x:c r="L32" s="10" t="str">
        <x:v>84471</x:v>
      </x:c>
      <x:c r="M32" s="10" t="str">
        <x:v>95313</x:v>
      </x:c>
      <x:c r="N32" s="10" t="str">
        <x:v>103885</x:v>
      </x:c>
      <x:c r="O32" s="10" t="str">
        <x:v>115460</x:v>
      </x:c>
      <x:c r="P32" s="10" t="str">
        <x:v>10875</x:v>
      </x:c>
      <x:c r="Q32" s="10" t="str">
        <x:v>5200</x:v>
      </x:c>
      <x:c r="R32" s="10" t="str">
        <x:v>1096329</x:v>
      </x:c>
      <x:c r="S32" s="10" t="str">
        <x:v>160</x:v>
      </x:c>
      <x:c r="T32" s="8" t="str">
        <x:v>100</x:v>
      </x:c>
      <x:c r="U32" t="str">
        <x:v>Stable</x:v>
      </x:c>
      <x:c r="V32" t="str">
        <x:v>https://www.census.gov/newsroom/press-releases/2026/school-system-finances.html</x:v>
      </x:c>
      <x:c r="W32" t="str">
        <x:f>J32</x:f>
        <x:v>68687</x:v>
      </x:c>
      <x:c r="X32" t="n">
        <x:f>W32/12</x:f>
        <x:v>5723.916666666667</x:v>
      </x:c>
      <x:c r="Y32" t="n">
        <x:f>IFERROR(Q32/X32,"")</x:f>
        <x:v>0.9084688514566075</x:v>
      </x:c>
      <x:c r="Z32" t="n">
        <x:f>IFERROR(PMT('Housing Salary Share Phase 1'!$B$7/12,'Housing Salary Share Phase 1'!$B$8*12,-R32*(1-'Housing Salary Share Phase 1'!$B$6)),"")</x:f>
        <x:v>5835.123353898391</x:v>
      </x:c>
      <x:c r="AA32" t="n">
        <x:f>IFERROR(Z32/X32,"")</x:f>
        <x:v>1.0194284252737882</x:v>
      </x:c>
      <x:c r="AB32" t="n">
        <x:f>IFS(Y32&lt;=20%,95,Y32&lt;=25%,82,Y32&lt;=30%,65,Y32&lt;=40%,45,TRUE,20)</x:f>
        <x:v>20</x:v>
      </x:c>
      <x:c r="AC32" t="n">
        <x:f>IFS(AA32&lt;=20%,95,AA32&lt;=25%,82,AA32&lt;=30%,65,AA32&lt;=40%,45,TRUE,20)</x:f>
        <x:v>20</x:v>
      </x:c>
      <x:c r="AD32" t="n">
        <x:f>AB32*'Housing Salary Share Phase 1'!$B$9+AC32*'Housing Salary Share Phase 1'!$B$10</x:f>
        <x:v>20</x:v>
      </x:c>
      <x:c r="AE32" t="str">
        <x:f>IFERROR(TEXT(Y32,"0%")&amp;" of Salary","")</x:f>
        <x:v>91% of Salary</x:v>
      </x:c>
      <x:c r="AF32" t="str">
        <x:f>IFERROR(TEXT(AA32,"0%")&amp;" of Salary","")</x:f>
        <x:v>102% of Salary</x:v>
      </x:c>
    </x:row>
    <x:row r="33">
      <x:c r="A33" t="str">
        <x:v>32</x:v>
      </x:c>
      <x:c r="B33" t="str">
        <x:v>Channelview ISD</x:v>
      </x:c>
      <x:c r="C33" t="str">
        <x:v>TX</x:v>
      </x:c>
      <x:c r="D33" t="str">
        <x:v>Houston</x:v>
      </x:c>
      <x:c r="E33" s="8" t="str">
        <x:v>56.6681</x:v>
      </x:c>
      <x:c r="F33" s="8" t="str">
        <x:v>57.5454</x:v>
      </x:c>
      <x:c r="G33" s="10" t="str">
        <x:v>12895</x:v>
      </x:c>
      <x:c r="H33" s="8" t="str">
        <x:v>40</x:v>
      </x:c>
      <x:c r="I33" t="str">
        <x:v>Low</x:v>
      </x:c>
      <x:c r="J33" s="10" t="str">
        <x:v>68500</x:v>
      </x:c>
      <x:c r="K33" s="10" t="str">
        <x:v>70000</x:v>
      </x:c>
      <x:c r="L33" s="10" t="str">
        <x:v>70000</x:v>
      </x:c>
      <x:c r="M33" s="10" t="str">
        <x:v>71500</x:v>
      </x:c>
      <x:c r="N33" s="10" t="str">
        <x:v>71500</x:v>
      </x:c>
      <x:c r="O33" s="10" t="str">
        <x:v>73000</x:v>
      </x:c>
      <x:c r="P33" s="10" t="str">
        <x:v>1500</x:v>
      </x:c>
      <x:c r="Q33" s="10" t="str">
        <x:v>1800</x:v>
      </x:c>
      <x:c r="R33" s="10" t="str">
        <x:v>229862</x:v>
      </x:c>
      <x:c r="S33" s="10" t="str">
        <x:v>140</x:v>
      </x:c>
      <x:c r="T33" s="8" t="str"/>
      <x:c r="U33" t="str"/>
      <x:c r="V33" t="str">
        <x:v>https://www.census.gov/newsroom/press-releases/2026/school-system-finances.html</x:v>
      </x:c>
      <x:c r="W33" t="str">
        <x:f>J33</x:f>
        <x:v>68500</x:v>
      </x:c>
      <x:c r="X33" t="n">
        <x:f>W33/12</x:f>
        <x:v>5708.333333333333</x:v>
      </x:c>
      <x:c r="Y33" t="n">
        <x:f>IFERROR(Q33/X33,"")</x:f>
        <x:v>0.31532846715328466</x:v>
      </x:c>
      <x:c r="Z33" t="n">
        <x:f>IFERROR(PMT('Housing Salary Share Phase 1'!$B$7/12,'Housing Salary Share Phase 1'!$B$8*12,-R33*(1-'Housing Salary Share Phase 1'!$B$6)),"")</x:f>
        <x:v>1223.4220971750192</x:v>
      </x:c>
      <x:c r="AA33" t="n">
        <x:f>IFERROR(Z33/X33,"")</x:f>
        <x:v>0.21432211921314206</x:v>
      </x:c>
      <x:c r="AB33" t="n">
        <x:f>IFS(Y33&lt;=20%,95,Y33&lt;=25%,82,Y33&lt;=30%,65,Y33&lt;=40%,45,TRUE,20)</x:f>
        <x:v>45</x:v>
      </x:c>
      <x:c r="AC33" t="n">
        <x:f>IFS(AA33&lt;=20%,95,AA33&lt;=25%,82,AA33&lt;=30%,65,AA33&lt;=40%,45,TRUE,20)</x:f>
        <x:v>82</x:v>
      </x:c>
      <x:c r="AD33" t="n">
        <x:f>AB33*'Housing Salary Share Phase 1'!$B$9+AC33*'Housing Salary Share Phase 1'!$B$10</x:f>
        <x:v>56.099999999999994</x:v>
      </x:c>
      <x:c r="AE33" t="str">
        <x:f>IFERROR(TEXT(Y33,"0%")&amp;" of Salary","")</x:f>
        <x:v>32% of Salary</x:v>
      </x:c>
      <x:c r="AF33" t="str">
        <x:f>IFERROR(TEXT(AA33,"0%")&amp;" of Salary","")</x:f>
        <x:v>21% of Salary</x:v>
      </x:c>
    </x:row>
    <x:row r="34">
      <x:c r="A34" t="str">
        <x:v>33</x:v>
      </x:c>
      <x:c r="B34" t="str">
        <x:v>Scarsdale Union Free School District</x:v>
      </x:c>
      <x:c r="C34" t="str">
        <x:v>NY</x:v>
      </x:c>
      <x:c r="D34" t="str">
        <x:v>Westchester NY</x:v>
      </x:c>
      <x:c r="E34" s="8" t="str">
        <x:v>56.4434</x:v>
      </x:c>
      <x:c r="F34" s="8" t="str">
        <x:v>54.151</x:v>
      </x:c>
      <x:c r="G34" s="10" t="str">
        <x:v>31918</x:v>
      </x:c>
      <x:c r="H34" s="8" t="str">
        <x:v>100</x:v>
      </x:c>
      <x:c r="I34" t="str">
        <x:v>Excellent</x:v>
      </x:c>
      <x:c r="J34" s="10" t="str">
        <x:v>69524</x:v>
      </x:c>
      <x:c r="K34" s="10" t="str">
        <x:v>77767</x:v>
      </x:c>
      <x:c r="L34" s="10" t="str">
        <x:v>90131</x:v>
      </x:c>
      <x:c r="M34" s="10" t="str">
        <x:v>98375</x:v>
      </x:c>
      <x:c r="N34" s="10" t="str">
        <x:v>110052</x:v>
      </x:c>
      <x:c r="O34" s="10" t="str">
        <x:v>118295</x:v>
      </x:c>
      <x:c r="P34" s="10" t="str">
        <x:v>8243</x:v>
      </x:c>
      <x:c r="Q34" s="10" t="str">
        <x:v>5500</x:v>
      </x:c>
      <x:c r="R34" s="10" t="str">
        <x:v>2088750</x:v>
      </x:c>
      <x:c r="S34" s="10" t="str">
        <x:v>163</x:v>
      </x:c>
      <x:c r="T34" s="8" t="str">
        <x:v>100</x:v>
      </x:c>
      <x:c r="U34" t="str">
        <x:v>Stable</x:v>
      </x:c>
      <x:c r="V34" t="str">
        <x:v>https://www.census.gov/newsroom/press-releases/2026/school-system-finances.html</x:v>
      </x:c>
      <x:c r="W34" t="str">
        <x:f>J34</x:f>
        <x:v>69524</x:v>
      </x:c>
      <x:c r="X34" t="n">
        <x:f>W34/12</x:f>
        <x:v>5793.666666666667</x:v>
      </x:c>
      <x:c r="Y34" t="n">
        <x:f>IFERROR(Q34/X34,"")</x:f>
        <x:v>0.9493124676370749</x:v>
      </x:c>
      <x:c r="Z34" t="n">
        <x:f>IFERROR(PMT('Housing Salary Share Phase 1'!$B$7/12,'Housing Salary Share Phase 1'!$B$8*12,-R34*(1-'Housing Salary Share Phase 1'!$B$6)),"")</x:f>
        <x:v>11117.204694444152</x:v>
      </x:c>
      <x:c r="AA34" t="n">
        <x:f>IFERROR(Z34/X34,"")</x:f>
        <x:v>1.9188547312198638</x:v>
      </x:c>
      <x:c r="AB34" t="n">
        <x:f>IFS(Y34&lt;=20%,95,Y34&lt;=25%,82,Y34&lt;=30%,65,Y34&lt;=40%,45,TRUE,20)</x:f>
        <x:v>20</x:v>
      </x:c>
      <x:c r="AC34" t="n">
        <x:f>IFS(AA34&lt;=20%,95,AA34&lt;=25%,82,AA34&lt;=30%,65,AA34&lt;=40%,45,TRUE,20)</x:f>
        <x:v>20</x:v>
      </x:c>
      <x:c r="AD34" t="n">
        <x:f>AB34*'Housing Salary Share Phase 1'!$B$9+AC34*'Housing Salary Share Phase 1'!$B$10</x:f>
        <x:v>20</x:v>
      </x:c>
      <x:c r="AE34" t="str">
        <x:f>IFERROR(TEXT(Y34,"0%")&amp;" of Salary","")</x:f>
        <x:v>95% of Salary</x:v>
      </x:c>
      <x:c r="AF34" t="str">
        <x:f>IFERROR(TEXT(AA34,"0%")&amp;" of Salary","")</x:f>
        <x:v>192% of Salary</x:v>
      </x:c>
    </x:row>
    <x:row r="35">
      <x:c r="A35" t="str">
        <x:v>34</x:v>
      </x:c>
      <x:c r="B35" t="str">
        <x:v>Mariemont City Schools</x:v>
      </x:c>
      <x:c r="C35" t="str">
        <x:v>OH</x:v>
      </x:c>
      <x:c r="D35" t="str">
        <x:v>Ohio / Cincinnati suburbs</x:v>
      </x:c>
      <x:c r="E35" s="8" t="str">
        <x:v>56.4425</x:v>
      </x:c>
      <x:c r="F35" s="8" t="str">
        <x:v>55.7289</x:v>
      </x:c>
      <x:c r="G35" s="10" t="str">
        <x:v>17257</x:v>
      </x:c>
      <x:c r="H35" s="8" t="str">
        <x:v>70</x:v>
      </x:c>
      <x:c r="I35" t="str">
        <x:v>Good</x:v>
      </x:c>
      <x:c r="J35" s="10" t="str">
        <x:v>51000</x:v>
      </x:c>
      <x:c r="K35" s="10" t="str">
        <x:v>56000</x:v>
      </x:c>
      <x:c r="L35" s="10" t="str">
        <x:v>62000</x:v>
      </x:c>
      <x:c r="M35" s="10" t="str">
        <x:v>68500</x:v>
      </x:c>
      <x:c r="N35" s="10" t="str">
        <x:v>74000</x:v>
      </x:c>
      <x:c r="O35" s="10" t="str">
        <x:v>82000</x:v>
      </x:c>
      <x:c r="P35" s="10" t="str">
        <x:v>5000</x:v>
      </x:c>
      <x:c r="Q35" s="10" t="str">
        <x:v>1600</x:v>
      </x:c>
      <x:c r="R35" s="10" t="str">
        <x:v>593962</x:v>
      </x:c>
      <x:c r="S35" s="10" t="str">
        <x:v>150</x:v>
      </x:c>
      <x:c r="T35" s="8" t="str">
        <x:v>100</x:v>
      </x:c>
      <x:c r="U35" t="str"/>
      <x:c r="V35" t="str">
        <x:v>https://www.census.gov/newsroom/press-releases/2026/school-system-finances.html</x:v>
      </x:c>
      <x:c r="W35" t="str">
        <x:f>J35</x:f>
        <x:v>51000</x:v>
      </x:c>
      <x:c r="X35" t="n">
        <x:f>W35/12</x:f>
        <x:v>4250</x:v>
      </x:c>
      <x:c r="Y35" t="n">
        <x:f>IFERROR(Q35/X35,"")</x:f>
        <x:v>0.3764705882352941</x:v>
      </x:c>
      <x:c r="Z35" t="n">
        <x:f>IFERROR(PMT('Housing Salary Share Phase 1'!$B$7/12,'Housing Salary Share Phase 1'!$B$8*12,-R35*(1-'Housing Salary Share Phase 1'!$B$6)),"")</x:f>
        <x:v>3161.3152051329444</x:v>
      </x:c>
      <x:c r="AA35" t="n">
        <x:f>IFERROR(Z35/X35,"")</x:f>
        <x:v>0.743838871795987</x:v>
      </x:c>
      <x:c r="AB35" t="n">
        <x:f>IFS(Y35&lt;=20%,95,Y35&lt;=25%,82,Y35&lt;=30%,65,Y35&lt;=40%,45,TRUE,20)</x:f>
        <x:v>45</x:v>
      </x:c>
      <x:c r="AC35" t="n">
        <x:f>IFS(AA35&lt;=20%,95,AA35&lt;=25%,82,AA35&lt;=30%,65,AA35&lt;=40%,45,TRUE,20)</x:f>
        <x:v>20</x:v>
      </x:c>
      <x:c r="AD35" t="n">
        <x:f>AB35*'Housing Salary Share Phase 1'!$B$9+AC35*'Housing Salary Share Phase 1'!$B$10</x:f>
        <x:v>37.5</x:v>
      </x:c>
      <x:c r="AE35" t="str">
        <x:f>IFERROR(TEXT(Y35,"0%")&amp;" of Salary","")</x:f>
        <x:v>38% of Salary</x:v>
      </x:c>
      <x:c r="AF35" t="str">
        <x:f>IFERROR(TEXT(AA35,"0%")&amp;" of Salary","")</x:f>
        <x:v>74% of Salary</x:v>
      </x:c>
    </x:row>
    <x:row r="36">
      <x:c r="A36" t="str">
        <x:v>35</x:v>
      </x:c>
      <x:c r="B36" t="str">
        <x:v>Portland Public Schools</x:v>
      </x:c>
      <x:c r="C36" t="str">
        <x:v>OR</x:v>
      </x:c>
      <x:c r="D36" t="str">
        <x:v>Portland</x:v>
      </x:c>
      <x:c r="E36" s="8" t="str">
        <x:v>56.1688</x:v>
      </x:c>
      <x:c r="F36" s="8" t="str">
        <x:v>54.6514</x:v>
      </x:c>
      <x:c r="G36" s="10" t="str">
        <x:v>18083</x:v>
      </x:c>
      <x:c r="H36" s="8" t="str">
        <x:v>85</x:v>
      </x:c>
      <x:c r="I36" t="str">
        <x:v>Very Good</x:v>
      </x:c>
      <x:c r="J36" s="10" t="str">
        <x:v>57206</x:v>
      </x:c>
      <x:c r="K36" s="10" t="str">
        <x:v>65280</x:v>
      </x:c>
      <x:c r="L36" s="10" t="str">
        <x:v>67611</x:v>
      </x:c>
      <x:c r="M36" s="10" t="str">
        <x:v>77157</x:v>
      </x:c>
      <x:c r="N36" s="10" t="str">
        <x:v>79916</x:v>
      </x:c>
      <x:c r="O36" s="10" t="str">
        <x:v>91200</x:v>
      </x:c>
      <x:c r="P36" s="10" t="str">
        <x:v>8074</x:v>
      </x:c>
      <x:c r="Q36" s="10" t="str">
        <x:v>1725</x:v>
      </x:c>
      <x:c r="R36" s="10" t="str">
        <x:v>538687</x:v>
      </x:c>
      <x:c r="S36" s="10" t="str">
        <x:v>275.71</x:v>
      </x:c>
      <x:c r="T36" s="8" t="str">
        <x:v>40</x:v>
      </x:c>
      <x:c r="U36" t="str">
        <x:v>Severe</x:v>
      </x:c>
      <x:c r="V36" t="str">
        <x:v>https://www.census.gov/newsroom/press-releases/2026/school-system-finances.html</x:v>
      </x:c>
      <x:c r="W36" t="str">
        <x:f>J36</x:f>
        <x:v>57206</x:v>
      </x:c>
      <x:c r="X36" t="n">
        <x:f>W36/12</x:f>
        <x:v>4767.166666666667</x:v>
      </x:c>
      <x:c r="Y36" t="n">
        <x:f>IFERROR(Q36/X36,"")</x:f>
        <x:v>0.3618501555780862</x:v>
      </x:c>
      <x:c r="Z36" t="n">
        <x:f>IFERROR(PMT('Housing Salary Share Phase 1'!$B$7/12,'Housing Salary Share Phase 1'!$B$8*12,-R36*(1-'Housing Salary Share Phase 1'!$B$6)),"")</x:f>
        <x:v>2867.1184417647096</x:v>
      </x:c>
      <x:c r="AA36" t="n">
        <x:f>IFERROR(Z36/X36,"")</x:f>
        <x:v>0.6014302922976001</x:v>
      </x:c>
      <x:c r="AB36" t="n">
        <x:f>IFS(Y36&lt;=20%,95,Y36&lt;=25%,82,Y36&lt;=30%,65,Y36&lt;=40%,45,TRUE,20)</x:f>
        <x:v>45</x:v>
      </x:c>
      <x:c r="AC36" t="n">
        <x:f>IFS(AA36&lt;=20%,95,AA36&lt;=25%,82,AA36&lt;=30%,65,AA36&lt;=40%,45,TRUE,20)</x:f>
        <x:v>20</x:v>
      </x:c>
      <x:c r="AD36" t="n">
        <x:f>AB36*'Housing Salary Share Phase 1'!$B$9+AC36*'Housing Salary Share Phase 1'!$B$10</x:f>
        <x:v>37.5</x:v>
      </x:c>
      <x:c r="AE36" t="str">
        <x:f>IFERROR(TEXT(Y36,"0%")&amp;" of Salary","")</x:f>
        <x:v>36% of Salary</x:v>
      </x:c>
      <x:c r="AF36" t="str">
        <x:f>IFERROR(TEXT(AA36,"0%")&amp;" of Salary","")</x:f>
        <x:v>60% of Salary</x:v>
      </x:c>
    </x:row>
    <x:row r="37">
      <x:c r="A37" t="str">
        <x:v>36</x:v>
      </x:c>
      <x:c r="B37" t="str">
        <x:v>Queen Creek Unified School District</x:v>
      </x:c>
      <x:c r="C37" t="str">
        <x:v>AZ</x:v>
      </x:c>
      <x:c r="D37" t="str">
        <x:v>Phoenix Southeast Valley</x:v>
      </x:c>
      <x:c r="E37" s="8" t="str">
        <x:v>56.0777</x:v>
      </x:c>
      <x:c r="F37" s="8" t="str">
        <x:v>56.9239</x:v>
      </x:c>
      <x:c r="G37" s="10" t="str">
        <x:v>12003</x:v>
      </x:c>
      <x:c r="H37" s="8" t="str">
        <x:v>40</x:v>
      </x:c>
      <x:c r="I37" t="str">
        <x:v>Low</x:v>
      </x:c>
      <x:c r="J37" s="10" t="str">
        <x:v>52000</x:v>
      </x:c>
      <x:c r="K37" s="10" t="str">
        <x:v>57000</x:v>
      </x:c>
      <x:c r="L37" s="10" t="str">
        <x:v>63500</x:v>
      </x:c>
      <x:c r="M37" s="10" t="str">
        <x:v>68500</x:v>
      </x:c>
      <x:c r="N37" s="10" t="str">
        <x:v>70000</x:v>
      </x:c>
      <x:c r="O37" s="10" t="str">
        <x:v>75000</x:v>
      </x:c>
      <x:c r="P37" s="10" t="str">
        <x:v>5000</x:v>
      </x:c>
      <x:c r="Q37" s="10" t="str">
        <x:v>2450</x:v>
      </x:c>
      <x:c r="R37" s="10" t="str">
        <x:v>670000</x:v>
      </x:c>
      <x:c r="S37" s="10" t="str">
        <x:v>145</x:v>
      </x:c>
      <x:c r="T37" s="8" t="str">
        <x:v>100</x:v>
      </x:c>
      <x:c r="U37" t="str"/>
      <x:c r="V37" t="str">
        <x:v>https://www.census.gov/newsroom/press-releases/2026/school-system-finances.html</x:v>
      </x:c>
      <x:c r="W37" t="str">
        <x:f>J37</x:f>
        <x:v>52000</x:v>
      </x:c>
      <x:c r="X37" t="n">
        <x:f>W37/12</x:f>
        <x:v>4333.333333333333</x:v>
      </x:c>
      <x:c r="Y37" t="n">
        <x:f>IFERROR(Q37/X37,"")</x:f>
        <x:v>0.5653846153846154</x:v>
      </x:c>
      <x:c r="Z37" t="n">
        <x:f>IFERROR(PMT('Housing Salary Share Phase 1'!$B$7/12,'Housing Salary Share Phase 1'!$B$8*12,-R37*(1-'Housing Salary Share Phase 1'!$B$6)),"")</x:f>
        <x:v>3566.021374160422</x:v>
      </x:c>
      <x:c r="AA37" t="n">
        <x:f>IFERROR(Z37/X37,"")</x:f>
        <x:v>0.8229280094216359</x:v>
      </x:c>
      <x:c r="AB37" t="n">
        <x:f>IFS(Y37&lt;=20%,95,Y37&lt;=25%,82,Y37&lt;=30%,65,Y37&lt;=40%,45,TRUE,20)</x:f>
        <x:v>20</x:v>
      </x:c>
      <x:c r="AC37" t="n">
        <x:f>IFS(AA37&lt;=20%,95,AA37&lt;=25%,82,AA37&lt;=30%,65,AA37&lt;=40%,45,TRUE,20)</x:f>
        <x:v>20</x:v>
      </x:c>
      <x:c r="AD37" t="n">
        <x:f>AB37*'Housing Salary Share Phase 1'!$B$9+AC37*'Housing Salary Share Phase 1'!$B$10</x:f>
        <x:v>20</x:v>
      </x:c>
      <x:c r="AE37" t="str">
        <x:f>IFERROR(TEXT(Y37,"0%")&amp;" of Salary","")</x:f>
        <x:v>57% of Salary</x:v>
      </x:c>
      <x:c r="AF37" t="str">
        <x:f>IFERROR(TEXT(AA37,"0%")&amp;" of Salary","")</x:f>
        <x:v>82% of Salary</x:v>
      </x:c>
    </x:row>
    <x:row r="38">
      <x:c r="A38" t="str">
        <x:v>37</x:v>
      </x:c>
      <x:c r="B38" t="str">
        <x:v>Sun Prairie Area School District</x:v>
      </x:c>
      <x:c r="C38" t="str">
        <x:v>WI</x:v>
      </x:c>
      <x:c r="D38" t="str">
        <x:v>Madison Area</x:v>
      </x:c>
      <x:c r="E38" s="8" t="str">
        <x:v>54.2861</x:v>
      </x:c>
      <x:c r="F38" s="8" t="str">
        <x:v>53.4591</x:v>
      </x:c>
      <x:c r="G38" s="10" t="str">
        <x:v>15952</x:v>
      </x:c>
      <x:c r="H38" s="8" t="str">
        <x:v>70</x:v>
      </x:c>
      <x:c r="I38" t="str">
        <x:v>Good</x:v>
      </x:c>
      <x:c r="J38" s="10" t="str">
        <x:v>52918</x:v>
      </x:c>
      <x:c r="K38" s="10" t="str">
        <x:v>56918</x:v>
      </x:c>
      <x:c r="L38" s="10" t="str">
        <x:v>59918</x:v>
      </x:c>
      <x:c r="M38" s="10" t="str">
        <x:v>63918</x:v>
      </x:c>
      <x:c r="N38" s="10" t="str">
        <x:v>66918</x:v>
      </x:c>
      <x:c r="O38" s="10" t="str">
        <x:v>70918</x:v>
      </x:c>
      <x:c r="P38" s="10" t="str">
        <x:v>4000</x:v>
      </x:c>
      <x:c r="Q38" s="10" t="str">
        <x:v>1550</x:v>
      </x:c>
      <x:c r="R38" s="10" t="str">
        <x:v>455000</x:v>
      </x:c>
      <x:c r="S38" s="10" t="str">
        <x:v>181</x:v>
      </x:c>
      <x:c r="T38" s="8" t="str">
        <x:v>100</x:v>
      </x:c>
      <x:c r="U38" t="str">
        <x:v>Stable</x:v>
      </x:c>
      <x:c r="V38" t="str">
        <x:v>https://www.census.gov/newsroom/press-releases/2026/school-system-finances.html</x:v>
      </x:c>
      <x:c r="W38" t="str">
        <x:f>J38</x:f>
        <x:v>52918</x:v>
      </x:c>
      <x:c r="X38" t="n">
        <x:f>W38/12</x:f>
        <x:v>4409.833333333333</x:v>
      </x:c>
      <x:c r="Y38" t="n">
        <x:f>IFERROR(Q38/X38,"")</x:f>
        <x:v>0.35148720662156546</x:v>
      </x:c>
      <x:c r="Z38" t="n">
        <x:f>IFERROR(PMT('Housing Salary Share Phase 1'!$B$7/12,'Housing Salary Share Phase 1'!$B$8*12,-R38*(1-'Housing Salary Share Phase 1'!$B$6)),"")</x:f>
        <x:v>2421.7010824522267</x:v>
      </x:c>
      <x:c r="AA38" t="n">
        <x:f>IFERROR(Z38/X38,"")</x:f>
        <x:v>0.5491593217700352</x:v>
      </x:c>
      <x:c r="AB38" t="n">
        <x:f>IFS(Y38&lt;=20%,95,Y38&lt;=25%,82,Y38&lt;=30%,65,Y38&lt;=40%,45,TRUE,20)</x:f>
        <x:v>45</x:v>
      </x:c>
      <x:c r="AC38" t="n">
        <x:f>IFS(AA38&lt;=20%,95,AA38&lt;=25%,82,AA38&lt;=30%,65,AA38&lt;=40%,45,TRUE,20)</x:f>
        <x:v>20</x:v>
      </x:c>
      <x:c r="AD38" t="n">
        <x:f>AB38*'Housing Salary Share Phase 1'!$B$9+AC38*'Housing Salary Share Phase 1'!$B$10</x:f>
        <x:v>37.5</x:v>
      </x:c>
      <x:c r="AE38" t="str">
        <x:f>IFERROR(TEXT(Y38,"0%")&amp;" of Salary","")</x:f>
        <x:v>35% of Salary</x:v>
      </x:c>
      <x:c r="AF38" t="str">
        <x:f>IFERROR(TEXT(AA38,"0%")&amp;" of Salary","")</x:f>
        <x:v>55% of Salary</x:v>
      </x:c>
    </x:row>
    <x:row r="39">
      <x:c r="A39" t="str">
        <x:v>38</x:v>
      </x:c>
      <x:c r="B39" t="str">
        <x:v>Beaverton School District</x:v>
      </x:c>
      <x:c r="C39" t="str">
        <x:v>OR</x:v>
      </x:c>
      <x:c r="D39" t="str">
        <x:v>Portland Metro</x:v>
      </x:c>
      <x:c r="E39" s="8" t="str">
        <x:v>54.0088</x:v>
      </x:c>
      <x:c r="F39" s="8" t="str">
        <x:v>52.3777</x:v>
      </x:c>
      <x:c r="G39" s="10" t="str">
        <x:v>18083</x:v>
      </x:c>
      <x:c r="H39" s="8" t="str">
        <x:v>85</x:v>
      </x:c>
      <x:c r="I39" t="str">
        <x:v>Very Good</x:v>
      </x:c>
      <x:c r="J39" s="10" t="str">
        <x:v>55872</x:v>
      </x:c>
      <x:c r="K39" s="10" t="str">
        <x:v>61373</x:v>
      </x:c>
      <x:c r="L39" s="10" t="str">
        <x:v>68235</x:v>
      </x:c>
      <x:c r="M39" s="10" t="str">
        <x:v>74426</x:v>
      </x:c>
      <x:c r="N39" s="10" t="str">
        <x:v>80598</x:v>
      </x:c>
      <x:c r="O39" s="10" t="str">
        <x:v>87480</x:v>
      </x:c>
      <x:c r="P39" s="10" t="str">
        <x:v>5501</x:v>
      </x:c>
      <x:c r="Q39" s="10" t="str">
        <x:v>1850</x:v>
      </x:c>
      <x:c r="R39" s="10" t="str">
        <x:v>575000</x:v>
      </x:c>
      <x:c r="S39" s="10" t="str">
        <x:v>246</x:v>
      </x:c>
      <x:c r="T39" s="8" t="str">
        <x:v>60</x:v>
      </x:c>
      <x:c r="U39" t="str">
        <x:v>Elevated</x:v>
      </x:c>
      <x:c r="V39" t="str">
        <x:v>https://www.census.gov/newsroom/press-releases/2026/school-system-finances.html</x:v>
      </x:c>
      <x:c r="W39" t="str">
        <x:f>J39</x:f>
        <x:v>55872</x:v>
      </x:c>
      <x:c r="X39" t="n">
        <x:f>W39/12</x:f>
        <x:v>4656</x:v>
      </x:c>
      <x:c r="Y39" t="n">
        <x:f>IFERROR(Q39/X39,"")</x:f>
        <x:v>0.39733676975945015</x:v>
      </x:c>
      <x:c r="Z39" t="n">
        <x:f>IFERROR(PMT('Housing Salary Share Phase 1'!$B$7/12,'Housing Salary Share Phase 1'!$B$8*12,-R39*(1-'Housing Salary Share Phase 1'!$B$6)),"")</x:f>
        <x:v>3060.391477824243</x:v>
      </x:c>
      <x:c r="AA39" t="n">
        <x:f>IFERROR(Z39/X39,"")</x:f>
        <x:v>0.6573005751340728</x:v>
      </x:c>
      <x:c r="AB39" t="n">
        <x:f>IFS(Y39&lt;=20%,95,Y39&lt;=25%,82,Y39&lt;=30%,65,Y39&lt;=40%,45,TRUE,20)</x:f>
        <x:v>45</x:v>
      </x:c>
      <x:c r="AC39" t="n">
        <x:f>IFS(AA39&lt;=20%,95,AA39&lt;=25%,82,AA39&lt;=30%,65,AA39&lt;=40%,45,TRUE,20)</x:f>
        <x:v>20</x:v>
      </x:c>
      <x:c r="AD39" t="n">
        <x:f>AB39*'Housing Salary Share Phase 1'!$B$9+AC39*'Housing Salary Share Phase 1'!$B$10</x:f>
        <x:v>37.5</x:v>
      </x:c>
      <x:c r="AE39" t="str">
        <x:f>IFERROR(TEXT(Y39,"0%")&amp;" of Salary","")</x:f>
        <x:v>40% of Salary</x:v>
      </x:c>
      <x:c r="AF39" t="str">
        <x:f>IFERROR(TEXT(AA39,"0%")&amp;" of Salary","")</x:f>
        <x:v>66% of Salary</x:v>
      </x:c>
    </x:row>
    <x:row r="40">
      <x:c r="A40" t="str">
        <x:v>39</x:v>
      </x:c>
      <x:c r="B40" t="str">
        <x:v>Barbers Hill ISD</x:v>
      </x:c>
      <x:c r="C40" t="str">
        <x:v>TX</x:v>
      </x:c>
      <x:c r="D40" t="str">
        <x:v>Houston</x:v>
      </x:c>
      <x:c r="E40" s="8" t="str">
        <x:v>53.9772</x:v>
      </x:c>
      <x:c r="F40" s="8" t="str">
        <x:v>54.7128</x:v>
      </x:c>
      <x:c r="G40" s="10" t="str">
        <x:v>12895</x:v>
      </x:c>
      <x:c r="H40" s="8" t="str">
        <x:v>40</x:v>
      </x:c>
      <x:c r="I40" t="str">
        <x:v>Low</x:v>
      </x:c>
      <x:c r="J40" s="10" t="str">
        <x:v>66000</x:v>
      </x:c>
      <x:c r="K40" s="10" t="str">
        <x:v>66000</x:v>
      </x:c>
      <x:c r="L40" s="10" t="str">
        <x:v>75166</x:v>
      </x:c>
      <x:c r="M40" s="10" t="str">
        <x:v>75166</x:v>
      </x:c>
      <x:c r="N40" s="10" t="str">
        <x:v>77498</x:v>
      </x:c>
      <x:c r="O40" s="10" t="str">
        <x:v>77498</x:v>
      </x:c>
      <x:c r="P40" s="10" t="str">
        <x:v>0</x:v>
      </x:c>
      <x:c r="Q40" s="10" t="str">
        <x:v>1496</x:v>
      </x:c>
      <x:c r="R40" s="10" t="str">
        <x:v>457726</x:v>
      </x:c>
      <x:c r="S40" s="10" t="str">
        <x:v>135</x:v>
      </x:c>
      <x:c r="T40" s="8" t="str">
        <x:v>100</x:v>
      </x:c>
      <x:c r="U40" t="str">
        <x:v>Stable</x:v>
      </x:c>
      <x:c r="V40" t="str">
        <x:v>https://www.census.gov/newsroom/press-releases/2026/school-system-finances.html</x:v>
      </x:c>
      <x:c r="W40" t="str">
        <x:f>J40</x:f>
        <x:v>66000</x:v>
      </x:c>
      <x:c r="X40" t="n">
        <x:f>W40/12</x:f>
        <x:v>5500</x:v>
      </x:c>
      <x:c r="Y40" t="n">
        <x:f>IFERROR(Q40/X40,"")</x:f>
        <x:v>0.272</x:v>
      </x:c>
      <x:c r="Z40" t="n">
        <x:f>IFERROR(PMT('Housing Salary Share Phase 1'!$B$7/12,'Housing Salary Share Phase 1'!$B$8*12,-R40*(1-'Housing Salary Share Phase 1'!$B$6)),"")</x:f>
        <x:v>2436.2099992670946</x:v>
      </x:c>
      <x:c r="AA40" t="n">
        <x:f>IFERROR(Z40/X40,"")</x:f>
        <x:v>0.4429472725940172</x:v>
      </x:c>
      <x:c r="AB40" t="n">
        <x:f>IFS(Y40&lt;=20%,95,Y40&lt;=25%,82,Y40&lt;=30%,65,Y40&lt;=40%,45,TRUE,20)</x:f>
        <x:v>65</x:v>
      </x:c>
      <x:c r="AC40" t="n">
        <x:f>IFS(AA40&lt;=20%,95,AA40&lt;=25%,82,AA40&lt;=30%,65,AA40&lt;=40%,45,TRUE,20)</x:f>
        <x:v>20</x:v>
      </x:c>
      <x:c r="AD40" t="n">
        <x:f>AB40*'Housing Salary Share Phase 1'!$B$9+AC40*'Housing Salary Share Phase 1'!$B$10</x:f>
        <x:v>51.5</x:v>
      </x:c>
      <x:c r="AE40" t="str">
        <x:f>IFERROR(TEXT(Y40,"0%")&amp;" of Salary","")</x:f>
        <x:v>27% of Salary</x:v>
      </x:c>
      <x:c r="AF40" t="str">
        <x:f>IFERROR(TEXT(AA40,"0%")&amp;" of Salary","")</x:f>
        <x:v>44% of Salary</x:v>
      </x:c>
    </x:row>
    <x:row r="41">
      <x:c r="A41" t="str">
        <x:v>40</x:v>
      </x:c>
      <x:c r="B41" t="str">
        <x:v>Dublin City Schools</x:v>
      </x:c>
      <x:c r="C41" t="str">
        <x:v>OH</x:v>
      </x:c>
      <x:c r="D41" t="str">
        <x:v>Ohio / Columbus suburbs</x:v>
      </x:c>
      <x:c r="E41" s="8" t="str">
        <x:v>53.935</x:v>
      </x:c>
      <x:c r="F41" s="8" t="str">
        <x:v>53.0895</x:v>
      </x:c>
      <x:c r="G41" s="10" t="str">
        <x:v>17257</x:v>
      </x:c>
      <x:c r="H41" s="8" t="str">
        <x:v>70</x:v>
      </x:c>
      <x:c r="I41" t="str">
        <x:v>Good</x:v>
      </x:c>
      <x:c r="J41" s="10" t="str">
        <x:v>52078</x:v>
      </x:c>
      <x:c r="K41" s="10" t="str">
        <x:v>57286</x:v>
      </x:c>
      <x:c r="L41" s="10" t="str">
        <x:v>72000</x:v>
      </x:c>
      <x:c r="M41" s="10" t="str">
        <x:v>76500</x:v>
      </x:c>
      <x:c r="N41" s="10" t="str">
        <x:v>78000</x:v>
      </x:c>
      <x:c r="O41" s="10" t="str">
        <x:v>86000</x:v>
      </x:c>
      <x:c r="P41" s="10" t="str">
        <x:v>5208</x:v>
      </x:c>
      <x:c r="Q41" s="10" t="str">
        <x:v>2300</x:v>
      </x:c>
      <x:c r="R41" s="10" t="str">
        <x:v>569539</x:v>
      </x:c>
      <x:c r="S41" s="10" t="str">
        <x:v>155</x:v>
      </x:c>
      <x:c r="T41" s="8" t="str">
        <x:v>100</x:v>
      </x:c>
      <x:c r="U41" t="str"/>
      <x:c r="V41" t="str">
        <x:v>https://www.census.gov/newsroom/press-releases/2026/school-system-finances.html</x:v>
      </x:c>
      <x:c r="W41" t="str">
        <x:f>J41</x:f>
        <x:v>52078</x:v>
      </x:c>
      <x:c r="X41" t="n">
        <x:f>W41/12</x:f>
        <x:v>4339.833333333333</x:v>
      </x:c>
      <x:c r="Y41" t="n">
        <x:f>IFERROR(Q41/X41,"")</x:f>
        <x:v>0.529974269365183</x:v>
      </x:c>
      <x:c r="Z41" t="n">
        <x:f>IFERROR(PMT('Housing Salary Share Phase 1'!$B$7/12,'Housing Salary Share Phase 1'!$B$8*12,-R41*(1-'Housing Salary Share Phase 1'!$B$6)),"")</x:f>
        <x:v>3031.3257424148546</x:v>
      </x:c>
      <x:c r="AA41" t="n">
        <x:f>IFERROR(Z41/X41,"")</x:f>
        <x:v>0.6984889763235581</x:v>
      </x:c>
      <x:c r="AB41" t="n">
        <x:f>IFS(Y41&lt;=20%,95,Y41&lt;=25%,82,Y41&lt;=30%,65,Y41&lt;=40%,45,TRUE,20)</x:f>
        <x:v>20</x:v>
      </x:c>
      <x:c r="AC41" t="n">
        <x:f>IFS(AA41&lt;=20%,95,AA41&lt;=25%,82,AA41&lt;=30%,65,AA41&lt;=40%,45,TRUE,20)</x:f>
        <x:v>20</x:v>
      </x:c>
      <x:c r="AD41" t="n">
        <x:f>AB41*'Housing Salary Share Phase 1'!$B$9+AC41*'Housing Salary Share Phase 1'!$B$10</x:f>
        <x:v>20</x:v>
      </x:c>
      <x:c r="AE41" t="str">
        <x:f>IFERROR(TEXT(Y41,"0%")&amp;" of Salary","")</x:f>
        <x:v>53% of Salary</x:v>
      </x:c>
      <x:c r="AF41" t="str">
        <x:f>IFERROR(TEXT(AA41,"0%")&amp;" of Salary","")</x:f>
        <x:v>70% of Salary</x:v>
      </x:c>
    </x:row>
    <x:row r="42">
      <x:c r="A42" t="str">
        <x:v>41</x:v>
      </x:c>
      <x:c r="B42" t="str">
        <x:v>Minnetonka Public Schools</x:v>
      </x:c>
      <x:c r="C42" t="str">
        <x:v>MN</x:v>
      </x:c>
      <x:c r="D42" t="str">
        <x:v>Twin Cities Suburbs</x:v>
      </x:c>
      <x:c r="E42" s="8" t="str">
        <x:v>53.4115</x:v>
      </x:c>
      <x:c r="F42" s="8" t="str">
        <x:v>52.5384</x:v>
      </x:c>
      <x:c r="G42" s="10" t="str">
        <x:v>17098</x:v>
      </x:c>
      <x:c r="H42" s="8" t="str">
        <x:v>70</x:v>
      </x:c>
      <x:c r="I42" t="str">
        <x:v>Good</x:v>
      </x:c>
      <x:c r="J42" s="10" t="str">
        <x:v>52217</x:v>
      </x:c>
      <x:c r="K42" s="10" t="str">
        <x:v>64583</x:v>
      </x:c>
      <x:c r="L42" s="10" t="str">
        <x:v>59693</x:v>
      </x:c>
      <x:c r="M42" s="10" t="str">
        <x:v>75389</x:v>
      </x:c>
      <x:c r="N42" s="10" t="str">
        <x:v>67163</x:v>
      </x:c>
      <x:c r="O42" s="10" t="str">
        <x:v>86190</x:v>
      </x:c>
      <x:c r="P42" s="10" t="str">
        <x:v>12366</x:v>
      </x:c>
      <x:c r="Q42" s="10" t="str">
        <x:v>1730</x:v>
      </x:c>
      <x:c r="R42" s="10" t="str">
        <x:v>512000</x:v>
      </x:c>
      <x:c r="S42" s="10" t="str">
        <x:v>180</x:v>
      </x:c>
      <x:c r="T42" s="8" t="str">
        <x:v>100</x:v>
      </x:c>
      <x:c r="U42" t="str">
        <x:v>Stable</x:v>
      </x:c>
      <x:c r="V42" t="str">
        <x:v>https://www.census.gov/newsroom/press-releases/2026/school-system-finances.html</x:v>
      </x:c>
      <x:c r="W42" t="str">
        <x:f>J42</x:f>
        <x:v>52217</x:v>
      </x:c>
      <x:c r="X42" t="n">
        <x:f>W42/12</x:f>
        <x:v>4351.416666666667</x:v>
      </x:c>
      <x:c r="Y42" t="n">
        <x:f>IFERROR(Q42/X42,"")</x:f>
        <x:v>0.39757167206082306</x:v>
      </x:c>
      <x:c r="Z42" t="n">
        <x:f>IFERROR(PMT('Housing Salary Share Phase 1'!$B$7/12,'Housing Salary Share Phase 1'!$B$8*12,-R42*(1-'Housing Salary Share Phase 1'!$B$6)),"")</x:f>
        <x:v>2725.0790202539342</x:v>
      </x:c>
      <x:c r="AA42" t="n">
        <x:f>IFERROR(Z42/X42,"")</x:f>
        <x:v>0.6262509957111134</x:v>
      </x:c>
      <x:c r="AB42" t="n">
        <x:f>IFS(Y42&lt;=20%,95,Y42&lt;=25%,82,Y42&lt;=30%,65,Y42&lt;=40%,45,TRUE,20)</x:f>
        <x:v>45</x:v>
      </x:c>
      <x:c r="AC42" t="n">
        <x:f>IFS(AA42&lt;=20%,95,AA42&lt;=25%,82,AA42&lt;=30%,65,AA42&lt;=40%,45,TRUE,20)</x:f>
        <x:v>20</x:v>
      </x:c>
      <x:c r="AD42" t="n">
        <x:f>AB42*'Housing Salary Share Phase 1'!$B$9+AC42*'Housing Salary Share Phase 1'!$B$10</x:f>
        <x:v>37.5</x:v>
      </x:c>
      <x:c r="AE42" t="str">
        <x:f>IFERROR(TEXT(Y42,"0%")&amp;" of Salary","")</x:f>
        <x:v>40% of Salary</x:v>
      </x:c>
      <x:c r="AF42" t="str">
        <x:f>IFERROR(TEXT(AA42,"0%")&amp;" of Salary","")</x:f>
        <x:v>63% of Salary</x:v>
      </x:c>
    </x:row>
    <x:row r="43">
      <x:c r="A43" t="str">
        <x:v>42</x:v>
      </x:c>
      <x:c r="B43" t="str">
        <x:v>Salt Lake School District</x:v>
      </x:c>
      <x:c r="C43" t="str">
        <x:v>UT</x:v>
      </x:c>
      <x:c r="D43" t="str">
        <x:v>Salt Lake Valley</x:v>
      </x:c>
      <x:c r="E43" s="8" t="str">
        <x:v>52.94</x:v>
      </x:c>
      <x:c r="F43" s="8" t="str">
        <x:v>53.6211</x:v>
      </x:c>
      <x:c r="G43" s="10" t="str">
        <x:v>11347</x:v>
      </x:c>
      <x:c r="H43" s="8" t="str">
        <x:v>40</x:v>
      </x:c>
      <x:c r="I43" t="str">
        <x:v>Low</x:v>
      </x:c>
      <x:c r="J43" s="10" t="str">
        <x:v>62566</x:v>
      </x:c>
      <x:c r="K43" s="10" t="str">
        <x:v>68933</x:v>
      </x:c>
      <x:c r="L43" s="10" t="str">
        <x:v>74460</x:v>
      </x:c>
      <x:c r="M43" s="10" t="str">
        <x:v>80270</x:v>
      </x:c>
      <x:c r="N43" s="10" t="str">
        <x:v>80826</x:v>
      </x:c>
      <x:c r="O43" s="10" t="str">
        <x:v>85425</x:v>
      </x:c>
      <x:c r="P43" s="10" t="str">
        <x:v>6367</x:v>
      </x:c>
      <x:c r="Q43" s="10" t="str">
        <x:v>1600</x:v>
      </x:c>
      <x:c r="R43" s="10" t="str">
        <x:v>580000</x:v>
      </x:c>
      <x:c r="S43" s="10" t="str">
        <x:v>189</x:v>
      </x:c>
      <x:c r="T43" s="8" t="str">
        <x:v>75</x:v>
      </x:c>
      <x:c r="U43" t="str">
        <x:v>Moderate</x:v>
      </x:c>
      <x:c r="V43" t="str">
        <x:v>https://www.census.gov/newsroom/press-releases/2026/school-system-finances.html</x:v>
      </x:c>
      <x:c r="W43" t="str">
        <x:f>J43</x:f>
        <x:v>62566</x:v>
      </x:c>
      <x:c r="X43" t="n">
        <x:f>W43/12</x:f>
        <x:v>5213.833333333333</x:v>
      </x:c>
      <x:c r="Y43" t="n">
        <x:f>IFERROR(Q43/X43,"")</x:f>
        <x:v>0.30687593900840715</x:v>
      </x:c>
      <x:c r="Z43" t="n">
        <x:f>IFERROR(PMT('Housing Salary Share Phase 1'!$B$7/12,'Housing Salary Share Phase 1'!$B$8*12,-R43*(1-'Housing Salary Share Phase 1'!$B$6)),"")</x:f>
        <x:v>3087.00357763141</x:v>
      </x:c>
      <x:c r="AA43" t="n">
        <x:f>IFERROR(Z43/X43,"")</x:f>
        <x:v>0.5920794510049695</x:v>
      </x:c>
      <x:c r="AB43" t="n">
        <x:f>IFS(Y43&lt;=20%,95,Y43&lt;=25%,82,Y43&lt;=30%,65,Y43&lt;=40%,45,TRUE,20)</x:f>
        <x:v>45</x:v>
      </x:c>
      <x:c r="AC43" t="n">
        <x:f>IFS(AA43&lt;=20%,95,AA43&lt;=25%,82,AA43&lt;=30%,65,AA43&lt;=40%,45,TRUE,20)</x:f>
        <x:v>20</x:v>
      </x:c>
      <x:c r="AD43" t="n">
        <x:f>AB43*'Housing Salary Share Phase 1'!$B$9+AC43*'Housing Salary Share Phase 1'!$B$10</x:f>
        <x:v>37.5</x:v>
      </x:c>
      <x:c r="AE43" t="str">
        <x:f>IFERROR(TEXT(Y43,"0%")&amp;" of Salary","")</x:f>
        <x:v>31% of Salary</x:v>
      </x:c>
      <x:c r="AF43" t="str">
        <x:f>IFERROR(TEXT(AA43,"0%")&amp;" of Salary","")</x:f>
        <x:v>59% of Salary</x:v>
      </x:c>
    </x:row>
    <x:row r="44">
      <x:c r="A44" t="str">
        <x:v>43</x:v>
      </x:c>
      <x:c r="B44" t="str">
        <x:v>Grossmont Union High School District</x:v>
      </x:c>
      <x:c r="C44" t="str">
        <x:v>CA</x:v>
      </x:c>
      <x:c r="D44" t="str">
        <x:v>San Diego County / East County</x:v>
      </x:c>
      <x:c r="E44" s="8" t="str">
        <x:v>52.8847</x:v>
      </x:c>
      <x:c r="F44" s="8" t="str">
        <x:v>51.1944</x:v>
      </x:c>
      <x:c r="G44" s="10" t="str">
        <x:v>20791</x:v>
      </x:c>
      <x:c r="H44" s="8" t="str">
        <x:v>85</x:v>
      </x:c>
      <x:c r="I44" t="str">
        <x:v>Very Good</x:v>
      </x:c>
      <x:c r="J44" s="10" t="str">
        <x:v>66000</x:v>
      </x:c>
      <x:c r="K44" s="10" t="str">
        <x:v>76000</x:v>
      </x:c>
      <x:c r="L44" s="10" t="str">
        <x:v>84000</x:v>
      </x:c>
      <x:c r="M44" s="10" t="str">
        <x:v>94000</x:v>
      </x:c>
      <x:c r="N44" s="10" t="str">
        <x:v>98000</x:v>
      </x:c>
      <x:c r="O44" s="10" t="str">
        <x:v>110000</x:v>
      </x:c>
      <x:c r="P44" s="10" t="str">
        <x:v>10000</x:v>
      </x:c>
      <x:c r="Q44" s="10" t="str">
        <x:v>2600</x:v>
      </x:c>
      <x:c r="R44" s="10" t="str">
        <x:v>760000</x:v>
      </x:c>
      <x:c r="S44" s="10" t="str">
        <x:v>180</x:v>
      </x:c>
      <x:c r="T44" s="8" t="str">
        <x:v>100</x:v>
      </x:c>
      <x:c r="U44" t="str">
        <x:v>Stable</x:v>
      </x:c>
      <x:c r="V44" t="str">
        <x:v>https://www.census.gov/newsroom/press-releases/2026/school-system-finances.html</x:v>
      </x:c>
      <x:c r="W44" t="str">
        <x:f>J44</x:f>
        <x:v>66000</x:v>
      </x:c>
      <x:c r="X44" t="n">
        <x:f>W44/12</x:f>
        <x:v>5500</x:v>
      </x:c>
      <x:c r="Y44" t="n">
        <x:f>IFERROR(Q44/X44,"")</x:f>
        <x:v>0.4727272727272727</x:v>
      </x:c>
      <x:c r="Z44" t="n">
        <x:f>IFERROR(PMT('Housing Salary Share Phase 1'!$B$7/12,'Housing Salary Share Phase 1'!$B$8*12,-R44*(1-'Housing Salary Share Phase 1'!$B$6)),"")</x:f>
        <x:v>4045.039170689434</x:v>
      </x:c>
      <x:c r="AA44" t="n">
        <x:f>IFERROR(Z44/X44,"")</x:f>
        <x:v>0.7354616673980788</x:v>
      </x:c>
      <x:c r="AB44" t="n">
        <x:f>IFS(Y44&lt;=20%,95,Y44&lt;=25%,82,Y44&lt;=30%,65,Y44&lt;=40%,45,TRUE,20)</x:f>
        <x:v>20</x:v>
      </x:c>
      <x:c r="AC44" t="n">
        <x:f>IFS(AA44&lt;=20%,95,AA44&lt;=25%,82,AA44&lt;=30%,65,AA44&lt;=40%,45,TRUE,20)</x:f>
        <x:v>20</x:v>
      </x:c>
      <x:c r="AD44" t="n">
        <x:f>AB44*'Housing Salary Share Phase 1'!$B$9+AC44*'Housing Salary Share Phase 1'!$B$10</x:f>
        <x:v>20</x:v>
      </x:c>
      <x:c r="AE44" t="str">
        <x:f>IFERROR(TEXT(Y44,"0%")&amp;" of Salary","")</x:f>
        <x:v>47% of Salary</x:v>
      </x:c>
      <x:c r="AF44" t="str">
        <x:f>IFERROR(TEXT(AA44,"0%")&amp;" of Salary","")</x:f>
        <x:v>74% of Salary</x:v>
      </x:c>
    </x:row>
    <x:row r="45">
      <x:c r="A45" t="str">
        <x:v>44</x:v>
      </x:c>
      <x:c r="B45" t="str">
        <x:v>Alief ISD</x:v>
      </x:c>
      <x:c r="C45" t="str">
        <x:v>TX</x:v>
      </x:c>
      <x:c r="D45" t="str">
        <x:v>Houston</x:v>
      </x:c>
      <x:c r="E45" s="8" t="str">
        <x:v>52.5476</x:v>
      </x:c>
      <x:c r="F45" s="8" t="str">
        <x:v>53.208</x:v>
      </x:c>
      <x:c r="G45" s="10" t="str">
        <x:v>12895</x:v>
      </x:c>
      <x:c r="H45" s="8" t="str">
        <x:v>40</x:v>
      </x:c>
      <x:c r="I45" t="str">
        <x:v>Low</x:v>
      </x:c>
      <x:c r="J45" s="10" t="str">
        <x:v>66500</x:v>
      </x:c>
      <x:c r="K45" s="10" t="str">
        <x:v>67000</x:v>
      </x:c>
      <x:c r="L45" s="10" t="str">
        <x:v>70350</x:v>
      </x:c>
      <x:c r="M45" s="10" t="str">
        <x:v>70850</x:v>
      </x:c>
      <x:c r="N45" s="10" t="str">
        <x:v>71600</x:v>
      </x:c>
      <x:c r="O45" s="10" t="str">
        <x:v>72100</x:v>
      </x:c>
      <x:c r="P45" s="10" t="str">
        <x:v>500</x:v>
      </x:c>
      <x:c r="Q45" s="10" t="str">
        <x:v>1350</x:v>
      </x:c>
      <x:c r="R45" s="10" t="str">
        <x:v>215000</x:v>
      </x:c>
      <x:c r="S45" s="10" t="str">
        <x:v>125</x:v>
      </x:c>
      <x:c r="T45" s="8" t="str">
        <x:v>60</x:v>
      </x:c>
      <x:c r="U45" t="str">
        <x:v>Elevated</x:v>
      </x:c>
      <x:c r="V45" t="str">
        <x:v>https://www.census.gov/newsroom/press-releases/2026/school-system-finances.html</x:v>
      </x:c>
      <x:c r="W45" t="str">
        <x:f>J45</x:f>
        <x:v>66500</x:v>
      </x:c>
      <x:c r="X45" t="n">
        <x:f>W45/12</x:f>
        <x:v>5541.666666666667</x:v>
      </x:c>
      <x:c r="Y45" t="n">
        <x:f>IFERROR(Q45/X45,"")</x:f>
        <x:v>0.24360902255639097</x:v>
      </x:c>
      <x:c r="Z45" t="n">
        <x:f>IFERROR(PMT('Housing Salary Share Phase 1'!$B$7/12,'Housing Salary Share Phase 1'!$B$8*12,-R45*(1-'Housing Salary Share Phase 1'!$B$6)),"")</x:f>
        <x:v>1144.320291708195</x:v>
      </x:c>
      <x:c r="AA45" t="n">
        <x:f>IFERROR(Z45/X45,"")</x:f>
        <x:v>0.20649388722553896</x:v>
      </x:c>
      <x:c r="AB45" t="n">
        <x:f>IFS(Y45&lt;=20%,95,Y45&lt;=25%,82,Y45&lt;=30%,65,Y45&lt;=40%,45,TRUE,20)</x:f>
        <x:v>82</x:v>
      </x:c>
      <x:c r="AC45" t="n">
        <x:f>IFS(AA45&lt;=20%,95,AA45&lt;=25%,82,AA45&lt;=30%,65,AA45&lt;=40%,45,TRUE,20)</x:f>
        <x:v>82</x:v>
      </x:c>
      <x:c r="AD45" t="n">
        <x:f>AB45*'Housing Salary Share Phase 1'!$B$9+AC45*'Housing Salary Share Phase 1'!$B$10</x:f>
        <x:v>82</x:v>
      </x:c>
      <x:c r="AE45" t="str">
        <x:f>IFERROR(TEXT(Y45,"0%")&amp;" of Salary","")</x:f>
        <x:v>24% of Salary</x:v>
      </x:c>
      <x:c r="AF45" t="str">
        <x:f>IFERROR(TEXT(AA45,"0%")&amp;" of Salary","")</x:f>
        <x:v>21% of Salary</x:v>
      </x:c>
    </x:row>
    <x:row r="46">
      <x:c r="A46" t="str">
        <x:v>45</x:v>
      </x:c>
      <x:c r="B46" t="str">
        <x:v>Chicago Public Schools</x:v>
      </x:c>
      <x:c r="C46" t="str">
        <x:v>IL</x:v>
      </x:c>
      <x:c r="D46" t="str">
        <x:v>Chicago</x:v>
      </x:c>
      <x:c r="E46" s="8" t="str">
        <x:v>52.1278</x:v>
      </x:c>
      <x:c r="F46" s="8" t="str">
        <x:v>50.3977</x:v>
      </x:c>
      <x:c r="G46" s="10" t="str">
        <x:v>21776</x:v>
      </x:c>
      <x:c r="H46" s="8" t="str">
        <x:v>85</x:v>
      </x:c>
      <x:c r="I46" t="str">
        <x:v>Very Good</x:v>
      </x:c>
      <x:c r="J46" s="10" t="str">
        <x:v>72519.92</x:v>
      </x:c>
      <x:c r="K46" s="10" t="str">
        <x:v>74014.68</x:v>
      </x:c>
      <x:c r="L46" s="10" t="str">
        <x:v>80661.5</x:v>
      </x:c>
      <x:c r="M46" s="10" t="str">
        <x:v>82139.7</x:v>
      </x:c>
      <x:c r="N46" s="10" t="str">
        <x:v>95709.41</x:v>
      </x:c>
      <x:c r="O46" s="10" t="str">
        <x:v>96963.03</x:v>
      </x:c>
      <x:c r="P46" s="10" t="str">
        <x:v>1494.76</x:v>
      </x:c>
      <x:c r="Q46" s="10" t="str">
        <x:v>2406</x:v>
      </x:c>
      <x:c r="R46" s="10" t="str">
        <x:v>419749</x:v>
      </x:c>
      <x:c r="S46" s="10" t="str">
        <x:v>193</x:v>
      </x:c>
      <x:c r="T46" s="8" t="str">
        <x:v>40</x:v>
      </x:c>
      <x:c r="U46" t="str">
        <x:v>Severe</x:v>
      </x:c>
      <x:c r="V46" t="str">
        <x:v>https://www.census.gov/newsroom/press-releases/2026/school-system-finances.html</x:v>
      </x:c>
      <x:c r="W46" t="str">
        <x:f>J46</x:f>
        <x:v>72519.92</x:v>
      </x:c>
      <x:c r="X46" t="n">
        <x:f>W46/12</x:f>
        <x:v>6043.326666666667</x:v>
      </x:c>
      <x:c r="Y46" t="n">
        <x:f>IFERROR(Q46/X46,"")</x:f>
        <x:v>0.3981250944568058</x:v>
      </x:c>
      <x:c r="Z46" t="n">
        <x:f>IFERROR(PMT('Housing Salary Share Phase 1'!$B$7/12,'Housing Salary Share Phase 1'!$B$8*12,-R46*(1-'Housing Salary Share Phase 1'!$B$6)),"")</x:f>
        <x:v>2234.080456391736</x:v>
      </x:c>
      <x:c r="AA46" t="n">
        <x:f>IFERROR(Z46/X46,"")</x:f>
        <x:v>0.369677262146743</x:v>
      </x:c>
      <x:c r="AB46" t="n">
        <x:f>IFS(Y46&lt;=20%,95,Y46&lt;=25%,82,Y46&lt;=30%,65,Y46&lt;=40%,45,TRUE,20)</x:f>
        <x:v>45</x:v>
      </x:c>
      <x:c r="AC46" t="n">
        <x:f>IFS(AA46&lt;=20%,95,AA46&lt;=25%,82,AA46&lt;=30%,65,AA46&lt;=40%,45,TRUE,20)</x:f>
        <x:v>45</x:v>
      </x:c>
      <x:c r="AD46" t="n">
        <x:f>AB46*'Housing Salary Share Phase 1'!$B$9+AC46*'Housing Salary Share Phase 1'!$B$10</x:f>
        <x:v>45</x:v>
      </x:c>
      <x:c r="AE46" t="str">
        <x:f>IFERROR(TEXT(Y46,"0%")&amp;" of Salary","")</x:f>
        <x:v>40% of Salary</x:v>
      </x:c>
      <x:c r="AF46" t="str">
        <x:f>IFERROR(TEXT(AA46,"0%")&amp;" of Salary","")</x:f>
        <x:v>37% of Salary</x:v>
      </x:c>
    </x:row>
    <x:row r="47">
      <x:c r="A47" t="str">
        <x:v>46</x:v>
      </x:c>
      <x:c r="B47" t="str">
        <x:v>North Clackamas School District</x:v>
      </x:c>
      <x:c r="C47" t="str">
        <x:v>OR</x:v>
      </x:c>
      <x:c r="D47" t="str">
        <x:v>Portland</x:v>
      </x:c>
      <x:c r="E47" s="8" t="str">
        <x:v>51.8896</x:v>
      </x:c>
      <x:c r="F47" s="8" t="str">
        <x:v>50.1469</x:v>
      </x:c>
      <x:c r="G47" s="10" t="str">
        <x:v>18083</x:v>
      </x:c>
      <x:c r="H47" s="8" t="str">
        <x:v>85</x:v>
      </x:c>
      <x:c r="I47" t="str">
        <x:v>Very Good</x:v>
      </x:c>
      <x:c r="J47" s="10" t="str">
        <x:v>58788</x:v>
      </x:c>
      <x:c r="K47" s="10" t="str">
        <x:v>62507</x:v>
      </x:c>
      <x:c r="L47" s="10" t="str">
        <x:v>67459</x:v>
      </x:c>
      <x:c r="M47" s="10" t="str">
        <x:v>72563</x:v>
      </x:c>
      <x:c r="N47" s="10" t="str">
        <x:v>77396</x:v>
      </x:c>
      <x:c r="O47" s="10" t="str">
        <x:v>84238</x:v>
      </x:c>
      <x:c r="P47" s="10" t="str">
        <x:v>3719</x:v>
      </x:c>
      <x:c r="Q47" s="10" t="str">
        <x:v>1699</x:v>
      </x:c>
      <x:c r="R47" s="10" t="str">
        <x:v>518000</x:v>
      </x:c>
      <x:c r="S47" s="10" t="str">
        <x:v>250</x:v>
      </x:c>
      <x:c r="T47" s="8" t="str">
        <x:v>75</x:v>
      </x:c>
      <x:c r="U47" t="str">
        <x:v>Moderate</x:v>
      </x:c>
      <x:c r="V47" t="str">
        <x:v>https://www.census.gov/newsroom/press-releases/2026/school-system-finances.html</x:v>
      </x:c>
      <x:c r="W47" t="str">
        <x:f>J47</x:f>
        <x:v>58788</x:v>
      </x:c>
      <x:c r="X47" t="n">
        <x:f>W47/12</x:f>
        <x:v>4899</x:v>
      </x:c>
      <x:c r="Y47" t="n">
        <x:f>IFERROR(Q47/X47,"")</x:f>
        <x:v>0.34680547050418453</x:v>
      </x:c>
      <x:c r="Z47" t="n">
        <x:f>IFERROR(PMT('Housing Salary Share Phase 1'!$B$7/12,'Housing Salary Share Phase 1'!$B$8*12,-R47*(1-'Housing Salary Share Phase 1'!$B$6)),"")</x:f>
        <x:v>2757.0135400225354</x:v>
      </x:c>
      <x:c r="AA47" t="n">
        <x:f>IFERROR(Z47/X47,"")</x:f>
        <x:v>0.5627706756526915</x:v>
      </x:c>
      <x:c r="AB47" t="n">
        <x:f>IFS(Y47&lt;=20%,95,Y47&lt;=25%,82,Y47&lt;=30%,65,Y47&lt;=40%,45,TRUE,20)</x:f>
        <x:v>45</x:v>
      </x:c>
      <x:c r="AC47" t="n">
        <x:f>IFS(AA47&lt;=20%,95,AA47&lt;=25%,82,AA47&lt;=30%,65,AA47&lt;=40%,45,TRUE,20)</x:f>
        <x:v>20</x:v>
      </x:c>
      <x:c r="AD47" t="n">
        <x:f>AB47*'Housing Salary Share Phase 1'!$B$9+AC47*'Housing Salary Share Phase 1'!$B$10</x:f>
        <x:v>37.5</x:v>
      </x:c>
      <x:c r="AE47" t="str">
        <x:f>IFERROR(TEXT(Y47,"0%")&amp;" of Salary","")</x:f>
        <x:v>35% of Salary</x:v>
      </x:c>
      <x:c r="AF47" t="str">
        <x:f>IFERROR(TEXT(AA47,"0%")&amp;" of Salary","")</x:f>
        <x:v>56% of Salary</x:v>
      </x:c>
    </x:row>
    <x:row r="48">
      <x:c r="A48" t="str">
        <x:v>47</x:v>
      </x:c>
      <x:c r="B48" t="str">
        <x:v>Gwinnett County Public Schools</x:v>
      </x:c>
      <x:c r="C48" t="str">
        <x:v>GA</x:v>
      </x:c>
      <x:c r="D48" t="str">
        <x:v>Atlanta</x:v>
      </x:c>
      <x:c r="E48" s="8" t="str">
        <x:v>51.6922</x:v>
      </x:c>
      <x:c r="F48" s="8" t="str">
        <x:v>50.7286</x:v>
      </x:c>
      <x:c r="G48" s="10" t="str">
        <x:v>15833</x:v>
      </x:c>
      <x:c r="H48" s="8" t="str">
        <x:v>70</x:v>
      </x:c>
      <x:c r="I48" t="str">
        <x:v>Good</x:v>
      </x:c>
      <x:c r="J48" s="10" t="str">
        <x:v>60146</x:v>
      </x:c>
      <x:c r="K48" s="10" t="str">
        <x:v>65276</x:v>
      </x:c>
      <x:c r="L48" s="10" t="str">
        <x:v>62720</x:v>
      </x:c>
      <x:c r="M48" s="10" t="str">
        <x:v>68348</x:v>
      </x:c>
      <x:c r="N48" s="10" t="str">
        <x:v>67010</x:v>
      </x:c>
      <x:c r="O48" s="10" t="str">
        <x:v>73468</x:v>
      </x:c>
      <x:c r="P48" s="10" t="str">
        <x:v>5130</x:v>
      </x:c>
      <x:c r="Q48" s="10" t="str">
        <x:v>1718</x:v>
      </x:c>
      <x:c r="R48" s="10" t="str">
        <x:v>365000</x:v>
      </x:c>
      <x:c r="S48" s="10" t="str">
        <x:v>130</x:v>
      </x:c>
      <x:c r="T48" s="8" t="str">
        <x:v>100</x:v>
      </x:c>
      <x:c r="U48" t="str">
        <x:v>Stable</x:v>
      </x:c>
      <x:c r="V48" t="str">
        <x:v>https://www.census.gov/newsroom/press-releases/2026/school-system-finances.html</x:v>
      </x:c>
      <x:c r="W48" t="str">
        <x:f>J48</x:f>
        <x:v>60146</x:v>
      </x:c>
      <x:c r="X48" t="n">
        <x:f>W48/12</x:f>
        <x:v>5012.166666666667</x:v>
      </x:c>
      <x:c r="Y48" t="n">
        <x:f>IFERROR(Q48/X48,"")</x:f>
        <x:v>0.34276593622186013</x:v>
      </x:c>
      <x:c r="Z48" t="n">
        <x:f>IFERROR(PMT('Housing Salary Share Phase 1'!$B$7/12,'Housing Salary Share Phase 1'!$B$8*12,-R48*(1-'Housing Salary Share Phase 1'!$B$6)),"")</x:f>
        <x:v>1942.683285923215</x:v>
      </x:c>
      <x:c r="AA48" t="n">
        <x:f>IFERROR(Z48/X48,"")</x:f>
        <x:v>0.3875935129697499</x:v>
      </x:c>
      <x:c r="AB48" t="n">
        <x:f>IFS(Y48&lt;=20%,95,Y48&lt;=25%,82,Y48&lt;=30%,65,Y48&lt;=40%,45,TRUE,20)</x:f>
        <x:v>45</x:v>
      </x:c>
      <x:c r="AC48" t="n">
        <x:f>IFS(AA48&lt;=20%,95,AA48&lt;=25%,82,AA48&lt;=30%,65,AA48&lt;=40%,45,TRUE,20)</x:f>
        <x:v>45</x:v>
      </x:c>
      <x:c r="AD48" t="n">
        <x:f>AB48*'Housing Salary Share Phase 1'!$B$9+AC48*'Housing Salary Share Phase 1'!$B$10</x:f>
        <x:v>45</x:v>
      </x:c>
      <x:c r="AE48" t="str">
        <x:f>IFERROR(TEXT(Y48,"0%")&amp;" of Salary","")</x:f>
        <x:v>34% of Salary</x:v>
      </x:c>
      <x:c r="AF48" t="str">
        <x:f>IFERROR(TEXT(AA48,"0%")&amp;" of Salary","")</x:f>
        <x:v>39% of Salary</x:v>
      </x:c>
    </x:row>
    <x:row r="49">
      <x:c r="A49" t="str">
        <x:v>48</x:v>
      </x:c>
      <x:c r="B49" t="str">
        <x:v>Waunakee Community School District</x:v>
      </x:c>
      <x:c r="C49" t="str">
        <x:v>WI</x:v>
      </x:c>
      <x:c r="D49" t="str">
        <x:v>Madison Area</x:v>
      </x:c>
      <x:c r="E49" s="8" t="str">
        <x:v>51.375</x:v>
      </x:c>
      <x:c r="F49" s="8" t="str">
        <x:v>50.3947</x:v>
      </x:c>
      <x:c r="G49" s="10" t="str">
        <x:v>15952</x:v>
      </x:c>
      <x:c r="H49" s="8" t="str">
        <x:v>70</x:v>
      </x:c>
      <x:c r="I49" t="str">
        <x:v>Good</x:v>
      </x:c>
      <x:c r="J49" s="10" t="str">
        <x:v>52000</x:v>
      </x:c>
      <x:c r="K49" s="10" t="str">
        <x:v>56000</x:v>
      </x:c>
      <x:c r="L49" s="10" t="str">
        <x:v>60000</x:v>
      </x:c>
      <x:c r="M49" s="10" t="str">
        <x:v>65000</x:v>
      </x:c>
      <x:c r="N49" s="10" t="str">
        <x:v>72000</x:v>
      </x:c>
      <x:c r="O49" s="10" t="str">
        <x:v>78000</x:v>
      </x:c>
      <x:c r="P49" s="10" t="str">
        <x:v>4000</x:v>
      </x:c>
      <x:c r="Q49" s="10" t="str">
        <x:v>1650</x:v>
      </x:c>
      <x:c r="R49" s="10" t="str">
        <x:v>540000</x:v>
      </x:c>
      <x:c r="S49" s="10" t="str">
        <x:v>168</x:v>
      </x:c>
      <x:c r="T49" s="8" t="str">
        <x:v>100</x:v>
      </x:c>
      <x:c r="U49" t="str">
        <x:v>Stable</x:v>
      </x:c>
      <x:c r="V49" t="str">
        <x:v>https://www.census.gov/newsroom/press-releases/2026/school-system-finances.html</x:v>
      </x:c>
      <x:c r="W49" t="str">
        <x:f>J49</x:f>
        <x:v>52000</x:v>
      </x:c>
      <x:c r="X49" t="n">
        <x:f>W49/12</x:f>
        <x:v>4333.333333333333</x:v>
      </x:c>
      <x:c r="Y49" t="n">
        <x:f>IFERROR(Q49/X49,"")</x:f>
        <x:v>0.3807692307692308</x:v>
      </x:c>
      <x:c r="Z49" t="n">
        <x:f>IFERROR(PMT('Housing Salary Share Phase 1'!$B$7/12,'Housing Salary Share Phase 1'!$B$8*12,-R49*(1-'Housing Salary Share Phase 1'!$B$6)),"")</x:f>
        <x:v>2874.1067791740716</x:v>
      </x:c>
      <x:c r="AA49" t="n">
        <x:f>IFERROR(Z49/X49,"")</x:f>
        <x:v>0.6632554105786319</x:v>
      </x:c>
      <x:c r="AB49" t="n">
        <x:f>IFS(Y49&lt;=20%,95,Y49&lt;=25%,82,Y49&lt;=30%,65,Y49&lt;=40%,45,TRUE,20)</x:f>
        <x:v>45</x:v>
      </x:c>
      <x:c r="AC49" t="n">
        <x:f>IFS(AA49&lt;=20%,95,AA49&lt;=25%,82,AA49&lt;=30%,65,AA49&lt;=40%,45,TRUE,20)</x:f>
        <x:v>20</x:v>
      </x:c>
      <x:c r="AD49" t="n">
        <x:f>AB49*'Housing Salary Share Phase 1'!$B$9+AC49*'Housing Salary Share Phase 1'!$B$10</x:f>
        <x:v>37.5</x:v>
      </x:c>
      <x:c r="AE49" t="str">
        <x:f>IFERROR(TEXT(Y49,"0%")&amp;" of Salary","")</x:f>
        <x:v>38% of Salary</x:v>
      </x:c>
      <x:c r="AF49" t="str">
        <x:f>IFERROR(TEXT(AA49,"0%")&amp;" of Salary","")</x:f>
        <x:v>66% of Salary</x:v>
      </x:c>
    </x:row>
    <x:row r="50">
      <x:c r="A50" t="str">
        <x:v>49</x:v>
      </x:c>
      <x:c r="B50" t="str">
        <x:v>Plano ISD</x:v>
      </x:c>
      <x:c r="C50" t="str">
        <x:v>TX</x:v>
      </x:c>
      <x:c r="D50" t="str">
        <x:v>Dallas-Fort Worth</x:v>
      </x:c>
      <x:c r="E50" s="8" t="str">
        <x:v>51.067</x:v>
      </x:c>
      <x:c r="F50" s="8" t="str">
        <x:v>51.6494</x:v>
      </x:c>
      <x:c r="G50" s="10" t="str">
        <x:v>12895</x:v>
      </x:c>
      <x:c r="H50" s="8" t="str">
        <x:v>40</x:v>
      </x:c>
      <x:c r="I50" t="str">
        <x:v>Low</x:v>
      </x:c>
      <x:c r="J50" s="10" t="str">
        <x:v>64000</x:v>
      </x:c>
      <x:c r="K50" s="10" t="str">
        <x:v>66000</x:v>
      </x:c>
      <x:c r="L50" s="10" t="str">
        <x:v>67600</x:v>
      </x:c>
      <x:c r="M50" s="10" t="str">
        <x:v>69600</x:v>
      </x:c>
      <x:c r="N50" s="10" t="str">
        <x:v>69600</x:v>
      </x:c>
      <x:c r="O50" s="10" t="str">
        <x:v>71600</x:v>
      </x:c>
      <x:c r="P50" s="10" t="str">
        <x:v>2000</x:v>
      </x:c>
      <x:c r="Q50" s="10" t="str">
        <x:v>2600</x:v>
      </x:c>
      <x:c r="R50" s="10" t="str">
        <x:v>519689</x:v>
      </x:c>
      <x:c r="S50" s="10" t="str">
        <x:v>130</x:v>
      </x:c>
      <x:c r="T50" s="8" t="str"/>
      <x:c r="U50" t="str"/>
      <x:c r="V50" t="str">
        <x:v>https://www.census.gov/newsroom/press-releases/2026/school-system-finances.html</x:v>
      </x:c>
      <x:c r="W50" t="str">
        <x:f>J50</x:f>
        <x:v>64000</x:v>
      </x:c>
      <x:c r="X50" t="n">
        <x:f>W50/12</x:f>
        <x:v>5333.333333333333</x:v>
      </x:c>
      <x:c r="Y50" t="n">
        <x:f>IFERROR(Q50/X50,"")</x:f>
        <x:v>0.48750000000000004</x:v>
      </x:c>
      <x:c r="Z50" t="n">
        <x:f>IFERROR(PMT('Housing Salary Share Phase 1'!$B$7/12,'Housing Salary Share Phase 1'!$B$8*12,-R50*(1-'Housing Salary Share Phase 1'!$B$6)),"")</x:f>
        <x:v>2766.003107337396</x:v>
      </x:c>
      <x:c r="AA50" t="n">
        <x:f>IFERROR(Z50/X50,"")</x:f>
        <x:v>0.5186255826257619</x:v>
      </x:c>
      <x:c r="AB50" t="n">
        <x:f>IFS(Y50&lt;=20%,95,Y50&lt;=25%,82,Y50&lt;=30%,65,Y50&lt;=40%,45,TRUE,20)</x:f>
        <x:v>20</x:v>
      </x:c>
      <x:c r="AC50" t="n">
        <x:f>IFS(AA50&lt;=20%,95,AA50&lt;=25%,82,AA50&lt;=30%,65,AA50&lt;=40%,45,TRUE,20)</x:f>
        <x:v>20</x:v>
      </x:c>
      <x:c r="AD50" t="n">
        <x:f>AB50*'Housing Salary Share Phase 1'!$B$9+AC50*'Housing Salary Share Phase 1'!$B$10</x:f>
        <x:v>20</x:v>
      </x:c>
      <x:c r="AE50" t="str">
        <x:f>IFERROR(TEXT(Y50,"0%")&amp;" of Salary","")</x:f>
        <x:v>49% of Salary</x:v>
      </x:c>
      <x:c r="AF50" t="str">
        <x:f>IFERROR(TEXT(AA50,"0%")&amp;" of Salary","")</x:f>
        <x:v>52% of Salary</x:v>
      </x:c>
    </x:row>
    <x:row r="51">
      <x:c r="A51" t="str">
        <x:v>50</x:v>
      </x:c>
      <x:c r="B51" t="str">
        <x:v>Katy ISD</x:v>
      </x:c>
      <x:c r="C51" t="str">
        <x:v>TX</x:v>
      </x:c>
      <x:c r="D51" t="str">
        <x:v>Houston</x:v>
      </x:c>
      <x:c r="E51" s="8" t="str">
        <x:v>50.6856</x:v>
      </x:c>
      <x:c r="F51" s="8" t="str">
        <x:v>51.248</x:v>
      </x:c>
      <x:c r="G51" s="10" t="str">
        <x:v>12895</x:v>
      </x:c>
      <x:c r="H51" s="8" t="str">
        <x:v>40</x:v>
      </x:c>
      <x:c r="I51" t="str">
        <x:v>Low</x:v>
      </x:c>
      <x:c r="J51" s="10" t="str">
        <x:v>66180</x:v>
      </x:c>
      <x:c r="K51" s="10" t="str">
        <x:v>67380</x:v>
      </x:c>
      <x:c r="L51" s="10" t="str">
        <x:v>75875</x:v>
      </x:c>
      <x:c r="M51" s="10" t="str">
        <x:v>77075</x:v>
      </x:c>
      <x:c r="N51" s="10" t="str">
        <x:v>78175</x:v>
      </x:c>
      <x:c r="O51" s="10" t="str">
        <x:v>79375</x:v>
      </x:c>
      <x:c r="P51" s="10" t="str">
        <x:v>1200</x:v>
      </x:c>
      <x:c r="Q51" s="10" t="str">
        <x:v>1650</x:v>
      </x:c>
      <x:c r="R51" s="10" t="str">
        <x:v>350000</x:v>
      </x:c>
      <x:c r="S51" s="10" t="str">
        <x:v>120</x:v>
      </x:c>
      <x:c r="T51" s="8" t="str">
        <x:v>60</x:v>
      </x:c>
      <x:c r="U51" t="str">
        <x:v>Elevated</x:v>
      </x:c>
      <x:c r="V51" t="str">
        <x:v>https://www.census.gov/newsroom/press-releases/2026/school-system-finances.html</x:v>
      </x:c>
      <x:c r="W51" t="str">
        <x:f>J51</x:f>
        <x:v>66180</x:v>
      </x:c>
      <x:c r="X51" t="n">
        <x:f>W51/12</x:f>
        <x:v>5515</x:v>
      </x:c>
      <x:c r="Y51" t="n">
        <x:f>IFERROR(Q51/X51,"")</x:f>
        <x:v>0.2991840435176791</x:v>
      </x:c>
      <x:c r="Z51" t="n">
        <x:f>IFERROR(PMT('Housing Salary Share Phase 1'!$B$7/12,'Housing Salary Share Phase 1'!$B$8*12,-R51*(1-'Housing Salary Share Phase 1'!$B$6)),"")</x:f>
        <x:v>1862.846986501713</x:v>
      </x:c>
      <x:c r="AA51" t="n">
        <x:f>IFERROR(Z51/X51,"")</x:f>
        <x:v>0.3377782387129126</x:v>
      </x:c>
      <x:c r="AB51" t="n">
        <x:f>IFS(Y51&lt;=20%,95,Y51&lt;=25%,82,Y51&lt;=30%,65,Y51&lt;=40%,45,TRUE,20)</x:f>
        <x:v>65</x:v>
      </x:c>
      <x:c r="AC51" t="n">
        <x:f>IFS(AA51&lt;=20%,95,AA51&lt;=25%,82,AA51&lt;=30%,65,AA51&lt;=40%,45,TRUE,20)</x:f>
        <x:v>45</x:v>
      </x:c>
      <x:c r="AD51" t="n">
        <x:f>AB51*'Housing Salary Share Phase 1'!$B$9+AC51*'Housing Salary Share Phase 1'!$B$10</x:f>
        <x:v>59</x:v>
      </x:c>
      <x:c r="AE51" t="str">
        <x:f>IFERROR(TEXT(Y51,"0%")&amp;" of Salary","")</x:f>
        <x:v>30% of Salary</x:v>
      </x:c>
      <x:c r="AF51" t="str">
        <x:f>IFERROR(TEXT(AA51,"0%")&amp;" of Salary","")</x:f>
        <x:v>34% of Salary</x:v>
      </x:c>
    </x:row>
    <x:row r="52">
      <x:c r="A52" t="str">
        <x:v>51</x:v>
      </x:c>
      <x:c r="B52" t="str">
        <x:v>Pearland ISD</x:v>
      </x:c>
      <x:c r="C52" t="str">
        <x:v>TX</x:v>
      </x:c>
      <x:c r="D52" t="str">
        <x:v>Houston / Brazoria County</x:v>
      </x:c>
      <x:c r="E52" s="8" t="str">
        <x:v>49.3915</x:v>
      </x:c>
      <x:c r="F52" s="8" t="str">
        <x:v>49.8858</x:v>
      </x:c>
      <x:c r="G52" s="10" t="str">
        <x:v>12895</x:v>
      </x:c>
      <x:c r="H52" s="8" t="str">
        <x:v>40</x:v>
      </x:c>
      <x:c r="I52" t="str">
        <x:v>Low</x:v>
      </x:c>
      <x:c r="J52" s="10" t="str">
        <x:v>64250</x:v>
      </x:c>
      <x:c r="K52" s="10" t="str">
        <x:v>65650</x:v>
      </x:c>
      <x:c r="L52" s="10" t="str">
        <x:v>70000</x:v>
      </x:c>
      <x:c r="M52" s="10" t="str">
        <x:v>71400</x:v>
      </x:c>
      <x:c r="N52" s="10" t="str">
        <x:v>76000</x:v>
      </x:c>
      <x:c r="O52" s="10" t="str">
        <x:v>77400</x:v>
      </x:c>
      <x:c r="P52" s="10" t="str">
        <x:v>1400</x:v>
      </x:c>
      <x:c r="Q52" s="10" t="str">
        <x:v>1800</x:v>
      </x:c>
      <x:c r="R52" s="10" t="str">
        <x:v>385000</x:v>
      </x:c>
      <x:c r="S52" s="10" t="str">
        <x:v>105</x:v>
      </x:c>
      <x:c r="T52" s="8" t="str">
        <x:v>100</x:v>
      </x:c>
      <x:c r="U52" t="str">
        <x:v>Stable</x:v>
      </x:c>
      <x:c r="V52" t="str">
        <x:v>https://www.census.gov/newsroom/press-releases/2026/school-system-finances.html</x:v>
      </x:c>
      <x:c r="W52" t="str">
        <x:f>J52</x:f>
        <x:v>64250</x:v>
      </x:c>
      <x:c r="X52" t="n">
        <x:f>W52/12</x:f>
        <x:v>5354.166666666667</x:v>
      </x:c>
      <x:c r="Y52" t="n">
        <x:f>IFERROR(Q52/X52,"")</x:f>
        <x:v>0.33618677042801554</x:v>
      </x:c>
      <x:c r="Z52" t="n">
        <x:f>IFERROR(PMT('Housing Salary Share Phase 1'!$B$7/12,'Housing Salary Share Phase 1'!$B$8*12,-R52*(1-'Housing Salary Share Phase 1'!$B$6)),"")</x:f>
        <x:v>2049.131685151884</x:v>
      </x:c>
      <x:c r="AA52" t="n">
        <x:f>IFERROR(Z52/X52,"")</x:f>
        <x:v>0.3827172018960717</x:v>
      </x:c>
      <x:c r="AB52" t="n">
        <x:f>IFS(Y52&lt;=20%,95,Y52&lt;=25%,82,Y52&lt;=30%,65,Y52&lt;=40%,45,TRUE,20)</x:f>
        <x:v>45</x:v>
      </x:c>
      <x:c r="AC52" t="n">
        <x:f>IFS(AA52&lt;=20%,95,AA52&lt;=25%,82,AA52&lt;=30%,65,AA52&lt;=40%,45,TRUE,20)</x:f>
        <x:v>45</x:v>
      </x:c>
      <x:c r="AD52" t="n">
        <x:f>AB52*'Housing Salary Share Phase 1'!$B$9+AC52*'Housing Salary Share Phase 1'!$B$10</x:f>
        <x:v>45</x:v>
      </x:c>
      <x:c r="AE52" t="str">
        <x:f>IFERROR(TEXT(Y52,"0%")&amp;" of Salary","")</x:f>
        <x:v>34% of Salary</x:v>
      </x:c>
      <x:c r="AF52" t="str">
        <x:f>IFERROR(TEXT(AA52,"0%")&amp;" of Salary","")</x:f>
        <x:v>38% of Salary</x:v>
      </x:c>
    </x:row>
    <x:row r="53">
      <x:c r="A53" t="str">
        <x:v>52</x:v>
      </x:c>
      <x:c r="B53" t="str">
        <x:v>Loudoun County Public Schools</x:v>
      </x:c>
      <x:c r="C53" t="str">
        <x:v>VA</x:v>
      </x:c>
      <x:c r="D53" t="str">
        <x:v>Northern VA/DC</x:v>
      </x:c>
      <x:c r="E53" s="8" t="str">
        <x:v>47.6721</x:v>
      </x:c>
      <x:c r="F53" s="8" t="str">
        <x:v>46.4969</x:v>
      </x:c>
      <x:c r="G53" s="10" t="str">
        <x:v>17104</x:v>
      </x:c>
      <x:c r="H53" s="8" t="str">
        <x:v>70</x:v>
      </x:c>
      <x:c r="I53" t="str">
        <x:v>Good</x:v>
      </x:c>
      <x:c r="J53" s="10" t="str">
        <x:v>60553</x:v>
      </x:c>
      <x:c r="K53" s="10" t="str">
        <x:v>66562</x:v>
      </x:c>
      <x:c r="L53" s="10" t="str">
        <x:v>71558</x:v>
      </x:c>
      <x:c r="M53" s="10" t="str">
        <x:v>77509</x:v>
      </x:c>
      <x:c r="N53" s="10" t="str">
        <x:v>84421</x:v>
      </x:c>
      <x:c r="O53" s="10" t="str">
        <x:v>90400</x:v>
      </x:c>
      <x:c r="P53" s="10" t="str">
        <x:v>6009</x:v>
      </x:c>
      <x:c r="Q53" s="10" t="str">
        <x:v>2680</x:v>
      </x:c>
      <x:c r="R53" s="10" t="str">
        <x:v>679593</x:v>
      </x:c>
      <x:c r="S53" s="10" t="str">
        <x:v>135.03</x:v>
      </x:c>
      <x:c r="T53" s="8" t="str">
        <x:v>75</x:v>
      </x:c>
      <x:c r="U53" t="str">
        <x:v>Moderate</x:v>
      </x:c>
      <x:c r="V53" t="str">
        <x:v>https://www.census.gov/newsroom/press-releases/2026/school-system-finances.html</x:v>
      </x:c>
      <x:c r="W53" t="str">
        <x:f>J53</x:f>
        <x:v>60553</x:v>
      </x:c>
      <x:c r="X53" t="n">
        <x:f>W53/12</x:f>
        <x:v>5046.083333333333</x:v>
      </x:c>
      <x:c r="Y53" t="n">
        <x:f>IFERROR(Q53/X53,"")</x:f>
        <x:v>0.5311049824121018</x:v>
      </x:c>
      <x:c r="Z53" t="n">
        <x:f>IFERROR(PMT('Housing Salary Share Phase 1'!$B$7/12,'Housing Salary Share Phase 1'!$B$8*12,-R53*(1-'Housing Salary Share Phase 1'!$B$6)),"")</x:f>
        <x:v>3617.0793488504532</x:v>
      </x:c>
      <x:c r="AA53" t="n">
        <x:f>IFERROR(Z53/X53,"")</x:f>
        <x:v>0.7168092775949242</x:v>
      </x:c>
      <x:c r="AB53" t="n">
        <x:f>IFS(Y53&lt;=20%,95,Y53&lt;=25%,82,Y53&lt;=30%,65,Y53&lt;=40%,45,TRUE,20)</x:f>
        <x:v>20</x:v>
      </x:c>
      <x:c r="AC53" t="n">
        <x:f>IFS(AA53&lt;=20%,95,AA53&lt;=25%,82,AA53&lt;=30%,65,AA53&lt;=40%,45,TRUE,20)</x:f>
        <x:v>20</x:v>
      </x:c>
      <x:c r="AD53" t="n">
        <x:f>AB53*'Housing Salary Share Phase 1'!$B$9+AC53*'Housing Salary Share Phase 1'!$B$10</x:f>
        <x:v>20</x:v>
      </x:c>
      <x:c r="AE53" t="str">
        <x:f>IFERROR(TEXT(Y53,"0%")&amp;" of Salary","")</x:f>
        <x:v>53% of Salary</x:v>
      </x:c>
      <x:c r="AF53" t="str">
        <x:f>IFERROR(TEXT(AA53,"0%")&amp;" of Salary","")</x:f>
        <x:v>72% of Salary</x:v>
      </x:c>
    </x:row>
    <x:row r="54">
      <x:c r="A54" t="str">
        <x:v>53</x:v>
      </x:c>
      <x:c r="B54" t="str">
        <x:v>Verona Area School District</x:v>
      </x:c>
      <x:c r="C54" t="str">
        <x:v>WI</x:v>
      </x:c>
      <x:c r="D54" t="str">
        <x:v>Madison Area</x:v>
      </x:c>
      <x:c r="E54" s="8" t="str">
        <x:v>46.5029</x:v>
      </x:c>
      <x:c r="F54" s="8" t="str">
        <x:v>45.2662</x:v>
      </x:c>
      <x:c r="G54" s="10" t="str">
        <x:v>15952</x:v>
      </x:c>
      <x:c r="H54" s="8" t="str">
        <x:v>70</x:v>
      </x:c>
      <x:c r="I54" t="str">
        <x:v>Good</x:v>
      </x:c>
      <x:c r="J54" s="10" t="str">
        <x:v>56698</x:v>
      </x:c>
      <x:c r="K54" s="10" t="str">
        <x:v>62280</x:v>
      </x:c>
      <x:c r="L54" s="10" t="str">
        <x:v>61588</x:v>
      </x:c>
      <x:c r="M54" s="10" t="str">
        <x:v>67625</x:v>
      </x:c>
      <x:c r="N54" s="10" t="str">
        <x:v>66431</x:v>
      </x:c>
      <x:c r="O54" s="10" t="str">
        <x:v>72971</x:v>
      </x:c>
      <x:c r="P54" s="10" t="str">
        <x:v>5582</x:v>
      </x:c>
      <x:c r="Q54" s="10" t="str">
        <x:v>1735</x:v>
      </x:c>
      <x:c r="R54" s="10" t="str">
        <x:v>531000</x:v>
      </x:c>
      <x:c r="S54" s="10" t="str">
        <x:v>150</x:v>
      </x:c>
      <x:c r="T54" s="8" t="str">
        <x:v>100</x:v>
      </x:c>
      <x:c r="U54" t="str">
        <x:v>Stable</x:v>
      </x:c>
      <x:c r="V54" t="str">
        <x:v>https://www.census.gov/newsroom/press-releases/2026/school-system-finances.html</x:v>
      </x:c>
      <x:c r="W54" t="str">
        <x:f>J54</x:f>
        <x:v>56698</x:v>
      </x:c>
      <x:c r="X54" t="n">
        <x:f>W54/12</x:f>
        <x:v>4724.833333333333</x:v>
      </x:c>
      <x:c r="Y54" t="n">
        <x:f>IFERROR(Q54/X54,"")</x:f>
        <x:v>0.3672087198842993</x:v>
      </x:c>
      <x:c r="Z54" t="n">
        <x:f>IFERROR(PMT('Housing Salary Share Phase 1'!$B$7/12,'Housing Salary Share Phase 1'!$B$8*12,-R54*(1-'Housing Salary Share Phase 1'!$B$6)),"")</x:f>
        <x:v>2826.20499952117</x:v>
      </x:c>
      <x:c r="AA54" t="n">
        <x:f>IFERROR(Z54/X54,"")</x:f>
        <x:v>0.598159723345692</x:v>
      </x:c>
      <x:c r="AB54" t="n">
        <x:f>IFS(Y54&lt;=20%,95,Y54&lt;=25%,82,Y54&lt;=30%,65,Y54&lt;=40%,45,TRUE,20)</x:f>
        <x:v>45</x:v>
      </x:c>
      <x:c r="AC54" t="n">
        <x:f>IFS(AA54&lt;=20%,95,AA54&lt;=25%,82,AA54&lt;=30%,65,AA54&lt;=40%,45,TRUE,20)</x:f>
        <x:v>20</x:v>
      </x:c>
      <x:c r="AD54" t="n">
        <x:f>AB54*'Housing Salary Share Phase 1'!$B$9+AC54*'Housing Salary Share Phase 1'!$B$10</x:f>
        <x:v>37.5</x:v>
      </x:c>
      <x:c r="AE54" t="str">
        <x:f>IFERROR(TEXT(Y54,"0%")&amp;" of Salary","")</x:f>
        <x:v>37% of Salary</x:v>
      </x:c>
      <x:c r="AF54" t="str">
        <x:f>IFERROR(TEXT(AA54,"0%")&amp;" of Salary","")</x:f>
        <x:v>60% of Salary</x:v>
      </x:c>
    </x:row>
    <x:row r="55">
      <x:c r="A55" t="str">
        <x:v>54</x:v>
      </x:c>
      <x:c r="B55" t="str">
        <x:v>Cherry Creek School District</x:v>
      </x:c>
      <x:c r="C55" t="str">
        <x:v>CO</x:v>
      </x:c>
      <x:c r="D55" t="str">
        <x:v>Denver</x:v>
      </x:c>
      <x:c r="E55" s="8" t="str">
        <x:v>46.2885</x:v>
      </x:c>
      <x:c r="F55" s="8" t="str">
        <x:v>45.0405</x:v>
      </x:c>
      <x:c r="G55" s="10" t="str">
        <x:v>15908</x:v>
      </x:c>
      <x:c r="H55" s="8" t="str">
        <x:v>70</x:v>
      </x:c>
      <x:c r="I55" t="str">
        <x:v>Good</x:v>
      </x:c>
      <x:c r="J55" s="10" t="str">
        <x:v>62000</x:v>
      </x:c>
      <x:c r="K55" s="10" t="str">
        <x:v>69677</x:v>
      </x:c>
      <x:c r="L55" s="10" t="str">
        <x:v>67080</x:v>
      </x:c>
      <x:c r="M55" s="10" t="str">
        <x:v>75086</x:v>
      </x:c>
      <x:c r="N55" s="10" t="str">
        <x:v>80203</x:v>
      </x:c>
      <x:c r="O55" s="10" t="str">
        <x:v>88170</x:v>
      </x:c>
      <x:c r="P55" s="10" t="str">
        <x:v>7677</x:v>
      </x:c>
      <x:c r="Q55" s="10" t="str">
        <x:v>2208</x:v>
      </x:c>
      <x:c r="R55" s="10" t="str">
        <x:v>556984</x:v>
      </x:c>
      <x:c r="S55" s="10" t="str">
        <x:v>210</x:v>
      </x:c>
      <x:c r="T55" s="8" t="str">
        <x:v>40</x:v>
      </x:c>
      <x:c r="U55" t="str">
        <x:v>Severe</x:v>
      </x:c>
      <x:c r="V55" t="str">
        <x:v>https://www.census.gov/newsroom/press-releases/2026/school-system-finances.html</x:v>
      </x:c>
      <x:c r="W55" t="str">
        <x:f>J55</x:f>
        <x:v>62000</x:v>
      </x:c>
      <x:c r="X55" t="n">
        <x:f>W55/12</x:f>
        <x:v>5166.666666666667</x:v>
      </x:c>
      <x:c r="Y55" t="n">
        <x:f>IFERROR(Q55/X55,"")</x:f>
        <x:v>0.4273548387096774</x:v>
      </x:c>
      <x:c r="Z55" t="n">
        <x:f>IFERROR(PMT('Housing Salary Share Phase 1'!$B$7/12,'Housing Salary Share Phase 1'!$B$8*12,-R55*(1-'Housing Salary Share Phase 1'!$B$6)),"")</x:f>
        <x:v>2964.5027597990575</x:v>
      </x:c>
      <x:c r="AA55" t="n">
        <x:f>IFERROR(Z55/X55,"")</x:f>
        <x:v>0.5737747277030434</x:v>
      </x:c>
      <x:c r="AB55" t="n">
        <x:f>IFS(Y55&lt;=20%,95,Y55&lt;=25%,82,Y55&lt;=30%,65,Y55&lt;=40%,45,TRUE,20)</x:f>
        <x:v>20</x:v>
      </x:c>
      <x:c r="AC55" t="n">
        <x:f>IFS(AA55&lt;=20%,95,AA55&lt;=25%,82,AA55&lt;=30%,65,AA55&lt;=40%,45,TRUE,20)</x:f>
        <x:v>20</x:v>
      </x:c>
      <x:c r="AD55" t="n">
        <x:f>AB55*'Housing Salary Share Phase 1'!$B$9+AC55*'Housing Salary Share Phase 1'!$B$10</x:f>
        <x:v>20</x:v>
      </x:c>
      <x:c r="AE55" t="str">
        <x:f>IFERROR(TEXT(Y55,"0%")&amp;" of Salary","")</x:f>
        <x:v>43% of Salary</x:v>
      </x:c>
      <x:c r="AF55" t="str">
        <x:f>IFERROR(TEXT(AA55,"0%")&amp;" of Salary","")</x:f>
        <x:v>57% of Salary</x:v>
      </x:c>
    </x:row>
    <x:row r="56">
      <x:c r="A56" t="str">
        <x:v>55</x:v>
      </x:c>
      <x:c r="B56" t="str">
        <x:v>Clear Creek ISD</x:v>
      </x:c>
      <x:c r="C56" t="str">
        <x:v>TX</x:v>
      </x:c>
      <x:c r="D56" t="str">
        <x:v>Houston / Bay Area</x:v>
      </x:c>
      <x:c r="E56" s="8" t="str">
        <x:v>46.1362</x:v>
      </x:c>
      <x:c r="F56" s="8" t="str">
        <x:v>46.4592</x:v>
      </x:c>
      <x:c r="G56" s="10" t="str">
        <x:v>12895</x:v>
      </x:c>
      <x:c r="H56" s="8" t="str">
        <x:v>40</x:v>
      </x:c>
      <x:c r="I56" t="str">
        <x:v>Low</x:v>
      </x:c>
      <x:c r="J56" s="10" t="str">
        <x:v>64000</x:v>
      </x:c>
      <x:c r="K56" s="10" t="str">
        <x:v>65000</x:v>
      </x:c>
      <x:c r="L56" s="10" t="str">
        <x:v>67500</x:v>
      </x:c>
      <x:c r="M56" s="10" t="str">
        <x:v>68500</x:v>
      </x:c>
      <x:c r="N56" s="10" t="str">
        <x:v>69780</x:v>
      </x:c>
      <x:c r="O56" s="10" t="str">
        <x:v>70780</x:v>
      </x:c>
      <x:c r="P56" s="10" t="str">
        <x:v>1000</x:v>
      </x:c>
      <x:c r="Q56" s="10" t="str">
        <x:v>1700</x:v>
      </x:c>
      <x:c r="R56" s="10" t="str">
        <x:v>390000</x:v>
      </x:c>
      <x:c r="S56" s="10" t="str">
        <x:v>125</x:v>
      </x:c>
      <x:c r="T56" s="8" t="str">
        <x:v>100</x:v>
      </x:c>
      <x:c r="U56" t="str">
        <x:v>Stable</x:v>
      </x:c>
      <x:c r="V56" t="str">
        <x:v>https://www.census.gov/newsroom/press-releases/2026/school-system-finances.html</x:v>
      </x:c>
      <x:c r="W56" t="str">
        <x:f>J56</x:f>
        <x:v>64000</x:v>
      </x:c>
      <x:c r="X56" t="n">
        <x:f>W56/12</x:f>
        <x:v>5333.333333333333</x:v>
      </x:c>
      <x:c r="Y56" t="n">
        <x:f>IFERROR(Q56/X56,"")</x:f>
        <x:v>0.31875000000000003</x:v>
      </x:c>
      <x:c r="Z56" t="n">
        <x:f>IFERROR(PMT('Housing Salary Share Phase 1'!$B$7/12,'Housing Salary Share Phase 1'!$B$8*12,-R56*(1-'Housing Salary Share Phase 1'!$B$6)),"")</x:f>
        <x:v>2075.7437849590515</x:v>
      </x:c>
      <x:c r="AA56" t="n">
        <x:f>IFERROR(Z56/X56,"")</x:f>
        <x:v>0.3892019596798222</x:v>
      </x:c>
      <x:c r="AB56" t="n">
        <x:f>IFS(Y56&lt;=20%,95,Y56&lt;=25%,82,Y56&lt;=30%,65,Y56&lt;=40%,45,TRUE,20)</x:f>
        <x:v>45</x:v>
      </x:c>
      <x:c r="AC56" t="n">
        <x:f>IFS(AA56&lt;=20%,95,AA56&lt;=25%,82,AA56&lt;=30%,65,AA56&lt;=40%,45,TRUE,20)</x:f>
        <x:v>45</x:v>
      </x:c>
      <x:c r="AD56" t="n">
        <x:f>AB56*'Housing Salary Share Phase 1'!$B$9+AC56*'Housing Salary Share Phase 1'!$B$10</x:f>
        <x:v>45</x:v>
      </x:c>
      <x:c r="AE56" t="str">
        <x:f>IFERROR(TEXT(Y56,"0%")&amp;" of Salary","")</x:f>
        <x:v>32% of Salary</x:v>
      </x:c>
      <x:c r="AF56" t="str">
        <x:f>IFERROR(TEXT(AA56,"0%")&amp;" of Salary","")</x:f>
        <x:v>39% of Salary</x:v>
      </x:c>
    </x:row>
    <x:row r="57">
      <x:c r="A57" t="str">
        <x:v>56</x:v>
      </x:c>
      <x:c r="B57" t="str">
        <x:v>Saint Helena Unified School District</x:v>
      </x:c>
      <x:c r="C57" t="str">
        <x:v>CA</x:v>
      </x:c>
      <x:c r="D57" t="str">
        <x:v>Northern California</x:v>
      </x:c>
      <x:c r="E57" s="8" t="str">
        <x:v>45.822</x:v>
      </x:c>
      <x:c r="F57" s="8" t="str">
        <x:v>43.76</x:v>
      </x:c>
      <x:c r="G57" s="10" t="str">
        <x:v>20791</x:v>
      </x:c>
      <x:c r="H57" s="8" t="str">
        <x:v>85</x:v>
      </x:c>
      <x:c r="I57" t="str">
        <x:v>Very Good</x:v>
      </x:c>
      <x:c r="J57" s="10" t="str">
        <x:v>93432</x:v>
      </x:c>
      <x:c r="K57" s="10" t="str">
        <x:v>95786</x:v>
      </x:c>
      <x:c r="L57" s="10" t="str">
        <x:v>110995</x:v>
      </x:c>
      <x:c r="M57" s="10" t="str">
        <x:v>113349</x:v>
      </x:c>
      <x:c r="N57" s="10" t="str">
        <x:v>125580</x:v>
      </x:c>
      <x:c r="O57" s="10" t="str">
        <x:v>127934</x:v>
      </x:c>
      <x:c r="P57" s="10" t="str">
        <x:v>2354</x:v>
      </x:c>
      <x:c r="Q57" s="10" t="str">
        <x:v>5995</x:v>
      </x:c>
      <x:c r="R57" s="10" t="str">
        <x:v>2323609</x:v>
      </x:c>
      <x:c r="S57" s="10" t="str">
        <x:v>275</x:v>
      </x:c>
      <x:c r="T57" s="8" t="str">
        <x:v>100</x:v>
      </x:c>
      <x:c r="U57" t="str">
        <x:v>Stable</x:v>
      </x:c>
      <x:c r="V57" t="str">
        <x:v>https://www.census.gov/newsroom/press-releases/2026/school-system-finances.html</x:v>
      </x:c>
      <x:c r="W57" t="str">
        <x:f>J57</x:f>
        <x:v>93432</x:v>
      </x:c>
      <x:c r="X57" t="n">
        <x:f>W57/12</x:f>
        <x:v>7786</x:v>
      </x:c>
      <x:c r="Y57" t="n">
        <x:f>IFERROR(Q57/X57,"")</x:f>
        <x:v>0.7699717441561778</x:v>
      </x:c>
      <x:c r="Z57" t="n">
        <x:f>IFERROR(PMT('Housing Salary Share Phase 1'!$B$7/12,'Housing Salary Share Phase 1'!$B$8*12,-R57*(1-'Housing Salary Share Phase 1'!$B$6)),"")</x:f>
        <x:v>12367.222924166455</x:v>
      </x:c>
      <x:c r="AA57" t="n">
        <x:f>IFERROR(Z57/X57,"")</x:f>
        <x:v>1.588392361182437</x:v>
      </x:c>
      <x:c r="AB57" t="n">
        <x:f>IFS(Y57&lt;=20%,95,Y57&lt;=25%,82,Y57&lt;=30%,65,Y57&lt;=40%,45,TRUE,20)</x:f>
        <x:v>20</x:v>
      </x:c>
      <x:c r="AC57" t="n">
        <x:f>IFS(AA57&lt;=20%,95,AA57&lt;=25%,82,AA57&lt;=30%,65,AA57&lt;=40%,45,TRUE,20)</x:f>
        <x:v>20</x:v>
      </x:c>
      <x:c r="AD57" t="n">
        <x:f>AB57*'Housing Salary Share Phase 1'!$B$9+AC57*'Housing Salary Share Phase 1'!$B$10</x:f>
        <x:v>20</x:v>
      </x:c>
      <x:c r="AE57" t="str">
        <x:f>IFERROR(TEXT(Y57,"0%")&amp;" of Salary","")</x:f>
        <x:v>77% of Salary</x:v>
      </x:c>
      <x:c r="AF57" t="str">
        <x:f>IFERROR(TEXT(AA57,"0%")&amp;" of Salary","")</x:f>
        <x:v>159% of Salary</x:v>
      </x:c>
    </x:row>
    <x:row r="58">
      <x:c r="A58" t="str">
        <x:v>57</x:v>
      </x:c>
      <x:c r="B58" t="str">
        <x:v>Denver Public Schools</x:v>
      </x:c>
      <x:c r="C58" t="str">
        <x:v>CO</x:v>
      </x:c>
      <x:c r="D58" t="str">
        <x:v>Denver</x:v>
      </x:c>
      <x:c r="E58" s="8" t="str">
        <x:v>45.2307</x:v>
      </x:c>
      <x:c r="F58" s="8" t="str">
        <x:v>43.9271</x:v>
      </x:c>
      <x:c r="G58" s="10" t="str">
        <x:v>15908</x:v>
      </x:c>
      <x:c r="H58" s="8" t="str">
        <x:v>70</x:v>
      </x:c>
      <x:c r="I58" t="str">
        <x:v>Good</x:v>
      </x:c>
      <x:c r="J58" s="10" t="str">
        <x:v>57666</x:v>
      </x:c>
      <x:c r="K58" s="10" t="str">
        <x:v>63245</x:v>
      </x:c>
      <x:c r="L58" s="10" t="str">
        <x:v>64743</x:v>
      </x:c>
      <x:c r="M58" s="10" t="str">
        <x:v>71474</x:v>
      </x:c>
      <x:c r="N58" s="10" t="str">
        <x:v>74349</x:v>
      </x:c>
      <x:c r="O58" s="10" t="str">
        <x:v>81762</x:v>
      </x:c>
      <x:c r="P58" s="10" t="str">
        <x:v>5579</x:v>
      </x:c>
      <x:c r="Q58" s="10" t="str">
        <x:v>2000</x:v>
      </x:c>
      <x:c r="R58" s="10" t="str">
        <x:v>542000</x:v>
      </x:c>
      <x:c r="S58" s="10" t="str">
        <x:v>186.42</x:v>
      </x:c>
      <x:c r="T58" s="8" t="str">
        <x:v>60</x:v>
      </x:c>
      <x:c r="U58" t="str">
        <x:v>Elevated</x:v>
      </x:c>
      <x:c r="V58" t="str">
        <x:v>https://www.census.gov/newsroom/press-releases/2026/school-system-finances.html</x:v>
      </x:c>
      <x:c r="W58" t="str">
        <x:f>J58</x:f>
        <x:v>57666</x:v>
      </x:c>
      <x:c r="X58" t="n">
        <x:f>W58/12</x:f>
        <x:v>4805.5</x:v>
      </x:c>
      <x:c r="Y58" t="n">
        <x:f>IFERROR(Q58/X58,"")</x:f>
        <x:v>0.4161897825408386</x:v>
      </x:c>
      <x:c r="Z58" t="n">
        <x:f>IFERROR(PMT('Housing Salary Share Phase 1'!$B$7/12,'Housing Salary Share Phase 1'!$B$8*12,-R58*(1-'Housing Salary Share Phase 1'!$B$6)),"")</x:f>
        <x:v>2884.751619096938</x:v>
      </x:c>
      <x:c r="AA58" t="n">
        <x:f>IFERROR(Z58/X58,"")</x:f>
        <x:v>0.6003020745181434</x:v>
      </x:c>
      <x:c r="AB58" t="n">
        <x:f>IFS(Y58&lt;=20%,95,Y58&lt;=25%,82,Y58&lt;=30%,65,Y58&lt;=40%,45,TRUE,20)</x:f>
        <x:v>20</x:v>
      </x:c>
      <x:c r="AC58" t="n">
        <x:f>IFS(AA58&lt;=20%,95,AA58&lt;=25%,82,AA58&lt;=30%,65,AA58&lt;=40%,45,TRUE,20)</x:f>
        <x:v>20</x:v>
      </x:c>
      <x:c r="AD58" t="n">
        <x:f>AB58*'Housing Salary Share Phase 1'!$B$9+AC58*'Housing Salary Share Phase 1'!$B$10</x:f>
        <x:v>20</x:v>
      </x:c>
      <x:c r="AE58" t="str">
        <x:f>IFERROR(TEXT(Y58,"0%")&amp;" of Salary","")</x:f>
        <x:v>42% of Salary</x:v>
      </x:c>
      <x:c r="AF58" t="str">
        <x:f>IFERROR(TEXT(AA58,"0%")&amp;" of Salary","")</x:f>
        <x:v>60% of Salary</x:v>
      </x:c>
    </x:row>
    <x:row r="59">
      <x:c r="A59" t="str">
        <x:v>58</x:v>
      </x:c>
      <x:c r="B59" t="str">
        <x:v>Tahoe-Truckee Unified School District</x:v>
      </x:c>
      <x:c r="C59" t="str">
        <x:v>CA</x:v>
      </x:c>
      <x:c r="D59" t="str">
        <x:v>Northern California</x:v>
      </x:c>
      <x:c r="E59" s="8" t="str">
        <x:v>44.1215</x:v>
      </x:c>
      <x:c r="F59" s="8" t="str">
        <x:v>41.97</x:v>
      </x:c>
      <x:c r="G59" s="10" t="str">
        <x:v>20791</x:v>
      </x:c>
      <x:c r="H59" s="8" t="str">
        <x:v>85</x:v>
      </x:c>
      <x:c r="I59" t="str">
        <x:v>Very Good</x:v>
      </x:c>
      <x:c r="J59" s="10" t="str">
        <x:v>71086</x:v>
      </x:c>
      <x:c r="K59" s="10" t="str">
        <x:v>72086</x:v>
      </x:c>
      <x:c r="L59" s="10" t="str">
        <x:v>85931</x:v>
      </x:c>
      <x:c r="M59" s="10" t="str">
        <x:v>86931</x:v>
      </x:c>
      <x:c r="N59" s="10" t="str">
        <x:v>85931</x:v>
      </x:c>
      <x:c r="O59" s="10" t="str">
        <x:v>86931</x:v>
      </x:c>
      <x:c r="P59" s="10" t="str">
        <x:v>1000</x:v>
      </x:c>
      <x:c r="Q59" s="10" t="str">
        <x:v>2203</x:v>
      </x:c>
      <x:c r="R59" s="10" t="str">
        <x:v>1024669</x:v>
      </x:c>
      <x:c r="S59" s="10" t="str">
        <x:v>200</x:v>
      </x:c>
      <x:c r="T59" s="8" t="str">
        <x:v>100</x:v>
      </x:c>
      <x:c r="U59" t="str">
        <x:v>Stable</x:v>
      </x:c>
      <x:c r="V59" t="str">
        <x:v>https://www.census.gov/newsroom/press-releases/2026/school-system-finances.html</x:v>
      </x:c>
      <x:c r="W59" t="str">
        <x:f>J59</x:f>
        <x:v>71086</x:v>
      </x:c>
      <x:c r="X59" t="n">
        <x:f>W59/12</x:f>
        <x:v>5923.833333333333</x:v>
      </x:c>
      <x:c r="Y59" t="n">
        <x:f>IFERROR(Q59/X59,"")</x:f>
        <x:v>0.3718875727991447</x:v>
      </x:c>
      <x:c r="Z59" t="n">
        <x:f>IFERROR(PMT('Housing Salary Share Phase 1'!$B$7/12,'Housing Salary Share Phase 1'!$B$8*12,-R59*(1-'Housing Salary Share Phase 1'!$B$6)),"")</x:f>
        <x:v>5453.718739462069</x:v>
      </x:c>
      <x:c r="AA59" t="n">
        <x:f>IFERROR(Z59/X59,"")</x:f>
        <x:v>0.920640138333073</x:v>
      </x:c>
      <x:c r="AB59" t="n">
        <x:f>IFS(Y59&lt;=20%,95,Y59&lt;=25%,82,Y59&lt;=30%,65,Y59&lt;=40%,45,TRUE,20)</x:f>
        <x:v>45</x:v>
      </x:c>
      <x:c r="AC59" t="n">
        <x:f>IFS(AA59&lt;=20%,95,AA59&lt;=25%,82,AA59&lt;=30%,65,AA59&lt;=40%,45,TRUE,20)</x:f>
        <x:v>20</x:v>
      </x:c>
      <x:c r="AD59" t="n">
        <x:f>AB59*'Housing Salary Share Phase 1'!$B$9+AC59*'Housing Salary Share Phase 1'!$B$10</x:f>
        <x:v>37.5</x:v>
      </x:c>
      <x:c r="AE59" t="str">
        <x:f>IFERROR(TEXT(Y59,"0%")&amp;" of Salary","")</x:f>
        <x:v>37% of Salary</x:v>
      </x:c>
      <x:c r="AF59" t="str">
        <x:f>IFERROR(TEXT(AA59,"0%")&amp;" of Salary","")</x:f>
        <x:v>92% of Salary</x:v>
      </x:c>
    </x:row>
    <x:row r="60">
      <x:c r="A60" t="str">
        <x:v>59</x:v>
      </x:c>
      <x:c r="B60" t="str">
        <x:v>Middleton-Cross Plains Area School District</x:v>
      </x:c>
      <x:c r="C60" t="str">
        <x:v>WI</x:v>
      </x:c>
      <x:c r="D60" t="str">
        <x:v>Madison Area</x:v>
      </x:c>
      <x:c r="E60" s="8" t="str">
        <x:v>44.01</x:v>
      </x:c>
      <x:c r="F60" s="8" t="str">
        <x:v>42.6421</x:v>
      </x:c>
      <x:c r="G60" s="10" t="str">
        <x:v>15952</x:v>
      </x:c>
      <x:c r="H60" s="8" t="str">
        <x:v>70</x:v>
      </x:c>
      <x:c r="I60" t="str">
        <x:v>Good</x:v>
      </x:c>
      <x:c r="J60" s="10" t="str">
        <x:v>55000</x:v>
      </x:c>
      <x:c r="K60" s="10" t="str">
        <x:v>59000</x:v>
      </x:c>
      <x:c r="L60" s="10" t="str">
        <x:v>61000</x:v>
      </x:c>
      <x:c r="M60" s="10" t="str">
        <x:v>65000</x:v>
      </x:c>
      <x:c r="N60" s="10" t="str">
        <x:v>67000</x:v>
      </x:c>
      <x:c r="O60" s="10" t="str">
        <x:v>71000</x:v>
      </x:c>
      <x:c r="P60" s="10" t="str">
        <x:v>4000</x:v>
      </x:c>
      <x:c r="Q60" s="10" t="str">
        <x:v>1900</x:v>
      </x:c>
      <x:c r="R60" s="10" t="str">
        <x:v>568000</x:v>
      </x:c>
      <x:c r="S60" s="10" t="str">
        <x:v>175</x:v>
      </x:c>
      <x:c r="T60" s="8" t="str">
        <x:v>100</x:v>
      </x:c>
      <x:c r="U60" t="str">
        <x:v>Stable</x:v>
      </x:c>
      <x:c r="V60" t="str">
        <x:v>https://www.census.gov/newsroom/press-releases/2026/school-system-finances.html</x:v>
      </x:c>
      <x:c r="W60" t="str">
        <x:f>J60</x:f>
        <x:v>55000</x:v>
      </x:c>
      <x:c r="X60" t="n">
        <x:f>W60/12</x:f>
        <x:v>4583.333333333333</x:v>
      </x:c>
      <x:c r="Y60" t="n">
        <x:f>IFERROR(Q60/X60,"")</x:f>
        <x:v>0.41454545454545455</x:v>
      </x:c>
      <x:c r="Z60" t="n">
        <x:f>IFERROR(PMT('Housing Salary Share Phase 1'!$B$7/12,'Housing Salary Share Phase 1'!$B$8*12,-R60*(1-'Housing Salary Share Phase 1'!$B$6)),"")</x:f>
        <x:v>3023.1345380942084</x:v>
      </x:c>
      <x:c r="AA60" t="n">
        <x:f>IFERROR(Z60/X60,"")</x:f>
        <x:v>0.6595929901296456</x:v>
      </x:c>
      <x:c r="AB60" t="n">
        <x:f>IFS(Y60&lt;=20%,95,Y60&lt;=25%,82,Y60&lt;=30%,65,Y60&lt;=40%,45,TRUE,20)</x:f>
        <x:v>20</x:v>
      </x:c>
      <x:c r="AC60" t="n">
        <x:f>IFS(AA60&lt;=20%,95,AA60&lt;=25%,82,AA60&lt;=30%,65,AA60&lt;=40%,45,TRUE,20)</x:f>
        <x:v>20</x:v>
      </x:c>
      <x:c r="AD60" t="n">
        <x:f>AB60*'Housing Salary Share Phase 1'!$B$9+AC60*'Housing Salary Share Phase 1'!$B$10</x:f>
        <x:v>20</x:v>
      </x:c>
      <x:c r="AE60" t="str">
        <x:f>IFERROR(TEXT(Y60,"0%")&amp;" of Salary","")</x:f>
        <x:v>41% of Salary</x:v>
      </x:c>
      <x:c r="AF60" t="str">
        <x:f>IFERROR(TEXT(AA60,"0%")&amp;" of Salary","")</x:f>
        <x:v>66% of Salary</x:v>
      </x:c>
    </x:row>
    <x:row r="61">
      <x:c r="A61" t="str">
        <x:v>60</x:v>
      </x:c>
      <x:c r="B61" t="str">
        <x:v>Lake Washington School District</x:v>
      </x:c>
      <x:c r="C61" t="str">
        <x:v>WA</x:v>
      </x:c>
      <x:c r="D61" t="str">
        <x:v>Seattle Eastside</x:v>
      </x:c>
      <x:c r="E61" s="8" t="str">
        <x:v>42.721</x:v>
      </x:c>
      <x:c r="F61" s="8" t="str">
        <x:v>40.4958</x:v>
      </x:c>
      <x:c r="G61" s="10" t="str">
        <x:v>18564</x:v>
      </x:c>
      <x:c r="H61" s="8" t="str">
        <x:v>85</x:v>
      </x:c>
      <x:c r="I61" t="str">
        <x:v>Very Good</x:v>
      </x:c>
      <x:c r="J61" s="10" t="str">
        <x:v>61887</x:v>
      </x:c>
      <x:c r="K61" s="10" t="str">
        <x:v>70072</x:v>
      </x:c>
      <x:c r="L61" s="10" t="str">
        <x:v>68226</x:v>
      </x:c>
      <x:c r="M61" s="10" t="str">
        <x:v>80880</x:v>
      </x:c>
      <x:c r="N61" s="10" t="str">
        <x:v>85047</x:v>
      </x:c>
      <x:c r="O61" s="10" t="str">
        <x:v>93356</x:v>
      </x:c>
      <x:c r="P61" s="10" t="str">
        <x:v>8185</x:v>
      </x:c>
      <x:c r="Q61" s="10" t="str">
        <x:v>3061</x:v>
      </x:c>
      <x:c r="R61" s="10" t="str">
        <x:v>1299222</x:v>
      </x:c>
      <x:c r="S61" s="10" t="str">
        <x:v>222</x:v>
      </x:c>
      <x:c r="T61" s="8" t="str">
        <x:v>75</x:v>
      </x:c>
      <x:c r="U61" t="str">
        <x:v>Moderate</x:v>
      </x:c>
      <x:c r="V61" t="str">
        <x:v>https://www.census.gov/newsroom/press-releases/2026/school-system-finances.html</x:v>
      </x:c>
      <x:c r="W61" t="str">
        <x:f>J61</x:f>
        <x:v>61887</x:v>
      </x:c>
      <x:c r="X61" t="n">
        <x:f>W61/12</x:f>
        <x:v>5157.25</x:v>
      </x:c>
      <x:c r="Y61" t="n">
        <x:f>IFERROR(Q61/X61,"")</x:f>
        <x:v>0.5935333753453875</x:v>
      </x:c>
      <x:c r="Z61" t="n">
        <x:f>IFERROR(PMT('Housing Salary Share Phase 1'!$B$7/12,'Housing Salary Share Phase 1'!$B$8*12,-R61*(1-'Housing Salary Share Phase 1'!$B$6)),"")</x:f>
        <x:v>6915.005107133511</x:v>
      </x:c>
      <x:c r="AA61" t="n">
        <x:f>IFERROR(Z61/X61,"")</x:f>
        <x:v>1.3408318594470912</x:v>
      </x:c>
      <x:c r="AB61" t="n">
        <x:f>IFS(Y61&lt;=20%,95,Y61&lt;=25%,82,Y61&lt;=30%,65,Y61&lt;=40%,45,TRUE,20)</x:f>
        <x:v>20</x:v>
      </x:c>
      <x:c r="AC61" t="n">
        <x:f>IFS(AA61&lt;=20%,95,AA61&lt;=25%,82,AA61&lt;=30%,65,AA61&lt;=40%,45,TRUE,20)</x:f>
        <x:v>20</x:v>
      </x:c>
      <x:c r="AD61" t="n">
        <x:f>AB61*'Housing Salary Share Phase 1'!$B$9+AC61*'Housing Salary Share Phase 1'!$B$10</x:f>
        <x:v>20</x:v>
      </x:c>
      <x:c r="AE61" t="str">
        <x:f>IFERROR(TEXT(Y61,"0%")&amp;" of Salary","")</x:f>
        <x:v>59% of Salary</x:v>
      </x:c>
      <x:c r="AF61" t="str">
        <x:f>IFERROR(TEXT(AA61,"0%")&amp;" of Salary","")</x:f>
        <x:v>134% of Salary</x:v>
      </x:c>
    </x:row>
    <x:row r="62">
      <x:c r="A62" t="str">
        <x:v>61</x:v>
      </x:c>
      <x:c r="B62" t="str">
        <x:v>Edina Public Schools</x:v>
      </x:c>
      <x:c r="C62" t="str">
        <x:v>MN</x:v>
      </x:c>
      <x:c r="D62" t="str">
        <x:v>Twin Cities Suburbs</x:v>
      </x:c>
      <x:c r="E62" s="8" t="str">
        <x:v>42.577</x:v>
      </x:c>
      <x:c r="F62" s="8" t="str">
        <x:v>41.1337</x:v>
      </x:c>
      <x:c r="G62" s="10" t="str">
        <x:v>17098</x:v>
      </x:c>
      <x:c r="H62" s="8" t="str">
        <x:v>70</x:v>
      </x:c>
      <x:c r="I62" t="str">
        <x:v>Good</x:v>
      </x:c>
      <x:c r="J62" s="10" t="str">
        <x:v>51384</x:v>
      </x:c>
      <x:c r="K62" s="10" t="str">
        <x:v>59903</x:v>
      </x:c>
      <x:c r="L62" s="10" t="str">
        <x:v>57050</x:v>
      </x:c>
      <x:c r="M62" s="10" t="str">
        <x:v>69525</x:v>
      </x:c>
      <x:c r="N62" s="10" t="str">
        <x:v>62962</x:v>
      </x:c>
      <x:c r="O62" s="10" t="str">
        <x:v>79146</x:v>
      </x:c>
      <x:c r="P62" s="10" t="str">
        <x:v>8519</x:v>
      </x:c>
      <x:c r="Q62" s="10" t="str">
        <x:v>2000</x:v>
      </x:c>
      <x:c r="R62" s="10" t="str">
        <x:v>650000</x:v>
      </x:c>
      <x:c r="S62" s="10" t="str">
        <x:v>170</x:v>
      </x:c>
      <x:c r="T62" s="8" t="str">
        <x:v>100</x:v>
      </x:c>
      <x:c r="U62" t="str">
        <x:v>Stable</x:v>
      </x:c>
      <x:c r="V62" t="str">
        <x:v>https://www.census.gov/newsroom/press-releases/2026/school-system-finances.html</x:v>
      </x:c>
      <x:c r="W62" t="str">
        <x:f>J62</x:f>
        <x:v>51384</x:v>
      </x:c>
      <x:c r="X62" t="n">
        <x:f>W62/12</x:f>
        <x:v>4282</x:v>
      </x:c>
      <x:c r="Y62" t="n">
        <x:f>IFERROR(Q62/X62,"")</x:f>
        <x:v>0.4670714619336759</x:v>
      </x:c>
      <x:c r="Z62" t="n">
        <x:f>IFERROR(PMT('Housing Salary Share Phase 1'!$B$7/12,'Housing Salary Share Phase 1'!$B$8*12,-R62*(1-'Housing Salary Share Phase 1'!$B$6)),"")</x:f>
        <x:v>3459.5729749317525</x:v>
      </x:c>
      <x:c r="AA62" t="n">
        <x:f>IFERROR(Z62/X62,"")</x:f>
        <x:v>0.8079339035338049</x:v>
      </x:c>
      <x:c r="AB62" t="n">
        <x:f>IFS(Y62&lt;=20%,95,Y62&lt;=25%,82,Y62&lt;=30%,65,Y62&lt;=40%,45,TRUE,20)</x:f>
        <x:v>20</x:v>
      </x:c>
      <x:c r="AC62" t="n">
        <x:f>IFS(AA62&lt;=20%,95,AA62&lt;=25%,82,AA62&lt;=30%,65,AA62&lt;=40%,45,TRUE,20)</x:f>
        <x:v>20</x:v>
      </x:c>
      <x:c r="AD62" t="n">
        <x:f>AB62*'Housing Salary Share Phase 1'!$B$9+AC62*'Housing Salary Share Phase 1'!$B$10</x:f>
        <x:v>20</x:v>
      </x:c>
      <x:c r="AE62" t="str">
        <x:f>IFERROR(TEXT(Y62,"0%")&amp;" of Salary","")</x:f>
        <x:v>47% of Salary</x:v>
      </x:c>
      <x:c r="AF62" t="str">
        <x:f>IFERROR(TEXT(AA62,"0%")&amp;" of Salary","")</x:f>
        <x:v>81% of Salary</x:v>
      </x:c>
    </x:row>
    <x:row r="63">
      <x:c r="A63" t="str">
        <x:v>62</x:v>
      </x:c>
      <x:c r="B63" t="str">
        <x:v>Jordan District</x:v>
      </x:c>
      <x:c r="C63" t="str">
        <x:v>UT</x:v>
      </x:c>
      <x:c r="D63" t="str">
        <x:v>Salt Lake Valley</x:v>
      </x:c>
      <x:c r="E63" s="8" t="str">
        <x:v>42.4122</x:v>
      </x:c>
      <x:c r="F63" s="8" t="str">
        <x:v>42.5392</x:v>
      </x:c>
      <x:c r="G63" s="10" t="str">
        <x:v>11347</x:v>
      </x:c>
      <x:c r="H63" s="8" t="str">
        <x:v>40</x:v>
      </x:c>
      <x:c r="I63" t="str">
        <x:v>Low</x:v>
      </x:c>
      <x:c r="J63" s="10" t="str">
        <x:v>63900</x:v>
      </x:c>
      <x:c r="K63" s="10" t="str">
        <x:v>68400</x:v>
      </x:c>
      <x:c r="L63" s="10" t="str">
        <x:v>67500</x:v>
      </x:c>
      <x:c r="M63" s="10" t="str">
        <x:v>72000</x:v>
      </x:c>
      <x:c r="N63" s="10" t="str">
        <x:v>72000</x:v>
      </x:c>
      <x:c r="O63" s="10" t="str">
        <x:v>76500</x:v>
      </x:c>
      <x:c r="P63" s="10" t="str">
        <x:v>4500</x:v>
      </x:c>
      <x:c r="Q63" s="10" t="str">
        <x:v>1689</x:v>
      </x:c>
      <x:c r="R63" s="10" t="str">
        <x:v>580000</x:v>
      </x:c>
      <x:c r="S63" s="10" t="str">
        <x:v>199</x:v>
      </x:c>
      <x:c r="T63" s="8" t="str">
        <x:v>100</x:v>
      </x:c>
      <x:c r="U63" t="str">
        <x:v>Stable</x:v>
      </x:c>
      <x:c r="V63" t="str">
        <x:v>https://www.census.gov/newsroom/press-releases/2026/school-system-finances.html</x:v>
      </x:c>
      <x:c r="W63" t="str">
        <x:f>J63</x:f>
        <x:v>63900</x:v>
      </x:c>
      <x:c r="X63" t="n">
        <x:f>W63/12</x:f>
        <x:v>5325</x:v>
      </x:c>
      <x:c r="Y63" t="n">
        <x:f>IFERROR(Q63/X63,"")</x:f>
        <x:v>0.3171830985915493</x:v>
      </x:c>
      <x:c r="Z63" t="n">
        <x:f>IFERROR(PMT('Housing Salary Share Phase 1'!$B$7/12,'Housing Salary Share Phase 1'!$B$8*12,-R63*(1-'Housing Salary Share Phase 1'!$B$6)),"")</x:f>
        <x:v>3087.00357763141</x:v>
      </x:c>
      <x:c r="AA63" t="n">
        <x:f>IFERROR(Z63/X63,"")</x:f>
        <x:v>0.5797189817148187</x:v>
      </x:c>
      <x:c r="AB63" t="n">
        <x:f>IFS(Y63&lt;=20%,95,Y63&lt;=25%,82,Y63&lt;=30%,65,Y63&lt;=40%,45,TRUE,20)</x:f>
        <x:v>45</x:v>
      </x:c>
      <x:c r="AC63" t="n">
        <x:f>IFS(AA63&lt;=20%,95,AA63&lt;=25%,82,AA63&lt;=30%,65,AA63&lt;=40%,45,TRUE,20)</x:f>
        <x:v>20</x:v>
      </x:c>
      <x:c r="AD63" t="n">
        <x:f>AB63*'Housing Salary Share Phase 1'!$B$9+AC63*'Housing Salary Share Phase 1'!$B$10</x:f>
        <x:v>37.5</x:v>
      </x:c>
      <x:c r="AE63" t="str">
        <x:f>IFERROR(TEXT(Y63,"0%")&amp;" of Salary","")</x:f>
        <x:v>32% of Salary</x:v>
      </x:c>
      <x:c r="AF63" t="str">
        <x:f>IFERROR(TEXT(AA63,"0%")&amp;" of Salary","")</x:f>
        <x:v>58% of Salary</x:v>
      </x:c>
    </x:row>
    <x:row r="64">
      <x:c r="A64" t="str">
        <x:v>63</x:v>
      </x:c>
      <x:c r="B64" t="str">
        <x:v>San Antonio ISD</x:v>
      </x:c>
      <x:c r="C64" t="str">
        <x:v>TX</x:v>
      </x:c>
      <x:c r="D64" t="str">
        <x:v>San Antonio</x:v>
      </x:c>
      <x:c r="E64" s="8" t="str">
        <x:v>42.279</x:v>
      </x:c>
      <x:c r="F64" s="8" t="str">
        <x:v>42.3989</x:v>
      </x:c>
      <x:c r="G64" s="10" t="str">
        <x:v>12895</x:v>
      </x:c>
      <x:c r="H64" s="8" t="str">
        <x:v>40</x:v>
      </x:c>
      <x:c r="I64" t="str">
        <x:v>Low</x:v>
      </x:c>
      <x:c r="J64" s="10" t="str">
        <x:v>60000</x:v>
      </x:c>
      <x:c r="K64" s="10" t="str">
        <x:v>62000</x:v>
      </x:c>
      <x:c r="L64" s="10" t="str">
        <x:v>64513</x:v>
      </x:c>
      <x:c r="M64" s="10" t="str">
        <x:v>66513</x:v>
      </x:c>
      <x:c r="N64" s="10" t="str">
        <x:v>65590</x:v>
      </x:c>
      <x:c r="O64" s="10" t="str">
        <x:v>67590</x:v>
      </x:c>
      <x:c r="P64" s="10" t="str">
        <x:v>2000</x:v>
      </x:c>
      <x:c r="Q64" s="10" t="str">
        <x:v>1372</x:v>
      </x:c>
      <x:c r="R64" s="10" t="str">
        <x:v>260000</x:v>
      </x:c>
      <x:c r="S64" s="10" t="str">
        <x:v>140</x:v>
      </x:c>
      <x:c r="T64" s="8" t="str">
        <x:v>40</x:v>
      </x:c>
      <x:c r="U64" t="str">
        <x:v>Severe</x:v>
      </x:c>
      <x:c r="V64" t="str">
        <x:v>https://www.census.gov/newsroom/press-releases/2026/school-system-finances.html</x:v>
      </x:c>
      <x:c r="W64" t="str">
        <x:f>J64</x:f>
        <x:v>60000</x:v>
      </x:c>
      <x:c r="X64" t="n">
        <x:f>W64/12</x:f>
        <x:v>5000</x:v>
      </x:c>
      <x:c r="Y64" t="n">
        <x:f>IFERROR(Q64/X64,"")</x:f>
        <x:v>0.2744</x:v>
      </x:c>
      <x:c r="Z64" t="n">
        <x:f>IFERROR(PMT('Housing Salary Share Phase 1'!$B$7/12,'Housing Salary Share Phase 1'!$B$8*12,-R64*(1-'Housing Salary Share Phase 1'!$B$6)),"")</x:f>
        <x:v>1383.829189972701</x:v>
      </x:c>
      <x:c r="AA64" t="n">
        <x:f>IFERROR(Z64/X64,"")</x:f>
        <x:v>0.2767658379945402</x:v>
      </x:c>
      <x:c r="AB64" t="n">
        <x:f>IFS(Y64&lt;=20%,95,Y64&lt;=25%,82,Y64&lt;=30%,65,Y64&lt;=40%,45,TRUE,20)</x:f>
        <x:v>65</x:v>
      </x:c>
      <x:c r="AC64" t="n">
        <x:f>IFS(AA64&lt;=20%,95,AA64&lt;=25%,82,AA64&lt;=30%,65,AA64&lt;=40%,45,TRUE,20)</x:f>
        <x:v>65</x:v>
      </x:c>
      <x:c r="AD64" t="n">
        <x:f>AB64*'Housing Salary Share Phase 1'!$B$9+AC64*'Housing Salary Share Phase 1'!$B$10</x:f>
        <x:v>65</x:v>
      </x:c>
      <x:c r="AE64" t="str">
        <x:f>IFERROR(TEXT(Y64,"0%")&amp;" of Salary","")</x:f>
        <x:v>27% of Salary</x:v>
      </x:c>
      <x:c r="AF64" t="str">
        <x:f>IFERROR(TEXT(AA64,"0%")&amp;" of Salary","")</x:f>
        <x:v>28% of Salary</x:v>
      </x:c>
    </x:row>
    <x:row r="65">
      <x:c r="A65" t="str">
        <x:v>64</x:v>
      </x:c>
      <x:c r="B65" t="str">
        <x:v>Royal ISD</x:v>
      </x:c>
      <x:c r="C65" t="str">
        <x:v>TX</x:v>
      </x:c>
      <x:c r="D65" t="str">
        <x:v>Houston</x:v>
      </x:c>
      <x:c r="E65" s="8" t="str">
        <x:v>40.3547</x:v>
      </x:c>
      <x:c r="F65" s="8" t="str">
        <x:v>40.3734</x:v>
      </x:c>
      <x:c r="G65" s="10" t="str">
        <x:v>12895</x:v>
      </x:c>
      <x:c r="H65" s="8" t="str">
        <x:v>40</x:v>
      </x:c>
      <x:c r="I65" t="str">
        <x:v>Low</x:v>
      </x:c>
      <x:c r="J65" s="10" t="str">
        <x:v>61000</x:v>
      </x:c>
      <x:c r="K65" s="10" t="str">
        <x:v>62000</x:v>
      </x:c>
      <x:c r="L65" s="10" t="str">
        <x:v>70020</x:v>
      </x:c>
      <x:c r="M65" s="10" t="str">
        <x:v>71020</x:v>
      </x:c>
      <x:c r="N65" s="10" t="str">
        <x:v>71820</x:v>
      </x:c>
      <x:c r="O65" s="10" t="str">
        <x:v>72820</x:v>
      </x:c>
      <x:c r="P65" s="10" t="str">
        <x:v>1000</x:v>
      </x:c>
      <x:c r="Q65" s="10" t="str">
        <x:v>2245</x:v>
      </x:c>
      <x:c r="R65" s="10" t="str">
        <x:v>335000</x:v>
      </x:c>
      <x:c r="S65" s="10" t="str">
        <x:v>125</x:v>
      </x:c>
      <x:c r="T65" s="8" t="str">
        <x:v>100</x:v>
      </x:c>
      <x:c r="U65" t="str">
        <x:v>Stable</x:v>
      </x:c>
      <x:c r="V65" t="str">
        <x:v>https://www.census.gov/newsroom/press-releases/2026/school-system-finances.html</x:v>
      </x:c>
      <x:c r="W65" t="str">
        <x:f>J65</x:f>
        <x:v>61000</x:v>
      </x:c>
      <x:c r="X65" t="n">
        <x:f>W65/12</x:f>
        <x:v>5083.333333333333</x:v>
      </x:c>
      <x:c r="Y65" t="n">
        <x:f>IFERROR(Q65/X65,"")</x:f>
        <x:v>0.4416393442622951</x:v>
      </x:c>
      <x:c r="Z65" t="n">
        <x:f>IFERROR(PMT('Housing Salary Share Phase 1'!$B$7/12,'Housing Salary Share Phase 1'!$B$8*12,-R65*(1-'Housing Salary Share Phase 1'!$B$6)),"")</x:f>
        <x:v>1783.010687080211</x:v>
      </x:c>
      <x:c r="AA65" t="n">
        <x:f>IFERROR(Z65/X65,"")</x:f>
        <x:v>0.35075620073709074</x:v>
      </x:c>
      <x:c r="AB65" t="n">
        <x:f>IFS(Y65&lt;=20%,95,Y65&lt;=25%,82,Y65&lt;=30%,65,Y65&lt;=40%,45,TRUE,20)</x:f>
        <x:v>20</x:v>
      </x:c>
      <x:c r="AC65" t="n">
        <x:f>IFS(AA65&lt;=20%,95,AA65&lt;=25%,82,AA65&lt;=30%,65,AA65&lt;=40%,45,TRUE,20)</x:f>
        <x:v>45</x:v>
      </x:c>
      <x:c r="AD65" t="n">
        <x:f>AB65*'Housing Salary Share Phase 1'!$B$9+AC65*'Housing Salary Share Phase 1'!$B$10</x:f>
        <x:v>27.5</x:v>
      </x:c>
      <x:c r="AE65" t="str">
        <x:f>IFERROR(TEXT(Y65,"0%")&amp;" of Salary","")</x:f>
        <x:v>44% of Salary</x:v>
      </x:c>
      <x:c r="AF65" t="str">
        <x:f>IFERROR(TEXT(AA65,"0%")&amp;" of Salary","")</x:f>
        <x:v>35% of Salary</x:v>
      </x:c>
    </x:row>
    <x:row r="66">
      <x:c r="A66" t="str">
        <x:v>65</x:v>
      </x:c>
      <x:c r="B66" t="str">
        <x:v>San Jose Unified School District</x:v>
      </x:c>
      <x:c r="C66" t="str">
        <x:v>CA</x:v>
      </x:c>
      <x:c r="D66" t="str">
        <x:v>Bay Area</x:v>
      </x:c>
      <x:c r="E66" s="8" t="str">
        <x:v>39.7289</x:v>
      </x:c>
      <x:c r="F66" s="8" t="str">
        <x:v>37.3462</x:v>
      </x:c>
      <x:c r="G66" s="10" t="str">
        <x:v>20791</x:v>
      </x:c>
      <x:c r="H66" s="8" t="str">
        <x:v>85</x:v>
      </x:c>
      <x:c r="I66" t="str">
        <x:v>Very Good</x:v>
      </x:c>
      <x:c r="J66" s="10" t="str">
        <x:v>72051</x:v>
      </x:c>
      <x:c r="K66" s="10" t="str">
        <x:v>75051</x:v>
      </x:c>
      <x:c r="L66" s="10" t="str">
        <x:v>86255</x:v>
      </x:c>
      <x:c r="M66" s="10" t="str">
        <x:v>89255</x:v>
      </x:c>
      <x:c r="N66" s="10" t="str">
        <x:v>104011</x:v>
      </x:c>
      <x:c r="O66" s="10" t="str">
        <x:v>107011</x:v>
      </x:c>
      <x:c r="P66" s="10" t="str">
        <x:v>3000</x:v>
      </x:c>
      <x:c r="Q66" s="10" t="str">
        <x:v>3300</x:v>
      </x:c>
      <x:c r="R66" s="10" t="str">
        <x:v>1500000</x:v>
      </x:c>
      <x:c r="S66" s="10" t="str">
        <x:v>200</x:v>
      </x:c>
      <x:c r="T66" s="8" t="str">
        <x:v>60</x:v>
      </x:c>
      <x:c r="U66" t="str">
        <x:v>Elevated</x:v>
      </x:c>
      <x:c r="V66" t="str">
        <x:v>https://www.census.gov/newsroom/press-releases/2026/school-system-finances.html</x:v>
      </x:c>
      <x:c r="W66" t="str">
        <x:f>J66</x:f>
        <x:v>72051</x:v>
      </x:c>
      <x:c r="X66" t="n">
        <x:f>W66/12</x:f>
        <x:v>6004.25</x:v>
      </x:c>
      <x:c r="Y66" t="n">
        <x:f>IFERROR(Q66/X66,"")</x:f>
        <x:v>0.5496106924261981</x:v>
      </x:c>
      <x:c r="Z66" t="n">
        <x:f>IFERROR(PMT('Housing Salary Share Phase 1'!$B$7/12,'Housing Salary Share Phase 1'!$B$8*12,-R66*(1-'Housing Salary Share Phase 1'!$B$6)),"")</x:f>
        <x:v>7983.629942150198</x:v>
      </x:c>
      <x:c r="AA66" t="n">
        <x:f>IFERROR(Z66/X66,"")</x:f>
        <x:v>1.3296631456302117</x:v>
      </x:c>
      <x:c r="AB66" t="n">
        <x:f>IFS(Y66&lt;=20%,95,Y66&lt;=25%,82,Y66&lt;=30%,65,Y66&lt;=40%,45,TRUE,20)</x:f>
        <x:v>20</x:v>
      </x:c>
      <x:c r="AC66" t="n">
        <x:f>IFS(AA66&lt;=20%,95,AA66&lt;=25%,82,AA66&lt;=30%,65,AA66&lt;=40%,45,TRUE,20)</x:f>
        <x:v>20</x:v>
      </x:c>
      <x:c r="AD66" t="n">
        <x:f>AB66*'Housing Salary Share Phase 1'!$B$9+AC66*'Housing Salary Share Phase 1'!$B$10</x:f>
        <x:v>20</x:v>
      </x:c>
      <x:c r="AE66" t="str">
        <x:f>IFERROR(TEXT(Y66,"0%")&amp;" of Salary","")</x:f>
        <x:v>55% of Salary</x:v>
      </x:c>
      <x:c r="AF66" t="str">
        <x:f>IFERROR(TEXT(AA66,"0%")&amp;" of Salary","")</x:f>
        <x:v>133% of Salary</x:v>
      </x:c>
    </x:row>
    <x:row r="67">
      <x:c r="A67" t="str">
        <x:v>66</x:v>
      </x:c>
      <x:c r="B67" t="str">
        <x:v>La Cañada Unified School District</x:v>
      </x:c>
      <x:c r="C67" t="str">
        <x:v>CA</x:v>
      </x:c>
      <x:c r="D67" t="str">
        <x:v>Southern California</x:v>
      </x:c>
      <x:c r="E67" s="8" t="str">
        <x:v>38.9592</x:v>
      </x:c>
      <x:c r="F67" s="8" t="str">
        <x:v>36.536</x:v>
      </x:c>
      <x:c r="G67" s="10" t="str">
        <x:v>20791</x:v>
      </x:c>
      <x:c r="H67" s="8" t="str">
        <x:v>85</x:v>
      </x:c>
      <x:c r="I67" t="str">
        <x:v>Very Good</x:v>
      </x:c>
      <x:c r="J67" s="10" t="str">
        <x:v>62754</x:v>
      </x:c>
      <x:c r="K67" s="10" t="str">
        <x:v>73687</x:v>
      </x:c>
      <x:c r="L67" s="10" t="str">
        <x:v>72033</x:v>
      </x:c>
      <x:c r="M67" s="10" t="str">
        <x:v>84583</x:v>
      </x:c>
      <x:c r="N67" s="10" t="str">
        <x:v>85553</x:v>
      </x:c>
      <x:c r="O67" s="10" t="str">
        <x:v>100457</x:v>
      </x:c>
      <x:c r="P67" s="10" t="str">
        <x:v>10933</x:v>
      </x:c>
      <x:c r="Q67" s="10" t="str">
        <x:v>5900</x:v>
      </x:c>
      <x:c r="R67" s="10" t="str">
        <x:v>2499891</x:v>
      </x:c>
      <x:c r="S67" s="10" t="str">
        <x:v>200</x:v>
      </x:c>
      <x:c r="T67" s="8" t="str">
        <x:v>100</x:v>
      </x:c>
      <x:c r="U67" t="str">
        <x:v>Stable</x:v>
      </x:c>
      <x:c r="V67" t="str">
        <x:v>https://www.census.gov/newsroom/press-releases/2026/school-system-finances.html</x:v>
      </x:c>
      <x:c r="W67" t="str">
        <x:f>J67</x:f>
        <x:v>62754</x:v>
      </x:c>
      <x:c r="X67" t="n">
        <x:f>W67/12</x:f>
        <x:v>5229.5</x:v>
      </x:c>
      <x:c r="Y67" t="n">
        <x:f>IFERROR(Q67/X67,"")</x:f>
        <x:v>1.128214934506167</x:v>
      </x:c>
      <x:c r="Z67" t="n">
        <x:f>IFERROR(PMT('Housing Salary Share Phase 1'!$B$7/12,'Housing Salary Share Phase 1'!$B$8*12,-R67*(1-'Housing Salary Share Phase 1'!$B$6)),"")</x:f>
        <x:v>13305.469759807867</x:v>
      </x:c>
      <x:c r="AA67" t="n">
        <x:f>IFERROR(Z67/X67,"")</x:f>
        <x:v>2.544310117565325</x:v>
      </x:c>
      <x:c r="AB67" t="n">
        <x:f>IFS(Y67&lt;=20%,95,Y67&lt;=25%,82,Y67&lt;=30%,65,Y67&lt;=40%,45,TRUE,20)</x:f>
        <x:v>20</x:v>
      </x:c>
      <x:c r="AC67" t="n">
        <x:f>IFS(AA67&lt;=20%,95,AA67&lt;=25%,82,AA67&lt;=30%,65,AA67&lt;=40%,45,TRUE,20)</x:f>
        <x:v>20</x:v>
      </x:c>
      <x:c r="AD67" t="n">
        <x:f>AB67*'Housing Salary Share Phase 1'!$B$9+AC67*'Housing Salary Share Phase 1'!$B$10</x:f>
        <x:v>20</x:v>
      </x:c>
      <x:c r="AE67" t="str">
        <x:f>IFERROR(TEXT(Y67,"0%")&amp;" of Salary","")</x:f>
        <x:v>113% of Salary</x:v>
      </x:c>
      <x:c r="AF67" t="str">
        <x:f>IFERROR(TEXT(AA67,"0%")&amp;" of Salary","")</x:f>
        <x:v>254% of Salary</x:v>
      </x:c>
    </x:row>
    <x:row r="68">
      <x:c r="A68" t="str">
        <x:v>67</x:v>
      </x:c>
      <x:c r="B68" t="str">
        <x:v>Leander ISD</x:v>
      </x:c>
      <x:c r="C68" t="str">
        <x:v>TX</x:v>
      </x:c>
      <x:c r="D68" t="str">
        <x:v>Austin</x:v>
      </x:c>
      <x:c r="E68" s="8" t="str">
        <x:v>38.9504</x:v>
      </x:c>
      <x:c r="F68" s="8" t="str">
        <x:v>38.8952</x:v>
      </x:c>
      <x:c r="G68" s="10" t="str">
        <x:v>12895</x:v>
      </x:c>
      <x:c r="H68" s="8" t="str">
        <x:v>40</x:v>
      </x:c>
      <x:c r="I68" t="str">
        <x:v>Low</x:v>
      </x:c>
      <x:c r="J68" s="10" t="str">
        <x:v>57500</x:v>
      </x:c>
      <x:c r="K68" s="10" t="str">
        <x:v>58500</x:v>
      </x:c>
      <x:c r="L68" s="10" t="str">
        <x:v>62683</x:v>
      </x:c>
      <x:c r="M68" s="10" t="str">
        <x:v>63683</x:v>
      </x:c>
      <x:c r="N68" s="10" t="str">
        <x:v>64271</x:v>
      </x:c>
      <x:c r="O68" s="10" t="str">
        <x:v>65271</x:v>
      </x:c>
      <x:c r="P68" s="10" t="str">
        <x:v>1000</x:v>
      </x:c>
      <x:c r="Q68" s="10" t="str">
        <x:v>1500</x:v>
      </x:c>
      <x:c r="R68" s="10" t="str">
        <x:v>512000</x:v>
      </x:c>
      <x:c r="S68" s="10" t="str">
        <x:v>130</x:v>
      </x:c>
      <x:c r="T68" s="8" t="str">
        <x:v>60</x:v>
      </x:c>
      <x:c r="U68" t="str">
        <x:v>Elevated</x:v>
      </x:c>
      <x:c r="V68" t="str">
        <x:v>https://www.census.gov/newsroom/press-releases/2026/school-system-finances.html</x:v>
      </x:c>
      <x:c r="W68" t="str">
        <x:f>J68</x:f>
        <x:v>57500</x:v>
      </x:c>
      <x:c r="X68" t="n">
        <x:f>W68/12</x:f>
        <x:v>4791.666666666667</x:v>
      </x:c>
      <x:c r="Y68" t="n">
        <x:f>IFERROR(Q68/X68,"")</x:f>
        <x:v>0.31304347826086953</x:v>
      </x:c>
      <x:c r="Z68" t="n">
        <x:f>IFERROR(PMT('Housing Salary Share Phase 1'!$B$7/12,'Housing Salary Share Phase 1'!$B$8*12,-R68*(1-'Housing Salary Share Phase 1'!$B$6)),"")</x:f>
        <x:v>2725.0790202539342</x:v>
      </x:c>
      <x:c r="AA68" t="n">
        <x:f>IFERROR(Z68/X68,"")</x:f>
        <x:v>0.5687121433573428</x:v>
      </x:c>
      <x:c r="AB68" t="n">
        <x:f>IFS(Y68&lt;=20%,95,Y68&lt;=25%,82,Y68&lt;=30%,65,Y68&lt;=40%,45,TRUE,20)</x:f>
        <x:v>45</x:v>
      </x:c>
      <x:c r="AC68" t="n">
        <x:f>IFS(AA68&lt;=20%,95,AA68&lt;=25%,82,AA68&lt;=30%,65,AA68&lt;=40%,45,TRUE,20)</x:f>
        <x:v>20</x:v>
      </x:c>
      <x:c r="AD68" t="n">
        <x:f>AB68*'Housing Salary Share Phase 1'!$B$9+AC68*'Housing Salary Share Phase 1'!$B$10</x:f>
        <x:v>37.5</x:v>
      </x:c>
      <x:c r="AE68" t="str">
        <x:f>IFERROR(TEXT(Y68,"0%")&amp;" of Salary","")</x:f>
        <x:v>31% of Salary</x:v>
      </x:c>
      <x:c r="AF68" t="str">
        <x:f>IFERROR(TEXT(AA68,"0%")&amp;" of Salary","")</x:f>
        <x:v>57% of Salary</x:v>
      </x:c>
    </x:row>
    <x:row r="69">
      <x:c r="A69" t="str">
        <x:v>68</x:v>
      </x:c>
      <x:c r="B69" t="str">
        <x:v>Metro Nashville Public Schools</x:v>
      </x:c>
      <x:c r="C69" t="str">
        <x:v>TN</x:v>
      </x:c>
      <x:c r="D69" t="str">
        <x:v>Nashville</x:v>
      </x:c>
      <x:c r="E69" s="8" t="str">
        <x:v>38.814</x:v>
      </x:c>
      <x:c r="F69" s="8" t="str">
        <x:v>38.7516</x:v>
      </x:c>
      <x:c r="G69" s="10" t="str">
        <x:v>12882</x:v>
      </x:c>
      <x:c r="H69" s="8" t="str">
        <x:v>40</x:v>
      </x:c>
      <x:c r="I69" t="str">
        <x:v>Low</x:v>
      </x:c>
      <x:c r="J69" s="10" t="str">
        <x:v>53610.04</x:v>
      </x:c>
      <x:c r="K69" s="10" t="str">
        <x:v>59065.94</x:v>
      </x:c>
      <x:c r="L69" s="10" t="str">
        <x:v>59527.35</x:v>
      </x:c>
      <x:c r="M69" s="10" t="str">
        <x:v>65756.91</x:v>
      </x:c>
      <x:c r="N69" s="10" t="str">
        <x:v>65444.67</x:v>
      </x:c>
      <x:c r="O69" s="10" t="str">
        <x:v>71405.13</x:v>
      </x:c>
      <x:c r="P69" s="10" t="str">
        <x:v>5455.9</x:v>
      </x:c>
      <x:c r="Q69" s="10" t="str">
        <x:v>2195</x:v>
      </x:c>
      <x:c r="R69" s="10" t="str">
        <x:v>436355</x:v>
      </x:c>
      <x:c r="S69" s="10" t="str">
        <x:v>145</x:v>
      </x:c>
      <x:c r="T69" s="8" t="str">
        <x:v>75</x:v>
      </x:c>
      <x:c r="U69" t="str">
        <x:v>Moderate</x:v>
      </x:c>
      <x:c r="V69" t="str">
        <x:v>https://www.census.gov/newsroom/press-releases/2026/school-system-finances.html</x:v>
      </x:c>
      <x:c r="W69" t="str">
        <x:f>J69</x:f>
        <x:v>53610.04</x:v>
      </x:c>
      <x:c r="X69" t="n">
        <x:f>W69/12</x:f>
        <x:v>4467.503333333333</x:v>
      </x:c>
      <x:c r="Y69" t="n">
        <x:f>IFERROR(Q69/X69,"")</x:f>
        <x:v>0.49132587851081627</x:v>
      </x:c>
      <x:c r="Z69" t="n">
        <x:f>IFERROR(PMT('Housing Salary Share Phase 1'!$B$7/12,'Housing Salary Share Phase 1'!$B$8*12,-R69*(1-'Housing Salary Share Phase 1'!$B$6)),"")</x:f>
        <x:v>2322.4645622713</x:v>
      </x:c>
      <x:c r="AA69" t="n">
        <x:f>IFERROR(Z69/X69,"")</x:f>
        <x:v>0.5198573764775329</x:v>
      </x:c>
      <x:c r="AB69" t="n">
        <x:f>IFS(Y69&lt;=20%,95,Y69&lt;=25%,82,Y69&lt;=30%,65,Y69&lt;=40%,45,TRUE,20)</x:f>
        <x:v>20</x:v>
      </x:c>
      <x:c r="AC69" t="n">
        <x:f>IFS(AA69&lt;=20%,95,AA69&lt;=25%,82,AA69&lt;=30%,65,AA69&lt;=40%,45,TRUE,20)</x:f>
        <x:v>20</x:v>
      </x:c>
      <x:c r="AD69" t="n">
        <x:f>AB69*'Housing Salary Share Phase 1'!$B$9+AC69*'Housing Salary Share Phase 1'!$B$10</x:f>
        <x:v>20</x:v>
      </x:c>
      <x:c r="AE69" t="str">
        <x:f>IFERROR(TEXT(Y69,"0%")&amp;" of Salary","")</x:f>
        <x:v>49% of Salary</x:v>
      </x:c>
      <x:c r="AF69" t="str">
        <x:f>IFERROR(TEXT(AA69,"0%")&amp;" of Salary","")</x:f>
        <x:v>52% of Salary</x:v>
      </x:c>
    </x:row>
    <x:row r="70">
      <x:c r="A70" t="str">
        <x:v>69</x:v>
      </x:c>
      <x:c r="B70" t="str">
        <x:v>Glendora Unified School District</x:v>
      </x:c>
      <x:c r="C70" t="str">
        <x:v>CA</x:v>
      </x:c>
      <x:c r="D70" t="str">
        <x:v>Southern California</x:v>
      </x:c>
      <x:c r="E70" s="8" t="str">
        <x:v>38.404</x:v>
      </x:c>
      <x:c r="F70" s="8" t="str">
        <x:v>35.9516</x:v>
      </x:c>
      <x:c r="G70" s="10" t="str">
        <x:v>20791</x:v>
      </x:c>
      <x:c r="H70" s="8" t="str">
        <x:v>85</x:v>
      </x:c>
      <x:c r="I70" t="str">
        <x:v>Very Good</x:v>
      </x:c>
      <x:c r="J70" s="10" t="str">
        <x:v>55384</x:v>
      </x:c>
      <x:c r="K70" s="10" t="str">
        <x:v>66948</x:v>
      </x:c>
      <x:c r="L70" s="10" t="str">
        <x:v>64186</x:v>
      </x:c>
      <x:c r="M70" s="10" t="str">
        <x:v>77411</x:v>
      </x:c>
      <x:c r="N70" s="10" t="str">
        <x:v>70809</x:v>
      </x:c>
      <x:c r="O70" s="10" t="str">
        <x:v>95038</x:v>
      </x:c>
      <x:c r="P70" s="10" t="str">
        <x:v>11564</x:v>
      </x:c>
      <x:c r="Q70" s="10" t="str">
        <x:v>2700</x:v>
      </x:c>
      <x:c r="R70" s="10" t="str">
        <x:v>900000</x:v>
      </x:c>
      <x:c r="S70" s="10" t="str">
        <x:v>200</x:v>
      </x:c>
      <x:c r="T70" s="8" t="str">
        <x:v>75</x:v>
      </x:c>
      <x:c r="U70" t="str">
        <x:v>Moderate</x:v>
      </x:c>
      <x:c r="V70" t="str">
        <x:v>https://www.census.gov/newsroom/press-releases/2026/school-system-finances.html</x:v>
      </x:c>
      <x:c r="W70" t="str">
        <x:f>J70</x:f>
        <x:v>55384</x:v>
      </x:c>
      <x:c r="X70" t="n">
        <x:f>W70/12</x:f>
        <x:v>4615.333333333333</x:v>
      </x:c>
      <x:c r="Y70" t="n">
        <x:f>IFERROR(Q70/X70,"")</x:f>
        <x:v>0.5850065000722231</x:v>
      </x:c>
      <x:c r="Z70" t="n">
        <x:f>IFERROR(PMT('Housing Salary Share Phase 1'!$B$7/12,'Housing Salary Share Phase 1'!$B$8*12,-R70*(1-'Housing Salary Share Phase 1'!$B$6)),"")</x:f>
        <x:v>4790.177965290119</x:v>
      </x:c>
      <x:c r="AA70" t="n">
        <x:f>IFERROR(Z70/X70,"")</x:f>
        <x:v>1.0378834245175759</x:v>
      </x:c>
      <x:c r="AB70" t="n">
        <x:f>IFS(Y70&lt;=20%,95,Y70&lt;=25%,82,Y70&lt;=30%,65,Y70&lt;=40%,45,TRUE,20)</x:f>
        <x:v>20</x:v>
      </x:c>
      <x:c r="AC70" t="n">
        <x:f>IFS(AA70&lt;=20%,95,AA70&lt;=25%,82,AA70&lt;=30%,65,AA70&lt;=40%,45,TRUE,20)</x:f>
        <x:v>20</x:v>
      </x:c>
      <x:c r="AD70" t="n">
        <x:f>AB70*'Housing Salary Share Phase 1'!$B$9+AC70*'Housing Salary Share Phase 1'!$B$10</x:f>
        <x:v>20</x:v>
      </x:c>
      <x:c r="AE70" t="str">
        <x:f>IFERROR(TEXT(Y70,"0%")&amp;" of Salary","")</x:f>
        <x:v>59% of Salary</x:v>
      </x:c>
      <x:c r="AF70" t="str">
        <x:f>IFERROR(TEXT(AA70,"0%")&amp;" of Salary","")</x:f>
        <x:v>104% of Salary</x:v>
      </x:c>
    </x:row>
    <x:row r="71">
      <x:c r="A71" t="str">
        <x:v>70</x:v>
      </x:c>
      <x:c r="B71" t="str">
        <x:v>South Pasadena Unified School District</x:v>
      </x:c>
      <x:c r="C71" t="str">
        <x:v>CA</x:v>
      </x:c>
      <x:c r="D71" t="str">
        <x:v>Southern California</x:v>
      </x:c>
      <x:c r="E71" s="8" t="str">
        <x:v>38.1679</x:v>
      </x:c>
      <x:c r="F71" s="8" t="str">
        <x:v>35.7031</x:v>
      </x:c>
      <x:c r="G71" s="10" t="str">
        <x:v>20791</x:v>
      </x:c>
      <x:c r="H71" s="8" t="str">
        <x:v>85</x:v>
      </x:c>
      <x:c r="I71" t="str">
        <x:v>Very Good</x:v>
      </x:c>
      <x:c r="J71" s="10" t="str">
        <x:v>54525</x:v>
      </x:c>
      <x:c r="K71" s="10" t="str">
        <x:v>62698</x:v>
      </x:c>
      <x:c r="L71" s="10" t="str">
        <x:v>67339</x:v>
      </x:c>
      <x:c r="M71" s="10" t="str">
        <x:v>77040</x:v>
      </x:c>
      <x:c r="N71" s="10" t="str">
        <x:v>77577</x:v>
      </x:c>
      <x:c r="O71" s="10" t="str">
        <x:v>91381</x:v>
      </x:c>
      <x:c r="P71" s="10" t="str">
        <x:v>8173</x:v>
      </x:c>
      <x:c r="Q71" s="10" t="str">
        <x:v>2695</x:v>
      </x:c>
      <x:c r="R71" s="10" t="str">
        <x:v>1918852</x:v>
      </x:c>
      <x:c r="S71" s="10" t="str">
        <x:v>200</x:v>
      </x:c>
      <x:c r="T71" s="8" t="str">
        <x:v>75</x:v>
      </x:c>
      <x:c r="U71" t="str">
        <x:v>Moderate</x:v>
      </x:c>
      <x:c r="V71" t="str">
        <x:v>https://www.census.gov/newsroom/press-releases/2026/school-system-finances.html</x:v>
      </x:c>
      <x:c r="W71" t="str">
        <x:f>J71</x:f>
        <x:v>54525</x:v>
      </x:c>
      <x:c r="X71" t="n">
        <x:f>W71/12</x:f>
        <x:v>4543.75</x:v>
      </x:c>
      <x:c r="Y71" t="n">
        <x:f>IFERROR(Q71/X71,"")</x:f>
        <x:v>0.5931224209078404</x:v>
      </x:c>
      <x:c r="Z71" t="n">
        <x:f>IFERROR(PMT('Housing Salary Share Phase 1'!$B$7/12,'Housing Salary Share Phase 1'!$B$8*12,-R71*(1-'Housing Salary Share Phase 1'!$B$6)),"")</x:f>
        <x:v>10212.936187836529</x:v>
      </x:c>
      <x:c r="AA71" t="n">
        <x:f>IFERROR(Z71/X71,"")</x:f>
        <x:v>2.2476888446407766</x:v>
      </x:c>
      <x:c r="AB71" t="n">
        <x:f>IFS(Y71&lt;=20%,95,Y71&lt;=25%,82,Y71&lt;=30%,65,Y71&lt;=40%,45,TRUE,20)</x:f>
        <x:v>20</x:v>
      </x:c>
      <x:c r="AC71" t="n">
        <x:f>IFS(AA71&lt;=20%,95,AA71&lt;=25%,82,AA71&lt;=30%,65,AA71&lt;=40%,45,TRUE,20)</x:f>
        <x:v>20</x:v>
      </x:c>
      <x:c r="AD71" t="n">
        <x:f>AB71*'Housing Salary Share Phase 1'!$B$9+AC71*'Housing Salary Share Phase 1'!$B$10</x:f>
        <x:v>20</x:v>
      </x:c>
      <x:c r="AE71" t="str">
        <x:f>IFERROR(TEXT(Y71,"0%")&amp;" of Salary","")</x:f>
        <x:v>59% of Salary</x:v>
      </x:c>
      <x:c r="AF71" t="str">
        <x:f>IFERROR(TEXT(AA71,"0%")&amp;" of Salary","")</x:f>
        <x:v>225% of Salary</x:v>
      </x:c>
    </x:row>
    <x:row r="72">
      <x:c r="A72" t="str">
        <x:v>71</x:v>
      </x:c>
      <x:c r="B72" t="str">
        <x:v>Provo City School District</x:v>
      </x:c>
      <x:c r="C72" t="str">
        <x:v>UT</x:v>
      </x:c>
      <x:c r="D72" t="str">
        <x:v>Salt Lake Valley</x:v>
      </x:c>
      <x:c r="E72" s="8" t="str">
        <x:v>37.5708</x:v>
      </x:c>
      <x:c r="F72" s="8" t="str">
        <x:v>37.4429</x:v>
      </x:c>
      <x:c r="G72" s="10" t="str">
        <x:v>11347</x:v>
      </x:c>
      <x:c r="H72" s="8" t="str">
        <x:v>40</x:v>
      </x:c>
      <x:c r="I72" t="str">
        <x:v>Low</x:v>
      </x:c>
      <x:c r="J72" s="10" t="str">
        <x:v>60672</x:v>
      </x:c>
      <x:c r="K72" s="10" t="str">
        <x:v>65297</x:v>
      </x:c>
      <x:c r="L72" s="10" t="str">
        <x:v>63447</x:v>
      </x:c>
      <x:c r="M72" s="10" t="str">
        <x:v>68072</x:v>
      </x:c>
      <x:c r="N72" s="10" t="str">
        <x:v>68072</x:v>
      </x:c>
      <x:c r="O72" s="10" t="str">
        <x:v>72697</x:v>
      </x:c>
      <x:c r="P72" s="10" t="str">
        <x:v>4625</x:v>
      </x:c>
      <x:c r="Q72" s="10" t="str">
        <x:v>1550</x:v>
      </x:c>
      <x:c r="R72" s="10" t="str">
        <x:v>533000</x:v>
      </x:c>
      <x:c r="S72" s="10" t="str">
        <x:v>185</x:v>
      </x:c>
      <x:c r="T72" s="8" t="str">
        <x:v>60</x:v>
      </x:c>
      <x:c r="U72" t="str">
        <x:v>Elevated</x:v>
      </x:c>
      <x:c r="V72" t="str">
        <x:v>https://www.census.gov/newsroom/press-releases/2026/school-system-finances.html</x:v>
      </x:c>
      <x:c r="W72" t="str">
        <x:f>J72</x:f>
        <x:v>60672</x:v>
      </x:c>
      <x:c r="X72" t="n">
        <x:f>W72/12</x:f>
        <x:v>5056</x:v>
      </x:c>
      <x:c r="Y72" t="n">
        <x:f>IFERROR(Q72/X72,"")</x:f>
        <x:v>0.30656645569620256</x:v>
      </x:c>
      <x:c r="Z72" t="n">
        <x:f>IFERROR(PMT('Housing Salary Share Phase 1'!$B$7/12,'Housing Salary Share Phase 1'!$B$8*12,-R72*(1-'Housing Salary Share Phase 1'!$B$6)),"")</x:f>
        <x:v>2836.849839444037</x:v>
      </x:c>
      <x:c r="AA72" t="n">
        <x:f>IFERROR(Z72/X72,"")</x:f>
        <x:v>0.5610858068520643</x:v>
      </x:c>
      <x:c r="AB72" t="n">
        <x:f>IFS(Y72&lt;=20%,95,Y72&lt;=25%,82,Y72&lt;=30%,65,Y72&lt;=40%,45,TRUE,20)</x:f>
        <x:v>45</x:v>
      </x:c>
      <x:c r="AC72" t="n">
        <x:f>IFS(AA72&lt;=20%,95,AA72&lt;=25%,82,AA72&lt;=30%,65,AA72&lt;=40%,45,TRUE,20)</x:f>
        <x:v>20</x:v>
      </x:c>
      <x:c r="AD72" t="n">
        <x:f>AB72*'Housing Salary Share Phase 1'!$B$9+AC72*'Housing Salary Share Phase 1'!$B$10</x:f>
        <x:v>37.5</x:v>
      </x:c>
      <x:c r="AE72" t="str">
        <x:f>IFERROR(TEXT(Y72,"0%")&amp;" of Salary","")</x:f>
        <x:v>31% of Salary</x:v>
      </x:c>
      <x:c r="AF72" t="str">
        <x:f>IFERROR(TEXT(AA72,"0%")&amp;" of Salary","")</x:f>
        <x:v>56% of Salary</x:v>
      </x:c>
    </x:row>
    <x:row r="73">
      <x:c r="A73" t="str">
        <x:v>72</x:v>
      </x:c>
      <x:c r="B73" t="str">
        <x:v>Nassau County School District</x:v>
      </x:c>
      <x:c r="C73" t="str">
        <x:v>FL</x:v>
      </x:c>
      <x:c r="D73" t="str">
        <x:v>Northeast FL</x:v>
      </x:c>
      <x:c r="E73" s="8" t="str">
        <x:v>37.4832</x:v>
      </x:c>
      <x:c r="F73" s="8" t="str">
        <x:v>37.3507</x:v>
      </x:c>
      <x:c r="G73" s="10" t="str">
        <x:v>12693</x:v>
      </x:c>
      <x:c r="H73" s="8" t="str">
        <x:v>40</x:v>
      </x:c>
      <x:c r="I73" t="str">
        <x:v>Low</x:v>
      </x:c>
      <x:c r="J73" s="10" t="str">
        <x:v>52407</x:v>
      </x:c>
      <x:c r="K73" s="10" t="str">
        <x:v>56037</x:v>
      </x:c>
      <x:c r="L73" s="10" t="str">
        <x:v>57173</x:v>
      </x:c>
      <x:c r="M73" s="10" t="str">
        <x:v>60803</x:v>
      </x:c>
      <x:c r="N73" s="10" t="str">
        <x:v>62490</x:v>
      </x:c>
      <x:c r="O73" s="10" t="str">
        <x:v>66120</x:v>
      </x:c>
      <x:c r="P73" s="10" t="str">
        <x:v>3630</x:v>
      </x:c>
      <x:c r="Q73" s="10" t="str">
        <x:v>1834</x:v>
      </x:c>
      <x:c r="R73" s="10" t="str">
        <x:v>421075</x:v>
      </x:c>
      <x:c r="S73" s="10" t="str">
        <x:v>120</x:v>
      </x:c>
      <x:c r="T73" s="8" t="str">
        <x:v>100</x:v>
      </x:c>
      <x:c r="U73" t="str">
        <x:v>Stable</x:v>
      </x:c>
      <x:c r="V73" t="str">
        <x:v>https://www.census.gov/newsroom/press-releases/2026/school-system-finances.html</x:v>
      </x:c>
      <x:c r="W73" t="str">
        <x:f>J73</x:f>
        <x:v>52407</x:v>
      </x:c>
      <x:c r="X73" t="n">
        <x:f>W73/12</x:f>
        <x:v>4367.25</x:v>
      </x:c>
      <x:c r="Y73" t="n">
        <x:f>IFERROR(Q73/X73,"")</x:f>
        <x:v>0.4199439006239625</x:v>
      </x:c>
      <x:c r="Z73" t="n">
        <x:f>IFERROR(PMT('Housing Salary Share Phase 1'!$B$7/12,'Housing Salary Share Phase 1'!$B$8*12,-R73*(1-'Housing Salary Share Phase 1'!$B$6)),"")</x:f>
        <x:v>2241.1379852605965</x:v>
      </x:c>
      <x:c r="AA73" t="n">
        <x:f>IFERROR(Z73/X73,"")</x:f>
        <x:v>0.5131691534170465</x:v>
      </x:c>
      <x:c r="AB73" t="n">
        <x:f>IFS(Y73&lt;=20%,95,Y73&lt;=25%,82,Y73&lt;=30%,65,Y73&lt;=40%,45,TRUE,20)</x:f>
        <x:v>20</x:v>
      </x:c>
      <x:c r="AC73" t="n">
        <x:f>IFS(AA73&lt;=20%,95,AA73&lt;=25%,82,AA73&lt;=30%,65,AA73&lt;=40%,45,TRUE,20)</x:f>
        <x:v>20</x:v>
      </x:c>
      <x:c r="AD73" t="n">
        <x:f>AB73*'Housing Salary Share Phase 1'!$B$9+AC73*'Housing Salary Share Phase 1'!$B$10</x:f>
        <x:v>20</x:v>
      </x:c>
      <x:c r="AE73" t="str">
        <x:f>IFERROR(TEXT(Y73,"0%")&amp;" of Salary","")</x:f>
        <x:v>42% of Salary</x:v>
      </x:c>
      <x:c r="AF73" t="str">
        <x:f>IFERROR(TEXT(AA73,"0%")&amp;" of Salary","")</x:f>
        <x:v>51% of Salary</x:v>
      </x:c>
    </x:row>
    <x:row r="74">
      <x:c r="A74" t="str">
        <x:v>73</x:v>
      </x:c>
      <x:c r="B74" t="str">
        <x:v>Oxnard Union High School District</x:v>
      </x:c>
      <x:c r="C74" t="str">
        <x:v>CA</x:v>
      </x:c>
      <x:c r="D74" t="str">
        <x:v>Southern California</x:v>
      </x:c>
      <x:c r="E74" s="8" t="str">
        <x:v>35.9393</x:v>
      </x:c>
      <x:c r="F74" s="8" t="str">
        <x:v>33.3572</x:v>
      </x:c>
      <x:c r="G74" s="10" t="str">
        <x:v>20791</x:v>
      </x:c>
      <x:c r="H74" s="8" t="str">
        <x:v>85</x:v>
      </x:c>
      <x:c r="I74" t="str">
        <x:v>Very Good</x:v>
      </x:c>
      <x:c r="J74" s="10" t="str">
        <x:v>70895</x:v>
      </x:c>
      <x:c r="K74" s="10" t="str">
        <x:v>71739</x:v>
      </x:c>
      <x:c r="L74" s="10" t="str">
        <x:v>84354</x:v>
      </x:c>
      <x:c r="M74" s="10" t="str">
        <x:v>90740</x:v>
      </x:c>
      <x:c r="N74" s="10" t="str">
        <x:v>93674</x:v>
      </x:c>
      <x:c r="O74" s="10" t="str">
        <x:v>114489</x:v>
      </x:c>
      <x:c r="P74" s="10" t="str">
        <x:v>844</x:v>
      </x:c>
      <x:c r="Q74" s="10" t="str">
        <x:v>2912</x:v>
      </x:c>
      <x:c r="R74" s="10" t="str">
        <x:v>767000</x:v>
      </x:c>
      <x:c r="S74" s="10" t="str">
        <x:v>185</x:v>
      </x:c>
      <x:c r="T74" s="8" t="str">
        <x:v>40</x:v>
      </x:c>
      <x:c r="U74" t="str">
        <x:v>Severe</x:v>
      </x:c>
      <x:c r="V74" t="str">
        <x:v>https://www.census.gov/newsroom/press-releases/2026/school-system-finances.html</x:v>
      </x:c>
      <x:c r="W74" t="str">
        <x:f>J74</x:f>
        <x:v>70895</x:v>
      </x:c>
      <x:c r="X74" t="n">
        <x:f>W74/12</x:f>
        <x:v>5907.916666666667</x:v>
      </x:c>
      <x:c r="Y74" t="n">
        <x:f>IFERROR(Q74/X74,"")</x:f>
        <x:v>0.49289794766908807</x:v>
      </x:c>
      <x:c r="Z74" t="n">
        <x:f>IFERROR(PMT('Housing Salary Share Phase 1'!$B$7/12,'Housing Salary Share Phase 1'!$B$8*12,-R74*(1-'Housing Salary Share Phase 1'!$B$6)),"")</x:f>
        <x:v>4082.2961104194683</x:v>
      </x:c>
      <x:c r="AA74" t="n">
        <x:f>IFERROR(Z74/X74,"")</x:f>
        <x:v>0.6909874225972723</x:v>
      </x:c>
      <x:c r="AB74" t="n">
        <x:f>IFS(Y74&lt;=20%,95,Y74&lt;=25%,82,Y74&lt;=30%,65,Y74&lt;=40%,45,TRUE,20)</x:f>
        <x:v>20</x:v>
      </x:c>
      <x:c r="AC74" t="n">
        <x:f>IFS(AA74&lt;=20%,95,AA74&lt;=25%,82,AA74&lt;=30%,65,AA74&lt;=40%,45,TRUE,20)</x:f>
        <x:v>20</x:v>
      </x:c>
      <x:c r="AD74" t="n">
        <x:f>AB74*'Housing Salary Share Phase 1'!$B$9+AC74*'Housing Salary Share Phase 1'!$B$10</x:f>
        <x:v>20</x:v>
      </x:c>
      <x:c r="AE74" t="str">
        <x:f>IFERROR(TEXT(Y74,"0%")&amp;" of Salary","")</x:f>
        <x:v>49% of Salary</x:v>
      </x:c>
      <x:c r="AF74" t="str">
        <x:f>IFERROR(TEXT(AA74,"0%")&amp;" of Salary","")</x:f>
        <x:v>69% of Salary</x:v>
      </x:c>
    </x:row>
    <x:row r="75">
      <x:c r="A75" t="str">
        <x:v>74</x:v>
      </x:c>
      <x:c r="B75" t="str">
        <x:v>San Diego Unified School District</x:v>
      </x:c>
      <x:c r="C75" t="str">
        <x:v>CA</x:v>
      </x:c>
      <x:c r="D75" t="str">
        <x:v>Southern California</x:v>
      </x:c>
      <x:c r="E75" s="8" t="str">
        <x:v>34.8357</x:v>
      </x:c>
      <x:c r="F75" s="8" t="str">
        <x:v>32.1955</x:v>
      </x:c>
      <x:c r="G75" s="10" t="str">
        <x:v>20791</x:v>
      </x:c>
      <x:c r="H75" s="8" t="str">
        <x:v>85</x:v>
      </x:c>
      <x:c r="I75" t="str">
        <x:v>Very Good</x:v>
      </x:c>
      <x:c r="J75" s="10" t="str">
        <x:v>59490.98</x:v>
      </x:c>
      <x:c r="K75" s="10" t="str">
        <x:v>63121</x:v>
      </x:c>
      <x:c r="L75" s="10" t="str">
        <x:v>68980</x:v>
      </x:c>
      <x:c r="M75" s="10" t="str">
        <x:v>72610</x:v>
      </x:c>
      <x:c r="N75" s="10" t="str">
        <x:v>83135</x:v>
      </x:c>
      <x:c r="O75" s="10" t="str">
        <x:v>86765</x:v>
      </x:c>
      <x:c r="P75" s="10" t="str">
        <x:v>3630.02</x:v>
      </x:c>
      <x:c r="Q75" s="10" t="str">
        <x:v>3039</x:v>
      </x:c>
      <x:c r="R75" s="10" t="str">
        <x:v>1000000</x:v>
      </x:c>
      <x:c r="S75" s="10" t="str">
        <x:v>250</x:v>
      </x:c>
      <x:c r="T75" s="8" t="str">
        <x:v>40</x:v>
      </x:c>
      <x:c r="U75" t="str">
        <x:v>Severe</x:v>
      </x:c>
      <x:c r="V75" t="str">
        <x:v>https://www.census.gov/newsroom/press-releases/2026/school-system-finances.html</x:v>
      </x:c>
      <x:c r="W75" t="str">
        <x:f>J75</x:f>
        <x:v>59490.98</x:v>
      </x:c>
      <x:c r="X75" t="n">
        <x:f>W75/12</x:f>
        <x:v>4957.581666666667</x:v>
      </x:c>
      <x:c r="Y75" t="n">
        <x:f>IFERROR(Q75/X75,"")</x:f>
        <x:v>0.6130004918392671</x:v>
      </x:c>
      <x:c r="Z75" t="n">
        <x:f>IFERROR(PMT('Housing Salary Share Phase 1'!$B$7/12,'Housing Salary Share Phase 1'!$B$8*12,-R75*(1-'Housing Salary Share Phase 1'!$B$6)),"")</x:f>
        <x:v>5322.419961433466</x:v>
      </x:c>
      <x:c r="AA75" t="n">
        <x:f>IFERROR(Z75/X75,"")</x:f>
        <x:v>1.0735919888561525</x:v>
      </x:c>
      <x:c r="AB75" t="n">
        <x:f>IFS(Y75&lt;=20%,95,Y75&lt;=25%,82,Y75&lt;=30%,65,Y75&lt;=40%,45,TRUE,20)</x:f>
        <x:v>20</x:v>
      </x:c>
      <x:c r="AC75" t="n">
        <x:f>IFS(AA75&lt;=20%,95,AA75&lt;=25%,82,AA75&lt;=30%,65,AA75&lt;=40%,45,TRUE,20)</x:f>
        <x:v>20</x:v>
      </x:c>
      <x:c r="AD75" t="n">
        <x:f>AB75*'Housing Salary Share Phase 1'!$B$9+AC75*'Housing Salary Share Phase 1'!$B$10</x:f>
        <x:v>20</x:v>
      </x:c>
      <x:c r="AE75" t="str">
        <x:f>IFERROR(TEXT(Y75,"0%")&amp;" of Salary","")</x:f>
        <x:v>61% of Salary</x:v>
      </x:c>
      <x:c r="AF75" t="str">
        <x:f>IFERROR(TEXT(AA75,"0%")&amp;" of Salary","")</x:f>
        <x:v>107% of Salary</x:v>
      </x:c>
    </x:row>
    <x:row r="76">
      <x:c r="A76" t="str">
        <x:v>75</x:v>
      </x:c>
      <x:c r="B76" t="str">
        <x:v>Oakland Unified School District</x:v>
      </x:c>
      <x:c r="C76" t="str">
        <x:v>CA</x:v>
      </x:c>
      <x:c r="D76" t="str">
        <x:v>Bay Area</x:v>
      </x:c>
      <x:c r="E76" s="8" t="str">
        <x:v>33.9469</x:v>
      </x:c>
      <x:c r="F76" s="8" t="str">
        <x:v>31.2599</x:v>
      </x:c>
      <x:c r="G76" s="10" t="str">
        <x:v>20791</x:v>
      </x:c>
      <x:c r="H76" s="8" t="str">
        <x:v>85</x:v>
      </x:c>
      <x:c r="I76" t="str">
        <x:v>Very Good</x:v>
      </x:c>
      <x:c r="J76" s="10" t="str">
        <x:v>62696</x:v>
      </x:c>
      <x:c r="K76" s="10" t="str">
        <x:v>63157</x:v>
      </x:c>
      <x:c r="L76" s="10" t="str">
        <x:v>67430</x:v>
      </x:c>
      <x:c r="M76" s="10" t="str">
        <x:v>68523</x:v>
      </x:c>
      <x:c r="N76" s="10" t="str">
        <x:v>78360</x:v>
      </x:c>
      <x:c r="O76" s="10" t="str">
        <x:v>79437</x:v>
      </x:c>
      <x:c r="P76" s="10" t="str">
        <x:v>461</x:v>
      </x:c>
      <x:c r="Q76" s="10" t="str">
        <x:v>2700</x:v>
      </x:c>
      <x:c r="R76" s="10" t="str">
        <x:v>850000</x:v>
      </x:c>
      <x:c r="S76" s="10" t="str">
        <x:v>337</x:v>
      </x:c>
      <x:c r="T76" s="8" t="str">
        <x:v>25</x:v>
      </x:c>
      <x:c r="U76" t="str">
        <x:v>Extreme</x:v>
      </x:c>
      <x:c r="V76" t="str">
        <x:v>https://www.census.gov/newsroom/press-releases/2026/school-system-finances.html</x:v>
      </x:c>
      <x:c r="W76" t="str">
        <x:f>J76</x:f>
        <x:v>62696</x:v>
      </x:c>
      <x:c r="X76" t="n">
        <x:f>W76/12</x:f>
        <x:v>5224.666666666667</x:v>
      </x:c>
      <x:c r="Y76" t="n">
        <x:f>IFERROR(Q76/X76,"")</x:f>
        <x:v>0.5167793798647441</x:v>
      </x:c>
      <x:c r="Z76" t="n">
        <x:f>IFERROR(PMT('Housing Salary Share Phase 1'!$B$7/12,'Housing Salary Share Phase 1'!$B$8*12,-R76*(1-'Housing Salary Share Phase 1'!$B$6)),"")</x:f>
        <x:v>4524.056967218446</x:v>
      </x:c>
      <x:c r="AA76" t="n">
        <x:f>IFERROR(Z76/X76,"")</x:f>
        <x:v>0.8659034644414532</x:v>
      </x:c>
      <x:c r="AB76" t="n">
        <x:f>IFS(Y76&lt;=20%,95,Y76&lt;=25%,82,Y76&lt;=30%,65,Y76&lt;=40%,45,TRUE,20)</x:f>
        <x:v>20</x:v>
      </x:c>
      <x:c r="AC76" t="n">
        <x:f>IFS(AA76&lt;=20%,95,AA76&lt;=25%,82,AA76&lt;=30%,65,AA76&lt;=40%,45,TRUE,20)</x:f>
        <x:v>20</x:v>
      </x:c>
      <x:c r="AD76" t="n">
        <x:f>AB76*'Housing Salary Share Phase 1'!$B$9+AC76*'Housing Salary Share Phase 1'!$B$10</x:f>
        <x:v>20</x:v>
      </x:c>
      <x:c r="AE76" t="str">
        <x:f>IFERROR(TEXT(Y76,"0%")&amp;" of Salary","")</x:f>
        <x:v>52% of Salary</x:v>
      </x:c>
      <x:c r="AF76" t="str">
        <x:f>IFERROR(TEXT(AA76,"0%")&amp;" of Salary","")</x:f>
        <x:v>87% of Salary</x:v>
      </x:c>
    </x:row>
    <x:row r="77">
      <x:c r="A77" t="str">
        <x:v>76</x:v>
      </x:c>
      <x:c r="B77" t="str">
        <x:v>Ocean Springs School District</x:v>
      </x:c>
      <x:c r="C77" t="str">
        <x:v>MS</x:v>
      </x:c>
      <x:c r="D77" t="str">
        <x:v>Mississippi Gulf Coast</x:v>
      </x:c>
      <x:c r="E77" s="8" t="str">
        <x:v>33.5406</x:v>
      </x:c>
      <x:c r="F77" s="8" t="str">
        <x:v>33.2006</x:v>
      </x:c>
      <x:c r="G77" s="10" t="str">
        <x:v>12324</x:v>
      </x:c>
      <x:c r="H77" s="8" t="str">
        <x:v>40</x:v>
      </x:c>
      <x:c r="I77" t="str">
        <x:v>Low</x:v>
      </x:c>
      <x:c r="J77" s="10" t="str">
        <x:v>48200</x:v>
      </x:c>
      <x:c r="K77" s="10" t="str">
        <x:v>49900</x:v>
      </x:c>
      <x:c r="L77" s="10" t="str">
        <x:v>51100</x:v>
      </x:c>
      <x:c r="M77" s="10" t="str">
        <x:v>53375</x:v>
      </x:c>
      <x:c r="N77" s="10" t="str">
        <x:v>54000</x:v>
      </x:c>
      <x:c r="O77" s="10" t="str">
        <x:v>56850</x:v>
      </x:c>
      <x:c r="P77" s="10" t="str">
        <x:v>1700</x:v>
      </x:c>
      <x:c r="Q77" s="10" t="str">
        <x:v>2100</x:v>
      </x:c>
      <x:c r="R77" s="10" t="str">
        <x:v>294824</x:v>
      </x:c>
      <x:c r="S77" s="10" t="str">
        <x:v>90</x:v>
      </x:c>
      <x:c r="T77" s="8" t="str">
        <x:v>100</x:v>
      </x:c>
      <x:c r="U77" t="str">
        <x:v>Stable</x:v>
      </x:c>
      <x:c r="V77" t="str">
        <x:v>https://www.census.gov/newsroom/press-releases/2026/school-system-finances.html</x:v>
      </x:c>
      <x:c r="W77" t="str">
        <x:f>J77</x:f>
        <x:v>48200</x:v>
      </x:c>
      <x:c r="X77" t="n">
        <x:f>W77/12</x:f>
        <x:v>4016.6666666666665</x:v>
      </x:c>
      <x:c r="Y77" t="n">
        <x:f>IFERROR(Q77/X77,"")</x:f>
        <x:v>0.5228215767634855</x:v>
      </x:c>
      <x:c r="Z77" t="n">
        <x:f>IFERROR(PMT('Housing Salary Share Phase 1'!$B$7/12,'Housing Salary Share Phase 1'!$B$8*12,-R77*(1-'Housing Salary Share Phase 1'!$B$6)),"")</x:f>
        <x:v>1569.17714270966</x:v>
      </x:c>
      <x:c r="AA77" t="n">
        <x:f>IFERROR(Z77/X77,"")</x:f>
        <x:v>0.3906665085584216</x:v>
      </x:c>
      <x:c r="AB77" t="n">
        <x:f>IFS(Y77&lt;=20%,95,Y77&lt;=25%,82,Y77&lt;=30%,65,Y77&lt;=40%,45,TRUE,20)</x:f>
        <x:v>20</x:v>
      </x:c>
      <x:c r="AC77" t="n">
        <x:f>IFS(AA77&lt;=20%,95,AA77&lt;=25%,82,AA77&lt;=30%,65,AA77&lt;=40%,45,TRUE,20)</x:f>
        <x:v>45</x:v>
      </x:c>
      <x:c r="AD77" t="n">
        <x:f>AB77*'Housing Salary Share Phase 1'!$B$9+AC77*'Housing Salary Share Phase 1'!$B$10</x:f>
        <x:v>27.5</x:v>
      </x:c>
      <x:c r="AE77" t="str">
        <x:f>IFERROR(TEXT(Y77,"0%")&amp;" of Salary","")</x:f>
        <x:v>52% of Salary</x:v>
      </x:c>
      <x:c r="AF77" t="str">
        <x:f>IFERROR(TEXT(AA77,"0%")&amp;" of Salary","")</x:f>
        <x:v>39% of Salary</x:v>
      </x:c>
    </x:row>
    <x:row r="78">
      <x:c r="A78" t="str">
        <x:v>77</x:v>
      </x:c>
      <x:c r="B78" t="str">
        <x:v>Canyons School District</x:v>
      </x:c>
      <x:c r="C78" t="str">
        <x:v>UT</x:v>
      </x:c>
      <x:c r="D78" t="str">
        <x:v>Salt Lake Valley</x:v>
      </x:c>
      <x:c r="E78" s="8" t="str">
        <x:v>33.3021</x:v>
      </x:c>
      <x:c r="F78" s="8" t="str">
        <x:v>32.9496</x:v>
      </x:c>
      <x:c r="G78" s="10" t="str">
        <x:v>11347</x:v>
      </x:c>
      <x:c r="H78" s="8" t="str">
        <x:v>40</x:v>
      </x:c>
      <x:c r="I78" t="str">
        <x:v>Low</x:v>
      </x:c>
      <x:c r="J78" s="10" t="str">
        <x:v>64200</x:v>
      </x:c>
      <x:c r="K78" s="10" t="str">
        <x:v>69900</x:v>
      </x:c>
      <x:c r="L78" s="10" t="str">
        <x:v>68950</x:v>
      </x:c>
      <x:c r="M78" s="10" t="str">
        <x:v>74650</x:v>
      </x:c>
      <x:c r="N78" s="10" t="str">
        <x:v>73700</x:v>
      </x:c>
      <x:c r="O78" s="10" t="str">
        <x:v>79400</x:v>
      </x:c>
      <x:c r="P78" s="10" t="str">
        <x:v>5700</x:v>
      </x:c>
      <x:c r="Q78" s="10" t="str">
        <x:v>2084</x:v>
      </x:c>
      <x:c r="R78" s="10" t="str">
        <x:v>660000</x:v>
      </x:c>
      <x:c r="S78" s="10" t="str">
        <x:v>180</x:v>
      </x:c>
      <x:c r="T78" s="8" t="str">
        <x:v>60</x:v>
      </x:c>
      <x:c r="U78" t="str">
        <x:v>Elevated</x:v>
      </x:c>
      <x:c r="V78" t="str">
        <x:v>https://www.census.gov/newsroom/press-releases/2026/school-system-finances.html</x:v>
      </x:c>
      <x:c r="W78" t="str">
        <x:f>J78</x:f>
        <x:v>64200</x:v>
      </x:c>
      <x:c r="X78" t="n">
        <x:f>W78/12</x:f>
        <x:v>5350</x:v>
      </x:c>
      <x:c r="Y78" t="n">
        <x:f>IFERROR(Q78/X78,"")</x:f>
        <x:v>0.38953271028037384</x:v>
      </x:c>
      <x:c r="Z78" t="n">
        <x:f>IFERROR(PMT('Housing Salary Share Phase 1'!$B$7/12,'Housing Salary Share Phase 1'!$B$8*12,-R78*(1-'Housing Salary Share Phase 1'!$B$6)),"")</x:f>
        <x:v>3512.7971745460873</x:v>
      </x:c>
      <x:c r="AA78" t="n">
        <x:f>IFERROR(Z78/X78,"")</x:f>
        <x:v>0.6565976027188948</x:v>
      </x:c>
      <x:c r="AB78" t="n">
        <x:f>IFS(Y78&lt;=20%,95,Y78&lt;=25%,82,Y78&lt;=30%,65,Y78&lt;=40%,45,TRUE,20)</x:f>
        <x:v>45</x:v>
      </x:c>
      <x:c r="AC78" t="n">
        <x:f>IFS(AA78&lt;=20%,95,AA78&lt;=25%,82,AA78&lt;=30%,65,AA78&lt;=40%,45,TRUE,20)</x:f>
        <x:v>20</x:v>
      </x:c>
      <x:c r="AD78" t="n">
        <x:f>AB78*'Housing Salary Share Phase 1'!$B$9+AC78*'Housing Salary Share Phase 1'!$B$10</x:f>
        <x:v>37.5</x:v>
      </x:c>
      <x:c r="AE78" t="str">
        <x:f>IFERROR(TEXT(Y78,"0%")&amp;" of Salary","")</x:f>
        <x:v>39% of Salary</x:v>
      </x:c>
      <x:c r="AF78" t="str">
        <x:f>IFERROR(TEXT(AA78,"0%")&amp;" of Salary","")</x:f>
        <x:v>66% of Salary</x:v>
      </x:c>
    </x:row>
    <x:row r="79">
      <x:c r="A79" t="str">
        <x:v>78</x:v>
      </x:c>
      <x:c r="B79" t="str">
        <x:v>Chapel Hill-Carrboro City Schools</x:v>
      </x:c>
      <x:c r="C79" t="str">
        <x:v>NC</x:v>
      </x:c>
      <x:c r="D79" t="str">
        <x:v>Research Triangle</x:v>
      </x:c>
      <x:c r="E79" s="8" t="str">
        <x:v>32.9417</x:v>
      </x:c>
      <x:c r="F79" s="8" t="str">
        <x:v>32.5702</x:v>
      </x:c>
      <x:c r="G79" s="10" t="str">
        <x:v>12995</x:v>
      </x:c>
      <x:c r="H79" s="8" t="str">
        <x:v>40</x:v>
      </x:c>
      <x:c r="I79" t="str">
        <x:v>Low</x:v>
      </x:c>
      <x:c r="J79" s="10" t="str">
        <x:v>48380</x:v>
      </x:c>
      <x:c r="K79" s="10" t="str">
        <x:v>53218</x:v>
      </x:c>
      <x:c r="L79" s="10" t="str">
        <x:v>52805</x:v>
      </x:c>
      <x:c r="M79" s="10" t="str">
        <x:v>58091.4</x:v>
      </x:c>
      <x:c r="N79" s="10" t="str">
        <x:v>58233</x:v>
      </x:c>
      <x:c r="O79" s="10" t="str">
        <x:v>64062.2</x:v>
      </x:c>
      <x:c r="P79" s="10" t="str">
        <x:v>4838</x:v>
      </x:c>
      <x:c r="Q79" s="10" t="str">
        <x:v>1850</x:v>
      </x:c>
      <x:c r="R79" s="10" t="str">
        <x:v>634403</x:v>
      </x:c>
      <x:c r="S79" s="10" t="str">
        <x:v>135</x:v>
      </x:c>
      <x:c r="T79" s="8" t="str">
        <x:v>40</x:v>
      </x:c>
      <x:c r="U79" t="str">
        <x:v>Severe</x:v>
      </x:c>
      <x:c r="V79" t="str">
        <x:v>https://www.census.gov/newsroom/press-releases/2026/school-system-finances.html</x:v>
      </x:c>
      <x:c r="W79" t="str">
        <x:f>J79</x:f>
        <x:v>48380</x:v>
      </x:c>
      <x:c r="X79" t="n">
        <x:f>W79/12</x:f>
        <x:v>4031.6666666666665</x:v>
      </x:c>
      <x:c r="Y79" t="n">
        <x:f>IFERROR(Q79/X79,"")</x:f>
        <x:v>0.45886730053741215</x:v>
      </x:c>
      <x:c r="Z79" t="n">
        <x:f>IFERROR(PMT('Housing Salary Share Phase 1'!$B$7/12,'Housing Salary Share Phase 1'!$B$8*12,-R79*(1-'Housing Salary Share Phase 1'!$B$6)),"")</x:f>
        <x:v>3376.559190793275</x:v>
      </x:c>
      <x:c r="AA79" t="n">
        <x:f>IFERROR(Z79/X79,"")</x:f>
        <x:v>0.8375095140454588</x:v>
      </x:c>
      <x:c r="AB79" t="n">
        <x:f>IFS(Y79&lt;=20%,95,Y79&lt;=25%,82,Y79&lt;=30%,65,Y79&lt;=40%,45,TRUE,20)</x:f>
        <x:v>20</x:v>
      </x:c>
      <x:c r="AC79" t="n">
        <x:f>IFS(AA79&lt;=20%,95,AA79&lt;=25%,82,AA79&lt;=30%,65,AA79&lt;=40%,45,TRUE,20)</x:f>
        <x:v>20</x:v>
      </x:c>
      <x:c r="AD79" t="n">
        <x:f>AB79*'Housing Salary Share Phase 1'!$B$9+AC79*'Housing Salary Share Phase 1'!$B$10</x:f>
        <x:v>20</x:v>
      </x:c>
      <x:c r="AE79" t="str">
        <x:f>IFERROR(TEXT(Y79,"0%")&amp;" of Salary","")</x:f>
        <x:v>46% of Salary</x:v>
      </x:c>
      <x:c r="AF79" t="str">
        <x:f>IFERROR(TEXT(AA79,"0%")&amp;" of Salary","")</x:f>
        <x:v>84% of Salary</x:v>
      </x:c>
    </x:row>
    <x:row r="80">
      <x:c r="A80" t="str">
        <x:v>79</x:v>
      </x:c>
      <x:c r="B80" t="str">
        <x:v>Glendale Union High School District</x:v>
      </x:c>
      <x:c r="C80" t="str">
        <x:v>AZ</x:v>
      </x:c>
      <x:c r="D80" t="str">
        <x:v>Phoenix Metro</x:v>
      </x:c>
      <x:c r="E80" s="8" t="str">
        <x:v>29.605</x:v>
      </x:c>
      <x:c r="F80" s="8" t="str">
        <x:v>29.0579</x:v>
      </x:c>
      <x:c r="G80" s="10" t="str">
        <x:v>12003</x:v>
      </x:c>
      <x:c r="H80" s="8" t="str">
        <x:v>40</x:v>
      </x:c>
      <x:c r="I80" t="str">
        <x:v>Low</x:v>
      </x:c>
      <x:c r="J80" s="10" t="str">
        <x:v>51326</x:v>
      </x:c>
      <x:c r="K80" s="10" t="str">
        <x:v>54656</x:v>
      </x:c>
      <x:c r="L80" s="10" t="str">
        <x:v>54376</x:v>
      </x:c>
      <x:c r="M80" s="10" t="str">
        <x:v>58610</x:v>
      </x:c>
      <x:c r="N80" s="10" t="str">
        <x:v>57764</x:v>
      </x:c>
      <x:c r="O80" s="10" t="str">
        <x:v>63128</x:v>
      </x:c>
      <x:c r="P80" s="10" t="str">
        <x:v>3330</x:v>
      </x:c>
      <x:c r="Q80" s="10" t="str">
        <x:v>1987</x:v>
      </x:c>
      <x:c r="R80" s="10" t="str">
        <x:v>408630</x:v>
      </x:c>
      <x:c r="S80" s="10" t="str">
        <x:v>145</x:v>
      </x:c>
      <x:c r="T80" s="8" t="str">
        <x:v>75</x:v>
      </x:c>
      <x:c r="U80" t="str">
        <x:v>Moderate</x:v>
      </x:c>
      <x:c r="V80" t="str">
        <x:v>https://www.census.gov/newsroom/press-releases/2026/school-system-finances.html</x:v>
      </x:c>
      <x:c r="W80" t="str">
        <x:f>J80</x:f>
        <x:v>51326</x:v>
      </x:c>
      <x:c r="X80" t="n">
        <x:f>W80/12</x:f>
        <x:v>4277.166666666667</x:v>
      </x:c>
      <x:c r="Y80" t="n">
        <x:f>IFERROR(Q80/X80,"")</x:f>
        <x:v>0.46455987218953354</x:v>
      </x:c>
      <x:c r="Z80" t="n">
        <x:f>IFERROR(PMT('Housing Salary Share Phase 1'!$B$7/12,'Housing Salary Share Phase 1'!$B$8*12,-R80*(1-'Housing Salary Share Phase 1'!$B$6)),"")</x:f>
        <x:v>2174.900468840557</x:v>
      </x:c>
      <x:c r="AA80" t="n">
        <x:f>IFERROR(Z80/X80,"")</x:f>
        <x:v>0.5084909329791272</x:v>
      </x:c>
      <x:c r="AB80" t="n">
        <x:f>IFS(Y80&lt;=20%,95,Y80&lt;=25%,82,Y80&lt;=30%,65,Y80&lt;=40%,45,TRUE,20)</x:f>
        <x:v>20</x:v>
      </x:c>
      <x:c r="AC80" t="n">
        <x:f>IFS(AA80&lt;=20%,95,AA80&lt;=25%,82,AA80&lt;=30%,65,AA80&lt;=40%,45,TRUE,20)</x:f>
        <x:v>20</x:v>
      </x:c>
      <x:c r="AD80" t="n">
        <x:f>AB80*'Housing Salary Share Phase 1'!$B$9+AC80*'Housing Salary Share Phase 1'!$B$10</x:f>
        <x:v>20</x:v>
      </x:c>
      <x:c r="AE80" t="str">
        <x:f>IFERROR(TEXT(Y80,"0%")&amp;" of Salary","")</x:f>
        <x:v>46% of Salary</x:v>
      </x:c>
      <x:c r="AF80" t="str">
        <x:f>IFERROR(TEXT(AA80,"0%")&amp;" of Salary","")</x:f>
        <x:v>51% of Salary</x:v>
      </x:c>
    </x:row>
    <x:row r="81">
      <x:c r="A81" t="str">
        <x:v>80</x:v>
      </x:c>
      <x:c r="B81" t="str">
        <x:v>Arcadia Unified School District</x:v>
      </x:c>
      <x:c r="C81" t="str">
        <x:v>CA</x:v>
      </x:c>
      <x:c r="D81" t="str">
        <x:v>Southern California</x:v>
      </x:c>
      <x:c r="E81" s="8" t="str">
        <x:v>29.1285</x:v>
      </x:c>
      <x:c r="F81" s="8" t="str">
        <x:v>26.1879</x:v>
      </x:c>
      <x:c r="G81" s="10" t="str">
        <x:v>20791</x:v>
      </x:c>
      <x:c r="H81" s="8" t="str">
        <x:v>85</x:v>
      </x:c>
      <x:c r="I81" t="str">
        <x:v>Very Good</x:v>
      </x:c>
      <x:c r="J81" s="10" t="str">
        <x:v>78277</x:v>
      </x:c>
      <x:c r="K81" s="10" t="str">
        <x:v>78277</x:v>
      </x:c>
      <x:c r="L81" s="10" t="str">
        <x:v>86800</x:v>
      </x:c>
      <x:c r="M81" s="10" t="str">
        <x:v>86800</x:v>
      </x:c>
      <x:c r="N81" s="10" t="str">
        <x:v>99057</x:v>
      </x:c>
      <x:c r="O81" s="10" t="str">
        <x:v>99057</x:v>
      </x:c>
      <x:c r="P81" s="10" t="str">
        <x:v>0</x:v>
      </x:c>
      <x:c r="Q81" s="10" t="str">
        <x:v>3290</x:v>
      </x:c>
      <x:c r="R81" s="10" t="str">
        <x:v>1800000</x:v>
      </x:c>
      <x:c r="S81" s="10" t="str">
        <x:v>200</x:v>
      </x:c>
      <x:c r="T81" s="8" t="str">
        <x:v>40</x:v>
      </x:c>
      <x:c r="U81" t="str">
        <x:v>Severe</x:v>
      </x:c>
      <x:c r="V81" t="str">
        <x:v>https://www.census.gov/newsroom/press-releases/2026/school-system-finances.html</x:v>
      </x:c>
      <x:c r="W81" t="str">
        <x:f>J81</x:f>
        <x:v>78277</x:v>
      </x:c>
      <x:c r="X81" t="n">
        <x:f>W81/12</x:f>
        <x:v>6523.083333333333</x:v>
      </x:c>
      <x:c r="Y81" t="n">
        <x:f>IFERROR(Q81/X81,"")</x:f>
        <x:v>0.5043627119077124</x:v>
      </x:c>
      <x:c r="Z81" t="n">
        <x:f>IFERROR(PMT('Housing Salary Share Phase 1'!$B$7/12,'Housing Salary Share Phase 1'!$B$8*12,-R81*(1-'Housing Salary Share Phase 1'!$B$6)),"")</x:f>
        <x:v>9580.355930580237</x:v>
      </x:c>
      <x:c r="AA81" t="n">
        <x:f>IFERROR(Z81/X81,"")</x:f>
        <x:v>1.4686851970178068</x:v>
      </x:c>
      <x:c r="AB81" t="n">
        <x:f>IFS(Y81&lt;=20%,95,Y81&lt;=25%,82,Y81&lt;=30%,65,Y81&lt;=40%,45,TRUE,20)</x:f>
        <x:v>20</x:v>
      </x:c>
      <x:c r="AC81" t="n">
        <x:f>IFS(AA81&lt;=20%,95,AA81&lt;=25%,82,AA81&lt;=30%,65,AA81&lt;=40%,45,TRUE,20)</x:f>
        <x:v>20</x:v>
      </x:c>
      <x:c r="AD81" t="n">
        <x:f>AB81*'Housing Salary Share Phase 1'!$B$9+AC81*'Housing Salary Share Phase 1'!$B$10</x:f>
        <x:v>20</x:v>
      </x:c>
      <x:c r="AE81" t="str">
        <x:f>IFERROR(TEXT(Y81,"0%")&amp;" of Salary","")</x:f>
        <x:v>50% of Salary</x:v>
      </x:c>
      <x:c r="AF81" t="str">
        <x:f>IFERROR(TEXT(AA81,"0%")&amp;" of Salary","")</x:f>
        <x:v>147% of Salary</x:v>
      </x:c>
    </x:row>
    <x:row r="82">
      <x:c r="A82" t="str">
        <x:v>81</x:v>
      </x:c>
      <x:c r="B82" t="str">
        <x:v>Austin ISD</x:v>
      </x:c>
      <x:c r="C82" t="str">
        <x:v>TX</x:v>
      </x:c>
      <x:c r="D82" t="str">
        <x:v>Austin</x:v>
      </x:c>
      <x:c r="E82" s="8" t="str">
        <x:v>28.8942</x:v>
      </x:c>
      <x:c r="F82" s="8" t="str">
        <x:v>28.3097</x:v>
      </x:c>
      <x:c r="G82" s="10" t="str">
        <x:v>12895</x:v>
      </x:c>
      <x:c r="H82" s="8" t="str">
        <x:v>40</x:v>
      </x:c>
      <x:c r="I82" t="str">
        <x:v>Low</x:v>
      </x:c>
      <x:c r="J82" s="10" t="str">
        <x:v>60600</x:v>
      </x:c>
      <x:c r="K82" s="10" t="str">
        <x:v>60600</x:v>
      </x:c>
      <x:c r="L82" s="10" t="str">
        <x:v>64700</x:v>
      </x:c>
      <x:c r="M82" s="10" t="str">
        <x:v>64700</x:v>
      </x:c>
      <x:c r="N82" s="10" t="str">
        <x:v>65000</x:v>
      </x:c>
      <x:c r="O82" s="10" t="str">
        <x:v>65000</x:v>
      </x:c>
      <x:c r="P82" s="10" t="str">
        <x:v>0</x:v>
      </x:c>
      <x:c r="Q82" s="10" t="str">
        <x:v>1956</x:v>
      </x:c>
      <x:c r="R82" s="10" t="str">
        <x:v>506276</x:v>
      </x:c>
      <x:c r="S82" s="10" t="str">
        <x:v>155</x:v>
      </x:c>
      <x:c r="T82" s="8" t="str">
        <x:v>25</x:v>
      </x:c>
      <x:c r="U82" t="str">
        <x:v>Extreme</x:v>
      </x:c>
      <x:c r="V82" t="str">
        <x:v>https://www.census.gov/newsroom/press-releases/2026/school-system-finances.html</x:v>
      </x:c>
      <x:c r="W82" t="str">
        <x:f>J82</x:f>
        <x:v>60600</x:v>
      </x:c>
      <x:c r="X82" t="n">
        <x:f>W82/12</x:f>
        <x:v>5050</x:v>
      </x:c>
      <x:c r="Y82" t="n">
        <x:f>IFERROR(Q82/X82,"")</x:f>
        <x:v>0.38732673267326734</x:v>
      </x:c>
      <x:c r="Z82" t="n">
        <x:f>IFERROR(PMT('Housing Salary Share Phase 1'!$B$7/12,'Housing Salary Share Phase 1'!$B$8*12,-R82*(1-'Housing Salary Share Phase 1'!$B$6)),"")</x:f>
        <x:v>2694.6134883946897</x:v>
      </x:c>
      <x:c r="AA82" t="n">
        <x:f>IFERROR(Z82/X82,"")</x:f>
        <x:v>0.5335868293850871</x:v>
      </x:c>
      <x:c r="AB82" t="n">
        <x:f>IFS(Y82&lt;=20%,95,Y82&lt;=25%,82,Y82&lt;=30%,65,Y82&lt;=40%,45,TRUE,20)</x:f>
        <x:v>45</x:v>
      </x:c>
      <x:c r="AC82" t="n">
        <x:f>IFS(AA82&lt;=20%,95,AA82&lt;=25%,82,AA82&lt;=30%,65,AA82&lt;=40%,45,TRUE,20)</x:f>
        <x:v>20</x:v>
      </x:c>
      <x:c r="AD82" t="n">
        <x:f>AB82*'Housing Salary Share Phase 1'!$B$9+AC82*'Housing Salary Share Phase 1'!$B$10</x:f>
        <x:v>37.5</x:v>
      </x:c>
      <x:c r="AE82" t="str">
        <x:f>IFERROR(TEXT(Y82,"0%")&amp;" of Salary","")</x:f>
        <x:v>39% of Salary</x:v>
      </x:c>
      <x:c r="AF82" t="str">
        <x:f>IFERROR(TEXT(AA82,"0%")&amp;" of Salary","")</x:f>
        <x:v>53% of Salary</x:v>
      </x:c>
    </x:row>
    <x:row r="83">
      <x:c r="A83" t="str">
        <x:v>82</x:v>
      </x:c>
      <x:c r="B83" t="str">
        <x:v>Los Angeles Unified School District</x:v>
      </x:c>
      <x:c r="C83" t="str">
        <x:v>CA</x:v>
      </x:c>
      <x:c r="D83" t="str">
        <x:v>Southern California</x:v>
      </x:c>
      <x:c r="E83" s="8" t="str">
        <x:v>27.7464</x:v>
      </x:c>
      <x:c r="F83" s="8" t="str">
        <x:v>24.7331</x:v>
      </x:c>
      <x:c r="G83" s="10" t="str">
        <x:v>20791</x:v>
      </x:c>
      <x:c r="H83" s="8" t="str">
        <x:v>85</x:v>
      </x:c>
      <x:c r="I83" t="str">
        <x:v>Very Good</x:v>
      </x:c>
      <x:c r="J83" s="10" t="str">
        <x:v>68966</x:v>
      </x:c>
      <x:c r="K83" s="10" t="str">
        <x:v>69550</x:v>
      </x:c>
      <x:c r="L83" s="10" t="str">
        <x:v>70715</x:v>
      </x:c>
      <x:c r="M83" s="10" t="str">
        <x:v>71299</x:v>
      </x:c>
      <x:c r="N83" s="10" t="str">
        <x:v>79193</x:v>
      </x:c>
      <x:c r="O83" s="10" t="str">
        <x:v>79777</x:v>
      </x:c>
      <x:c r="P83" s="10" t="str">
        <x:v>584</x:v>
      </x:c>
      <x:c r="Q83" s="10" t="str">
        <x:v>2650</x:v>
      </x:c>
      <x:c r="R83" s="10" t="str">
        <x:v>956465</x:v>
      </x:c>
      <x:c r="S83" s="10" t="str">
        <x:v>261.49</x:v>
      </x:c>
      <x:c r="T83" s="8" t="str">
        <x:v>25</x:v>
      </x:c>
      <x:c r="U83" t="str">
        <x:v>Extreme</x:v>
      </x:c>
      <x:c r="V83" t="str">
        <x:v>https://www.census.gov/newsroom/press-releases/2026/school-system-finances.html</x:v>
      </x:c>
      <x:c r="W83" t="str">
        <x:f>J83</x:f>
        <x:v>68966</x:v>
      </x:c>
      <x:c r="X83" t="n">
        <x:f>W83/12</x:f>
        <x:v>5747.166666666667</x:v>
      </x:c>
      <x:c r="Y83" t="n">
        <x:f>IFERROR(Q83/X83,"")</x:f>
        <x:v>0.4610967723225937</x:v>
      </x:c>
      <x:c r="Z83" t="n">
        <x:f>IFERROR(PMT('Housing Salary Share Phase 1'!$B$7/12,'Housing Salary Share Phase 1'!$B$8*12,-R83*(1-'Housing Salary Share Phase 1'!$B$6)),"")</x:f>
        <x:v>5090.70840841246</x:v>
      </x:c>
      <x:c r="AA83" t="n">
        <x:f>IFERROR(Z83/X83,"")</x:f>
        <x:v>0.8857770626243296</x:v>
      </x:c>
      <x:c r="AB83" t="n">
        <x:f>IFS(Y83&lt;=20%,95,Y83&lt;=25%,82,Y83&lt;=30%,65,Y83&lt;=40%,45,TRUE,20)</x:f>
        <x:v>20</x:v>
      </x:c>
      <x:c r="AC83" t="n">
        <x:f>IFS(AA83&lt;=20%,95,AA83&lt;=25%,82,AA83&lt;=30%,65,AA83&lt;=40%,45,TRUE,20)</x:f>
        <x:v>20</x:v>
      </x:c>
      <x:c r="AD83" t="n">
        <x:f>AB83*'Housing Salary Share Phase 1'!$B$9+AC83*'Housing Salary Share Phase 1'!$B$10</x:f>
        <x:v>20</x:v>
      </x:c>
      <x:c r="AE83" t="str">
        <x:f>IFERROR(TEXT(Y83,"0%")&amp;" of Salary","")</x:f>
        <x:v>46% of Salary</x:v>
      </x:c>
      <x:c r="AF83" t="str">
        <x:f>IFERROR(TEXT(AA83,"0%")&amp;" of Salary","")</x:f>
        <x:v>89% of Salary</x:v>
      </x:c>
    </x:row>
    <x:row r="84">
      <x:c r="A84" t="str">
        <x:v>83</x:v>
      </x:c>
      <x:c r="B84" t="str">
        <x:v>Eanes ISD</x:v>
      </x:c>
      <x:c r="C84" t="str">
        <x:v>TX</x:v>
      </x:c>
      <x:c r="D84" t="str">
        <x:v>Austin</x:v>
      </x:c>
      <x:c r="E84" s="8" t="str">
        <x:v>25.8584</x:v>
      </x:c>
      <x:c r="F84" s="8" t="str">
        <x:v>25.1141</x:v>
      </x:c>
      <x:c r="G84" s="10" t="str">
        <x:v>12895</x:v>
      </x:c>
      <x:c r="H84" s="8" t="str">
        <x:v>40</x:v>
      </x:c>
      <x:c r="I84" t="str">
        <x:v>Low</x:v>
      </x:c>
      <x:c r="J84" s="10" t="str">
        <x:v>57000</x:v>
      </x:c>
      <x:c r="K84" s="10" t="str">
        <x:v>59600</x:v>
      </x:c>
      <x:c r="L84" s="10" t="str">
        <x:v>61926</x:v>
      </x:c>
      <x:c r="M84" s="10" t="str">
        <x:v>64526</x:v>
      </x:c>
      <x:c r="N84" s="10" t="str">
        <x:v>63247</x:v>
      </x:c>
      <x:c r="O84" s="10" t="str">
        <x:v>65847</x:v>
      </x:c>
      <x:c r="P84" s="10" t="str">
        <x:v>2600</x:v>
      </x:c>
      <x:c r="Q84" s="10" t="str">
        <x:v>3900</x:v>
      </x:c>
      <x:c r="R84" s="10" t="str">
        <x:v>1724921</x:v>
      </x:c>
      <x:c r="S84" s="10" t="str">
        <x:v>130</x:v>
      </x:c>
      <x:c r="T84" s="8" t="str">
        <x:v>60</x:v>
      </x:c>
      <x:c r="U84" t="str">
        <x:v>Elevated</x:v>
      </x:c>
      <x:c r="V84" t="str">
        <x:v>https://www.census.gov/newsroom/press-releases/2026/school-system-finances.html</x:v>
      </x:c>
      <x:c r="W84" t="str">
        <x:f>J84</x:f>
        <x:v>57000</x:v>
      </x:c>
      <x:c r="X84" t="n">
        <x:f>W84/12</x:f>
        <x:v>4750</x:v>
      </x:c>
      <x:c r="Y84" t="n">
        <x:f>IFERROR(Q84/X84,"")</x:f>
        <x:v>0.8210526315789474</x:v>
      </x:c>
      <x:c r="Z84" t="n">
        <x:f>IFERROR(PMT('Housing Salary Share Phase 1'!$B$7/12,'Housing Salary Share Phase 1'!$B$8*12,-R84*(1-'Housing Salary Share Phase 1'!$B$6)),"")</x:f>
        <x:v>9180.753962295776</x:v>
      </x:c>
      <x:c r="AA84" t="n">
        <x:f>IFERROR(Z84/X84,"")</x:f>
        <x:v>1.9327903078517423</x:v>
      </x:c>
      <x:c r="AB84" t="n">
        <x:f>IFS(Y84&lt;=20%,95,Y84&lt;=25%,82,Y84&lt;=30%,65,Y84&lt;=40%,45,TRUE,20)</x:f>
        <x:v>20</x:v>
      </x:c>
      <x:c r="AC84" t="n">
        <x:f>IFS(AA84&lt;=20%,95,AA84&lt;=25%,82,AA84&lt;=30%,65,AA84&lt;=40%,45,TRUE,20)</x:f>
        <x:v>20</x:v>
      </x:c>
      <x:c r="AD84" t="n">
        <x:f>AB84*'Housing Salary Share Phase 1'!$B$9+AC84*'Housing Salary Share Phase 1'!$B$10</x:f>
        <x:v>20</x:v>
      </x:c>
      <x:c r="AE84" t="str">
        <x:f>IFERROR(TEXT(Y84,"0%")&amp;" of Salary","")</x:f>
        <x:v>82% of Salary</x:v>
      </x:c>
      <x:c r="AF84" t="str">
        <x:f>IFERROR(TEXT(AA84,"0%")&amp;" of Salary","")</x:f>
        <x:v>193% of Salary</x:v>
      </x:c>
    </x:row>
    <x:row r="85">
      <x:c r="A85" t="str">
        <x:v>84</x:v>
      </x:c>
      <x:c r="B85" t="str">
        <x:v>Flagstaff Unified School District</x:v>
      </x:c>
      <x:c r="C85" t="str">
        <x:v>AZ</x:v>
      </x:c>
      <x:c r="D85" t="str">
        <x:v>Flagstaff</x:v>
      </x:c>
      <x:c r="E85" s="8" t="str">
        <x:v>25.1972</x:v>
      </x:c>
      <x:c r="F85" s="8" t="str">
        <x:v>24.4181</x:v>
      </x:c>
      <x:c r="G85" s="10" t="str">
        <x:v>12003</x:v>
      </x:c>
      <x:c r="H85" s="8" t="str">
        <x:v>40</x:v>
      </x:c>
      <x:c r="I85" t="str">
        <x:v>Low</x:v>
      </x:c>
      <x:c r="J85" s="10" t="str">
        <x:v>50910</x:v>
      </x:c>
      <x:c r="K85" s="10" t="str">
        <x:v>50910</x:v>
      </x:c>
      <x:c r="L85" s="10" t="str">
        <x:v>54098</x:v>
      </x:c>
      <x:c r="M85" s="10" t="str">
        <x:v>54098</x:v>
      </x:c>
      <x:c r="N85" s="10" t="str">
        <x:v>57285</x:v>
      </x:c>
      <x:c r="O85" s="10" t="str">
        <x:v>57285</x:v>
      </x:c>
      <x:c r="P85" s="10" t="str">
        <x:v>0</x:v>
      </x:c>
      <x:c r="Q85" s="10" t="str">
        <x:v>2300</x:v>
      </x:c>
      <x:c r="R85" s="10" t="str">
        <x:v>710000</x:v>
      </x:c>
      <x:c r="S85" s="10" t="str">
        <x:v>140</x:v>
      </x:c>
      <x:c r="T85" s="8" t="str">
        <x:v>60</x:v>
      </x:c>
      <x:c r="U85" t="str">
        <x:v>Elevated</x:v>
      </x:c>
      <x:c r="V85" t="str">
        <x:v>https://www.census.gov/newsroom/press-releases/2026/school-system-finances.html</x:v>
      </x:c>
      <x:c r="W85" t="str">
        <x:f>J85</x:f>
        <x:v>50910</x:v>
      </x:c>
      <x:c r="X85" t="n">
        <x:f>W85/12</x:f>
        <x:v>4242.5</x:v>
      </x:c>
      <x:c r="Y85" t="n">
        <x:f>IFERROR(Q85/X85,"")</x:f>
        <x:v>0.5421331761932823</x:v>
      </x:c>
      <x:c r="Z85" t="n">
        <x:f>IFERROR(PMT('Housing Salary Share Phase 1'!$B$7/12,'Housing Salary Share Phase 1'!$B$8*12,-R85*(1-'Housing Salary Share Phase 1'!$B$6)),"")</x:f>
        <x:v>3778.918172617761</x:v>
      </x:c>
      <x:c r="AA85" t="n">
        <x:f>IFERROR(Z85/X85,"")</x:f>
        <x:v>0.8907290919546873</x:v>
      </x:c>
      <x:c r="AB85" t="n">
        <x:f>IFS(Y85&lt;=20%,95,Y85&lt;=25%,82,Y85&lt;=30%,65,Y85&lt;=40%,45,TRUE,20)</x:f>
        <x:v>20</x:v>
      </x:c>
      <x:c r="AC85" t="n">
        <x:f>IFS(AA85&lt;=20%,95,AA85&lt;=25%,82,AA85&lt;=30%,65,AA85&lt;=40%,45,TRUE,20)</x:f>
        <x:v>20</x:v>
      </x:c>
      <x:c r="AD85" t="n">
        <x:f>AB85*'Housing Salary Share Phase 1'!$B$9+AC85*'Housing Salary Share Phase 1'!$B$10</x:f>
        <x:v>20</x:v>
      </x:c>
      <x:c r="AE85" t="str">
        <x:f>IFERROR(TEXT(Y85,"0%")&amp;" of Salary","")</x:f>
        <x:v>54% of Salary</x:v>
      </x:c>
      <x:c r="AF85" t="str">
        <x:f>IFERROR(TEXT(AA85,"0%")&amp;" of Salary","")</x:f>
        <x:v>89% of Salary</x:v>
      </x:c>
    </x:row>
    <x:row r="86">
      <x:c r="A86" t="str">
        <x:v>85</x:v>
      </x:c>
      <x:c r="B86" t="str">
        <x:v>Chandler Unified School District</x:v>
      </x:c>
      <x:c r="C86" t="str">
        <x:v>AZ</x:v>
      </x:c>
      <x:c r="D86" t="str">
        <x:v>Phoenix / East Valley</x:v>
      </x:c>
      <x:c r="E86" s="8" t="str">
        <x:v>23.2916</x:v>
      </x:c>
      <x:c r="F86" s="8" t="str">
        <x:v>22.4122</x:v>
      </x:c>
      <x:c r="G86" s="10" t="str">
        <x:v>12003</x:v>
      </x:c>
      <x:c r="H86" s="8" t="str">
        <x:v>40</x:v>
      </x:c>
      <x:c r="I86" t="str">
        <x:v>Low</x:v>
      </x:c>
      <x:c r="J86" s="10" t="str">
        <x:v>55249</x:v>
      </x:c>
      <x:c r="K86" s="10" t="str">
        <x:v>56499</x:v>
      </x:c>
      <x:c r="L86" s="10" t="str">
        <x:v>56877</x:v>
      </x:c>
      <x:c r="M86" s="10" t="str">
        <x:v>58127</x:v>
      </x:c>
      <x:c r="N86" s="10" t="str">
        <x:v>58098</x:v>
      </x:c>
      <x:c r="O86" s="10" t="str">
        <x:v>59348</x:v>
      </x:c>
      <x:c r="P86" s="10" t="str">
        <x:v>1250</x:v>
      </x:c>
      <x:c r="Q86" s="10" t="str">
        <x:v>2388</x:v>
      </x:c>
      <x:c r="R86" s="10" t="str">
        <x:v>520000</x:v>
      </x:c>
      <x:c r="S86" s="10" t="str">
        <x:v>170</x:v>
      </x:c>
      <x:c r="T86" s="8" t="str">
        <x:v>40</x:v>
      </x:c>
      <x:c r="U86" t="str">
        <x:v>Severe</x:v>
      </x:c>
      <x:c r="V86" t="str">
        <x:v>https://www.census.gov/newsroom/press-releases/2026/school-system-finances.html</x:v>
      </x:c>
      <x:c r="W86" t="str">
        <x:f>J86</x:f>
        <x:v>55249</x:v>
      </x:c>
      <x:c r="X86" t="n">
        <x:f>W86/12</x:f>
        <x:v>4604.083333333333</x:v>
      </x:c>
      <x:c r="Y86" t="n">
        <x:f>IFERROR(Q86/X86,"")</x:f>
        <x:v>0.5186700211768539</x:v>
      </x:c>
      <x:c r="Z86" t="n">
        <x:f>IFERROR(PMT('Housing Salary Share Phase 1'!$B$7/12,'Housing Salary Share Phase 1'!$B$8*12,-R86*(1-'Housing Salary Share Phase 1'!$B$6)),"")</x:f>
        <x:v>2767.658379945402</x:v>
      </x:c>
      <x:c r="AA86" t="n">
        <x:f>IFERROR(Z86/X86,"")</x:f>
        <x:v>0.6011312523185004</x:v>
      </x:c>
      <x:c r="AB86" t="n">
        <x:f>IFS(Y86&lt;=20%,95,Y86&lt;=25%,82,Y86&lt;=30%,65,Y86&lt;=40%,45,TRUE,20)</x:f>
        <x:v>20</x:v>
      </x:c>
      <x:c r="AC86" t="n">
        <x:f>IFS(AA86&lt;=20%,95,AA86&lt;=25%,82,AA86&lt;=30%,65,AA86&lt;=40%,45,TRUE,20)</x:f>
        <x:v>20</x:v>
      </x:c>
      <x:c r="AD86" t="n">
        <x:f>AB86*'Housing Salary Share Phase 1'!$B$9+AC86*'Housing Salary Share Phase 1'!$B$10</x:f>
        <x:v>20</x:v>
      </x:c>
      <x:c r="AE86" t="str">
        <x:f>IFERROR(TEXT(Y86,"0%")&amp;" of Salary","")</x:f>
        <x:v>52% of Salary</x:v>
      </x:c>
      <x:c r="AF86" t="str">
        <x:f>IFERROR(TEXT(AA86,"0%")&amp;" of Salary","")</x:f>
        <x:v>60% of Salary</x:v>
      </x:c>
    </x:row>
  </x:sheetData>
  <x:conditionalFormatting sqref="AB2:AD8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73ccaba39cf466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40" hidden="0" customWidth="1"/>
  </x:cols>
  <x:sheetData>
    <x:row r="1">
      <x:c r="A1" s="6" t="str">
        <x:v>Spending per student</x:v>
      </x:c>
      <x:c r="B1" s="6" t="str">
        <x:v>Score</x:v>
      </x:c>
      <x:c r="C1" s="6" t="str">
        <x:v>Rating</x:v>
      </x:c>
    </x:row>
    <x:row r="2">
      <x:c r="A2" s="12" t="str">
        <x:v>$22,000+</x:v>
      </x:c>
      <x:c r="B2" s="12" t="str">
        <x:v>100</x:v>
      </x:c>
      <x:c r="C2" s="12" t="str">
        <x:v>Excellent</x:v>
      </x:c>
    </x:row>
    <x:row r="3">
      <x:c r="A3" s="12" t="str">
        <x:v>$18,000–$21,999</x:v>
      </x:c>
      <x:c r="B3" s="12" t="str">
        <x:v>85</x:v>
      </x:c>
      <x:c r="C3" s="12" t="str">
        <x:v>Very Good</x:v>
      </x:c>
    </x:row>
    <x:row r="4">
      <x:c r="A4" s="12" t="str">
        <x:v>$15,000–$17,999</x:v>
      </x:c>
      <x:c r="B4" s="12" t="str">
        <x:v>70</x:v>
      </x:c>
      <x:c r="C4" s="12" t="str">
        <x:v>Good</x:v>
      </x:c>
    </x:row>
    <x:row r="5">
      <x:c r="A5" s="12" t="str">
        <x:v>$13,000–$14,999</x:v>
      </x:c>
      <x:c r="B5" s="12" t="str">
        <x:v>55</x:v>
      </x:c>
      <x:c r="C5" s="12" t="str">
        <x:v>Fair</x:v>
      </x:c>
    </x:row>
    <x:row r="6">
      <x:c r="A6" s="12" t="str">
        <x:v>$11,000–$12,999</x:v>
      </x:c>
      <x:c r="B6" s="12" t="str">
        <x:v>40</x:v>
      </x:c>
      <x:c r="C6" s="12" t="str">
        <x:v>Low</x:v>
      </x:c>
    </x:row>
    <x:row r="7">
      <x:c r="A7" s="12" t="str">
        <x:v>Under $11,000</x:v>
      </x:c>
      <x:c r="B7" s="12" t="str">
        <x:v>25</x:v>
      </x:c>
      <x:c r="C7" s="12" t="str">
        <x:v>Very Low</x:v>
      </x:c>
    </x:row>
    <x:row r="8">
      <x:c r="A8" s="12"/>
      <x:c r="B8" s="12"/>
      <x:c r="C8" s="12"/>
    </x:row>
    <x:row r="9">
      <x:c r="A9" s="12" t="str">
        <x:v>Formula</x:v>
      </x:c>
      <x:c r="B9" s="12" t="str">
        <x:v>New Overall = Previous Overall × 95% + State Funding Context Score × 5%</x:v>
      </x:c>
      <x:c r="C9" s="12" t="str"/>
    </x:row>
    <x:row r="10">
      <x:c r="A10" s="12" t="str">
        <x:v>Source</x:v>
      </x:c>
      <x:c r="B10" s="12" t="str">
        <x:v>U.S. Census Bureau Annual Survey of School System Finances, FY2024 current spending per pupil</x:v>
      </x:c>
      <x:c r="C10" s="12" t="str">
        <x:v>https://www.census.gov/newsroom/press-releases/2026/school-system-finances.html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46" hidden="0" customWidth="1"/>
    <x:col min="4" max="4" width="18" hidden="0" customWidth="1"/>
    <x:col min="5" max="5" width="12" hidden="0" customWidth="1"/>
  </x:cols>
  <x:sheetData>
    <x:row r="1" ht="16.799999237060547" hidden="0" customHeight="1">
      <x:c r="A1" s="42" t="str">
        <x:v>Housing Salary Share Phase 1</x:v>
      </x:c>
      <x:c r="B1" s="42"/>
      <x:c r="C1" s="42"/>
      <x:c r="D1" s="42"/>
      <x:c r="E1" s="24"/>
    </x:row>
    <x:row r="2" ht="52.79999923706055" hidden="0" customHeight="1">
      <x:c r="A2" s="12" t="str">
        <x:v>Purpose</x:v>
      </x:c>
      <x:c r="B2" s="12" t="str">
        <x:v>Adds salary-relative housing calculations for analysis only. Overall Value Score is unchanged.</x:v>
      </x:c>
      <x:c r="C2" s="12"/>
      <x:c r="D2" s="12"/>
      <x:c r="E2" s="12"/>
    </x:row>
    <x:row r="3" ht="15" hidden="0" customHeight="1">
      <x:c r="A3" s="12"/>
      <x:c r="B3" s="12"/>
      <x:c r="C3" s="12"/>
      <x:c r="D3" s="12"/>
      <x:c r="E3" s="12"/>
    </x:row>
    <x:row r="4" ht="15" hidden="0" customHeight="1">
      <x:c r="A4" s="43" t="str">
        <x:v>Assumption</x:v>
      </x:c>
      <x:c r="B4" s="43" t="str">
        <x:v>Value</x:v>
      </x:c>
      <x:c r="C4" s="43" t="str">
        <x:v>Notes</x:v>
      </x:c>
      <x:c r="D4" s="46"/>
      <x:c r="E4" s="12"/>
    </x:row>
    <x:row r="5" ht="15" hidden="0" customHeight="1">
      <x:c r="A5" s="12" t="str">
        <x:v>Monthly salary basis</x:v>
      </x:c>
      <x:c r="B5" s="26" t="str">
        <x:v>Selected salary ÷ 12</x:v>
      </x:c>
      <x:c r="C5" s="12" t="str">
        <x:v>No take-home reduction is used.</x:v>
      </x:c>
      <x:c r="D5" s="12"/>
      <x:c r="E5" s="12"/>
    </x:row>
    <x:row r="6" ht="15" hidden="0" customHeight="1">
      <x:c r="A6" s="12" t="str">
        <x:v>Mortgage down payment</x:v>
      </x:c>
      <x:c r="B6" s="26" t="n">
        <x:v>0.2</x:v>
      </x:c>
      <x:c r="C6" s="12" t="str">
        <x:v>Used for the median home price mortgage estimate.</x:v>
      </x:c>
      <x:c r="D6" s="12"/>
      <x:c r="E6" s="12"/>
    </x:row>
    <x:row r="7" ht="15" hidden="0" customHeight="1">
      <x:c r="A7" s="12" t="str">
        <x:v>Mortgage annual interest rate</x:v>
      </x:c>
      <x:c r="B7" s="26" t="n">
        <x:v>0.07</x:v>
      </x:c>
      <x:c r="C7" s="12" t="str">
        <x:v>Principal + interest only; excludes taxes, insurance, HOA, PMI.</x:v>
      </x:c>
      <x:c r="D7" s="12"/>
      <x:c r="E7" s="12"/>
    </x:row>
    <x:row r="8" ht="15" hidden="0" customHeight="1">
      <x:c r="A8" s="12" t="str">
        <x:v>Mortgage term years</x:v>
      </x:c>
      <x:c r="B8" s="26" t="n">
        <x:v>30</x:v>
      </x:c>
      <x:c r="C8" s="12" t="str">
        <x:v>Fixed-rate mortgage term.</x:v>
      </x:c>
      <x:c r="D8" s="12"/>
      <x:c r="E8" s="12"/>
    </x:row>
    <x:row r="9" ht="15" hidden="0" customHeight="1">
      <x:c r="A9" s="12" t="str">
        <x:v>Rent weight in Housing Salary Share Score</x:v>
      </x:c>
      <x:c r="B9" s="26" t="n">
        <x:v>0.7</x:v>
      </x:c>
      <x:c r="C9" s="12" t="str">
        <x:v>Phase 1 analysis blend only; not used in Overall Value Score.</x:v>
      </x:c>
      <x:c r="D9" s="12"/>
      <x:c r="E9" s="12"/>
    </x:row>
    <x:row r="10" ht="26.399999618530273" hidden="0" customHeight="1">
      <x:c r="A10" s="12" t="str">
        <x:v>Mortgage weight in Housing Salary Share Score</x:v>
      </x:c>
      <x:c r="B10" s="26" t="n">
        <x:v>0.3</x:v>
      </x:c>
      <x:c r="C10" s="12" t="str">
        <x:v>Phase 1 analysis blend only; not used in Overall Value Score.</x:v>
      </x:c>
      <x:c r="D10" s="12"/>
      <x:c r="E10" s="12"/>
    </x:row>
    <x:row r="11" ht="15" hidden="0" customHeight="1">
      <x:c r="A11" s="12"/>
      <x:c r="B11" s="12"/>
      <x:c r="C11" s="12"/>
      <x:c r="D11" s="12"/>
      <x:c r="E11" s="12"/>
    </x:row>
    <x:row r="12" ht="15" hidden="0" customHeight="1">
      <x:c r="A12" s="43" t="str">
        <x:v>Housing cost as % of selected salary</x:v>
      </x:c>
      <x:c r="B12" s="43" t="str">
        <x:v>Tile label</x:v>
      </x:c>
      <x:c r="C12" s="43" t="str">
        <x:v>Score</x:v>
      </x:c>
      <x:c r="D12" s="43" t="str">
        <x:v>Color direction</x:v>
      </x:c>
      <x:c r="E12" s="12"/>
    </x:row>
    <x:row r="13" ht="15" hidden="0" customHeight="1">
      <x:c r="A13" s="12" t="str">
        <x:v>≤ 20%</x:v>
      </x:c>
      <x:c r="B13" s="12" t="str">
        <x:v>Actual percent shown, e.g. 20% of Salary</x:v>
      </x:c>
      <x:c r="C13" s="27" t="n">
        <x:v>95</x:v>
      </x:c>
      <x:c r="D13" s="12" t="str">
        <x:v>Best</x:v>
      </x:c>
      <x:c r="E13" s="12"/>
    </x:row>
    <x:row r="14" ht="15" hidden="0" customHeight="1">
      <x:c r="A14" s="12" t="str">
        <x:v>20%–25%</x:v>
      </x:c>
      <x:c r="B14" s="12" t="str">
        <x:v>Actual percent shown, e.g. 24% of Salary</x:v>
      </x:c>
      <x:c r="C14" s="27" t="n">
        <x:v>82</x:v>
      </x:c>
      <x:c r="D14" s="12" t="str">
        <x:v>Strong</x:v>
      </x:c>
      <x:c r="E14" s="12"/>
    </x:row>
    <x:row r="15" ht="15" hidden="0" customHeight="1">
      <x:c r="A15" s="12" t="str">
        <x:v>25%–30%</x:v>
      </x:c>
      <x:c r="B15" s="12" t="str">
        <x:v>Actual percent shown, e.g. 28% of Salary</x:v>
      </x:c>
      <x:c r="C15" s="27" t="n">
        <x:v>65</x:v>
      </x:c>
      <x:c r="D15" s="12" t="str">
        <x:v>Middle</x:v>
      </x:c>
      <x:c r="E15" s="12"/>
    </x:row>
    <x:row r="16" ht="15" hidden="0" customHeight="1">
      <x:c r="A16" s="12" t="str">
        <x:v>30%–40%</x:v>
      </x:c>
      <x:c r="B16" s="12" t="str">
        <x:v>Actual percent shown, e.g. 35% of Salary</x:v>
      </x:c>
      <x:c r="C16" s="27" t="n">
        <x:v>45</x:v>
      </x:c>
      <x:c r="D16" s="12" t="str">
        <x:v>Weak</x:v>
      </x:c>
      <x:c r="E16" s="12"/>
    </x:row>
    <x:row r="17" ht="15" hidden="0" customHeight="1">
      <x:c r="A17" s="12" t="str">
        <x:v>&gt; 40%</x:v>
      </x:c>
      <x:c r="B17" s="12" t="str">
        <x:v>Actual percent shown, e.g. 41% of Salary</x:v>
      </x:c>
      <x:c r="C17" s="27" t="n">
        <x:v>20</x:v>
      </x:c>
      <x:c r="D17" s="12" t="str">
        <x:v>Worst</x:v>
      </x:c>
      <x:c r="E17" s="12"/>
    </x:row>
    <x:row r="18" ht="15" hidden="0" customHeight="1">
      <x:c r="A18" s="12"/>
      <x:c r="B18" s="12"/>
      <x:c r="C18" s="12"/>
      <x:c r="D18" s="12"/>
      <x:c r="E18" s="12"/>
    </x:row>
    <x:row r="19" ht="39.599998474121094" hidden="0" customHeight="1">
      <x:c r="A19" s="28" t="str">
        <x:v>Phase 1 status</x:v>
      </x:c>
      <x:c r="B19" s="28" t="str">
        <x:v>Added for analysis only; does not replace Affordability Score or change rankings.</x:v>
      </x:c>
      <x:c r="C19" s="28"/>
      <x:c r="D19" s="28"/>
      <x:c r="E19" s="28"/>
    </x:row>
  </x:sheetData>
  <x:mergeCells>
    <x:mergeCell ref="A1:E1"/>
  </x:mergeCells>
  <x:pageMargins left="0.7" right="0.7" top="0.75" bottom="0.75" header="0.3" footer="0.3"/>
</x:worksheet>
</file>